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Play" sheetId="1" state="visible" r:id="rId1"/>
    <sheet name="Setup" sheetId="2" state="visible" r:id="rId2"/>
    <sheet name="Role Cards" sheetId="3" state="visible" r:id="rId3"/>
    <sheet name="Night" sheetId="4" state="visible" r:id="rId4"/>
    <sheet name="Day" sheetId="5" state="visible" r:id="rId5"/>
    <sheet name="Game Board" sheetId="6" state="visible" r:id="rId6"/>
  </sheets>
  <definedNames>
    <definedName name="PlayerNames">Setup!$C$14:$C$33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color rgb="001F2937"/>
      <sz val="10"/>
    </font>
    <font>
      <b val="1"/>
      <color rgb="00FFFFFF"/>
      <sz val="10"/>
    </font>
    <font>
      <b val="1"/>
      <color rgb="001F2937"/>
      <sz val="10"/>
    </font>
    <font>
      <color rgb="009CA3AF"/>
      <sz val="8"/>
    </font>
    <font>
      <b val="1"/>
      <color rgb="001F2937"/>
      <sz val="20"/>
    </font>
    <font>
      <color rgb="001F2937"/>
      <sz val="12"/>
    </font>
    <font>
      <b val="1"/>
      <color rgb="00B3261E"/>
      <sz val="12"/>
    </font>
    <font>
      <b val="1"/>
      <color rgb="00B45309"/>
      <sz val="11"/>
    </font>
    <font>
      <color rgb="00B45309"/>
      <sz val="9"/>
    </font>
    <font>
      <b val="1"/>
      <color rgb="001F2937"/>
      <sz val="14"/>
    </font>
  </fonts>
  <fills count="6">
    <fill>
      <patternFill/>
    </fill>
    <fill>
      <patternFill patternType="gray125"/>
    </fill>
    <fill>
      <patternFill patternType="solid">
        <fgColor rgb="002F3A4F"/>
      </patternFill>
    </fill>
    <fill>
      <patternFill patternType="solid">
        <fgColor rgb="00FFF3BF"/>
      </patternFill>
    </fill>
    <fill>
      <patternFill patternType="solid">
        <fgColor rgb="00F3F4F6"/>
      </patternFill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3C8D0"/>
      </left>
      <right style="thin">
        <color rgb="00C3C8D0"/>
      </right>
      <top style="thin">
        <color rgb="00C3C8D0"/>
      </top>
      <bottom style="thin">
        <color rgb="00C3C8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b val="1"/>
        <color rgb="00B3261E"/>
      </font>
    </dxf>
    <dxf>
      <font>
        <b val="1"/>
        <color rgb="001E7D32"/>
      </font>
    </dxf>
    <dxf>
      <font>
        <strike val="1"/>
        <color rgb="009CA3AF"/>
      </font>
      <fill>
        <patternFill patternType="solid">
          <fgColor rgb="00E5E7EB"/>
        </patternFill>
      </fill>
    </dxf>
    <dxf>
      <font>
        <b val="1"/>
        <color rgb="00B45309"/>
      </font>
    </dxf>
    <dxf>
      <fill>
        <patternFill patternType="solid">
          <fgColor rgb="00FADBD8"/>
        </patternFill>
      </fill>
    </dxf>
    <dxf>
      <font>
        <b val="1"/>
        <color rgb="001E7D32"/>
        <sz val="14"/>
      </font>
      <fill>
        <patternFill patternType="solid">
          <fgColor rgb="00D5F5DC"/>
        </patternFill>
      </fill>
    </dxf>
    <dxf>
      <font>
        <b val="1"/>
        <color rgb="00B3261E"/>
        <sz val="14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8C8D"/>
    <outlinePr summaryBelow="1" summaryRight="1"/>
    <pageSetUpPr/>
  </sheetPr>
  <dimension ref="B2:B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🐺 WEREWOLVES — the spreadsheet edition</t>
        </is>
      </c>
    </row>
    <row r="3">
      <c r="B3" s="2" t="inlineStr">
        <is>
          <t>A parlour game of lies, fangs and formulas. 5–20 players plus one moderator, who drives this workbook.</t>
        </is>
      </c>
    </row>
    <row r="4">
      <c r="B4" s="3" t="n"/>
    </row>
    <row r="5">
      <c r="B5" s="4" t="inlineStr">
        <is>
          <t>THE IDEA</t>
        </is>
      </c>
    </row>
    <row r="6">
      <c r="B6" s="3" t="inlineStr">
        <is>
          <t>A few of you are secretly werewolves; everyone else is a villager (some with special powers).</t>
        </is>
      </c>
    </row>
    <row r="7">
      <c r="B7" s="3" t="inlineStr">
        <is>
          <t>Each NIGHT the wolves secretly eat someone. Each DAY the whole village votes someone out.</t>
        </is>
      </c>
    </row>
    <row r="8">
      <c r="B8" s="3" t="inlineStr">
        <is>
          <t>The village wins when every wolf is gone. The wolves win when they are as many as the rest of the town.</t>
        </is>
      </c>
    </row>
    <row r="9">
      <c r="B9" s="3" t="n"/>
    </row>
    <row r="10">
      <c r="B10" s="4" t="inlineStr">
        <is>
          <t>COLOUR CODE</t>
        </is>
      </c>
    </row>
    <row r="11">
      <c r="B11" s="3" t="inlineStr">
        <is>
          <t>🟡 Yellow cells are the only cells you ever type in. Grey cells compute themselves — leave them be.</t>
        </is>
      </c>
    </row>
    <row r="12">
      <c r="B12" s="3" t="n"/>
    </row>
    <row r="13">
      <c r="B13" s="4" t="inlineStr">
        <is>
          <t>HOW TO RUN A GAME — the moderator's checklist</t>
        </is>
      </c>
    </row>
    <row r="14">
      <c r="B14" s="3" t="inlineStr">
        <is>
          <t>1.  SETUP sheet: type the player names, set the role counts (it suggests a wolf count) and any seed number.</t>
        </is>
      </c>
    </row>
    <row r="15">
      <c r="B15" s="3" t="inlineStr">
        <is>
          <t>2.  ROLE CARDS sheet: pass the device around — each player picks their name, memorises their secret role,</t>
        </is>
      </c>
    </row>
    <row r="16">
      <c r="B16" s="3" t="inlineStr">
        <is>
          <t xml:space="preserve">     clears the yellow cell, and passes it on. (Suspicious table? The moderator whispers roles instead.)</t>
        </is>
      </c>
    </row>
    <row r="17">
      <c r="B17" s="3" t="inlineStr">
        <is>
          <t>3.  NIGHT sheet: “Everybody close your eyes.” Wake in order — Werewolves choose a victim, the Doctor</t>
        </is>
      </c>
    </row>
    <row r="18">
      <c r="B18" s="3" t="inlineStr">
        <is>
          <t xml:space="preserve">     protects someone, the Seer inspects someone. Type the three names into that night's row.</t>
        </is>
      </c>
    </row>
    <row r="19">
      <c r="B19" s="3" t="inlineStr">
        <is>
          <t>4.  MORNING: read the 🌅 announcement aloud. The Game Board updates the body count automatically.</t>
        </is>
      </c>
    </row>
    <row r="20">
      <c r="B20" s="3" t="inlineStr">
        <is>
          <t>5.  DAY sheet: debate! Then record each living player's vote in today's column — the tally below names</t>
        </is>
      </c>
    </row>
    <row r="21">
      <c r="B21" s="3" t="inlineStr">
        <is>
          <t xml:space="preserve">     the eliminated player. On a tie nobody dies (or use the moderator override row after a revote).</t>
        </is>
      </c>
    </row>
    <row r="22">
      <c r="B22" s="3" t="inlineStr">
        <is>
          <t>6.  Repeat night and day. The GAME BOARD banner declares the winner the instant a side has won.</t>
        </is>
      </c>
    </row>
    <row r="23">
      <c r="B23" s="3" t="inlineStr">
        <is>
          <t>7.  Hunter in play? The moment the Hunter dies they shoot one player — record it on the Game Board.</t>
        </is>
      </c>
    </row>
    <row r="24">
      <c r="B24" s="3" t="n"/>
    </row>
    <row r="25">
      <c r="B25" s="4" t="inlineStr">
        <is>
          <t>THE ROLES</t>
        </is>
      </c>
    </row>
    <row r="26">
      <c r="B26" s="3" t="inlineStr">
        <is>
          <t>🐺  Werewolf — Each night you and your pack silently agree on one villager to eat. By day: act shocked, point fingers, survive the vote. You win when the wolves are as many as the rest of the town.</t>
        </is>
      </c>
    </row>
    <row r="27">
      <c r="B27" s="3" t="inlineStr">
        <is>
          <t>🔮  Seer — Each night, choose one player — the moderator tells you whether they are a werewolf. Deadly knowledge: reveal too much and the wolves will come for you.</t>
        </is>
      </c>
    </row>
    <row r="28">
      <c r="B28" s="3" t="inlineStr">
        <is>
          <t>💉  Doctor — Each night, choose one player to protect (yourself included). If the wolves attack that player, they survive the night.</t>
        </is>
      </c>
    </row>
    <row r="29">
      <c r="B29" s="3" t="inlineStr">
        <is>
          <t>🏹  Hunter — You die loudly. Whether eaten or voted out, you immediately fire one last shot and take a player of your choice down with you.</t>
        </is>
      </c>
    </row>
    <row r="30">
      <c r="B30" s="3" t="inlineStr">
        <is>
          <t>🌾  Villager — No powers — just eyes, ears and a vote. Find the liars, rally the town and vote the wolves out before you're dinner.</t>
        </is>
      </c>
    </row>
    <row r="31">
      <c r="B31" s="3" t="n"/>
    </row>
    <row r="32">
      <c r="B32" s="4" t="inlineStr">
        <is>
          <t>THE MODERATOR'S NIGHT SCRIPT (steal these lines)</t>
        </is>
      </c>
    </row>
    <row r="33">
      <c r="B33" s="3" t="inlineStr">
        <is>
          <t>“Village, close your eyes.”  ·  “Werewolves — open your eyes. Choose your prey.”</t>
        </is>
      </c>
    </row>
    <row r="34">
      <c r="B34" s="3" t="inlineStr">
        <is>
          <t>“Werewolves, sleep. Doctor — who do you save tonight?”  ·  “Doctor, sleep. Seer — point at a soul,</t>
        </is>
      </c>
    </row>
    <row r="35">
      <c r="B35" s="3" t="inlineStr">
        <is>
          <t>and I shall tell you what walks inside it.”  ·  “Everyone, wake up. I'm afraid there's been… an incident.”</t>
        </is>
      </c>
    </row>
    <row r="36">
      <c r="B36" s="3" t="n"/>
    </row>
    <row r="37">
      <c r="B37" s="4" t="inlineStr">
        <is>
          <t>FINE PRINT</t>
        </is>
      </c>
    </row>
    <row r="38">
      <c r="B38" s="3" t="inlineStr">
        <is>
          <t>•  Player names must be unique (the formulas look players up by name).</t>
        </is>
      </c>
    </row>
    <row r="39">
      <c r="B39" s="3" t="inlineStr">
        <is>
          <t>•  Works in Excel 2019+, Google Sheets and LibreOffice. In older Excel only the wolf-pack line on Role Cards may show #NAME?.</t>
        </is>
      </c>
    </row>
    <row r="40">
      <c r="B40" s="3" t="inlineStr">
        <is>
          <t>•  Up to 20 players and 10 rounds. Change the seed on Setup to re-deal roles — never mid-game!</t>
        </is>
      </c>
    </row>
    <row r="41">
      <c r="B41" s="3" t="inlineStr">
        <is>
          <t>•  The sheet trusts the moderator: it flags mistakes (targeting the dead, ties) but never blocks a dramatic twist.</t>
        </is>
      </c>
    </row>
    <row r="42">
      <c r="B42" s="3" t="inlineStr">
        <is>
          <t>•  Honour system: players seeing Role Cards must resist peeking at Setup or the Game Board. Wolves have no honour — everyone else does.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1C40F"/>
    <outlinePr summaryBelow="1" summaryRight="1"/>
    <pageSetUpPr/>
  </sheetPr>
  <dimension ref="B1:H3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3" customWidth="1" min="4" max="4"/>
    <col width="10" customWidth="1" min="5" max="5"/>
    <col width="22" customWidth="1" min="6" max="6"/>
    <col width="2" customWidth="1" min="7" max="7"/>
    <col width="18" customWidth="1" min="8" max="8"/>
  </cols>
  <sheetData>
    <row r="1">
      <c r="B1" s="5" t="inlineStr">
        <is>
          <t>🐺 Werewolves — Setup</t>
        </is>
      </c>
    </row>
    <row r="2">
      <c r="B2" s="6" t="inlineStr">
        <is>
          <t>🟡 yellow = you type · grey = automatic. Fill names, tweak roles, then deal with the Role Cards sheet.</t>
        </is>
      </c>
    </row>
    <row r="4">
      <c r="B4" s="7" t="inlineStr">
        <is>
          <t>Game seed</t>
        </is>
      </c>
      <c r="C4" s="8" t="n">
        <v>42</v>
      </c>
      <c r="D4" s="9" t="inlineStr">
        <is>
          <t>any whole number — change it to re-deal every role</t>
        </is>
      </c>
    </row>
    <row r="6">
      <c r="B6" s="7" t="inlineStr">
        <is>
          <t>🐺 Werewolves</t>
        </is>
      </c>
      <c r="C6" s="8" t="n">
        <v>2</v>
      </c>
      <c r="D6" s="9">
        <f>"suggested: "&amp;MAX(1,ROUNDDOWN(COUNTA($C$14:$C$33)/4,0))</f>
        <v/>
      </c>
    </row>
    <row r="7">
      <c r="B7" s="7" t="inlineStr">
        <is>
          <t>🔮 Seer</t>
        </is>
      </c>
      <c r="C7" s="8" t="n">
        <v>1</v>
      </c>
      <c r="D7" s="9" t="inlineStr">
        <is>
          <t>0 or 1</t>
        </is>
      </c>
    </row>
    <row r="8">
      <c r="B8" s="7" t="inlineStr">
        <is>
          <t>💉 Doctor</t>
        </is>
      </c>
      <c r="C8" s="8" t="n">
        <v>1</v>
      </c>
      <c r="D8" s="9" t="inlineStr">
        <is>
          <t>0 or 1</t>
        </is>
      </c>
    </row>
    <row r="9">
      <c r="B9" s="7" t="inlineStr">
        <is>
          <t>🏹 Hunter</t>
        </is>
      </c>
      <c r="C9" s="8" t="n">
        <v>0</v>
      </c>
      <c r="D9" s="9" t="inlineStr">
        <is>
          <t>0 or 1</t>
        </is>
      </c>
    </row>
    <row r="10">
      <c r="B10" s="7" t="inlineStr">
        <is>
          <t>🌾 Villagers</t>
        </is>
      </c>
      <c r="C10" s="10">
        <f>IF(COUNTA($C$14:$C$33)=0,0,COUNTA($C$14:$C$33)-SUM($C$6:$C$9))</f>
        <v/>
      </c>
      <c r="D10" s="9" t="inlineStr">
        <is>
          <t>automatic: everyone else</t>
        </is>
      </c>
    </row>
    <row r="12">
      <c r="B12" s="7">
        <f>IF(COUNTA($C$14:$C$33)=0,"",IF($C$10&lt;0,"⚠️ More roles than players — reduce the special roles!",IF($C$6&lt;1,"⚠️ You need at least one Werewolf.",IF($C$6&gt;=COUNTA($C$14:$C$33)-$C$6,"⚠️ Too many wolves — they would win instantly!","✅ Setup looks good — deal the roles!"))))</f>
        <v/>
      </c>
    </row>
    <row r="13" ht="22" customHeight="1">
      <c r="B13" s="11" t="inlineStr">
        <is>
          <t>#</t>
        </is>
      </c>
      <c r="C13" s="11" t="inlineStr">
        <is>
          <t>Player name</t>
        </is>
      </c>
      <c r="D13" s="11" t="inlineStr">
        <is>
          <t>🎲 shuffle</t>
        </is>
      </c>
      <c r="E13" s="11" t="inlineStr">
        <is>
          <t>deal order</t>
        </is>
      </c>
      <c r="F13" s="11" t="inlineStr">
        <is>
          <t>🤫 SECRET ROLE</t>
        </is>
      </c>
      <c r="H13" s="11" t="inlineStr">
        <is>
          <t>🐺 pack (mod only)</t>
        </is>
      </c>
    </row>
    <row r="14">
      <c r="B14" s="12" t="n">
        <v>1</v>
      </c>
      <c r="C14" s="8" t="inlineStr">
        <is>
          <t>Aria</t>
        </is>
      </c>
      <c r="D14" s="13">
        <f>IF($C14="","",ROUND(ABS(SIN($C$4*1.98987+ROW()*7.23319))*100000,4)+ROW()/100000)</f>
        <v/>
      </c>
      <c r="E14" s="10">
        <f>IF($C14="","",RANK(D14,$D$14:$D$33,1))</f>
        <v/>
      </c>
      <c r="F14" s="14">
        <f>IF($C14="","",IF($C$10&lt;0,"⚠️",IF(E14&lt;=$C$6,"Werewolf",IF(E14&lt;=$C$6+$C$7,"Seer",IF(E14&lt;=$C$6+$C$7+$C$8,"Doctor",IF(E14&lt;=SUM($C$6:$C$9),"Hunter","Villager"))))))</f>
        <v/>
      </c>
      <c r="H14" s="13">
        <f>IF($F14="Werewolf",$C14,"")</f>
        <v/>
      </c>
    </row>
    <row r="15">
      <c r="B15" s="12" t="n">
        <v>2</v>
      </c>
      <c r="C15" s="8" t="inlineStr">
        <is>
          <t>Ben</t>
        </is>
      </c>
      <c r="D15" s="13">
        <f>IF($C15="","",ROUND(ABS(SIN($C$4*1.98987+ROW()*7.23319))*100000,4)+ROW()/100000)</f>
        <v/>
      </c>
      <c r="E15" s="10">
        <f>IF($C15="","",RANK(D15,$D$14:$D$33,1))</f>
        <v/>
      </c>
      <c r="F15" s="14">
        <f>IF($C15="","",IF($C$10&lt;0,"⚠️",IF(E15&lt;=$C$6,"Werewolf",IF(E15&lt;=$C$6+$C$7,"Seer",IF(E15&lt;=$C$6+$C$7+$C$8,"Doctor",IF(E15&lt;=SUM($C$6:$C$9),"Hunter","Villager"))))))</f>
        <v/>
      </c>
      <c r="H15" s="13">
        <f>IF($F15="Werewolf",$C15,"")</f>
        <v/>
      </c>
    </row>
    <row r="16">
      <c r="B16" s="12" t="n">
        <v>3</v>
      </c>
      <c r="C16" s="8" t="inlineStr">
        <is>
          <t>Chloe</t>
        </is>
      </c>
      <c r="D16" s="13">
        <f>IF($C16="","",ROUND(ABS(SIN($C$4*1.98987+ROW()*7.23319))*100000,4)+ROW()/100000)</f>
        <v/>
      </c>
      <c r="E16" s="10">
        <f>IF($C16="","",RANK(D16,$D$14:$D$33,1))</f>
        <v/>
      </c>
      <c r="F16" s="14">
        <f>IF($C16="","",IF($C$10&lt;0,"⚠️",IF(E16&lt;=$C$6,"Werewolf",IF(E16&lt;=$C$6+$C$7,"Seer",IF(E16&lt;=$C$6+$C$7+$C$8,"Doctor",IF(E16&lt;=SUM($C$6:$C$9),"Hunter","Villager"))))))</f>
        <v/>
      </c>
      <c r="H16" s="13">
        <f>IF($F16="Werewolf",$C16,"")</f>
        <v/>
      </c>
    </row>
    <row r="17">
      <c r="B17" s="12" t="n">
        <v>4</v>
      </c>
      <c r="C17" s="8" t="inlineStr">
        <is>
          <t>Dev</t>
        </is>
      </c>
      <c r="D17" s="13">
        <f>IF($C17="","",ROUND(ABS(SIN($C$4*1.98987+ROW()*7.23319))*100000,4)+ROW()/100000)</f>
        <v/>
      </c>
      <c r="E17" s="10">
        <f>IF($C17="","",RANK(D17,$D$14:$D$33,1))</f>
        <v/>
      </c>
      <c r="F17" s="14">
        <f>IF($C17="","",IF($C$10&lt;0,"⚠️",IF(E17&lt;=$C$6,"Werewolf",IF(E17&lt;=$C$6+$C$7,"Seer",IF(E17&lt;=$C$6+$C$7+$C$8,"Doctor",IF(E17&lt;=SUM($C$6:$C$9),"Hunter","Villager"))))))</f>
        <v/>
      </c>
      <c r="H17" s="13">
        <f>IF($F17="Werewolf",$C17,"")</f>
        <v/>
      </c>
    </row>
    <row r="18">
      <c r="B18" s="12" t="n">
        <v>5</v>
      </c>
      <c r="C18" s="8" t="inlineStr">
        <is>
          <t>Elle</t>
        </is>
      </c>
      <c r="D18" s="13">
        <f>IF($C18="","",ROUND(ABS(SIN($C$4*1.98987+ROW()*7.23319))*100000,4)+ROW()/100000)</f>
        <v/>
      </c>
      <c r="E18" s="10">
        <f>IF($C18="","",RANK(D18,$D$14:$D$33,1))</f>
        <v/>
      </c>
      <c r="F18" s="14">
        <f>IF($C18="","",IF($C$10&lt;0,"⚠️",IF(E18&lt;=$C$6,"Werewolf",IF(E18&lt;=$C$6+$C$7,"Seer",IF(E18&lt;=$C$6+$C$7+$C$8,"Doctor",IF(E18&lt;=SUM($C$6:$C$9),"Hunter","Villager"))))))</f>
        <v/>
      </c>
      <c r="H18" s="13">
        <f>IF($F18="Werewolf",$C18,"")</f>
        <v/>
      </c>
    </row>
    <row r="19">
      <c r="B19" s="12" t="n">
        <v>6</v>
      </c>
      <c r="C19" s="8" t="inlineStr">
        <is>
          <t>Finn</t>
        </is>
      </c>
      <c r="D19" s="13">
        <f>IF($C19="","",ROUND(ABS(SIN($C$4*1.98987+ROW()*7.23319))*100000,4)+ROW()/100000)</f>
        <v/>
      </c>
      <c r="E19" s="10">
        <f>IF($C19="","",RANK(D19,$D$14:$D$33,1))</f>
        <v/>
      </c>
      <c r="F19" s="14">
        <f>IF($C19="","",IF($C$10&lt;0,"⚠️",IF(E19&lt;=$C$6,"Werewolf",IF(E19&lt;=$C$6+$C$7,"Seer",IF(E19&lt;=$C$6+$C$7+$C$8,"Doctor",IF(E19&lt;=SUM($C$6:$C$9),"Hunter","Villager"))))))</f>
        <v/>
      </c>
      <c r="H19" s="13">
        <f>IF($F19="Werewolf",$C19,"")</f>
        <v/>
      </c>
    </row>
    <row r="20">
      <c r="B20" s="12" t="n">
        <v>7</v>
      </c>
      <c r="C20" s="8" t="inlineStr">
        <is>
          <t>Grace</t>
        </is>
      </c>
      <c r="D20" s="13">
        <f>IF($C20="","",ROUND(ABS(SIN($C$4*1.98987+ROW()*7.23319))*100000,4)+ROW()/100000)</f>
        <v/>
      </c>
      <c r="E20" s="10">
        <f>IF($C20="","",RANK(D20,$D$14:$D$33,1))</f>
        <v/>
      </c>
      <c r="F20" s="14">
        <f>IF($C20="","",IF($C$10&lt;0,"⚠️",IF(E20&lt;=$C$6,"Werewolf",IF(E20&lt;=$C$6+$C$7,"Seer",IF(E20&lt;=$C$6+$C$7+$C$8,"Doctor",IF(E20&lt;=SUM($C$6:$C$9),"Hunter","Villager"))))))</f>
        <v/>
      </c>
      <c r="H20" s="13">
        <f>IF($F20="Werewolf",$C20,"")</f>
        <v/>
      </c>
    </row>
    <row r="21">
      <c r="B21" s="12" t="n">
        <v>8</v>
      </c>
      <c r="C21" s="8" t="inlineStr">
        <is>
          <t>Hugo</t>
        </is>
      </c>
      <c r="D21" s="13">
        <f>IF($C21="","",ROUND(ABS(SIN($C$4*1.98987+ROW()*7.23319))*100000,4)+ROW()/100000)</f>
        <v/>
      </c>
      <c r="E21" s="10">
        <f>IF($C21="","",RANK(D21,$D$14:$D$33,1))</f>
        <v/>
      </c>
      <c r="F21" s="14">
        <f>IF($C21="","",IF($C$10&lt;0,"⚠️",IF(E21&lt;=$C$6,"Werewolf",IF(E21&lt;=$C$6+$C$7,"Seer",IF(E21&lt;=$C$6+$C$7+$C$8,"Doctor",IF(E21&lt;=SUM($C$6:$C$9),"Hunter","Villager"))))))</f>
        <v/>
      </c>
      <c r="H21" s="13">
        <f>IF($F21="Werewolf",$C21,"")</f>
        <v/>
      </c>
    </row>
    <row r="22">
      <c r="B22" s="12" t="n">
        <v>9</v>
      </c>
      <c r="C22" s="8" t="n"/>
      <c r="D22" s="13">
        <f>IF($C22="","",ROUND(ABS(SIN($C$4*1.98987+ROW()*7.23319))*100000,4)+ROW()/100000)</f>
        <v/>
      </c>
      <c r="E22" s="10">
        <f>IF($C22="","",RANK(D22,$D$14:$D$33,1))</f>
        <v/>
      </c>
      <c r="F22" s="14">
        <f>IF($C22="","",IF($C$10&lt;0,"⚠️",IF(E22&lt;=$C$6,"Werewolf",IF(E22&lt;=$C$6+$C$7,"Seer",IF(E22&lt;=$C$6+$C$7+$C$8,"Doctor",IF(E22&lt;=SUM($C$6:$C$9),"Hunter","Villager"))))))</f>
        <v/>
      </c>
      <c r="H22" s="13">
        <f>IF($F22="Werewolf",$C22,"")</f>
        <v/>
      </c>
    </row>
    <row r="23">
      <c r="B23" s="12" t="n">
        <v>10</v>
      </c>
      <c r="C23" s="8" t="n"/>
      <c r="D23" s="13">
        <f>IF($C23="","",ROUND(ABS(SIN($C$4*1.98987+ROW()*7.23319))*100000,4)+ROW()/100000)</f>
        <v/>
      </c>
      <c r="E23" s="10">
        <f>IF($C23="","",RANK(D23,$D$14:$D$33,1))</f>
        <v/>
      </c>
      <c r="F23" s="14">
        <f>IF($C23="","",IF($C$10&lt;0,"⚠️",IF(E23&lt;=$C$6,"Werewolf",IF(E23&lt;=$C$6+$C$7,"Seer",IF(E23&lt;=$C$6+$C$7+$C$8,"Doctor",IF(E23&lt;=SUM($C$6:$C$9),"Hunter","Villager"))))))</f>
        <v/>
      </c>
      <c r="H23" s="13">
        <f>IF($F23="Werewolf",$C23,"")</f>
        <v/>
      </c>
    </row>
    <row r="24">
      <c r="B24" s="12" t="n">
        <v>11</v>
      </c>
      <c r="C24" s="8" t="n"/>
      <c r="D24" s="13">
        <f>IF($C24="","",ROUND(ABS(SIN($C$4*1.98987+ROW()*7.23319))*100000,4)+ROW()/100000)</f>
        <v/>
      </c>
      <c r="E24" s="10">
        <f>IF($C24="","",RANK(D24,$D$14:$D$33,1))</f>
        <v/>
      </c>
      <c r="F24" s="14">
        <f>IF($C24="","",IF($C$10&lt;0,"⚠️",IF(E24&lt;=$C$6,"Werewolf",IF(E24&lt;=$C$6+$C$7,"Seer",IF(E24&lt;=$C$6+$C$7+$C$8,"Doctor",IF(E24&lt;=SUM($C$6:$C$9),"Hunter","Villager"))))))</f>
        <v/>
      </c>
      <c r="H24" s="13">
        <f>IF($F24="Werewolf",$C24,"")</f>
        <v/>
      </c>
    </row>
    <row r="25">
      <c r="B25" s="12" t="n">
        <v>12</v>
      </c>
      <c r="C25" s="8" t="n"/>
      <c r="D25" s="13">
        <f>IF($C25="","",ROUND(ABS(SIN($C$4*1.98987+ROW()*7.23319))*100000,4)+ROW()/100000)</f>
        <v/>
      </c>
      <c r="E25" s="10">
        <f>IF($C25="","",RANK(D25,$D$14:$D$33,1))</f>
        <v/>
      </c>
      <c r="F25" s="14">
        <f>IF($C25="","",IF($C$10&lt;0,"⚠️",IF(E25&lt;=$C$6,"Werewolf",IF(E25&lt;=$C$6+$C$7,"Seer",IF(E25&lt;=$C$6+$C$7+$C$8,"Doctor",IF(E25&lt;=SUM($C$6:$C$9),"Hunter","Villager"))))))</f>
        <v/>
      </c>
      <c r="H25" s="13">
        <f>IF($F25="Werewolf",$C25,"")</f>
        <v/>
      </c>
    </row>
    <row r="26">
      <c r="B26" s="12" t="n">
        <v>13</v>
      </c>
      <c r="C26" s="8" t="n"/>
      <c r="D26" s="13">
        <f>IF($C26="","",ROUND(ABS(SIN($C$4*1.98987+ROW()*7.23319))*100000,4)+ROW()/100000)</f>
        <v/>
      </c>
      <c r="E26" s="10">
        <f>IF($C26="","",RANK(D26,$D$14:$D$33,1))</f>
        <v/>
      </c>
      <c r="F26" s="14">
        <f>IF($C26="","",IF($C$10&lt;0,"⚠️",IF(E26&lt;=$C$6,"Werewolf",IF(E26&lt;=$C$6+$C$7,"Seer",IF(E26&lt;=$C$6+$C$7+$C$8,"Doctor",IF(E26&lt;=SUM($C$6:$C$9),"Hunter","Villager"))))))</f>
        <v/>
      </c>
      <c r="H26" s="13">
        <f>IF($F26="Werewolf",$C26,"")</f>
        <v/>
      </c>
    </row>
    <row r="27">
      <c r="B27" s="12" t="n">
        <v>14</v>
      </c>
      <c r="C27" s="8" t="n"/>
      <c r="D27" s="13">
        <f>IF($C27="","",ROUND(ABS(SIN($C$4*1.98987+ROW()*7.23319))*100000,4)+ROW()/100000)</f>
        <v/>
      </c>
      <c r="E27" s="10">
        <f>IF($C27="","",RANK(D27,$D$14:$D$33,1))</f>
        <v/>
      </c>
      <c r="F27" s="14">
        <f>IF($C27="","",IF($C$10&lt;0,"⚠️",IF(E27&lt;=$C$6,"Werewolf",IF(E27&lt;=$C$6+$C$7,"Seer",IF(E27&lt;=$C$6+$C$7+$C$8,"Doctor",IF(E27&lt;=SUM($C$6:$C$9),"Hunter","Villager"))))))</f>
        <v/>
      </c>
      <c r="H27" s="13">
        <f>IF($F27="Werewolf",$C27,"")</f>
        <v/>
      </c>
    </row>
    <row r="28">
      <c r="B28" s="12" t="n">
        <v>15</v>
      </c>
      <c r="C28" s="8" t="n"/>
      <c r="D28" s="13">
        <f>IF($C28="","",ROUND(ABS(SIN($C$4*1.98987+ROW()*7.23319))*100000,4)+ROW()/100000)</f>
        <v/>
      </c>
      <c r="E28" s="10">
        <f>IF($C28="","",RANK(D28,$D$14:$D$33,1))</f>
        <v/>
      </c>
      <c r="F28" s="14">
        <f>IF($C28="","",IF($C$10&lt;0,"⚠️",IF(E28&lt;=$C$6,"Werewolf",IF(E28&lt;=$C$6+$C$7,"Seer",IF(E28&lt;=$C$6+$C$7+$C$8,"Doctor",IF(E28&lt;=SUM($C$6:$C$9),"Hunter","Villager"))))))</f>
        <v/>
      </c>
      <c r="H28" s="13">
        <f>IF($F28="Werewolf",$C28,"")</f>
        <v/>
      </c>
    </row>
    <row r="29">
      <c r="B29" s="12" t="n">
        <v>16</v>
      </c>
      <c r="C29" s="8" t="n"/>
      <c r="D29" s="13">
        <f>IF($C29="","",ROUND(ABS(SIN($C$4*1.98987+ROW()*7.23319))*100000,4)+ROW()/100000)</f>
        <v/>
      </c>
      <c r="E29" s="10">
        <f>IF($C29="","",RANK(D29,$D$14:$D$33,1))</f>
        <v/>
      </c>
      <c r="F29" s="14">
        <f>IF($C29="","",IF($C$10&lt;0,"⚠️",IF(E29&lt;=$C$6,"Werewolf",IF(E29&lt;=$C$6+$C$7,"Seer",IF(E29&lt;=$C$6+$C$7+$C$8,"Doctor",IF(E29&lt;=SUM($C$6:$C$9),"Hunter","Villager"))))))</f>
        <v/>
      </c>
      <c r="H29" s="13">
        <f>IF($F29="Werewolf",$C29,"")</f>
        <v/>
      </c>
    </row>
    <row r="30">
      <c r="B30" s="12" t="n">
        <v>17</v>
      </c>
      <c r="C30" s="8" t="n"/>
      <c r="D30" s="13">
        <f>IF($C30="","",ROUND(ABS(SIN($C$4*1.98987+ROW()*7.23319))*100000,4)+ROW()/100000)</f>
        <v/>
      </c>
      <c r="E30" s="10">
        <f>IF($C30="","",RANK(D30,$D$14:$D$33,1))</f>
        <v/>
      </c>
      <c r="F30" s="14">
        <f>IF($C30="","",IF($C$10&lt;0,"⚠️",IF(E30&lt;=$C$6,"Werewolf",IF(E30&lt;=$C$6+$C$7,"Seer",IF(E30&lt;=$C$6+$C$7+$C$8,"Doctor",IF(E30&lt;=SUM($C$6:$C$9),"Hunter","Villager"))))))</f>
        <v/>
      </c>
      <c r="H30" s="13">
        <f>IF($F30="Werewolf",$C30,"")</f>
        <v/>
      </c>
    </row>
    <row r="31">
      <c r="B31" s="12" t="n">
        <v>18</v>
      </c>
      <c r="C31" s="8" t="n"/>
      <c r="D31" s="13">
        <f>IF($C31="","",ROUND(ABS(SIN($C$4*1.98987+ROW()*7.23319))*100000,4)+ROW()/100000)</f>
        <v/>
      </c>
      <c r="E31" s="10">
        <f>IF($C31="","",RANK(D31,$D$14:$D$33,1))</f>
        <v/>
      </c>
      <c r="F31" s="14">
        <f>IF($C31="","",IF($C$10&lt;0,"⚠️",IF(E31&lt;=$C$6,"Werewolf",IF(E31&lt;=$C$6+$C$7,"Seer",IF(E31&lt;=$C$6+$C$7+$C$8,"Doctor",IF(E31&lt;=SUM($C$6:$C$9),"Hunter","Villager"))))))</f>
        <v/>
      </c>
      <c r="H31" s="13">
        <f>IF($F31="Werewolf",$C31,"")</f>
        <v/>
      </c>
    </row>
    <row r="32">
      <c r="B32" s="12" t="n">
        <v>19</v>
      </c>
      <c r="C32" s="8" t="n"/>
      <c r="D32" s="13">
        <f>IF($C32="","",ROUND(ABS(SIN($C$4*1.98987+ROW()*7.23319))*100000,4)+ROW()/100000)</f>
        <v/>
      </c>
      <c r="E32" s="10">
        <f>IF($C32="","",RANK(D32,$D$14:$D$33,1))</f>
        <v/>
      </c>
      <c r="F32" s="14">
        <f>IF($C32="","",IF($C$10&lt;0,"⚠️",IF(E32&lt;=$C$6,"Werewolf",IF(E32&lt;=$C$6+$C$7,"Seer",IF(E32&lt;=$C$6+$C$7+$C$8,"Doctor",IF(E32&lt;=SUM($C$6:$C$9),"Hunter","Villager"))))))</f>
        <v/>
      </c>
      <c r="H32" s="13">
        <f>IF($F32="Werewolf",$C32,"")</f>
        <v/>
      </c>
    </row>
    <row r="33">
      <c r="B33" s="12" t="n">
        <v>20</v>
      </c>
      <c r="C33" s="8" t="n"/>
      <c r="D33" s="13">
        <f>IF($C33="","",ROUND(ABS(SIN($C$4*1.98987+ROW()*7.23319))*100000,4)+ROW()/100000)</f>
        <v/>
      </c>
      <c r="E33" s="10">
        <f>IF($C33="","",RANK(D33,$D$14:$D$33,1))</f>
        <v/>
      </c>
      <c r="F33" s="14">
        <f>IF($C33="","",IF($C$10&lt;0,"⚠️",IF(E33&lt;=$C$6,"Werewolf",IF(E33&lt;=$C$6+$C$7,"Seer",IF(E33&lt;=$C$6+$C$7+$C$8,"Doctor",IF(E33&lt;=SUM($C$6:$C$9),"Hunter","Villager"))))))</f>
        <v/>
      </c>
      <c r="H33" s="13">
        <f>IF($F33="Werewolf",$C33,"")</f>
        <v/>
      </c>
    </row>
  </sheetData>
  <mergeCells count="1">
    <mergeCell ref="B12:F12"/>
  </mergeCells>
  <conditionalFormatting sqref="F14:F33">
    <cfRule type="expression" priority="1" dxfId="0">
      <formula>$F14="Werewolf"</formula>
    </cfRule>
  </conditionalFormatting>
  <conditionalFormatting sqref="B12">
    <cfRule type="expression" priority="2" dxfId="0">
      <formula>LEFT($B$12,2)="⚠️"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B1:L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  <col width="12" customWidth="1" min="10" max="10"/>
    <col width="5" customWidth="1" min="11" max="11"/>
    <col width="46" customWidth="1" min="12" max="12"/>
  </cols>
  <sheetData>
    <row r="1">
      <c r="B1" s="5" t="inlineStr">
        <is>
          <t>🎭 Role Cards — for players' eyes only</t>
        </is>
      </c>
    </row>
    <row r="2">
      <c r="J2" s="9" t="inlineStr">
        <is>
          <t>cheat sheet (public info)</t>
        </is>
      </c>
    </row>
    <row r="3">
      <c r="B3" s="7" t="inlineStr">
        <is>
          <t>1) Pick your name:</t>
        </is>
      </c>
      <c r="C3" s="8" t="n"/>
      <c r="J3" s="9" t="inlineStr">
        <is>
          <t>Werewolf</t>
        </is>
      </c>
      <c r="K3" s="15" t="inlineStr">
        <is>
          <t>🐺</t>
        </is>
      </c>
      <c r="L3" s="9" t="inlineStr">
        <is>
          <t>Each night you and your pack silently agree on one villager to eat. By day: act shocked, point fingers, survive the vote. You win when the wolves are as many as the rest of the town.</t>
        </is>
      </c>
    </row>
    <row r="4">
      <c r="J4" s="9" t="inlineStr">
        <is>
          <t>Seer</t>
        </is>
      </c>
      <c r="K4" s="15" t="inlineStr">
        <is>
          <t>🔮</t>
        </is>
      </c>
      <c r="L4" s="9" t="inlineStr">
        <is>
          <t>Each night, choose one player — the moderator tells you whether they are a werewolf. Deadly knowledge: reveal too much and the wolves will come for you.</t>
        </is>
      </c>
    </row>
    <row r="5">
      <c r="B5" s="16">
        <f>IF($C$3="","👆 pick your name above…",IFERROR(VLOOKUP(VLOOKUP($C$3,Setup!$C$14:$F$33,4,FALSE),$J$3:$L$7,2,FALSE)&amp;"  You are: "&amp;UPPER(VLOOKUP($C$3,Setup!$C$14:$F$33,4,FALSE)),"(roles not dealt yet)"))</f>
        <v/>
      </c>
      <c r="J5" s="9" t="inlineStr">
        <is>
          <t>Doctor</t>
        </is>
      </c>
      <c r="K5" s="15" t="inlineStr">
        <is>
          <t>💉</t>
        </is>
      </c>
      <c r="L5" s="9" t="inlineStr">
        <is>
          <t>Each night, choose one player to protect (yourself included). If the wolves attack that player, they survive the night.</t>
        </is>
      </c>
    </row>
    <row r="6">
      <c r="J6" s="9" t="inlineStr">
        <is>
          <t>Hunter</t>
        </is>
      </c>
      <c r="K6" s="15" t="inlineStr">
        <is>
          <t>🏹</t>
        </is>
      </c>
      <c r="L6" s="9" t="inlineStr">
        <is>
          <t>You die loudly. Whether eaten or voted out, you immediately fire one last shot and take a player of your choice down with you.</t>
        </is>
      </c>
    </row>
    <row r="7">
      <c r="J7" s="9" t="inlineStr">
        <is>
          <t>Villager</t>
        </is>
      </c>
      <c r="K7" s="15" t="inlineStr">
        <is>
          <t>🌾</t>
        </is>
      </c>
      <c r="L7" s="9" t="inlineStr">
        <is>
          <t>No powers — just eyes, ears and a vote. Find the liars, rally the town and vote the wolves out before you're dinner.</t>
        </is>
      </c>
    </row>
    <row r="8">
      <c r="B8" s="17">
        <f>IF($C$3="","",IFERROR(VLOOKUP(VLOOKUP($C$3,Setup!$C$14:$F$33,4,FALSE),$J$3:$L$7,3,FALSE),""))</f>
        <v/>
      </c>
    </row>
    <row r="9"/>
    <row r="10"/>
    <row r="11"/>
    <row r="13">
      <c r="B13" s="18">
        <f>IF($C$3="","",IF(IFERROR(VLOOKUP($C$3,Setup!$C$14:$F$33,4,FALSE),"")="Werewolf","🐺 Your pack: "&amp;TEXTJOIN(", ",TRUE,Setup!$H$14:$H$33),""))</f>
        <v/>
      </c>
    </row>
    <row r="15">
      <c r="B15" s="19" t="inlineStr">
        <is>
          <t>2) Memorise it, CLEAR your name (select the yellow cell, press Delete), then pass the device on. No scrolling to other sheets — you're on your honour!</t>
        </is>
      </c>
    </row>
    <row r="16"/>
  </sheetData>
  <mergeCells count="4">
    <mergeCell ref="B13:H13"/>
    <mergeCell ref="B8:H11"/>
    <mergeCell ref="B5:H6"/>
    <mergeCell ref="B15:H16"/>
  </mergeCells>
  <dataValidations count="1">
    <dataValidation sqref="C3" showDropDown="0" showInputMessage="0" showErrorMessage="0" allowBlank="1" errorTitle="Unknown player" error="Pick a player from the list (names come from the Setup sheet)." type="list">
      <formula1>=PlayerNames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304A"/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30" customWidth="1" min="5" max="5"/>
    <col width="48" customWidth="1" min="6" max="6"/>
    <col width="14" customWidth="1" min="7" max="7"/>
    <col width="36" customWidth="1" min="8" max="8"/>
  </cols>
  <sheetData>
    <row r="1">
      <c r="A1" s="5" t="inlineStr">
        <is>
          <t>🌙 Night — moderator only</t>
        </is>
      </c>
    </row>
    <row r="2">
      <c r="A2" s="6" t="inlineStr">
        <is>
          <t>Wake the roles in order: Werewolves → Doctor → Seer. Fill in one row per night; the sheet resolves it.</t>
        </is>
      </c>
    </row>
    <row r="3" ht="22" customHeight="1">
      <c r="A3" s="11" t="inlineStr">
        <is>
          <t>Night</t>
        </is>
      </c>
      <c r="B3" s="11" t="inlineStr">
        <is>
          <t>🐺 wolves attack</t>
        </is>
      </c>
      <c r="C3" s="11" t="inlineStr">
        <is>
          <t>💉 doctor protects</t>
        </is>
      </c>
      <c r="D3" s="11" t="inlineStr">
        <is>
          <t>🔮 seer inspects</t>
        </is>
      </c>
      <c r="E3" s="11" t="inlineStr">
        <is>
          <t>🔮 the seer learns…</t>
        </is>
      </c>
      <c r="F3" s="11" t="inlineStr">
        <is>
          <t>🌅 morning announcement</t>
        </is>
      </c>
      <c r="G3" s="11" t="inlineStr">
        <is>
          <t>victim (auto)</t>
        </is>
      </c>
      <c r="H3" s="11" t="inlineStr">
        <is>
          <t>⚠️ checks</t>
        </is>
      </c>
    </row>
    <row r="4">
      <c r="A4" s="20" t="n">
        <v>1</v>
      </c>
      <c r="B4" s="8" t="n"/>
      <c r="C4" s="8" t="n"/>
      <c r="D4" s="8" t="n"/>
      <c r="E4" s="21">
        <f>IF($D4="","",$D4&amp;" → "&amp;IFERROR(IF(VLOOKUP($D4,Setup!$C$14:$F$33,4,FALSE)="Werewolf","🐺 IS A WEREWOLF","✅ not a werewolf"),"?"))</f>
        <v/>
      </c>
      <c r="F4" s="21">
        <f>IF($B4="","",IF($B4=$C4,"🛡️ The wolves attacked "&amp;$B4&amp;" — but the Doctor was there! Nobody died.","☠️ "&amp;$B4&amp;" was killed in the night."))</f>
        <v/>
      </c>
      <c r="G4" s="13">
        <f>IF(OR($B4="",$B4=$C4),"",$B4)</f>
        <v/>
      </c>
      <c r="H4" s="22">
        <f>TRIM(IF(AND($B4&lt;&gt;"",IFERROR(VLOOKUP($B4,'Game Board'!$B$11:$F$30,5,FALSE),999)&lt;2*$A4-1,IFERROR(VLOOKUP($B4,'Game Board'!$B$11:$F$30,5,FALSE),999)&lt;&gt;""),"⚠️ "&amp;$B4&amp;" is already dead. ","")&amp;IF(AND($C4&lt;&gt;"",IFERROR(VLOOKUP($C4,'Game Board'!$B$11:$F$30,5,FALSE),999)&lt;2*$A4-1,IFERROR(VLOOKUP($C4,'Game Board'!$B$11:$F$30,5,FALSE),999)&lt;&gt;""),"⚠️ "&amp;$C4&amp;" is already dead. ","")&amp;IF(AND($D4&lt;&gt;"",IFERROR(VLOOKUP($D4,'Game Board'!$B$11:$F$30,5,FALSE),999)&lt;2*$A4-1,IFERROR(VLOOKUP($D4,'Game Board'!$B$11:$F$30,5,FALSE),999)&lt;&gt;""),"⚠️ "&amp;$D4&amp;" is already dead. ",""))</f>
        <v/>
      </c>
    </row>
    <row r="5">
      <c r="A5" s="20" t="n">
        <v>2</v>
      </c>
      <c r="B5" s="8" t="n"/>
      <c r="C5" s="8" t="n"/>
      <c r="D5" s="8" t="n"/>
      <c r="E5" s="21">
        <f>IF($D5="","",$D5&amp;" → "&amp;IFERROR(IF(VLOOKUP($D5,Setup!$C$14:$F$33,4,FALSE)="Werewolf","🐺 IS A WEREWOLF","✅ not a werewolf"),"?"))</f>
        <v/>
      </c>
      <c r="F5" s="21">
        <f>IF($B5="","",IF($B5=$C5,"🛡️ The wolves attacked "&amp;$B5&amp;" — but the Doctor was there! Nobody died.","☠️ "&amp;$B5&amp;" was killed in the night."))</f>
        <v/>
      </c>
      <c r="G5" s="13">
        <f>IF(OR($B5="",$B5=$C5),"",$B5)</f>
        <v/>
      </c>
      <c r="H5" s="22">
        <f>TRIM(IF(AND($B5&lt;&gt;"",IFERROR(VLOOKUP($B5,'Game Board'!$B$11:$F$30,5,FALSE),999)&lt;2*$A5-1,IFERROR(VLOOKUP($B5,'Game Board'!$B$11:$F$30,5,FALSE),999)&lt;&gt;""),"⚠️ "&amp;$B5&amp;" is already dead. ","")&amp;IF(AND($C5&lt;&gt;"",IFERROR(VLOOKUP($C5,'Game Board'!$B$11:$F$30,5,FALSE),999)&lt;2*$A5-1,IFERROR(VLOOKUP($C5,'Game Board'!$B$11:$F$30,5,FALSE),999)&lt;&gt;""),"⚠️ "&amp;$C5&amp;" is already dead. ","")&amp;IF(AND($D5&lt;&gt;"",IFERROR(VLOOKUP($D5,'Game Board'!$B$11:$F$30,5,FALSE),999)&lt;2*$A5-1,IFERROR(VLOOKUP($D5,'Game Board'!$B$11:$F$30,5,FALSE),999)&lt;&gt;""),"⚠️ "&amp;$D5&amp;" is already dead. ",""))</f>
        <v/>
      </c>
    </row>
    <row r="6">
      <c r="A6" s="20" t="n">
        <v>3</v>
      </c>
      <c r="B6" s="8" t="n"/>
      <c r="C6" s="8" t="n"/>
      <c r="D6" s="8" t="n"/>
      <c r="E6" s="21">
        <f>IF($D6="","",$D6&amp;" → "&amp;IFERROR(IF(VLOOKUP($D6,Setup!$C$14:$F$33,4,FALSE)="Werewolf","🐺 IS A WEREWOLF","✅ not a werewolf"),"?"))</f>
        <v/>
      </c>
      <c r="F6" s="21">
        <f>IF($B6="","",IF($B6=$C6,"🛡️ The wolves attacked "&amp;$B6&amp;" — but the Doctor was there! Nobody died.","☠️ "&amp;$B6&amp;" was killed in the night."))</f>
        <v/>
      </c>
      <c r="G6" s="13">
        <f>IF(OR($B6="",$B6=$C6),"",$B6)</f>
        <v/>
      </c>
      <c r="H6" s="22">
        <f>TRIM(IF(AND($B6&lt;&gt;"",IFERROR(VLOOKUP($B6,'Game Board'!$B$11:$F$30,5,FALSE),999)&lt;2*$A6-1,IFERROR(VLOOKUP($B6,'Game Board'!$B$11:$F$30,5,FALSE),999)&lt;&gt;""),"⚠️ "&amp;$B6&amp;" is already dead. ","")&amp;IF(AND($C6&lt;&gt;"",IFERROR(VLOOKUP($C6,'Game Board'!$B$11:$F$30,5,FALSE),999)&lt;2*$A6-1,IFERROR(VLOOKUP($C6,'Game Board'!$B$11:$F$30,5,FALSE),999)&lt;&gt;""),"⚠️ "&amp;$C6&amp;" is already dead. ","")&amp;IF(AND($D6&lt;&gt;"",IFERROR(VLOOKUP($D6,'Game Board'!$B$11:$F$30,5,FALSE),999)&lt;2*$A6-1,IFERROR(VLOOKUP($D6,'Game Board'!$B$11:$F$30,5,FALSE),999)&lt;&gt;""),"⚠️ "&amp;$D6&amp;" is already dead. ",""))</f>
        <v/>
      </c>
    </row>
    <row r="7">
      <c r="A7" s="20" t="n">
        <v>4</v>
      </c>
      <c r="B7" s="8" t="n"/>
      <c r="C7" s="8" t="n"/>
      <c r="D7" s="8" t="n"/>
      <c r="E7" s="21">
        <f>IF($D7="","",$D7&amp;" → "&amp;IFERROR(IF(VLOOKUP($D7,Setup!$C$14:$F$33,4,FALSE)="Werewolf","🐺 IS A WEREWOLF","✅ not a werewolf"),"?"))</f>
        <v/>
      </c>
      <c r="F7" s="21">
        <f>IF($B7="","",IF($B7=$C7,"🛡️ The wolves attacked "&amp;$B7&amp;" — but the Doctor was there! Nobody died.","☠️ "&amp;$B7&amp;" was killed in the night."))</f>
        <v/>
      </c>
      <c r="G7" s="13">
        <f>IF(OR($B7="",$B7=$C7),"",$B7)</f>
        <v/>
      </c>
      <c r="H7" s="22">
        <f>TRIM(IF(AND($B7&lt;&gt;"",IFERROR(VLOOKUP($B7,'Game Board'!$B$11:$F$30,5,FALSE),999)&lt;2*$A7-1,IFERROR(VLOOKUP($B7,'Game Board'!$B$11:$F$30,5,FALSE),999)&lt;&gt;""),"⚠️ "&amp;$B7&amp;" is already dead. ","")&amp;IF(AND($C7&lt;&gt;"",IFERROR(VLOOKUP($C7,'Game Board'!$B$11:$F$30,5,FALSE),999)&lt;2*$A7-1,IFERROR(VLOOKUP($C7,'Game Board'!$B$11:$F$30,5,FALSE),999)&lt;&gt;""),"⚠️ "&amp;$C7&amp;" is already dead. ","")&amp;IF(AND($D7&lt;&gt;"",IFERROR(VLOOKUP($D7,'Game Board'!$B$11:$F$30,5,FALSE),999)&lt;2*$A7-1,IFERROR(VLOOKUP($D7,'Game Board'!$B$11:$F$30,5,FALSE),999)&lt;&gt;""),"⚠️ "&amp;$D7&amp;" is already dead. ",""))</f>
        <v/>
      </c>
    </row>
    <row r="8">
      <c r="A8" s="20" t="n">
        <v>5</v>
      </c>
      <c r="B8" s="8" t="n"/>
      <c r="C8" s="8" t="n"/>
      <c r="D8" s="8" t="n"/>
      <c r="E8" s="21">
        <f>IF($D8="","",$D8&amp;" → "&amp;IFERROR(IF(VLOOKUP($D8,Setup!$C$14:$F$33,4,FALSE)="Werewolf","🐺 IS A WEREWOLF","✅ not a werewolf"),"?"))</f>
        <v/>
      </c>
      <c r="F8" s="21">
        <f>IF($B8="","",IF($B8=$C8,"🛡️ The wolves attacked "&amp;$B8&amp;" — but the Doctor was there! Nobody died.","☠️ "&amp;$B8&amp;" was killed in the night."))</f>
        <v/>
      </c>
      <c r="G8" s="13">
        <f>IF(OR($B8="",$B8=$C8),"",$B8)</f>
        <v/>
      </c>
      <c r="H8" s="22">
        <f>TRIM(IF(AND($B8&lt;&gt;"",IFERROR(VLOOKUP($B8,'Game Board'!$B$11:$F$30,5,FALSE),999)&lt;2*$A8-1,IFERROR(VLOOKUP($B8,'Game Board'!$B$11:$F$30,5,FALSE),999)&lt;&gt;""),"⚠️ "&amp;$B8&amp;" is already dead. ","")&amp;IF(AND($C8&lt;&gt;"",IFERROR(VLOOKUP($C8,'Game Board'!$B$11:$F$30,5,FALSE),999)&lt;2*$A8-1,IFERROR(VLOOKUP($C8,'Game Board'!$B$11:$F$30,5,FALSE),999)&lt;&gt;""),"⚠️ "&amp;$C8&amp;" is already dead. ","")&amp;IF(AND($D8&lt;&gt;"",IFERROR(VLOOKUP($D8,'Game Board'!$B$11:$F$30,5,FALSE),999)&lt;2*$A8-1,IFERROR(VLOOKUP($D8,'Game Board'!$B$11:$F$30,5,FALSE),999)&lt;&gt;""),"⚠️ "&amp;$D8&amp;" is already dead. ",""))</f>
        <v/>
      </c>
    </row>
    <row r="9">
      <c r="A9" s="20" t="n">
        <v>6</v>
      </c>
      <c r="B9" s="8" t="n"/>
      <c r="C9" s="8" t="n"/>
      <c r="D9" s="8" t="n"/>
      <c r="E9" s="21">
        <f>IF($D9="","",$D9&amp;" → "&amp;IFERROR(IF(VLOOKUP($D9,Setup!$C$14:$F$33,4,FALSE)="Werewolf","🐺 IS A WEREWOLF","✅ not a werewolf"),"?"))</f>
        <v/>
      </c>
      <c r="F9" s="21">
        <f>IF($B9="","",IF($B9=$C9,"🛡️ The wolves attacked "&amp;$B9&amp;" — but the Doctor was there! Nobody died.","☠️ "&amp;$B9&amp;" was killed in the night."))</f>
        <v/>
      </c>
      <c r="G9" s="13">
        <f>IF(OR($B9="",$B9=$C9),"",$B9)</f>
        <v/>
      </c>
      <c r="H9" s="22">
        <f>TRIM(IF(AND($B9&lt;&gt;"",IFERROR(VLOOKUP($B9,'Game Board'!$B$11:$F$30,5,FALSE),999)&lt;2*$A9-1,IFERROR(VLOOKUP($B9,'Game Board'!$B$11:$F$30,5,FALSE),999)&lt;&gt;""),"⚠️ "&amp;$B9&amp;" is already dead. ","")&amp;IF(AND($C9&lt;&gt;"",IFERROR(VLOOKUP($C9,'Game Board'!$B$11:$F$30,5,FALSE),999)&lt;2*$A9-1,IFERROR(VLOOKUP($C9,'Game Board'!$B$11:$F$30,5,FALSE),999)&lt;&gt;""),"⚠️ "&amp;$C9&amp;" is already dead. ","")&amp;IF(AND($D9&lt;&gt;"",IFERROR(VLOOKUP($D9,'Game Board'!$B$11:$F$30,5,FALSE),999)&lt;2*$A9-1,IFERROR(VLOOKUP($D9,'Game Board'!$B$11:$F$30,5,FALSE),999)&lt;&gt;""),"⚠️ "&amp;$D9&amp;" is already dead. ",""))</f>
        <v/>
      </c>
    </row>
    <row r="10">
      <c r="A10" s="20" t="n">
        <v>7</v>
      </c>
      <c r="B10" s="8" t="n"/>
      <c r="C10" s="8" t="n"/>
      <c r="D10" s="8" t="n"/>
      <c r="E10" s="21">
        <f>IF($D10="","",$D10&amp;" → "&amp;IFERROR(IF(VLOOKUP($D10,Setup!$C$14:$F$33,4,FALSE)="Werewolf","🐺 IS A WEREWOLF","✅ not a werewolf"),"?"))</f>
        <v/>
      </c>
      <c r="F10" s="21">
        <f>IF($B10="","",IF($B10=$C10,"🛡️ The wolves attacked "&amp;$B10&amp;" — but the Doctor was there! Nobody died.","☠️ "&amp;$B10&amp;" was killed in the night."))</f>
        <v/>
      </c>
      <c r="G10" s="13">
        <f>IF(OR($B10="",$B10=$C10),"",$B10)</f>
        <v/>
      </c>
      <c r="H10" s="22">
        <f>TRIM(IF(AND($B10&lt;&gt;"",IFERROR(VLOOKUP($B10,'Game Board'!$B$11:$F$30,5,FALSE),999)&lt;2*$A10-1,IFERROR(VLOOKUP($B10,'Game Board'!$B$11:$F$30,5,FALSE),999)&lt;&gt;""),"⚠️ "&amp;$B10&amp;" is already dead. ","")&amp;IF(AND($C10&lt;&gt;"",IFERROR(VLOOKUP($C10,'Game Board'!$B$11:$F$30,5,FALSE),999)&lt;2*$A10-1,IFERROR(VLOOKUP($C10,'Game Board'!$B$11:$F$30,5,FALSE),999)&lt;&gt;""),"⚠️ "&amp;$C10&amp;" is already dead. ","")&amp;IF(AND($D10&lt;&gt;"",IFERROR(VLOOKUP($D10,'Game Board'!$B$11:$F$30,5,FALSE),999)&lt;2*$A10-1,IFERROR(VLOOKUP($D10,'Game Board'!$B$11:$F$30,5,FALSE),999)&lt;&gt;""),"⚠️ "&amp;$D10&amp;" is already dead. ",""))</f>
        <v/>
      </c>
    </row>
    <row r="11">
      <c r="A11" s="20" t="n">
        <v>8</v>
      </c>
      <c r="B11" s="8" t="n"/>
      <c r="C11" s="8" t="n"/>
      <c r="D11" s="8" t="n"/>
      <c r="E11" s="21">
        <f>IF($D11="","",$D11&amp;" → "&amp;IFERROR(IF(VLOOKUP($D11,Setup!$C$14:$F$33,4,FALSE)="Werewolf","🐺 IS A WEREWOLF","✅ not a werewolf"),"?"))</f>
        <v/>
      </c>
      <c r="F11" s="21">
        <f>IF($B11="","",IF($B11=$C11,"🛡️ The wolves attacked "&amp;$B11&amp;" — but the Doctor was there! Nobody died.","☠️ "&amp;$B11&amp;" was killed in the night."))</f>
        <v/>
      </c>
      <c r="G11" s="13">
        <f>IF(OR($B11="",$B11=$C11),"",$B11)</f>
        <v/>
      </c>
      <c r="H11" s="22">
        <f>TRIM(IF(AND($B11&lt;&gt;"",IFERROR(VLOOKUP($B11,'Game Board'!$B$11:$F$30,5,FALSE),999)&lt;2*$A11-1,IFERROR(VLOOKUP($B11,'Game Board'!$B$11:$F$30,5,FALSE),999)&lt;&gt;""),"⚠️ "&amp;$B11&amp;" is already dead. ","")&amp;IF(AND($C11&lt;&gt;"",IFERROR(VLOOKUP($C11,'Game Board'!$B$11:$F$30,5,FALSE),999)&lt;2*$A11-1,IFERROR(VLOOKUP($C11,'Game Board'!$B$11:$F$30,5,FALSE),999)&lt;&gt;""),"⚠️ "&amp;$C11&amp;" is already dead. ","")&amp;IF(AND($D11&lt;&gt;"",IFERROR(VLOOKUP($D11,'Game Board'!$B$11:$F$30,5,FALSE),999)&lt;2*$A11-1,IFERROR(VLOOKUP($D11,'Game Board'!$B$11:$F$30,5,FALSE),999)&lt;&gt;""),"⚠️ "&amp;$D11&amp;" is already dead. ",""))</f>
        <v/>
      </c>
    </row>
    <row r="12">
      <c r="A12" s="20" t="n">
        <v>9</v>
      </c>
      <c r="B12" s="8" t="n"/>
      <c r="C12" s="8" t="n"/>
      <c r="D12" s="8" t="n"/>
      <c r="E12" s="21">
        <f>IF($D12="","",$D12&amp;" → "&amp;IFERROR(IF(VLOOKUP($D12,Setup!$C$14:$F$33,4,FALSE)="Werewolf","🐺 IS A WEREWOLF","✅ not a werewolf"),"?"))</f>
        <v/>
      </c>
      <c r="F12" s="21">
        <f>IF($B12="","",IF($B12=$C12,"🛡️ The wolves attacked "&amp;$B12&amp;" — but the Doctor was there! Nobody died.","☠️ "&amp;$B12&amp;" was killed in the night."))</f>
        <v/>
      </c>
      <c r="G12" s="13">
        <f>IF(OR($B12="",$B12=$C12),"",$B12)</f>
        <v/>
      </c>
      <c r="H12" s="22">
        <f>TRIM(IF(AND($B12&lt;&gt;"",IFERROR(VLOOKUP($B12,'Game Board'!$B$11:$F$30,5,FALSE),999)&lt;2*$A12-1,IFERROR(VLOOKUP($B12,'Game Board'!$B$11:$F$30,5,FALSE),999)&lt;&gt;""),"⚠️ "&amp;$B12&amp;" is already dead. ","")&amp;IF(AND($C12&lt;&gt;"",IFERROR(VLOOKUP($C12,'Game Board'!$B$11:$F$30,5,FALSE),999)&lt;2*$A12-1,IFERROR(VLOOKUP($C12,'Game Board'!$B$11:$F$30,5,FALSE),999)&lt;&gt;""),"⚠️ "&amp;$C12&amp;" is already dead. ","")&amp;IF(AND($D12&lt;&gt;"",IFERROR(VLOOKUP($D12,'Game Board'!$B$11:$F$30,5,FALSE),999)&lt;2*$A12-1,IFERROR(VLOOKUP($D12,'Game Board'!$B$11:$F$30,5,FALSE),999)&lt;&gt;""),"⚠️ "&amp;$D12&amp;" is already dead. ",""))</f>
        <v/>
      </c>
    </row>
    <row r="13">
      <c r="A13" s="20" t="n">
        <v>10</v>
      </c>
      <c r="B13" s="8" t="n"/>
      <c r="C13" s="8" t="n"/>
      <c r="D13" s="8" t="n"/>
      <c r="E13" s="21">
        <f>IF($D13="","",$D13&amp;" → "&amp;IFERROR(IF(VLOOKUP($D13,Setup!$C$14:$F$33,4,FALSE)="Werewolf","🐺 IS A WEREWOLF","✅ not a werewolf"),"?"))</f>
        <v/>
      </c>
      <c r="F13" s="21">
        <f>IF($B13="","",IF($B13=$C13,"🛡️ The wolves attacked "&amp;$B13&amp;" — but the Doctor was there! Nobody died.","☠️ "&amp;$B13&amp;" was killed in the night."))</f>
        <v/>
      </c>
      <c r="G13" s="13">
        <f>IF(OR($B13="",$B13=$C13),"",$B13)</f>
        <v/>
      </c>
      <c r="H13" s="22">
        <f>TRIM(IF(AND($B13&lt;&gt;"",IFERROR(VLOOKUP($B13,'Game Board'!$B$11:$F$30,5,FALSE),999)&lt;2*$A13-1,IFERROR(VLOOKUP($B13,'Game Board'!$B$11:$F$30,5,FALSE),999)&lt;&gt;""),"⚠️ "&amp;$B13&amp;" is already dead. ","")&amp;IF(AND($C13&lt;&gt;"",IFERROR(VLOOKUP($C13,'Game Board'!$B$11:$F$30,5,FALSE),999)&lt;2*$A13-1,IFERROR(VLOOKUP($C13,'Game Board'!$B$11:$F$30,5,FALSE),999)&lt;&gt;""),"⚠️ "&amp;$C13&amp;" is already dead. ","")&amp;IF(AND($D13&lt;&gt;"",IFERROR(VLOOKUP($D13,'Game Board'!$B$11:$F$30,5,FALSE),999)&lt;2*$A13-1,IFERROR(VLOOKUP($D13,'Game Board'!$B$11:$F$30,5,FALSE),999)&lt;&gt;""),"⚠️ "&amp;$D13&amp;" is already dead. ",""))</f>
        <v/>
      </c>
    </row>
  </sheetData>
  <conditionalFormatting sqref="F4:F13">
    <cfRule type="expression" priority="1" dxfId="0">
      <formula>ISNUMBER(SEARCH("killed",$F4))</formula>
    </cfRule>
    <cfRule type="expression" priority="2" dxfId="1">
      <formula>ISNUMBER(SEARCH("Doctor",$F4))</formula>
    </cfRule>
  </conditionalFormatting>
  <dataValidations count="1">
    <dataValidation sqref="B4:D13" showDropDown="0" showInputMessage="0" showErrorMessage="0" allowBlank="1" errorTitle="Unknown player" error="Pick a player from the list (names come from the Setup sheet)." type="list">
      <formula1>=PlayerNames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L5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B1" s="5" t="inlineStr">
        <is>
          <t>☀️ Day — the village votes</t>
        </is>
      </c>
    </row>
    <row r="2">
      <c r="B2" s="6" t="inlineStr">
        <is>
          <t>In each living player's row, enter who they vote to eliminate today. 💀 rows are dead — they don't vote.</t>
        </is>
      </c>
    </row>
    <row r="3" ht="22" customHeight="1">
      <c r="A3" s="11" t="inlineStr"/>
      <c r="B3" s="11" t="inlineStr">
        <is>
          <t>Player</t>
        </is>
      </c>
      <c r="C3" s="11" t="inlineStr">
        <is>
          <t>Day 1</t>
        </is>
      </c>
      <c r="D3" s="11" t="inlineStr">
        <is>
          <t>Day 2</t>
        </is>
      </c>
      <c r="E3" s="11" t="inlineStr">
        <is>
          <t>Day 3</t>
        </is>
      </c>
      <c r="F3" s="11" t="inlineStr">
        <is>
          <t>Day 4</t>
        </is>
      </c>
      <c r="G3" s="11" t="inlineStr">
        <is>
          <t>Day 5</t>
        </is>
      </c>
      <c r="H3" s="11" t="inlineStr">
        <is>
          <t>Day 6</t>
        </is>
      </c>
      <c r="I3" s="11" t="inlineStr">
        <is>
          <t>Day 7</t>
        </is>
      </c>
      <c r="J3" s="11" t="inlineStr">
        <is>
          <t>Day 8</t>
        </is>
      </c>
      <c r="K3" s="11" t="inlineStr">
        <is>
          <t>Day 9</t>
        </is>
      </c>
      <c r="L3" s="11" t="inlineStr">
        <is>
          <t>Day 10</t>
        </is>
      </c>
    </row>
    <row r="4">
      <c r="A4" s="10">
        <f>IF($B4="","",IF(COUNTIFS('Game Board'!$B$11:$B$30,$B4,'Game Board'!$D$11:$D$30,"DEAD")&gt;0,"💀",""))</f>
        <v/>
      </c>
      <c r="B4" s="23">
        <f>IF(Setup!$C14="","",Setup!$C14)</f>
        <v/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10">
        <f>IF($B5="","",IF(COUNTIFS('Game Board'!$B$11:$B$30,$B5,'Game Board'!$D$11:$D$30,"DEAD")&gt;0,"💀",""))</f>
        <v/>
      </c>
      <c r="B5" s="23">
        <f>IF(Setup!$C15="","",Setup!$C15)</f>
        <v/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10">
        <f>IF($B6="","",IF(COUNTIFS('Game Board'!$B$11:$B$30,$B6,'Game Board'!$D$11:$D$30,"DEAD")&gt;0,"💀",""))</f>
        <v/>
      </c>
      <c r="B6" s="23">
        <f>IF(Setup!$C16="","",Setup!$C16)</f>
        <v/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10">
        <f>IF($B7="","",IF(COUNTIFS('Game Board'!$B$11:$B$30,$B7,'Game Board'!$D$11:$D$30,"DEAD")&gt;0,"💀",""))</f>
        <v/>
      </c>
      <c r="B7" s="23">
        <f>IF(Setup!$C17="","",Setup!$C17)</f>
        <v/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10">
        <f>IF($B8="","",IF(COUNTIFS('Game Board'!$B$11:$B$30,$B8,'Game Board'!$D$11:$D$30,"DEAD")&gt;0,"💀",""))</f>
        <v/>
      </c>
      <c r="B8" s="23">
        <f>IF(Setup!$C18="","",Setup!$C18)</f>
        <v/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10">
        <f>IF($B9="","",IF(COUNTIFS('Game Board'!$B$11:$B$30,$B9,'Game Board'!$D$11:$D$30,"DEAD")&gt;0,"💀",""))</f>
        <v/>
      </c>
      <c r="B9" s="23">
        <f>IF(Setup!$C19="","",Setup!$C19)</f>
        <v/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10">
        <f>IF($B10="","",IF(COUNTIFS('Game Board'!$B$11:$B$30,$B10,'Game Board'!$D$11:$D$30,"DEAD")&gt;0,"💀",""))</f>
        <v/>
      </c>
      <c r="B10" s="23">
        <f>IF(Setup!$C20="","",Setup!$C20)</f>
        <v/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10">
        <f>IF($B11="","",IF(COUNTIFS('Game Board'!$B$11:$B$30,$B11,'Game Board'!$D$11:$D$30,"DEAD")&gt;0,"💀",""))</f>
        <v/>
      </c>
      <c r="B11" s="23">
        <f>IF(Setup!$C21="","",Setup!$C21)</f>
        <v/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10">
        <f>IF($B12="","",IF(COUNTIFS('Game Board'!$B$11:$B$30,$B12,'Game Board'!$D$11:$D$30,"DEAD")&gt;0,"💀",""))</f>
        <v/>
      </c>
      <c r="B12" s="23">
        <f>IF(Setup!$C22="","",Setup!$C22)</f>
        <v/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10">
        <f>IF($B13="","",IF(COUNTIFS('Game Board'!$B$11:$B$30,$B13,'Game Board'!$D$11:$D$30,"DEAD")&gt;0,"💀",""))</f>
        <v/>
      </c>
      <c r="B13" s="23">
        <f>IF(Setup!$C23="","",Setup!$C23)</f>
        <v/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10">
        <f>IF($B14="","",IF(COUNTIFS('Game Board'!$B$11:$B$30,$B14,'Game Board'!$D$11:$D$30,"DEAD")&gt;0,"💀",""))</f>
        <v/>
      </c>
      <c r="B14" s="23">
        <f>IF(Setup!$C24="","",Setup!$C24)</f>
        <v/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10">
        <f>IF($B15="","",IF(COUNTIFS('Game Board'!$B$11:$B$30,$B15,'Game Board'!$D$11:$D$30,"DEAD")&gt;0,"💀",""))</f>
        <v/>
      </c>
      <c r="B15" s="23">
        <f>IF(Setup!$C25="","",Setup!$C25)</f>
        <v/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10">
        <f>IF($B16="","",IF(COUNTIFS('Game Board'!$B$11:$B$30,$B16,'Game Board'!$D$11:$D$30,"DEAD")&gt;0,"💀",""))</f>
        <v/>
      </c>
      <c r="B16" s="23">
        <f>IF(Setup!$C26="","",Setup!$C26)</f>
        <v/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10">
        <f>IF($B17="","",IF(COUNTIFS('Game Board'!$B$11:$B$30,$B17,'Game Board'!$D$11:$D$30,"DEAD")&gt;0,"💀",""))</f>
        <v/>
      </c>
      <c r="B17" s="23">
        <f>IF(Setup!$C27="","",Setup!$C27)</f>
        <v/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10">
        <f>IF($B18="","",IF(COUNTIFS('Game Board'!$B$11:$B$30,$B18,'Game Board'!$D$11:$D$30,"DEAD")&gt;0,"💀",""))</f>
        <v/>
      </c>
      <c r="B18" s="23">
        <f>IF(Setup!$C28="","",Setup!$C28)</f>
        <v/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10">
        <f>IF($B19="","",IF(COUNTIFS('Game Board'!$B$11:$B$30,$B19,'Game Board'!$D$11:$D$30,"DEAD")&gt;0,"💀",""))</f>
        <v/>
      </c>
      <c r="B19" s="23">
        <f>IF(Setup!$C29="","",Setup!$C29)</f>
        <v/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10">
        <f>IF($B20="","",IF(COUNTIFS('Game Board'!$B$11:$B$30,$B20,'Game Board'!$D$11:$D$30,"DEAD")&gt;0,"💀",""))</f>
        <v/>
      </c>
      <c r="B20" s="23">
        <f>IF(Setup!$C30="","",Setup!$C30)</f>
        <v/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10">
        <f>IF($B21="","",IF(COUNTIFS('Game Board'!$B$11:$B$30,$B21,'Game Board'!$D$11:$D$30,"DEAD")&gt;0,"💀",""))</f>
        <v/>
      </c>
      <c r="B21" s="23">
        <f>IF(Setup!$C31="","",Setup!$C31)</f>
        <v/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10">
        <f>IF($B22="","",IF(COUNTIFS('Game Board'!$B$11:$B$30,$B22,'Game Board'!$D$11:$D$30,"DEAD")&gt;0,"💀",""))</f>
        <v/>
      </c>
      <c r="B22" s="23">
        <f>IF(Setup!$C32="","",Setup!$C32)</f>
        <v/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10">
        <f>IF($B23="","",IF(COUNTIFS('Game Board'!$B$11:$B$30,$B23,'Game Board'!$D$11:$D$30,"DEAD")&gt;0,"💀",""))</f>
        <v/>
      </c>
      <c r="B23" s="23">
        <f>IF(Setup!$C33="","",Setup!$C33)</f>
        <v/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5">
      <c r="B25" s="24" t="inlineStr">
        <is>
          <t>🗳 votes received</t>
        </is>
      </c>
    </row>
    <row r="26">
      <c r="B26" s="25">
        <f>IF($B4="","",$B4)</f>
        <v/>
      </c>
      <c r="C26" s="13">
        <f>IF($B26="","",COUNTIF(C$4:C$23,$B26))</f>
        <v/>
      </c>
      <c r="D26" s="13">
        <f>IF($B26="","",COUNTIF(D$4:D$23,$B26))</f>
        <v/>
      </c>
      <c r="E26" s="13">
        <f>IF($B26="","",COUNTIF(E$4:E$23,$B26))</f>
        <v/>
      </c>
      <c r="F26" s="13">
        <f>IF($B26="","",COUNTIF(F$4:F$23,$B26))</f>
        <v/>
      </c>
      <c r="G26" s="13">
        <f>IF($B26="","",COUNTIF(G$4:G$23,$B26))</f>
        <v/>
      </c>
      <c r="H26" s="13">
        <f>IF($B26="","",COUNTIF(H$4:H$23,$B26))</f>
        <v/>
      </c>
      <c r="I26" s="13">
        <f>IF($B26="","",COUNTIF(I$4:I$23,$B26))</f>
        <v/>
      </c>
      <c r="J26" s="13">
        <f>IF($B26="","",COUNTIF(J$4:J$23,$B26))</f>
        <v/>
      </c>
      <c r="K26" s="13">
        <f>IF($B26="","",COUNTIF(K$4:K$23,$B26))</f>
        <v/>
      </c>
      <c r="L26" s="13">
        <f>IF($B26="","",COUNTIF(L$4:L$23,$B26))</f>
        <v/>
      </c>
    </row>
    <row r="27">
      <c r="B27" s="25">
        <f>IF($B5="","",$B5)</f>
        <v/>
      </c>
      <c r="C27" s="13">
        <f>IF($B27="","",COUNTIF(C$4:C$23,$B27))</f>
        <v/>
      </c>
      <c r="D27" s="13">
        <f>IF($B27="","",COUNTIF(D$4:D$23,$B27))</f>
        <v/>
      </c>
      <c r="E27" s="13">
        <f>IF($B27="","",COUNTIF(E$4:E$23,$B27))</f>
        <v/>
      </c>
      <c r="F27" s="13">
        <f>IF($B27="","",COUNTIF(F$4:F$23,$B27))</f>
        <v/>
      </c>
      <c r="G27" s="13">
        <f>IF($B27="","",COUNTIF(G$4:G$23,$B27))</f>
        <v/>
      </c>
      <c r="H27" s="13">
        <f>IF($B27="","",COUNTIF(H$4:H$23,$B27))</f>
        <v/>
      </c>
      <c r="I27" s="13">
        <f>IF($B27="","",COUNTIF(I$4:I$23,$B27))</f>
        <v/>
      </c>
      <c r="J27" s="13">
        <f>IF($B27="","",COUNTIF(J$4:J$23,$B27))</f>
        <v/>
      </c>
      <c r="K27" s="13">
        <f>IF($B27="","",COUNTIF(K$4:K$23,$B27))</f>
        <v/>
      </c>
      <c r="L27" s="13">
        <f>IF($B27="","",COUNTIF(L$4:L$23,$B27))</f>
        <v/>
      </c>
    </row>
    <row r="28">
      <c r="B28" s="25">
        <f>IF($B6="","",$B6)</f>
        <v/>
      </c>
      <c r="C28" s="13">
        <f>IF($B28="","",COUNTIF(C$4:C$23,$B28))</f>
        <v/>
      </c>
      <c r="D28" s="13">
        <f>IF($B28="","",COUNTIF(D$4:D$23,$B28))</f>
        <v/>
      </c>
      <c r="E28" s="13">
        <f>IF($B28="","",COUNTIF(E$4:E$23,$B28))</f>
        <v/>
      </c>
      <c r="F28" s="13">
        <f>IF($B28="","",COUNTIF(F$4:F$23,$B28))</f>
        <v/>
      </c>
      <c r="G28" s="13">
        <f>IF($B28="","",COUNTIF(G$4:G$23,$B28))</f>
        <v/>
      </c>
      <c r="H28" s="13">
        <f>IF($B28="","",COUNTIF(H$4:H$23,$B28))</f>
        <v/>
      </c>
      <c r="I28" s="13">
        <f>IF($B28="","",COUNTIF(I$4:I$23,$B28))</f>
        <v/>
      </c>
      <c r="J28" s="13">
        <f>IF($B28="","",COUNTIF(J$4:J$23,$B28))</f>
        <v/>
      </c>
      <c r="K28" s="13">
        <f>IF($B28="","",COUNTIF(K$4:K$23,$B28))</f>
        <v/>
      </c>
      <c r="L28" s="13">
        <f>IF($B28="","",COUNTIF(L$4:L$23,$B28))</f>
        <v/>
      </c>
    </row>
    <row r="29">
      <c r="B29" s="25">
        <f>IF($B7="","",$B7)</f>
        <v/>
      </c>
      <c r="C29" s="13">
        <f>IF($B29="","",COUNTIF(C$4:C$23,$B29))</f>
        <v/>
      </c>
      <c r="D29" s="13">
        <f>IF($B29="","",COUNTIF(D$4:D$23,$B29))</f>
        <v/>
      </c>
      <c r="E29" s="13">
        <f>IF($B29="","",COUNTIF(E$4:E$23,$B29))</f>
        <v/>
      </c>
      <c r="F29" s="13">
        <f>IF($B29="","",COUNTIF(F$4:F$23,$B29))</f>
        <v/>
      </c>
      <c r="G29" s="13">
        <f>IF($B29="","",COUNTIF(G$4:G$23,$B29))</f>
        <v/>
      </c>
      <c r="H29" s="13">
        <f>IF($B29="","",COUNTIF(H$4:H$23,$B29))</f>
        <v/>
      </c>
      <c r="I29" s="13">
        <f>IF($B29="","",COUNTIF(I$4:I$23,$B29))</f>
        <v/>
      </c>
      <c r="J29" s="13">
        <f>IF($B29="","",COUNTIF(J$4:J$23,$B29))</f>
        <v/>
      </c>
      <c r="K29" s="13">
        <f>IF($B29="","",COUNTIF(K$4:K$23,$B29))</f>
        <v/>
      </c>
      <c r="L29" s="13">
        <f>IF($B29="","",COUNTIF(L$4:L$23,$B29))</f>
        <v/>
      </c>
    </row>
    <row r="30">
      <c r="B30" s="25">
        <f>IF($B8="","",$B8)</f>
        <v/>
      </c>
      <c r="C30" s="13">
        <f>IF($B30="","",COUNTIF(C$4:C$23,$B30))</f>
        <v/>
      </c>
      <c r="D30" s="13">
        <f>IF($B30="","",COUNTIF(D$4:D$23,$B30))</f>
        <v/>
      </c>
      <c r="E30" s="13">
        <f>IF($B30="","",COUNTIF(E$4:E$23,$B30))</f>
        <v/>
      </c>
      <c r="F30" s="13">
        <f>IF($B30="","",COUNTIF(F$4:F$23,$B30))</f>
        <v/>
      </c>
      <c r="G30" s="13">
        <f>IF($B30="","",COUNTIF(G$4:G$23,$B30))</f>
        <v/>
      </c>
      <c r="H30" s="13">
        <f>IF($B30="","",COUNTIF(H$4:H$23,$B30))</f>
        <v/>
      </c>
      <c r="I30" s="13">
        <f>IF($B30="","",COUNTIF(I$4:I$23,$B30))</f>
        <v/>
      </c>
      <c r="J30" s="13">
        <f>IF($B30="","",COUNTIF(J$4:J$23,$B30))</f>
        <v/>
      </c>
      <c r="K30" s="13">
        <f>IF($B30="","",COUNTIF(K$4:K$23,$B30))</f>
        <v/>
      </c>
      <c r="L30" s="13">
        <f>IF($B30="","",COUNTIF(L$4:L$23,$B30))</f>
        <v/>
      </c>
    </row>
    <row r="31">
      <c r="B31" s="25">
        <f>IF($B9="","",$B9)</f>
        <v/>
      </c>
      <c r="C31" s="13">
        <f>IF($B31="","",COUNTIF(C$4:C$23,$B31))</f>
        <v/>
      </c>
      <c r="D31" s="13">
        <f>IF($B31="","",COUNTIF(D$4:D$23,$B31))</f>
        <v/>
      </c>
      <c r="E31" s="13">
        <f>IF($B31="","",COUNTIF(E$4:E$23,$B31))</f>
        <v/>
      </c>
      <c r="F31" s="13">
        <f>IF($B31="","",COUNTIF(F$4:F$23,$B31))</f>
        <v/>
      </c>
      <c r="G31" s="13">
        <f>IF($B31="","",COUNTIF(G$4:G$23,$B31))</f>
        <v/>
      </c>
      <c r="H31" s="13">
        <f>IF($B31="","",COUNTIF(H$4:H$23,$B31))</f>
        <v/>
      </c>
      <c r="I31" s="13">
        <f>IF($B31="","",COUNTIF(I$4:I$23,$B31))</f>
        <v/>
      </c>
      <c r="J31" s="13">
        <f>IF($B31="","",COUNTIF(J$4:J$23,$B31))</f>
        <v/>
      </c>
      <c r="K31" s="13">
        <f>IF($B31="","",COUNTIF(K$4:K$23,$B31))</f>
        <v/>
      </c>
      <c r="L31" s="13">
        <f>IF($B31="","",COUNTIF(L$4:L$23,$B31))</f>
        <v/>
      </c>
    </row>
    <row r="32">
      <c r="B32" s="25">
        <f>IF($B10="","",$B10)</f>
        <v/>
      </c>
      <c r="C32" s="13">
        <f>IF($B32="","",COUNTIF(C$4:C$23,$B32))</f>
        <v/>
      </c>
      <c r="D32" s="13">
        <f>IF($B32="","",COUNTIF(D$4:D$23,$B32))</f>
        <v/>
      </c>
      <c r="E32" s="13">
        <f>IF($B32="","",COUNTIF(E$4:E$23,$B32))</f>
        <v/>
      </c>
      <c r="F32" s="13">
        <f>IF($B32="","",COUNTIF(F$4:F$23,$B32))</f>
        <v/>
      </c>
      <c r="G32" s="13">
        <f>IF($B32="","",COUNTIF(G$4:G$23,$B32))</f>
        <v/>
      </c>
      <c r="H32" s="13">
        <f>IF($B32="","",COUNTIF(H$4:H$23,$B32))</f>
        <v/>
      </c>
      <c r="I32" s="13">
        <f>IF($B32="","",COUNTIF(I$4:I$23,$B32))</f>
        <v/>
      </c>
      <c r="J32" s="13">
        <f>IF($B32="","",COUNTIF(J$4:J$23,$B32))</f>
        <v/>
      </c>
      <c r="K32" s="13">
        <f>IF($B32="","",COUNTIF(K$4:K$23,$B32))</f>
        <v/>
      </c>
      <c r="L32" s="13">
        <f>IF($B32="","",COUNTIF(L$4:L$23,$B32))</f>
        <v/>
      </c>
    </row>
    <row r="33">
      <c r="B33" s="25">
        <f>IF($B11="","",$B11)</f>
        <v/>
      </c>
      <c r="C33" s="13">
        <f>IF($B33="","",COUNTIF(C$4:C$23,$B33))</f>
        <v/>
      </c>
      <c r="D33" s="13">
        <f>IF($B33="","",COUNTIF(D$4:D$23,$B33))</f>
        <v/>
      </c>
      <c r="E33" s="13">
        <f>IF($B33="","",COUNTIF(E$4:E$23,$B33))</f>
        <v/>
      </c>
      <c r="F33" s="13">
        <f>IF($B33="","",COUNTIF(F$4:F$23,$B33))</f>
        <v/>
      </c>
      <c r="G33" s="13">
        <f>IF($B33="","",COUNTIF(G$4:G$23,$B33))</f>
        <v/>
      </c>
      <c r="H33" s="13">
        <f>IF($B33="","",COUNTIF(H$4:H$23,$B33))</f>
        <v/>
      </c>
      <c r="I33" s="13">
        <f>IF($B33="","",COUNTIF(I$4:I$23,$B33))</f>
        <v/>
      </c>
      <c r="J33" s="13">
        <f>IF($B33="","",COUNTIF(J$4:J$23,$B33))</f>
        <v/>
      </c>
      <c r="K33" s="13">
        <f>IF($B33="","",COUNTIF(K$4:K$23,$B33))</f>
        <v/>
      </c>
      <c r="L33" s="13">
        <f>IF($B33="","",COUNTIF(L$4:L$23,$B33))</f>
        <v/>
      </c>
    </row>
    <row r="34">
      <c r="B34" s="25">
        <f>IF($B12="","",$B12)</f>
        <v/>
      </c>
      <c r="C34" s="13">
        <f>IF($B34="","",COUNTIF(C$4:C$23,$B34))</f>
        <v/>
      </c>
      <c r="D34" s="13">
        <f>IF($B34="","",COUNTIF(D$4:D$23,$B34))</f>
        <v/>
      </c>
      <c r="E34" s="13">
        <f>IF($B34="","",COUNTIF(E$4:E$23,$B34))</f>
        <v/>
      </c>
      <c r="F34" s="13">
        <f>IF($B34="","",COUNTIF(F$4:F$23,$B34))</f>
        <v/>
      </c>
      <c r="G34" s="13">
        <f>IF($B34="","",COUNTIF(G$4:G$23,$B34))</f>
        <v/>
      </c>
      <c r="H34" s="13">
        <f>IF($B34="","",COUNTIF(H$4:H$23,$B34))</f>
        <v/>
      </c>
      <c r="I34" s="13">
        <f>IF($B34="","",COUNTIF(I$4:I$23,$B34))</f>
        <v/>
      </c>
      <c r="J34" s="13">
        <f>IF($B34="","",COUNTIF(J$4:J$23,$B34))</f>
        <v/>
      </c>
      <c r="K34" s="13">
        <f>IF($B34="","",COUNTIF(K$4:K$23,$B34))</f>
        <v/>
      </c>
      <c r="L34" s="13">
        <f>IF($B34="","",COUNTIF(L$4:L$23,$B34))</f>
        <v/>
      </c>
    </row>
    <row r="35">
      <c r="B35" s="25">
        <f>IF($B13="","",$B13)</f>
        <v/>
      </c>
      <c r="C35" s="13">
        <f>IF($B35="","",COUNTIF(C$4:C$23,$B35))</f>
        <v/>
      </c>
      <c r="D35" s="13">
        <f>IF($B35="","",COUNTIF(D$4:D$23,$B35))</f>
        <v/>
      </c>
      <c r="E35" s="13">
        <f>IF($B35="","",COUNTIF(E$4:E$23,$B35))</f>
        <v/>
      </c>
      <c r="F35" s="13">
        <f>IF($B35="","",COUNTIF(F$4:F$23,$B35))</f>
        <v/>
      </c>
      <c r="G35" s="13">
        <f>IF($B35="","",COUNTIF(G$4:G$23,$B35))</f>
        <v/>
      </c>
      <c r="H35" s="13">
        <f>IF($B35="","",COUNTIF(H$4:H$23,$B35))</f>
        <v/>
      </c>
      <c r="I35" s="13">
        <f>IF($B35="","",COUNTIF(I$4:I$23,$B35))</f>
        <v/>
      </c>
      <c r="J35" s="13">
        <f>IF($B35="","",COUNTIF(J$4:J$23,$B35))</f>
        <v/>
      </c>
      <c r="K35" s="13">
        <f>IF($B35="","",COUNTIF(K$4:K$23,$B35))</f>
        <v/>
      </c>
      <c r="L35" s="13">
        <f>IF($B35="","",COUNTIF(L$4:L$23,$B35))</f>
        <v/>
      </c>
    </row>
    <row r="36">
      <c r="B36" s="25">
        <f>IF($B14="","",$B14)</f>
        <v/>
      </c>
      <c r="C36" s="13">
        <f>IF($B36="","",COUNTIF(C$4:C$23,$B36))</f>
        <v/>
      </c>
      <c r="D36" s="13">
        <f>IF($B36="","",COUNTIF(D$4:D$23,$B36))</f>
        <v/>
      </c>
      <c r="E36" s="13">
        <f>IF($B36="","",COUNTIF(E$4:E$23,$B36))</f>
        <v/>
      </c>
      <c r="F36" s="13">
        <f>IF($B36="","",COUNTIF(F$4:F$23,$B36))</f>
        <v/>
      </c>
      <c r="G36" s="13">
        <f>IF($B36="","",COUNTIF(G$4:G$23,$B36))</f>
        <v/>
      </c>
      <c r="H36" s="13">
        <f>IF($B36="","",COUNTIF(H$4:H$23,$B36))</f>
        <v/>
      </c>
      <c r="I36" s="13">
        <f>IF($B36="","",COUNTIF(I$4:I$23,$B36))</f>
        <v/>
      </c>
      <c r="J36" s="13">
        <f>IF($B36="","",COUNTIF(J$4:J$23,$B36))</f>
        <v/>
      </c>
      <c r="K36" s="13">
        <f>IF($B36="","",COUNTIF(K$4:K$23,$B36))</f>
        <v/>
      </c>
      <c r="L36" s="13">
        <f>IF($B36="","",COUNTIF(L$4:L$23,$B36))</f>
        <v/>
      </c>
    </row>
    <row r="37">
      <c r="B37" s="25">
        <f>IF($B15="","",$B15)</f>
        <v/>
      </c>
      <c r="C37" s="13">
        <f>IF($B37="","",COUNTIF(C$4:C$23,$B37))</f>
        <v/>
      </c>
      <c r="D37" s="13">
        <f>IF($B37="","",COUNTIF(D$4:D$23,$B37))</f>
        <v/>
      </c>
      <c r="E37" s="13">
        <f>IF($B37="","",COUNTIF(E$4:E$23,$B37))</f>
        <v/>
      </c>
      <c r="F37" s="13">
        <f>IF($B37="","",COUNTIF(F$4:F$23,$B37))</f>
        <v/>
      </c>
      <c r="G37" s="13">
        <f>IF($B37="","",COUNTIF(G$4:G$23,$B37))</f>
        <v/>
      </c>
      <c r="H37" s="13">
        <f>IF($B37="","",COUNTIF(H$4:H$23,$B37))</f>
        <v/>
      </c>
      <c r="I37" s="13">
        <f>IF($B37="","",COUNTIF(I$4:I$23,$B37))</f>
        <v/>
      </c>
      <c r="J37" s="13">
        <f>IF($B37="","",COUNTIF(J$4:J$23,$B37))</f>
        <v/>
      </c>
      <c r="K37" s="13">
        <f>IF($B37="","",COUNTIF(K$4:K$23,$B37))</f>
        <v/>
      </c>
      <c r="L37" s="13">
        <f>IF($B37="","",COUNTIF(L$4:L$23,$B37))</f>
        <v/>
      </c>
    </row>
    <row r="38">
      <c r="B38" s="25">
        <f>IF($B16="","",$B16)</f>
        <v/>
      </c>
      <c r="C38" s="13">
        <f>IF($B38="","",COUNTIF(C$4:C$23,$B38))</f>
        <v/>
      </c>
      <c r="D38" s="13">
        <f>IF($B38="","",COUNTIF(D$4:D$23,$B38))</f>
        <v/>
      </c>
      <c r="E38" s="13">
        <f>IF($B38="","",COUNTIF(E$4:E$23,$B38))</f>
        <v/>
      </c>
      <c r="F38" s="13">
        <f>IF($B38="","",COUNTIF(F$4:F$23,$B38))</f>
        <v/>
      </c>
      <c r="G38" s="13">
        <f>IF($B38="","",COUNTIF(G$4:G$23,$B38))</f>
        <v/>
      </c>
      <c r="H38" s="13">
        <f>IF($B38="","",COUNTIF(H$4:H$23,$B38))</f>
        <v/>
      </c>
      <c r="I38" s="13">
        <f>IF($B38="","",COUNTIF(I$4:I$23,$B38))</f>
        <v/>
      </c>
      <c r="J38" s="13">
        <f>IF($B38="","",COUNTIF(J$4:J$23,$B38))</f>
        <v/>
      </c>
      <c r="K38" s="13">
        <f>IF($B38="","",COUNTIF(K$4:K$23,$B38))</f>
        <v/>
      </c>
      <c r="L38" s="13">
        <f>IF($B38="","",COUNTIF(L$4:L$23,$B38))</f>
        <v/>
      </c>
    </row>
    <row r="39">
      <c r="B39" s="25">
        <f>IF($B17="","",$B17)</f>
        <v/>
      </c>
      <c r="C39" s="13">
        <f>IF($B39="","",COUNTIF(C$4:C$23,$B39))</f>
        <v/>
      </c>
      <c r="D39" s="13">
        <f>IF($B39="","",COUNTIF(D$4:D$23,$B39))</f>
        <v/>
      </c>
      <c r="E39" s="13">
        <f>IF($B39="","",COUNTIF(E$4:E$23,$B39))</f>
        <v/>
      </c>
      <c r="F39" s="13">
        <f>IF($B39="","",COUNTIF(F$4:F$23,$B39))</f>
        <v/>
      </c>
      <c r="G39" s="13">
        <f>IF($B39="","",COUNTIF(G$4:G$23,$B39))</f>
        <v/>
      </c>
      <c r="H39" s="13">
        <f>IF($B39="","",COUNTIF(H$4:H$23,$B39))</f>
        <v/>
      </c>
      <c r="I39" s="13">
        <f>IF($B39="","",COUNTIF(I$4:I$23,$B39))</f>
        <v/>
      </c>
      <c r="J39" s="13">
        <f>IF($B39="","",COUNTIF(J$4:J$23,$B39))</f>
        <v/>
      </c>
      <c r="K39" s="13">
        <f>IF($B39="","",COUNTIF(K$4:K$23,$B39))</f>
        <v/>
      </c>
      <c r="L39" s="13">
        <f>IF($B39="","",COUNTIF(L$4:L$23,$B39))</f>
        <v/>
      </c>
    </row>
    <row r="40">
      <c r="B40" s="25">
        <f>IF($B18="","",$B18)</f>
        <v/>
      </c>
      <c r="C40" s="13">
        <f>IF($B40="","",COUNTIF(C$4:C$23,$B40))</f>
        <v/>
      </c>
      <c r="D40" s="13">
        <f>IF($B40="","",COUNTIF(D$4:D$23,$B40))</f>
        <v/>
      </c>
      <c r="E40" s="13">
        <f>IF($B40="","",COUNTIF(E$4:E$23,$B40))</f>
        <v/>
      </c>
      <c r="F40" s="13">
        <f>IF($B40="","",COUNTIF(F$4:F$23,$B40))</f>
        <v/>
      </c>
      <c r="G40" s="13">
        <f>IF($B40="","",COUNTIF(G$4:G$23,$B40))</f>
        <v/>
      </c>
      <c r="H40" s="13">
        <f>IF($B40="","",COUNTIF(H$4:H$23,$B40))</f>
        <v/>
      </c>
      <c r="I40" s="13">
        <f>IF($B40="","",COUNTIF(I$4:I$23,$B40))</f>
        <v/>
      </c>
      <c r="J40" s="13">
        <f>IF($B40="","",COUNTIF(J$4:J$23,$B40))</f>
        <v/>
      </c>
      <c r="K40" s="13">
        <f>IF($B40="","",COUNTIF(K$4:K$23,$B40))</f>
        <v/>
      </c>
      <c r="L40" s="13">
        <f>IF($B40="","",COUNTIF(L$4:L$23,$B40))</f>
        <v/>
      </c>
    </row>
    <row r="41">
      <c r="B41" s="25">
        <f>IF($B19="","",$B19)</f>
        <v/>
      </c>
      <c r="C41" s="13">
        <f>IF($B41="","",COUNTIF(C$4:C$23,$B41))</f>
        <v/>
      </c>
      <c r="D41" s="13">
        <f>IF($B41="","",COUNTIF(D$4:D$23,$B41))</f>
        <v/>
      </c>
      <c r="E41" s="13">
        <f>IF($B41="","",COUNTIF(E$4:E$23,$B41))</f>
        <v/>
      </c>
      <c r="F41" s="13">
        <f>IF($B41="","",COUNTIF(F$4:F$23,$B41))</f>
        <v/>
      </c>
      <c r="G41" s="13">
        <f>IF($B41="","",COUNTIF(G$4:G$23,$B41))</f>
        <v/>
      </c>
      <c r="H41" s="13">
        <f>IF($B41="","",COUNTIF(H$4:H$23,$B41))</f>
        <v/>
      </c>
      <c r="I41" s="13">
        <f>IF($B41="","",COUNTIF(I$4:I$23,$B41))</f>
        <v/>
      </c>
      <c r="J41" s="13">
        <f>IF($B41="","",COUNTIF(J$4:J$23,$B41))</f>
        <v/>
      </c>
      <c r="K41" s="13">
        <f>IF($B41="","",COUNTIF(K$4:K$23,$B41))</f>
        <v/>
      </c>
      <c r="L41" s="13">
        <f>IF($B41="","",COUNTIF(L$4:L$23,$B41))</f>
        <v/>
      </c>
    </row>
    <row r="42">
      <c r="B42" s="25">
        <f>IF($B20="","",$B20)</f>
        <v/>
      </c>
      <c r="C42" s="13">
        <f>IF($B42="","",COUNTIF(C$4:C$23,$B42))</f>
        <v/>
      </c>
      <c r="D42" s="13">
        <f>IF($B42="","",COUNTIF(D$4:D$23,$B42))</f>
        <v/>
      </c>
      <c r="E42" s="13">
        <f>IF($B42="","",COUNTIF(E$4:E$23,$B42))</f>
        <v/>
      </c>
      <c r="F42" s="13">
        <f>IF($B42="","",COUNTIF(F$4:F$23,$B42))</f>
        <v/>
      </c>
      <c r="G42" s="13">
        <f>IF($B42="","",COUNTIF(G$4:G$23,$B42))</f>
        <v/>
      </c>
      <c r="H42" s="13">
        <f>IF($B42="","",COUNTIF(H$4:H$23,$B42))</f>
        <v/>
      </c>
      <c r="I42" s="13">
        <f>IF($B42="","",COUNTIF(I$4:I$23,$B42))</f>
        <v/>
      </c>
      <c r="J42" s="13">
        <f>IF($B42="","",COUNTIF(J$4:J$23,$B42))</f>
        <v/>
      </c>
      <c r="K42" s="13">
        <f>IF($B42="","",COUNTIF(K$4:K$23,$B42))</f>
        <v/>
      </c>
      <c r="L42" s="13">
        <f>IF($B42="","",COUNTIF(L$4:L$23,$B42))</f>
        <v/>
      </c>
    </row>
    <row r="43">
      <c r="B43" s="25">
        <f>IF($B21="","",$B21)</f>
        <v/>
      </c>
      <c r="C43" s="13">
        <f>IF($B43="","",COUNTIF(C$4:C$23,$B43))</f>
        <v/>
      </c>
      <c r="D43" s="13">
        <f>IF($B43="","",COUNTIF(D$4:D$23,$B43))</f>
        <v/>
      </c>
      <c r="E43" s="13">
        <f>IF($B43="","",COUNTIF(E$4:E$23,$B43))</f>
        <v/>
      </c>
      <c r="F43" s="13">
        <f>IF($B43="","",COUNTIF(F$4:F$23,$B43))</f>
        <v/>
      </c>
      <c r="G43" s="13">
        <f>IF($B43="","",COUNTIF(G$4:G$23,$B43))</f>
        <v/>
      </c>
      <c r="H43" s="13">
        <f>IF($B43="","",COUNTIF(H$4:H$23,$B43))</f>
        <v/>
      </c>
      <c r="I43" s="13">
        <f>IF($B43="","",COUNTIF(I$4:I$23,$B43))</f>
        <v/>
      </c>
      <c r="J43" s="13">
        <f>IF($B43="","",COUNTIF(J$4:J$23,$B43))</f>
        <v/>
      </c>
      <c r="K43" s="13">
        <f>IF($B43="","",COUNTIF(K$4:K$23,$B43))</f>
        <v/>
      </c>
      <c r="L43" s="13">
        <f>IF($B43="","",COUNTIF(L$4:L$23,$B43))</f>
        <v/>
      </c>
    </row>
    <row r="44">
      <c r="B44" s="25">
        <f>IF($B22="","",$B22)</f>
        <v/>
      </c>
      <c r="C44" s="13">
        <f>IF($B44="","",COUNTIF(C$4:C$23,$B44))</f>
        <v/>
      </c>
      <c r="D44" s="13">
        <f>IF($B44="","",COUNTIF(D$4:D$23,$B44))</f>
        <v/>
      </c>
      <c r="E44" s="13">
        <f>IF($B44="","",COUNTIF(E$4:E$23,$B44))</f>
        <v/>
      </c>
      <c r="F44" s="13">
        <f>IF($B44="","",COUNTIF(F$4:F$23,$B44))</f>
        <v/>
      </c>
      <c r="G44" s="13">
        <f>IF($B44="","",COUNTIF(G$4:G$23,$B44))</f>
        <v/>
      </c>
      <c r="H44" s="13">
        <f>IF($B44="","",COUNTIF(H$4:H$23,$B44))</f>
        <v/>
      </c>
      <c r="I44" s="13">
        <f>IF($B44="","",COUNTIF(I$4:I$23,$B44))</f>
        <v/>
      </c>
      <c r="J44" s="13">
        <f>IF($B44="","",COUNTIF(J$4:J$23,$B44))</f>
        <v/>
      </c>
      <c r="K44" s="13">
        <f>IF($B44="","",COUNTIF(K$4:K$23,$B44))</f>
        <v/>
      </c>
      <c r="L44" s="13">
        <f>IF($B44="","",COUNTIF(L$4:L$23,$B44))</f>
        <v/>
      </c>
    </row>
    <row r="45">
      <c r="B45" s="25">
        <f>IF($B23="","",$B23)</f>
        <v/>
      </c>
      <c r="C45" s="13">
        <f>IF($B45="","",COUNTIF(C$4:C$23,$B45))</f>
        <v/>
      </c>
      <c r="D45" s="13">
        <f>IF($B45="","",COUNTIF(D$4:D$23,$B45))</f>
        <v/>
      </c>
      <c r="E45" s="13">
        <f>IF($B45="","",COUNTIF(E$4:E$23,$B45))</f>
        <v/>
      </c>
      <c r="F45" s="13">
        <f>IF($B45="","",COUNTIF(F$4:F$23,$B45))</f>
        <v/>
      </c>
      <c r="G45" s="13">
        <f>IF($B45="","",COUNTIF(G$4:G$23,$B45))</f>
        <v/>
      </c>
      <c r="H45" s="13">
        <f>IF($B45="","",COUNTIF(H$4:H$23,$B45))</f>
        <v/>
      </c>
      <c r="I45" s="13">
        <f>IF($B45="","",COUNTIF(I$4:I$23,$B45))</f>
        <v/>
      </c>
      <c r="J45" s="13">
        <f>IF($B45="","",COUNTIF(J$4:J$23,$B45))</f>
        <v/>
      </c>
      <c r="K45" s="13">
        <f>IF($B45="","",COUNTIF(K$4:K$23,$B45))</f>
        <v/>
      </c>
      <c r="L45" s="13">
        <f>IF($B45="","",COUNTIF(L$4:L$23,$B45))</f>
        <v/>
      </c>
    </row>
    <row r="47">
      <c r="B47" s="26" t="inlineStr">
        <is>
          <t>Most votes</t>
        </is>
      </c>
      <c r="C47" s="10">
        <f>IF(COUNT(C$26:C$45)=0,"",IF(MAX(C$26:C$45)=0,"",INDEX($B$26:$B$45,MATCH(MAX(C$26:C$45),C$26:C$45,0))))</f>
        <v/>
      </c>
      <c r="D47" s="10">
        <f>IF(COUNT(D$26:D$45)=0,"",IF(MAX(D$26:D$45)=0,"",INDEX($B$26:$B$45,MATCH(MAX(D$26:D$45),D$26:D$45,0))))</f>
        <v/>
      </c>
      <c r="E47" s="10">
        <f>IF(COUNT(E$26:E$45)=0,"",IF(MAX(E$26:E$45)=0,"",INDEX($B$26:$B$45,MATCH(MAX(E$26:E$45),E$26:E$45,0))))</f>
        <v/>
      </c>
      <c r="F47" s="10">
        <f>IF(COUNT(F$26:F$45)=0,"",IF(MAX(F$26:F$45)=0,"",INDEX($B$26:$B$45,MATCH(MAX(F$26:F$45),F$26:F$45,0))))</f>
        <v/>
      </c>
      <c r="G47" s="10">
        <f>IF(COUNT(G$26:G$45)=0,"",IF(MAX(G$26:G$45)=0,"",INDEX($B$26:$B$45,MATCH(MAX(G$26:G$45),G$26:G$45,0))))</f>
        <v/>
      </c>
      <c r="H47" s="10">
        <f>IF(COUNT(H$26:H$45)=0,"",IF(MAX(H$26:H$45)=0,"",INDEX($B$26:$B$45,MATCH(MAX(H$26:H$45),H$26:H$45,0))))</f>
        <v/>
      </c>
      <c r="I47" s="10">
        <f>IF(COUNT(I$26:I$45)=0,"",IF(MAX(I$26:I$45)=0,"",INDEX($B$26:$B$45,MATCH(MAX(I$26:I$45),I$26:I$45,0))))</f>
        <v/>
      </c>
      <c r="J47" s="10">
        <f>IF(COUNT(J$26:J$45)=0,"",IF(MAX(J$26:J$45)=0,"",INDEX($B$26:$B$45,MATCH(MAX(J$26:J$45),J$26:J$45,0))))</f>
        <v/>
      </c>
      <c r="K47" s="10">
        <f>IF(COUNT(K$26:K$45)=0,"",IF(MAX(K$26:K$45)=0,"",INDEX($B$26:$B$45,MATCH(MAX(K$26:K$45),K$26:K$45,0))))</f>
        <v/>
      </c>
      <c r="L47" s="10">
        <f>IF(COUNT(L$26:L$45)=0,"",IF(MAX(L$26:L$45)=0,"",INDEX($B$26:$B$45,MATCH(MAX(L$26:L$45),L$26:L$45,0))))</f>
        <v/>
      </c>
    </row>
    <row r="48">
      <c r="B48" s="26" t="inlineStr">
        <is>
          <t>Tie?</t>
        </is>
      </c>
      <c r="C48" s="10">
        <f>IF(C$47="","",IF(COUNTIF(C$26:C$45,MAX(C$26:C$45))&gt;1,"⚠️ TIE — revote or nobody",""))</f>
        <v/>
      </c>
      <c r="D48" s="10">
        <f>IF(D$47="","",IF(COUNTIF(D$26:D$45,MAX(D$26:D$45))&gt;1,"⚠️ TIE — revote or nobody",""))</f>
        <v/>
      </c>
      <c r="E48" s="10">
        <f>IF(E$47="","",IF(COUNTIF(E$26:E$45,MAX(E$26:E$45))&gt;1,"⚠️ TIE — revote or nobody",""))</f>
        <v/>
      </c>
      <c r="F48" s="10">
        <f>IF(F$47="","",IF(COUNTIF(F$26:F$45,MAX(F$26:F$45))&gt;1,"⚠️ TIE — revote or nobody",""))</f>
        <v/>
      </c>
      <c r="G48" s="10">
        <f>IF(G$47="","",IF(COUNTIF(G$26:G$45,MAX(G$26:G$45))&gt;1,"⚠️ TIE — revote or nobody",""))</f>
        <v/>
      </c>
      <c r="H48" s="10">
        <f>IF(H$47="","",IF(COUNTIF(H$26:H$45,MAX(H$26:H$45))&gt;1,"⚠️ TIE — revote or nobody",""))</f>
        <v/>
      </c>
      <c r="I48" s="10">
        <f>IF(I$47="","",IF(COUNTIF(I$26:I$45,MAX(I$26:I$45))&gt;1,"⚠️ TIE — revote or nobody",""))</f>
        <v/>
      </c>
      <c r="J48" s="10">
        <f>IF(J$47="","",IF(COUNTIF(J$26:J$45,MAX(J$26:J$45))&gt;1,"⚠️ TIE — revote or nobody",""))</f>
        <v/>
      </c>
      <c r="K48" s="10">
        <f>IF(K$47="","",IF(COUNTIF(K$26:K$45,MAX(K$26:K$45))&gt;1,"⚠️ TIE — revote or nobody",""))</f>
        <v/>
      </c>
      <c r="L48" s="10">
        <f>IF(L$47="","",IF(COUNTIF(L$26:L$45,MAX(L$26:L$45))&gt;1,"⚠️ TIE — revote or nobody",""))</f>
        <v/>
      </c>
    </row>
    <row r="49">
      <c r="B49" s="26" t="inlineStr">
        <is>
          <t>Voted out (auto)</t>
        </is>
      </c>
      <c r="C49" s="10">
        <f>IF(C$47="","",IF(C$48&lt;&gt;"","",C$47))</f>
        <v/>
      </c>
      <c r="D49" s="10">
        <f>IF(D$47="","",IF(D$48&lt;&gt;"","",D$47))</f>
        <v/>
      </c>
      <c r="E49" s="10">
        <f>IF(E$47="","",IF(E$48&lt;&gt;"","",E$47))</f>
        <v/>
      </c>
      <c r="F49" s="10">
        <f>IF(F$47="","",IF(F$48&lt;&gt;"","",F$47))</f>
        <v/>
      </c>
      <c r="G49" s="10">
        <f>IF(G$47="","",IF(G$48&lt;&gt;"","",G$47))</f>
        <v/>
      </c>
      <c r="H49" s="10">
        <f>IF(H$47="","",IF(H$48&lt;&gt;"","",H$47))</f>
        <v/>
      </c>
      <c r="I49" s="10">
        <f>IF(I$47="","",IF(I$48&lt;&gt;"","",I$47))</f>
        <v/>
      </c>
      <c r="J49" s="10">
        <f>IF(J$47="","",IF(J$48&lt;&gt;"","",J$47))</f>
        <v/>
      </c>
      <c r="K49" s="10">
        <f>IF(K$47="","",IF(K$48&lt;&gt;"","",K$47))</f>
        <v/>
      </c>
      <c r="L49" s="10">
        <f>IF(L$47="","",IF(L$48&lt;&gt;"","",L$47))</f>
        <v/>
      </c>
    </row>
    <row r="50">
      <c r="B50" s="26" t="inlineStr">
        <is>
          <t>Moderator override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B51" s="26" t="inlineStr">
        <is>
          <t>☠️ ELIMINATED TODAY</t>
        </is>
      </c>
      <c r="C51" s="14">
        <f>IF(C$50&lt;&gt;"",C$50,C$49)</f>
        <v/>
      </c>
      <c r="D51" s="14">
        <f>IF(D$50&lt;&gt;"",D$50,D$49)</f>
        <v/>
      </c>
      <c r="E51" s="14">
        <f>IF(E$50&lt;&gt;"",E$50,E$49)</f>
        <v/>
      </c>
      <c r="F51" s="14">
        <f>IF(F$50&lt;&gt;"",F$50,F$49)</f>
        <v/>
      </c>
      <c r="G51" s="14">
        <f>IF(G$50&lt;&gt;"",G$50,G$49)</f>
        <v/>
      </c>
      <c r="H51" s="14">
        <f>IF(H$50&lt;&gt;"",H$50,H$49)</f>
        <v/>
      </c>
      <c r="I51" s="14">
        <f>IF(I$50&lt;&gt;"",I$50,I$49)</f>
        <v/>
      </c>
      <c r="J51" s="14">
        <f>IF(J$50&lt;&gt;"",J$50,J$49)</f>
        <v/>
      </c>
      <c r="K51" s="14">
        <f>IF(K$50&lt;&gt;"",K$50,K$49)</f>
        <v/>
      </c>
      <c r="L51" s="14">
        <f>IF(L$50&lt;&gt;"",L$50,L$49)</f>
        <v/>
      </c>
    </row>
  </sheetData>
  <conditionalFormatting sqref="A4:L23">
    <cfRule type="expression" priority="1" dxfId="2">
      <formula>$A4="💀"</formula>
    </cfRule>
  </conditionalFormatting>
  <conditionalFormatting sqref="C48:L48">
    <cfRule type="expression" priority="2" dxfId="3">
      <formula>C48&lt;&gt;""</formula>
    </cfRule>
  </conditionalFormatting>
  <conditionalFormatting sqref="C51:L51">
    <cfRule type="expression" priority="3" dxfId="0">
      <formula>C51&lt;&gt;""</formula>
    </cfRule>
  </conditionalFormatting>
  <conditionalFormatting sqref="C26:L45">
    <cfRule type="expression" priority="4" dxfId="4">
      <formula>AND($B26&lt;&gt;"",C26&lt;&gt;"",C26&gt;0,C26=MAX(C$26:C$45))</formula>
    </cfRule>
  </conditionalFormatting>
  <dataValidations count="1">
    <dataValidation sqref="C4:L23 C50:L50" showDropDown="0" showInputMessage="0" showErrorMessage="0" allowBlank="1" errorTitle="Unknown player" error="Pick a player from the list (names come from the Setup sheet)." type="list">
      <formula1>=PlayerNames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J3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9" customWidth="1" min="4" max="4"/>
    <col width="34" customWidth="1" min="5" max="5"/>
    <col width="13" customWidth="1" min="6" max="6"/>
    <col width="18" customWidth="1" min="7" max="7"/>
    <col width="2" customWidth="1" min="8" max="8"/>
    <col width="16" customWidth="1" min="9" max="9"/>
    <col width="10" customWidth="1" min="10" max="10"/>
  </cols>
  <sheetData>
    <row r="1">
      <c r="B1" s="5" t="inlineStr">
        <is>
          <t>🐺 Werewolves — Moderator's Board</t>
        </is>
      </c>
    </row>
    <row r="3" ht="30" customHeight="1">
      <c r="B3" s="27">
        <f>IF(COUNTA(Setup!$C$14:$C$33)=0,"👋 Add players on the Setup sheet to begin",IF($E$5=0,"🎉 THE VILLAGE WINS — every last werewolf is gone!",IF($E$5&gt;=$G$5,"🐺 THE WEREWOLVES WIN — the pack overruns the village!","⚔️ Game on — "&amp;$E$5&amp;" werewolf(s) hiding among "&amp;$G$5&amp;" townsfolk")))</f>
        <v/>
      </c>
    </row>
    <row r="4">
      <c r="I4" s="9" t="inlineStr">
        <is>
          <t>Hunter (auto)</t>
        </is>
      </c>
      <c r="J4" s="13">
        <f>IFERROR(INDEX(Setup!$C$14:$C$33,MATCH("Hunter",Setup!$F$14:$F$33,0)),"")</f>
        <v/>
      </c>
    </row>
    <row r="5">
      <c r="B5" s="7" t="inlineStr">
        <is>
          <t>🙂 Alive</t>
        </is>
      </c>
      <c r="C5" s="14">
        <f>COUNTIF('Game Board'!$D$11:$D$30,"ALIVE")</f>
        <v/>
      </c>
      <c r="D5" s="7" t="inlineStr">
        <is>
          <t>🐺 Wolves</t>
        </is>
      </c>
      <c r="E5" s="14">
        <f>COUNTIFS($C$11:$C$30,"Werewolf",'Game Board'!$D$11:$D$30,"ALIVE")</f>
        <v/>
      </c>
      <c r="F5" s="7" t="inlineStr">
        <is>
          <t>🏘 Town</t>
        </is>
      </c>
      <c r="G5" s="14">
        <f>$C$5-$E$5</f>
        <v/>
      </c>
      <c r="I5" s="9" t="inlineStr">
        <is>
          <t>fell in phase #</t>
        </is>
      </c>
      <c r="J5" s="13">
        <f>IF($J$4="",999,MIN(IFERROR(MATCH($J$4,Night!$G$4:$G$13,0)*2-1,999),IFERROR(MATCH($J$4,Day!$C$51:$L$51,0)*2,999)))</f>
        <v/>
      </c>
    </row>
    <row r="7">
      <c r="B7" s="7" t="inlineStr">
        <is>
          <t>🏹 Hunter's revenge — the moment the Hunter dies, they shoot one player. Record it here:</t>
        </is>
      </c>
      <c r="G7" s="8" t="n"/>
    </row>
    <row r="10" ht="22" customHeight="1">
      <c r="A10" s="11" t="inlineStr">
        <is>
          <t>#</t>
        </is>
      </c>
      <c r="B10" s="11" t="inlineStr">
        <is>
          <t>Player</t>
        </is>
      </c>
      <c r="C10" s="11" t="inlineStr">
        <is>
          <t>Role</t>
        </is>
      </c>
      <c r="D10" s="11" t="inlineStr">
        <is>
          <t>Status</t>
        </is>
      </c>
      <c r="E10" s="11" t="inlineStr">
        <is>
          <t>Fate</t>
        </is>
      </c>
      <c r="F10" s="11" t="inlineStr">
        <is>
          <t>phase # (auto)</t>
        </is>
      </c>
    </row>
    <row r="11">
      <c r="A11" s="12" t="n">
        <v>1</v>
      </c>
      <c r="B11" s="23">
        <f>IF(Setup!$C14="","",Setup!$C14)</f>
        <v/>
      </c>
      <c r="C11" s="10">
        <f>IF($B11="","",Setup!$F14)</f>
        <v/>
      </c>
      <c r="D11" s="14">
        <f>IF($B11="","",IF($F11="","ALIVE","DEAD"))</f>
        <v/>
      </c>
      <c r="E11" s="21">
        <f>IF($F11="","",IF(AND($G$7&lt;&gt;"",$B11=$G$7,$F11=$J$5),"🏹 Shot by the Hunter's last arrow",IF(MOD($F11,2)=1,"☠️ Night "&amp;($F11+1)/2&amp;" — eaten by wolves","🗳 Day "&amp;$F11/2&amp;" — voted out")))</f>
        <v/>
      </c>
      <c r="F11" s="13">
        <f>IF($B11="","",IF(MIN(IFERROR(MATCH($B11,Night!$G$4:$G$13,0)*2-1,999),IFERROR(MATCH($B11,Day!$C$51:$L$51,0)*2,999),IF(AND($G$7&lt;&gt;"",$B11=$G$7),$J$5,999))=999,"",MIN(IFERROR(MATCH($B11,Night!$G$4:$G$13,0)*2-1,999),IFERROR(MATCH($B11,Day!$C$51:$L$51,0)*2,999),IF(AND($G$7&lt;&gt;"",$B11=$G$7),$J$5,999))))</f>
        <v/>
      </c>
    </row>
    <row r="12">
      <c r="A12" s="12" t="n">
        <v>2</v>
      </c>
      <c r="B12" s="23">
        <f>IF(Setup!$C15="","",Setup!$C15)</f>
        <v/>
      </c>
      <c r="C12" s="10">
        <f>IF($B12="","",Setup!$F15)</f>
        <v/>
      </c>
      <c r="D12" s="14">
        <f>IF($B12="","",IF($F12="","ALIVE","DEAD"))</f>
        <v/>
      </c>
      <c r="E12" s="21">
        <f>IF($F12="","",IF(AND($G$7&lt;&gt;"",$B12=$G$7,$F12=$J$5),"🏹 Shot by the Hunter's last arrow",IF(MOD($F12,2)=1,"☠️ Night "&amp;($F12+1)/2&amp;" — eaten by wolves","🗳 Day "&amp;$F12/2&amp;" — voted out")))</f>
        <v/>
      </c>
      <c r="F12" s="13">
        <f>IF($B12="","",IF(MIN(IFERROR(MATCH($B12,Night!$G$4:$G$13,0)*2-1,999),IFERROR(MATCH($B12,Day!$C$51:$L$51,0)*2,999),IF(AND($G$7&lt;&gt;"",$B12=$G$7),$J$5,999))=999,"",MIN(IFERROR(MATCH($B12,Night!$G$4:$G$13,0)*2-1,999),IFERROR(MATCH($B12,Day!$C$51:$L$51,0)*2,999),IF(AND($G$7&lt;&gt;"",$B12=$G$7),$J$5,999))))</f>
        <v/>
      </c>
    </row>
    <row r="13">
      <c r="A13" s="12" t="n">
        <v>3</v>
      </c>
      <c r="B13" s="23">
        <f>IF(Setup!$C16="","",Setup!$C16)</f>
        <v/>
      </c>
      <c r="C13" s="10">
        <f>IF($B13="","",Setup!$F16)</f>
        <v/>
      </c>
      <c r="D13" s="14">
        <f>IF($B13="","",IF($F13="","ALIVE","DEAD"))</f>
        <v/>
      </c>
      <c r="E13" s="21">
        <f>IF($F13="","",IF(AND($G$7&lt;&gt;"",$B13=$G$7,$F13=$J$5),"🏹 Shot by the Hunter's last arrow",IF(MOD($F13,2)=1,"☠️ Night "&amp;($F13+1)/2&amp;" — eaten by wolves","🗳 Day "&amp;$F13/2&amp;" — voted out")))</f>
        <v/>
      </c>
      <c r="F13" s="13">
        <f>IF($B13="","",IF(MIN(IFERROR(MATCH($B13,Night!$G$4:$G$13,0)*2-1,999),IFERROR(MATCH($B13,Day!$C$51:$L$51,0)*2,999),IF(AND($G$7&lt;&gt;"",$B13=$G$7),$J$5,999))=999,"",MIN(IFERROR(MATCH($B13,Night!$G$4:$G$13,0)*2-1,999),IFERROR(MATCH($B13,Day!$C$51:$L$51,0)*2,999),IF(AND($G$7&lt;&gt;"",$B13=$G$7),$J$5,999))))</f>
        <v/>
      </c>
    </row>
    <row r="14">
      <c r="A14" s="12" t="n">
        <v>4</v>
      </c>
      <c r="B14" s="23">
        <f>IF(Setup!$C17="","",Setup!$C17)</f>
        <v/>
      </c>
      <c r="C14" s="10">
        <f>IF($B14="","",Setup!$F17)</f>
        <v/>
      </c>
      <c r="D14" s="14">
        <f>IF($B14="","",IF($F14="","ALIVE","DEAD"))</f>
        <v/>
      </c>
      <c r="E14" s="21">
        <f>IF($F14="","",IF(AND($G$7&lt;&gt;"",$B14=$G$7,$F14=$J$5),"🏹 Shot by the Hunter's last arrow",IF(MOD($F14,2)=1,"☠️ Night "&amp;($F14+1)/2&amp;" — eaten by wolves","🗳 Day "&amp;$F14/2&amp;" — voted out")))</f>
        <v/>
      </c>
      <c r="F14" s="13">
        <f>IF($B14="","",IF(MIN(IFERROR(MATCH($B14,Night!$G$4:$G$13,0)*2-1,999),IFERROR(MATCH($B14,Day!$C$51:$L$51,0)*2,999),IF(AND($G$7&lt;&gt;"",$B14=$G$7),$J$5,999))=999,"",MIN(IFERROR(MATCH($B14,Night!$G$4:$G$13,0)*2-1,999),IFERROR(MATCH($B14,Day!$C$51:$L$51,0)*2,999),IF(AND($G$7&lt;&gt;"",$B14=$G$7),$J$5,999))))</f>
        <v/>
      </c>
    </row>
    <row r="15">
      <c r="A15" s="12" t="n">
        <v>5</v>
      </c>
      <c r="B15" s="23">
        <f>IF(Setup!$C18="","",Setup!$C18)</f>
        <v/>
      </c>
      <c r="C15" s="10">
        <f>IF($B15="","",Setup!$F18)</f>
        <v/>
      </c>
      <c r="D15" s="14">
        <f>IF($B15="","",IF($F15="","ALIVE","DEAD"))</f>
        <v/>
      </c>
      <c r="E15" s="21">
        <f>IF($F15="","",IF(AND($G$7&lt;&gt;"",$B15=$G$7,$F15=$J$5),"🏹 Shot by the Hunter's last arrow",IF(MOD($F15,2)=1,"☠️ Night "&amp;($F15+1)/2&amp;" — eaten by wolves","🗳 Day "&amp;$F15/2&amp;" — voted out")))</f>
        <v/>
      </c>
      <c r="F15" s="13">
        <f>IF($B15="","",IF(MIN(IFERROR(MATCH($B15,Night!$G$4:$G$13,0)*2-1,999),IFERROR(MATCH($B15,Day!$C$51:$L$51,0)*2,999),IF(AND($G$7&lt;&gt;"",$B15=$G$7),$J$5,999))=999,"",MIN(IFERROR(MATCH($B15,Night!$G$4:$G$13,0)*2-1,999),IFERROR(MATCH($B15,Day!$C$51:$L$51,0)*2,999),IF(AND($G$7&lt;&gt;"",$B15=$G$7),$J$5,999))))</f>
        <v/>
      </c>
    </row>
    <row r="16">
      <c r="A16" s="12" t="n">
        <v>6</v>
      </c>
      <c r="B16" s="23">
        <f>IF(Setup!$C19="","",Setup!$C19)</f>
        <v/>
      </c>
      <c r="C16" s="10">
        <f>IF($B16="","",Setup!$F19)</f>
        <v/>
      </c>
      <c r="D16" s="14">
        <f>IF($B16="","",IF($F16="","ALIVE","DEAD"))</f>
        <v/>
      </c>
      <c r="E16" s="21">
        <f>IF($F16="","",IF(AND($G$7&lt;&gt;"",$B16=$G$7,$F16=$J$5),"🏹 Shot by the Hunter's last arrow",IF(MOD($F16,2)=1,"☠️ Night "&amp;($F16+1)/2&amp;" — eaten by wolves","🗳 Day "&amp;$F16/2&amp;" — voted out")))</f>
        <v/>
      </c>
      <c r="F16" s="13">
        <f>IF($B16="","",IF(MIN(IFERROR(MATCH($B16,Night!$G$4:$G$13,0)*2-1,999),IFERROR(MATCH($B16,Day!$C$51:$L$51,0)*2,999),IF(AND($G$7&lt;&gt;"",$B16=$G$7),$J$5,999))=999,"",MIN(IFERROR(MATCH($B16,Night!$G$4:$G$13,0)*2-1,999),IFERROR(MATCH($B16,Day!$C$51:$L$51,0)*2,999),IF(AND($G$7&lt;&gt;"",$B16=$G$7),$J$5,999))))</f>
        <v/>
      </c>
    </row>
    <row r="17">
      <c r="A17" s="12" t="n">
        <v>7</v>
      </c>
      <c r="B17" s="23">
        <f>IF(Setup!$C20="","",Setup!$C20)</f>
        <v/>
      </c>
      <c r="C17" s="10">
        <f>IF($B17="","",Setup!$F20)</f>
        <v/>
      </c>
      <c r="D17" s="14">
        <f>IF($B17="","",IF($F17="","ALIVE","DEAD"))</f>
        <v/>
      </c>
      <c r="E17" s="21">
        <f>IF($F17="","",IF(AND($G$7&lt;&gt;"",$B17=$G$7,$F17=$J$5),"🏹 Shot by the Hunter's last arrow",IF(MOD($F17,2)=1,"☠️ Night "&amp;($F17+1)/2&amp;" — eaten by wolves","🗳 Day "&amp;$F17/2&amp;" — voted out")))</f>
        <v/>
      </c>
      <c r="F17" s="13">
        <f>IF($B17="","",IF(MIN(IFERROR(MATCH($B17,Night!$G$4:$G$13,0)*2-1,999),IFERROR(MATCH($B17,Day!$C$51:$L$51,0)*2,999),IF(AND($G$7&lt;&gt;"",$B17=$G$7),$J$5,999))=999,"",MIN(IFERROR(MATCH($B17,Night!$G$4:$G$13,0)*2-1,999),IFERROR(MATCH($B17,Day!$C$51:$L$51,0)*2,999),IF(AND($G$7&lt;&gt;"",$B17=$G$7),$J$5,999))))</f>
        <v/>
      </c>
    </row>
    <row r="18">
      <c r="A18" s="12" t="n">
        <v>8</v>
      </c>
      <c r="B18" s="23">
        <f>IF(Setup!$C21="","",Setup!$C21)</f>
        <v/>
      </c>
      <c r="C18" s="10">
        <f>IF($B18="","",Setup!$F21)</f>
        <v/>
      </c>
      <c r="D18" s="14">
        <f>IF($B18="","",IF($F18="","ALIVE","DEAD"))</f>
        <v/>
      </c>
      <c r="E18" s="21">
        <f>IF($F18="","",IF(AND($G$7&lt;&gt;"",$B18=$G$7,$F18=$J$5),"🏹 Shot by the Hunter's last arrow",IF(MOD($F18,2)=1,"☠️ Night "&amp;($F18+1)/2&amp;" — eaten by wolves","🗳 Day "&amp;$F18/2&amp;" — voted out")))</f>
        <v/>
      </c>
      <c r="F18" s="13">
        <f>IF($B18="","",IF(MIN(IFERROR(MATCH($B18,Night!$G$4:$G$13,0)*2-1,999),IFERROR(MATCH($B18,Day!$C$51:$L$51,0)*2,999),IF(AND($G$7&lt;&gt;"",$B18=$G$7),$J$5,999))=999,"",MIN(IFERROR(MATCH($B18,Night!$G$4:$G$13,0)*2-1,999),IFERROR(MATCH($B18,Day!$C$51:$L$51,0)*2,999),IF(AND($G$7&lt;&gt;"",$B18=$G$7),$J$5,999))))</f>
        <v/>
      </c>
    </row>
    <row r="19">
      <c r="A19" s="12" t="n">
        <v>9</v>
      </c>
      <c r="B19" s="23">
        <f>IF(Setup!$C22="","",Setup!$C22)</f>
        <v/>
      </c>
      <c r="C19" s="10">
        <f>IF($B19="","",Setup!$F22)</f>
        <v/>
      </c>
      <c r="D19" s="14">
        <f>IF($B19="","",IF($F19="","ALIVE","DEAD"))</f>
        <v/>
      </c>
      <c r="E19" s="21">
        <f>IF($F19="","",IF(AND($G$7&lt;&gt;"",$B19=$G$7,$F19=$J$5),"🏹 Shot by the Hunter's last arrow",IF(MOD($F19,2)=1,"☠️ Night "&amp;($F19+1)/2&amp;" — eaten by wolves","🗳 Day "&amp;$F19/2&amp;" — voted out")))</f>
        <v/>
      </c>
      <c r="F19" s="13">
        <f>IF($B19="","",IF(MIN(IFERROR(MATCH($B19,Night!$G$4:$G$13,0)*2-1,999),IFERROR(MATCH($B19,Day!$C$51:$L$51,0)*2,999),IF(AND($G$7&lt;&gt;"",$B19=$G$7),$J$5,999))=999,"",MIN(IFERROR(MATCH($B19,Night!$G$4:$G$13,0)*2-1,999),IFERROR(MATCH($B19,Day!$C$51:$L$51,0)*2,999),IF(AND($G$7&lt;&gt;"",$B19=$G$7),$J$5,999))))</f>
        <v/>
      </c>
    </row>
    <row r="20">
      <c r="A20" s="12" t="n">
        <v>10</v>
      </c>
      <c r="B20" s="23">
        <f>IF(Setup!$C23="","",Setup!$C23)</f>
        <v/>
      </c>
      <c r="C20" s="10">
        <f>IF($B20="","",Setup!$F23)</f>
        <v/>
      </c>
      <c r="D20" s="14">
        <f>IF($B20="","",IF($F20="","ALIVE","DEAD"))</f>
        <v/>
      </c>
      <c r="E20" s="21">
        <f>IF($F20="","",IF(AND($G$7&lt;&gt;"",$B20=$G$7,$F20=$J$5),"🏹 Shot by the Hunter's last arrow",IF(MOD($F20,2)=1,"☠️ Night "&amp;($F20+1)/2&amp;" — eaten by wolves","🗳 Day "&amp;$F20/2&amp;" — voted out")))</f>
        <v/>
      </c>
      <c r="F20" s="13">
        <f>IF($B20="","",IF(MIN(IFERROR(MATCH($B20,Night!$G$4:$G$13,0)*2-1,999),IFERROR(MATCH($B20,Day!$C$51:$L$51,0)*2,999),IF(AND($G$7&lt;&gt;"",$B20=$G$7),$J$5,999))=999,"",MIN(IFERROR(MATCH($B20,Night!$G$4:$G$13,0)*2-1,999),IFERROR(MATCH($B20,Day!$C$51:$L$51,0)*2,999),IF(AND($G$7&lt;&gt;"",$B20=$G$7),$J$5,999))))</f>
        <v/>
      </c>
    </row>
    <row r="21">
      <c r="A21" s="12" t="n">
        <v>11</v>
      </c>
      <c r="B21" s="23">
        <f>IF(Setup!$C24="","",Setup!$C24)</f>
        <v/>
      </c>
      <c r="C21" s="10">
        <f>IF($B21="","",Setup!$F24)</f>
        <v/>
      </c>
      <c r="D21" s="14">
        <f>IF($B21="","",IF($F21="","ALIVE","DEAD"))</f>
        <v/>
      </c>
      <c r="E21" s="21">
        <f>IF($F21="","",IF(AND($G$7&lt;&gt;"",$B21=$G$7,$F21=$J$5),"🏹 Shot by the Hunter's last arrow",IF(MOD($F21,2)=1,"☠️ Night "&amp;($F21+1)/2&amp;" — eaten by wolves","🗳 Day "&amp;$F21/2&amp;" — voted out")))</f>
        <v/>
      </c>
      <c r="F21" s="13">
        <f>IF($B21="","",IF(MIN(IFERROR(MATCH($B21,Night!$G$4:$G$13,0)*2-1,999),IFERROR(MATCH($B21,Day!$C$51:$L$51,0)*2,999),IF(AND($G$7&lt;&gt;"",$B21=$G$7),$J$5,999))=999,"",MIN(IFERROR(MATCH($B21,Night!$G$4:$G$13,0)*2-1,999),IFERROR(MATCH($B21,Day!$C$51:$L$51,0)*2,999),IF(AND($G$7&lt;&gt;"",$B21=$G$7),$J$5,999))))</f>
        <v/>
      </c>
    </row>
    <row r="22">
      <c r="A22" s="12" t="n">
        <v>12</v>
      </c>
      <c r="B22" s="23">
        <f>IF(Setup!$C25="","",Setup!$C25)</f>
        <v/>
      </c>
      <c r="C22" s="10">
        <f>IF($B22="","",Setup!$F25)</f>
        <v/>
      </c>
      <c r="D22" s="14">
        <f>IF($B22="","",IF($F22="","ALIVE","DEAD"))</f>
        <v/>
      </c>
      <c r="E22" s="21">
        <f>IF($F22="","",IF(AND($G$7&lt;&gt;"",$B22=$G$7,$F22=$J$5),"🏹 Shot by the Hunter's last arrow",IF(MOD($F22,2)=1,"☠️ Night "&amp;($F22+1)/2&amp;" — eaten by wolves","🗳 Day "&amp;$F22/2&amp;" — voted out")))</f>
        <v/>
      </c>
      <c r="F22" s="13">
        <f>IF($B22="","",IF(MIN(IFERROR(MATCH($B22,Night!$G$4:$G$13,0)*2-1,999),IFERROR(MATCH($B22,Day!$C$51:$L$51,0)*2,999),IF(AND($G$7&lt;&gt;"",$B22=$G$7),$J$5,999))=999,"",MIN(IFERROR(MATCH($B22,Night!$G$4:$G$13,0)*2-1,999),IFERROR(MATCH($B22,Day!$C$51:$L$51,0)*2,999),IF(AND($G$7&lt;&gt;"",$B22=$G$7),$J$5,999))))</f>
        <v/>
      </c>
    </row>
    <row r="23">
      <c r="A23" s="12" t="n">
        <v>13</v>
      </c>
      <c r="B23" s="23">
        <f>IF(Setup!$C26="","",Setup!$C26)</f>
        <v/>
      </c>
      <c r="C23" s="10">
        <f>IF($B23="","",Setup!$F26)</f>
        <v/>
      </c>
      <c r="D23" s="14">
        <f>IF($B23="","",IF($F23="","ALIVE","DEAD"))</f>
        <v/>
      </c>
      <c r="E23" s="21">
        <f>IF($F23="","",IF(AND($G$7&lt;&gt;"",$B23=$G$7,$F23=$J$5),"🏹 Shot by the Hunter's last arrow",IF(MOD($F23,2)=1,"☠️ Night "&amp;($F23+1)/2&amp;" — eaten by wolves","🗳 Day "&amp;$F23/2&amp;" — voted out")))</f>
        <v/>
      </c>
      <c r="F23" s="13">
        <f>IF($B23="","",IF(MIN(IFERROR(MATCH($B23,Night!$G$4:$G$13,0)*2-1,999),IFERROR(MATCH($B23,Day!$C$51:$L$51,0)*2,999),IF(AND($G$7&lt;&gt;"",$B23=$G$7),$J$5,999))=999,"",MIN(IFERROR(MATCH($B23,Night!$G$4:$G$13,0)*2-1,999),IFERROR(MATCH($B23,Day!$C$51:$L$51,0)*2,999),IF(AND($G$7&lt;&gt;"",$B23=$G$7),$J$5,999))))</f>
        <v/>
      </c>
    </row>
    <row r="24">
      <c r="A24" s="12" t="n">
        <v>14</v>
      </c>
      <c r="B24" s="23">
        <f>IF(Setup!$C27="","",Setup!$C27)</f>
        <v/>
      </c>
      <c r="C24" s="10">
        <f>IF($B24="","",Setup!$F27)</f>
        <v/>
      </c>
      <c r="D24" s="14">
        <f>IF($B24="","",IF($F24="","ALIVE","DEAD"))</f>
        <v/>
      </c>
      <c r="E24" s="21">
        <f>IF($F24="","",IF(AND($G$7&lt;&gt;"",$B24=$G$7,$F24=$J$5),"🏹 Shot by the Hunter's last arrow",IF(MOD($F24,2)=1,"☠️ Night "&amp;($F24+1)/2&amp;" — eaten by wolves","🗳 Day "&amp;$F24/2&amp;" — voted out")))</f>
        <v/>
      </c>
      <c r="F24" s="13">
        <f>IF($B24="","",IF(MIN(IFERROR(MATCH($B24,Night!$G$4:$G$13,0)*2-1,999),IFERROR(MATCH($B24,Day!$C$51:$L$51,0)*2,999),IF(AND($G$7&lt;&gt;"",$B24=$G$7),$J$5,999))=999,"",MIN(IFERROR(MATCH($B24,Night!$G$4:$G$13,0)*2-1,999),IFERROR(MATCH($B24,Day!$C$51:$L$51,0)*2,999),IF(AND($G$7&lt;&gt;"",$B24=$G$7),$J$5,999))))</f>
        <v/>
      </c>
    </row>
    <row r="25">
      <c r="A25" s="12" t="n">
        <v>15</v>
      </c>
      <c r="B25" s="23">
        <f>IF(Setup!$C28="","",Setup!$C28)</f>
        <v/>
      </c>
      <c r="C25" s="10">
        <f>IF($B25="","",Setup!$F28)</f>
        <v/>
      </c>
      <c r="D25" s="14">
        <f>IF($B25="","",IF($F25="","ALIVE","DEAD"))</f>
        <v/>
      </c>
      <c r="E25" s="21">
        <f>IF($F25="","",IF(AND($G$7&lt;&gt;"",$B25=$G$7,$F25=$J$5),"🏹 Shot by the Hunter's last arrow",IF(MOD($F25,2)=1,"☠️ Night "&amp;($F25+1)/2&amp;" — eaten by wolves","🗳 Day "&amp;$F25/2&amp;" — voted out")))</f>
        <v/>
      </c>
      <c r="F25" s="13">
        <f>IF($B25="","",IF(MIN(IFERROR(MATCH($B25,Night!$G$4:$G$13,0)*2-1,999),IFERROR(MATCH($B25,Day!$C$51:$L$51,0)*2,999),IF(AND($G$7&lt;&gt;"",$B25=$G$7),$J$5,999))=999,"",MIN(IFERROR(MATCH($B25,Night!$G$4:$G$13,0)*2-1,999),IFERROR(MATCH($B25,Day!$C$51:$L$51,0)*2,999),IF(AND($G$7&lt;&gt;"",$B25=$G$7),$J$5,999))))</f>
        <v/>
      </c>
    </row>
    <row r="26">
      <c r="A26" s="12" t="n">
        <v>16</v>
      </c>
      <c r="B26" s="23">
        <f>IF(Setup!$C29="","",Setup!$C29)</f>
        <v/>
      </c>
      <c r="C26" s="10">
        <f>IF($B26="","",Setup!$F29)</f>
        <v/>
      </c>
      <c r="D26" s="14">
        <f>IF($B26="","",IF($F26="","ALIVE","DEAD"))</f>
        <v/>
      </c>
      <c r="E26" s="21">
        <f>IF($F26="","",IF(AND($G$7&lt;&gt;"",$B26=$G$7,$F26=$J$5),"🏹 Shot by the Hunter's last arrow",IF(MOD($F26,2)=1,"☠️ Night "&amp;($F26+1)/2&amp;" — eaten by wolves","🗳 Day "&amp;$F26/2&amp;" — voted out")))</f>
        <v/>
      </c>
      <c r="F26" s="13">
        <f>IF($B26="","",IF(MIN(IFERROR(MATCH($B26,Night!$G$4:$G$13,0)*2-1,999),IFERROR(MATCH($B26,Day!$C$51:$L$51,0)*2,999),IF(AND($G$7&lt;&gt;"",$B26=$G$7),$J$5,999))=999,"",MIN(IFERROR(MATCH($B26,Night!$G$4:$G$13,0)*2-1,999),IFERROR(MATCH($B26,Day!$C$51:$L$51,0)*2,999),IF(AND($G$7&lt;&gt;"",$B26=$G$7),$J$5,999))))</f>
        <v/>
      </c>
    </row>
    <row r="27">
      <c r="A27" s="12" t="n">
        <v>17</v>
      </c>
      <c r="B27" s="23">
        <f>IF(Setup!$C30="","",Setup!$C30)</f>
        <v/>
      </c>
      <c r="C27" s="10">
        <f>IF($B27="","",Setup!$F30)</f>
        <v/>
      </c>
      <c r="D27" s="14">
        <f>IF($B27="","",IF($F27="","ALIVE","DEAD"))</f>
        <v/>
      </c>
      <c r="E27" s="21">
        <f>IF($F27="","",IF(AND($G$7&lt;&gt;"",$B27=$G$7,$F27=$J$5),"🏹 Shot by the Hunter's last arrow",IF(MOD($F27,2)=1,"☠️ Night "&amp;($F27+1)/2&amp;" — eaten by wolves","🗳 Day "&amp;$F27/2&amp;" — voted out")))</f>
        <v/>
      </c>
      <c r="F27" s="13">
        <f>IF($B27="","",IF(MIN(IFERROR(MATCH($B27,Night!$G$4:$G$13,0)*2-1,999),IFERROR(MATCH($B27,Day!$C$51:$L$51,0)*2,999),IF(AND($G$7&lt;&gt;"",$B27=$G$7),$J$5,999))=999,"",MIN(IFERROR(MATCH($B27,Night!$G$4:$G$13,0)*2-1,999),IFERROR(MATCH($B27,Day!$C$51:$L$51,0)*2,999),IF(AND($G$7&lt;&gt;"",$B27=$G$7),$J$5,999))))</f>
        <v/>
      </c>
    </row>
    <row r="28">
      <c r="A28" s="12" t="n">
        <v>18</v>
      </c>
      <c r="B28" s="23">
        <f>IF(Setup!$C31="","",Setup!$C31)</f>
        <v/>
      </c>
      <c r="C28" s="10">
        <f>IF($B28="","",Setup!$F31)</f>
        <v/>
      </c>
      <c r="D28" s="14">
        <f>IF($B28="","",IF($F28="","ALIVE","DEAD"))</f>
        <v/>
      </c>
      <c r="E28" s="21">
        <f>IF($F28="","",IF(AND($G$7&lt;&gt;"",$B28=$G$7,$F28=$J$5),"🏹 Shot by the Hunter's last arrow",IF(MOD($F28,2)=1,"☠️ Night "&amp;($F28+1)/2&amp;" — eaten by wolves","🗳 Day "&amp;$F28/2&amp;" — voted out")))</f>
        <v/>
      </c>
      <c r="F28" s="13">
        <f>IF($B28="","",IF(MIN(IFERROR(MATCH($B28,Night!$G$4:$G$13,0)*2-1,999),IFERROR(MATCH($B28,Day!$C$51:$L$51,0)*2,999),IF(AND($G$7&lt;&gt;"",$B28=$G$7),$J$5,999))=999,"",MIN(IFERROR(MATCH($B28,Night!$G$4:$G$13,0)*2-1,999),IFERROR(MATCH($B28,Day!$C$51:$L$51,0)*2,999),IF(AND($G$7&lt;&gt;"",$B28=$G$7),$J$5,999))))</f>
        <v/>
      </c>
    </row>
    <row r="29">
      <c r="A29" s="12" t="n">
        <v>19</v>
      </c>
      <c r="B29" s="23">
        <f>IF(Setup!$C32="","",Setup!$C32)</f>
        <v/>
      </c>
      <c r="C29" s="10">
        <f>IF($B29="","",Setup!$F32)</f>
        <v/>
      </c>
      <c r="D29" s="14">
        <f>IF($B29="","",IF($F29="","ALIVE","DEAD"))</f>
        <v/>
      </c>
      <c r="E29" s="21">
        <f>IF($F29="","",IF(AND($G$7&lt;&gt;"",$B29=$G$7,$F29=$J$5),"🏹 Shot by the Hunter's last arrow",IF(MOD($F29,2)=1,"☠️ Night "&amp;($F29+1)/2&amp;" — eaten by wolves","🗳 Day "&amp;$F29/2&amp;" — voted out")))</f>
        <v/>
      </c>
      <c r="F29" s="13">
        <f>IF($B29="","",IF(MIN(IFERROR(MATCH($B29,Night!$G$4:$G$13,0)*2-1,999),IFERROR(MATCH($B29,Day!$C$51:$L$51,0)*2,999),IF(AND($G$7&lt;&gt;"",$B29=$G$7),$J$5,999))=999,"",MIN(IFERROR(MATCH($B29,Night!$G$4:$G$13,0)*2-1,999),IFERROR(MATCH($B29,Day!$C$51:$L$51,0)*2,999),IF(AND($G$7&lt;&gt;"",$B29=$G$7),$J$5,999))))</f>
        <v/>
      </c>
    </row>
    <row r="30">
      <c r="A30" s="12" t="n">
        <v>20</v>
      </c>
      <c r="B30" s="23">
        <f>IF(Setup!$C33="","",Setup!$C33)</f>
        <v/>
      </c>
      <c r="C30" s="10">
        <f>IF($B30="","",Setup!$F33)</f>
        <v/>
      </c>
      <c r="D30" s="14">
        <f>IF($B30="","",IF($F30="","ALIVE","DEAD"))</f>
        <v/>
      </c>
      <c r="E30" s="21">
        <f>IF($F30="","",IF(AND($G$7&lt;&gt;"",$B30=$G$7,$F30=$J$5),"🏹 Shot by the Hunter's last arrow",IF(MOD($F30,2)=1,"☠️ Night "&amp;($F30+1)/2&amp;" — eaten by wolves","🗳 Day "&amp;$F30/2&amp;" — voted out")))</f>
        <v/>
      </c>
      <c r="F30" s="13">
        <f>IF($B30="","",IF(MIN(IFERROR(MATCH($B30,Night!$G$4:$G$13,0)*2-1,999),IFERROR(MATCH($B30,Day!$C$51:$L$51,0)*2,999),IF(AND($G$7&lt;&gt;"",$B30=$G$7),$J$5,999))=999,"",MIN(IFERROR(MATCH($B30,Night!$G$4:$G$13,0)*2-1,999),IFERROR(MATCH($B30,Day!$C$51:$L$51,0)*2,999),IF(AND($G$7&lt;&gt;"",$B30=$G$7),$J$5,999))))</f>
        <v/>
      </c>
    </row>
  </sheetData>
  <mergeCells count="2">
    <mergeCell ref="B3:G3"/>
    <mergeCell ref="B7:F7"/>
  </mergeCells>
  <conditionalFormatting sqref="B3">
    <cfRule type="expression" priority="1" dxfId="5">
      <formula>ISNUMBER(SEARCH("VILLAGE WINS",$B$3))</formula>
    </cfRule>
    <cfRule type="expression" priority="2" dxfId="6">
      <formula>ISNUMBER(SEARCH("WEREWOLVES WIN",$B$3))</formula>
    </cfRule>
  </conditionalFormatting>
  <conditionalFormatting sqref="A11:F30">
    <cfRule type="expression" priority="3" dxfId="2">
      <formula>$D11="DEAD"</formula>
    </cfRule>
  </conditionalFormatting>
  <conditionalFormatting sqref="C11:C30">
    <cfRule type="expression" priority="4" dxfId="0">
      <formula>$C11="Werewolf"</formula>
    </cfRule>
  </conditionalFormatting>
  <conditionalFormatting sqref="D11:D30">
    <cfRule type="expression" priority="5" dxfId="1">
      <formula>$D11="ALIVE"</formula>
    </cfRule>
  </conditionalFormatting>
  <dataValidations count="1">
    <dataValidation sqref="G7" showDropDown="0" showInputMessage="0" showErrorMessage="0" allowBlank="1" errorTitle="Unknown player" error="Pick a player from the list (names come from the Setup sheet)." type="list">
      <formula1>=PlayerNames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generate_werewolves.py</dc:creator>
  <dc:title>Werewolves — the spreadsheet edition</dc:title>
  <dcterms:created xsi:type="dcterms:W3CDTF">2026-07-17T05:34:51Z</dcterms:created>
  <dcterms:modified xsi:type="dcterms:W3CDTF">2026-07-17T05:34:51Z</dcterms:modified>
</cp:coreProperties>
</file>