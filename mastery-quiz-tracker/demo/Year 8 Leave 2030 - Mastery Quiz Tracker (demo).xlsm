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8"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8">Calc!$BT$3</definedName>
    <definedName name="InterceptY8">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8">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CHOOSE(dYear,tblY8[#Data])</definedName>
    <definedName name="dHdr">CHOOSE(dYear,tblY8[#Headers])</definedName>
    <definedName name="dClass">CHOOSE(dYear,tblY8[Class])</definedName>
    <definedName name="dLast">CHOOSE(dYear,tblY8[Preferred Last name])</definedName>
    <definedName name="dFirst">CHOOSE(dYear,tblY8[Preferred First name])</definedName>
    <definedName name="dMean">CHOOSE(dYear,tblY8[Mean Stanine])</definedName>
    <definedName name="dVs">CHOOSE(dYear,tblY8[vs Expected])</definedName>
    <definedName name="dKsBand">CHOOSE(dYear,tblY8[Avg KS2 Band])</definedName>
    <definedName name="dPP">CHOOSE(dYear,tblY8[PP Deprivation])</definedName>
    <definedName name="dSEN">CHOOSE(dYear,tblY8[SEN Status Code])</definedName>
    <definedName name="dSex">CHOOSE(dYear,tblY8[Sex Code])</definedName>
    <definedName name="dTests">CHOOSE(dYear,tblY8[Tests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CHOOSE(wYear,tblY8[#Data])</definedName>
    <definedName name="wHdr">CHOOSE(wYear,tblY8[#Headers])</definedName>
    <definedName name="wLast">CHOOSE(wYear,tblY8[Preferred Last name])</definedName>
    <definedName name="wFirst">CHOOSE(wYear,tblY8[Preferred First name])</definedName>
    <definedName name="wClass">CHOOSE(wYear,tblY8[Class])</definedName>
    <definedName name="wKsBand">CHOOSE(wYear,tblY8[Avg KS2 Band])</definedName>
    <definedName name="wTests">CHOOSE(wYear,tblY8[Tests Sat])</definedName>
    <definedName name="wMean">CHOOSE(wYear,tblY8[Mean Stanine])</definedName>
    <definedName name="wVs">CHOOSE(wYear,tblY8[vs Expected])</definedName>
    <definedName name="wLatest">INDEX(Calc!$AF$3:$AF$3,wYear)</definedName>
    <definedName name="wlCount">Calc!$BA$67</definedName>
    <definedName name="_xlnm.Print_Titles" localSheetId="4">'Year 8'!$1:$1,'Year 8'!$A:$C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8">#N/A</definedName>
    <definedName name="Slicer_KS2_Band_Y8">#N/A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8"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8"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8"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8"/>
            <xdr:cNvGraphicFramePr/>
          </xdr:nvGraphicFramePr>
          <xdr:xfrm>
            <a:off x="0" y="0"/>
            <a:ext cx="0" cy="0"/>
          </xdr:xfrm>
          <a:graphic>
            <a:graphicData uri="http://schemas.microsoft.com/office/drawing/2010/slicer">
              <sle:slicer xmlns:sle="http://schemas.microsoft.com/office/drawing/2010/slicer" name="Class Y8"/>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8"/>
            <xdr:cNvGraphicFramePr/>
          </xdr:nvGraphicFramePr>
          <xdr:xfrm>
            <a:off x="0" y="0"/>
            <a:ext cx="0" cy="0"/>
          </xdr:xfrm>
          <a:graphic>
            <a:graphicData uri="http://schemas.microsoft.com/office/drawing/2010/slicer">
              <sle:slicer xmlns:sle="http://schemas.microsoft.com/office/drawing/2010/slicer" name="KS2 band Y8"/>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8" xr10:uid="{F51D6ADB-C082-5080-B865-B08A198E4735}"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8" xr10:uid="{56987B36-2A76-5972-A583-E5F7B98ED1D0}"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8" xr10:uid="{7864745B-A799-5AAB-BC0F-C9CC67988C62}" cache="Slicer_Class_Y8" caption="Class" columnCount="2" rowHeight="180000"/>
  <slicer name="KS2 band Y8" xr10:uid="{241C133D-DC48-5759-9171-78ED1C85CF32}" cache="Slicer_KS2_Band_Y8" caption="KS2 band" columnCount="3" rowHeight="180000"/>
</slicers>
</file>

<file path=xl/tables/table1.xml><?xml version="1.0" encoding="utf-8"?>
<table xmlns="http://schemas.openxmlformats.org/spreadsheetml/2006/main" id="1" name="tblY8" displayName="tblY8" ref="A1:W94" headerRowCount="1">
  <autoFilter ref="A1:W94"/>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IF(ISNUMBER(tblY8[[#This Row],[Avg KS2]]),IFERROR(VLOOKUP(ROUND(STANDARDIZE(tblY8[[#This Row],[Avg KS2]],AVERAGE(tblY8[[Avg KS2]]),_xlfn.STDEV.P(tblY8[[Avg KS2]])),9),_Stanine,2),5),"")</calculatedColumnFormula>
    </tableColumn>
    <tableColumn id="10" name="Class"/>
    <tableColumn id="11" name="Tests Sat">
      <calculatedColumnFormula>IF(tblY8[[#This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IF(AND(ISNUMBER(tblY8[[#This Row],[Mean Stanine]]),ISNUMBER(tblY8[[#This Row],[Avg KS2 Band]]),ISNUMBER(SlopeY8)),tblY8[[#This Row],[Mean Stanine]]-(InterceptY8+SlopeY8*tblY8[[#This Row],[Avg KS2 Band]]),"")</calculatedColumnFormula>
    </tableColumn>
    <tableColumn id="14" name="8C01 - Periodic Table_x000a_Raw Score"/>
    <tableColumn id="15" name="8C01 - Periodic Table_x000a_Stanine">
      <calculatedColumnFormula>IF(ISNUMBER(tblY8[[#This Row],[8C01 - Periodic Table
Raw Score]]),IFERROR(VLOOKUP(ROUND(STANDARDIZE(tblY8[[#This Row],[8C01 - Periodic Table
Raw Score]],AVERAGE(tblY8[[8C01 - Periodic Table
Raw Score]]),_xlfn.STDEV.P(tblY8[[8C01 - Periodic Table
Raw Score]])),9),_Stanine,2),5),"")</calculatedColumnFormula>
    </tableColumn>
    <tableColumn id="16" name="8P01 - Energy_x000a_Raw Score"/>
    <tableColumn id="17" name="8P01 - Energy_x000a_Stanine">
      <calculatedColumnFormula>IF(ISNUMBER(tblY8[[#This Row],[8P01 - Energy
Raw Score]]),IFERROR(VLOOKUP(ROUND(STANDARDIZE(tblY8[[#This Row],[8P01 - Energy
Raw Score]],AVERAGE(tblY8[[8P01 - Energy
Raw Score]]),_xlfn.STDEV.P(tblY8[[8P01 - Energy
Raw Score]])),9),_Stanine,2),5),"")</calculatedColumnFormula>
    </tableColumn>
    <tableColumn id="18" name="8B01 - Digestion_x000a_Raw Score"/>
    <tableColumn id="19" name="8B01 - Digestion_x000a_Stanine">
      <calculatedColumnFormula>IF(ISNUMBER(tblY8[[#This Row],[8B01 - Digestion
Raw Score]]),IFERROR(VLOOKUP(ROUND(STANDARDIZE(tblY8[[#This Row],[8B01 - Digestion
Raw Score]],AVERAGE(tblY8[[8B01 - Digestion
Raw Score]]),_xlfn.STDEV.P(tblY8[[8B01 - Digestion
Raw Score]])),9),_Stanine,2),5),"")</calculatedColumnFormula>
    </tableColumn>
    <tableColumn id="20" name="8C02 - Metals and Acids_x000a_Raw Score"/>
    <tableColumn id="21" name="8C02 - Metals and Acids_x000a_Stanine">
      <calculatedColumnFormula>IF(ISNUMBER(tblY8[[#This Row],[8C02 - Metals and Acids
Raw Score]]),IFERROR(VLOOKUP(ROUND(STANDARDIZE(tblY8[[#This Row],[8C02 - Metals and Acids
Raw Score]],AVERAGE(tblY8[[8C02 - Metals and Acids
Raw Score]]),_xlfn.STDEV.P(tblY8[[8C02 - Metals and Acids
Raw Score]])),9),_Stanine,2),5),"")</calculatedColumnFormula>
    </tableColumn>
    <tableColumn id="22" name="8P02 - Light_x000a_Raw Score"/>
    <tableColumn id="23" name="8P02 - Light_x000a_Stanine">
      <calculatedColumnFormula>IF(ISNUMBER(tblY8[[#This Row],[8P02 - Light
Raw Score]]),IFERROR(VLOOKUP(ROUND(STANDARDIZE(tblY8[[#This Row],[8P02 - Light
Raw Score]],AVERAGE(tblY8[[8P02 - Light
Raw Score]]),_xlfn.STDEV.P(tblY8[[8P02 - Light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9" headerRowCount="1">
  <autoFilter ref="A4:T9"/>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Index]],tblY8[Preferred Last name])))</calculatedColumnFormula>
    </tableColumn>
    <tableColumn id="8" name="Sat">
      <calculatedColumnFormula>IF(tblAssessments[[#This Row],[Raw Col]]=0,"",COUNT(INDEX(CHOOSE(tblAssessments[[#This Row],[Year Index]],tblY8[#Data]),0,tblAssessments[[#This Row],[Raw Col]])))</calculatedColumnFormula>
    </tableColumn>
    <tableColumn id="9" name="Absent">
      <calculatedColumnFormula>IF(tblAssessments[[#This Row],[Raw Col]]=0,"",COUNTIF(INDEX(CHOOSE(tblAssessments[[#This Row],[Year Index]],tblY8[#Data]),0,tblAssessments[[#This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Index]],tblY8[#Data]),0,tblAssessments[[#This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Index]],tblY8[#Data]),0,tblAssessments[[#This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Index]],tblY8[#Headers]),0),0))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29" headerRowCount="1">
  <autoFilter ref="B24:E29"/>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8   ·   leaves 2030   ·   "&amp;AcademicYear</f>
        <v>Science   ·   Year 8   ·   leaves 2030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8</t>
        </is>
      </c>
      <c r="C9" s="9">
        <f>Settings!C15</f>
        <v>2030</v>
      </c>
      <c r="D9" s="10">
        <f>COUNTA(tblY8[Preferred Last name])</f>
        <v>93</v>
      </c>
      <c r="E9" s="10">
        <f>Calc!AI3</f>
        <v>5</v>
      </c>
      <c r="F9" s="11">
        <f>SUMPRODUCT((RIGHT(tblY8[#Headers],10)=CHAR(10)&amp;"Raw Score")*ISNUMBER(tblY8[#Data]))</f>
        <v>428</v>
      </c>
      <c r="G9" s="12" t="str">
        <f>IF(Calc!AF3="","-",Calc!AF3)</f>
        <v>8P02 - Light</v>
      </c>
      <c r="H9" s="13" t="str">
        <f>HYPERLINK("#'Year 8'!A1","Open Year 8")</f>
        <v>Open Year 8</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COUNTA(tblY8[Preferred Last name])</f>
        <v>93</v>
      </c>
      <c r="C5" s="19" t="n"/>
      <c r="D5" s="20">
        <f>COUNTA(tblAssessments[Test Name])</f>
        <v>5</v>
      </c>
      <c r="E5" s="19" t="n"/>
      <c r="F5" s="19" t="n"/>
      <c r="G5" s="21">
        <f>SUM(tblAssessments[Sat])</f>
        <v>428</v>
      </c>
      <c r="H5" s="19" t="n"/>
      <c r="I5" s="19" t="n"/>
      <c r="J5" s="20">
        <f>COUNTIFS(tblAssessments[Completion],"&lt;1",tblAssessments[Test Name],"&lt;&gt;")</f>
        <v>1</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8</t>
        </is>
      </c>
      <c r="C9" s="23" t="str">
        <f>"Leaves "&amp;Settings!$C$15&amp;"   ·   "&amp;COUNTA(tblY8[Preferred Last name])&amp;" students   ·   "&amp;Calc!$AI$3&amp;" tests"&amp;IF(Calc!$S$12&gt;8,"   ·   only the first 8 of "&amp;Calc!$S$12&amp;" classes fit here","")</f>
        <v>Leaves 2030   ·   93 students   ·   5 tests</v>
      </c>
      <c r="D9" s="24" t="n"/>
      <c r="E9" s="24" t="n"/>
      <c r="F9" s="24" t="n"/>
      <c r="G9" s="24" t="n"/>
      <c r="H9" s="25" t="str">
        <f>IF(Calc!$AF$3="","No tests yet","Latest test: "&amp;Calc!$AF$3&amp;IF(ISNUMBER(Calc!$AH$3),"  ("&amp;TEXT(Calc!$AH$3,"dd/mm/yyyy")&amp;")",""))</f>
        <v>Latest test: 8P02 - Light  (18/11/2026)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IFERROR(COUNTA(tblY8[Preferred Last name]),"")</f>
        <v>93</v>
      </c>
      <c r="E11" s="28">
        <f>IFERROR(AVERAGE(tblY8[Avg KS2 Band]),"")</f>
        <v>5.04347826086957</v>
      </c>
      <c r="F11" s="28">
        <f>IFERROR(AVERAGE(tblY8[Tests Sat]),"")</f>
        <v>4.60215053763441</v>
      </c>
      <c r="G11" s="28">
        <f>IFERROR(AVERAGE(tblY8[Mean Stanine]),"")</f>
        <v>4.95232974910394</v>
      </c>
      <c r="H11" s="29">
        <f>IFERROR(AVERAGE(tblY8[vs Expected]),"")</f>
        <v>1.20676415720126e-16</v>
      </c>
      <c r="I11" s="30">
        <f>IFERROR(SUMPRODUCT((RIGHT(tblY8[#Headers],8)=CHAR(10)&amp;"Stanine")*ISNUMBER(tblY8[#Data])*(tblY8[#Data]&gt;=7))/SUMPRODUCT((RIGHT(tblY8[#Headers],8)=CHAR(10)&amp;"Stanine")*ISNUMBER(tblY8[#Data])),"")</f>
        <v>0.259345794392523</v>
      </c>
      <c r="J11" s="30">
        <f>IFERROR(SUMPRODUCT((RIGHT(tblY8[#Headers],8)=CHAR(10)&amp;"Stanine")*ISNUMBER(tblY8[#Data])*(tblY8[#Data]&lt;=3))/SUMPRODUCT((RIGHT(tblY8[#Headers],8)=CHAR(10)&amp;"Stanine")*ISNUMBER(tblY8[#Data])),"")</f>
        <v>0.257009345794393</v>
      </c>
      <c r="K11" s="30">
        <f>IFERROR(IF(Calc!$AF$3="","",AVERAGE(INDEX(tblY8[#Data],0,MATCH(Calc!$AF$3&amp;CHAR(10)&amp;"Raw Score",tblY8[#Headers],0)))/Calc!$AG$3),"")</f>
        <v>0.64906103286385</v>
      </c>
      <c r="L11" s="28">
        <f>IFERROR(IF(Calc!$AF$3="","",AVERAGE(INDEX(tblY8[#Data],0,MATCH(Calc!$AF$3&amp;CHAR(10)&amp;"Stanine",tblY8[#Headers],0)))),"")</f>
        <v>5.05633802816901</v>
      </c>
      <c r="M11" s="30">
        <f>IFERROR(IF(Calc!$AF$3="","",(COUNTIFS(INDEX(tblY8[#Data],0,MATCH(Calc!$AF$3&amp;CHAR(10)&amp;"Raw Score",tblY8[#Headers],0)),"&gt;=0")+COUNTIFS(INDEX(tblY8[#Data],0,MATCH(Calc!$AF$3&amp;CHAR(10)&amp;"Raw Score",tblY8[#Headers],0)),"A"))/COUNTA(tblY8[Preferred Last name])),"")</f>
        <v>0.806451612903226</v>
      </c>
    </row>
    <row r="12">
      <c r="B12" s="31" t="str">
        <f>Calc!S3</f>
        <v>8A/Sc1</v>
      </c>
      <c r="C12" s="32" t="str">
        <f>IF($B12="","",IFERROR(INDEX(tblTeachers[Teacher],MATCH("Year 8"&amp;"|"&amp;$B12,tblTeachers[Key],0))&amp;"",""))</f>
        <v>Mr Owen</v>
      </c>
      <c r="D12" s="33">
        <f>IF($B12="","",IFERROR(SUMPRODUCT(--((tblY8[Class])&amp;""=($B12)&amp;"")),""))</f>
        <v>28</v>
      </c>
      <c r="E12" s="34">
        <f>IF($B12="","",IFERROR(SUMPRODUCT(((tblY8[Class])&amp;""=($B12)&amp;"")*ISNUMBER(tblY8[Avg KS2 Band]),tblY8[Avg KS2 Band])/SUMPRODUCT(((tblY8[Class])&amp;""=($B12)&amp;"")*ISNUMBER(tblY8[Avg KS2 Band])),""))</f>
        <v>6.42857142857143</v>
      </c>
      <c r="F12" s="34">
        <f>IF($B12="","",IFERROR(SUMPRODUCT(((tblY8[Class])&amp;""=($B12)&amp;"")*ISNUMBER(tblY8[Tests Sat]),tblY8[Tests Sat])/SUMPRODUCT(((tblY8[Class])&amp;""=($B12)&amp;"")*ISNUMBER(tblY8[Tests Sat])),""))</f>
        <v>4.64285714285714</v>
      </c>
      <c r="G12" s="34">
        <f>IF($B12="","",IFERROR(SUMPRODUCT(((tblY8[Class])&amp;""=($B12)&amp;"")*ISNUMBER(tblY8[Mean Stanine]),tblY8[Mean Stanine])/SUMPRODUCT(((tblY8[Class])&amp;""=($B12)&amp;"")*ISNUMBER(tblY8[Mean Stanine])),""))</f>
        <v>6.53809523809524</v>
      </c>
      <c r="H12" s="35">
        <f>IF($B12="","",IFERROR(SUMPRODUCT(((tblY8[Class])&amp;""=($B12)&amp;"")*ISNUMBER(tblY8[vs Expected]),tblY8[vs Expected])/SUMPRODUCT(((tblY8[Class])&amp;""=($B12)&amp;"")*ISNUMBER(tblY8[vs Expected])),""))</f>
        <v>0.483505853675284</v>
      </c>
      <c r="I12" s="36">
        <f>IF($B12="","",IFERROR(SUMPRODUCT(((tblY8[Class])&amp;""=($B12)&amp;"")*(RIGHT(tblY8[#Headers],8)=CHAR(10)&amp;"Stanine")*ISNUMBER(tblY8[#Data])*(tblY8[#Data]&gt;=7))/SUMPRODUCT(((tblY8[Class])&amp;""=($B12)&amp;"")*(RIGHT(tblY8[#Headers],8)=CHAR(10)&amp;"Stanine")*ISNUMBER(tblY8[#Data])),""))</f>
        <v>0.546153846153846</v>
      </c>
      <c r="J12" s="36">
        <f>IF($B12="","",IFERROR(SUMPRODUCT(((tblY8[Class])&amp;""=($B12)&amp;"")*(RIGHT(tblY8[#Headers],8)=CHAR(10)&amp;"Stanine")*ISNUMBER(tblY8[#Data])*(tblY8[#Data]&lt;=3))/SUMPRODUCT(((tblY8[Class])&amp;""=($B12)&amp;"")*(RIGHT(tblY8[#Headers],8)=CHAR(10)&amp;"Stanine")*ISNUMBER(tblY8[#Data])),""))</f>
        <v>0.0230769230769231</v>
      </c>
      <c r="K12" s="36">
        <f>IF($B12="","",IFERROR(IF(Calc!$AF$3="","",SUMPRODUCT(((tblY8[Class])&amp;""=($B12)&amp;"")*ISNUMBER(INDEX(tblY8[#Data],0,MATCH(Calc!$AF$3&amp;CHAR(10)&amp;"Raw Score",tblY8[#Headers],0))),INDEX(tblY8[#Data],0,MATCH(Calc!$AF$3&amp;CHAR(10)&amp;"Raw Score",tblY8[#Headers],0)))/SUMPRODUCT(((tblY8[Class])&amp;""=($B12)&amp;"")*ISNUMBER(INDEX(tblY8[#Data],0,MATCH(Calc!$AF$3&amp;CHAR(10)&amp;"Raw Score",tblY8[#Headers],0))))/Calc!$AG$3),""))</f>
        <v>0.752976190476191</v>
      </c>
      <c r="L12" s="34">
        <f>IF($B12="","",IFERROR(IF(Calc!$AF$3="","",SUMPRODUCT(((tblY8[Class])&amp;""=($B12)&amp;"")*ISNUMBER(INDEX(tblY8[#Data],0,MATCH(Calc!$AF$3&amp;CHAR(10)&amp;"Stanine",tblY8[#Headers],0))),INDEX(tblY8[#Data],0,MATCH(Calc!$AF$3&amp;CHAR(10)&amp;"Stanine",tblY8[#Headers],0)))/SUMPRODUCT(((tblY8[Class])&amp;""=($B12)&amp;"")*ISNUMBER(INDEX(tblY8[#Data],0,MATCH(Calc!$AF$3&amp;CHAR(10)&amp;"Stanine",tblY8[#Headers],0))))),""))</f>
        <v>6.28571428571429</v>
      </c>
      <c r="M12" s="36">
        <f>IF($B12="","",IFERROR(IF(Calc!$AF$3="","",(SUMPRODUCT(((tblY8[Class])&amp;""=($B12)&amp;"")*ISNUMBER(INDEX(tblY8[#Data],0,MATCH(Calc!$AF$3&amp;CHAR(10)&amp;"Raw Score",tblY8[#Headers],0)))*((INDEX(tblY8[#Data],0,MATCH(Calc!$AF$3&amp;CHAR(10)&amp;"Raw Score",tblY8[#Headers],0)))&gt;=0))+SUMPRODUCT(((tblY8[Class])&amp;""=($B12)&amp;"")*((INDEX(tblY8[#Data],0,MATCH(Calc!$AF$3&amp;CHAR(10)&amp;"Raw Score",tblY8[#Headers],0)))&amp;""="A")))/SUMPRODUCT(--((tblY8[Class])&amp;""=($B12)&amp;""))),""))</f>
        <v>1</v>
      </c>
    </row>
    <row r="13">
      <c r="B13" s="31" t="str">
        <f>Calc!S4</f>
        <v>8A/Sc2</v>
      </c>
      <c r="C13" s="32" t="str">
        <f>IF($B13="","",IFERROR(INDEX(tblTeachers[Teacher],MATCH("Year 8"&amp;"|"&amp;$B13,tblTeachers[Key],0))&amp;"",""))</f>
        <v>Mr Hughes</v>
      </c>
      <c r="D13" s="33">
        <f>IF($B13="","",IFERROR(SUMPRODUCT(--((tblY8[Class])&amp;""=($B13)&amp;"")),""))</f>
        <v>25</v>
      </c>
      <c r="E13" s="34">
        <f>IF($B13="","",IFERROR(SUMPRODUCT(((tblY8[Class])&amp;""=($B13)&amp;"")*ISNUMBER(tblY8[Avg KS2 Band]),tblY8[Avg KS2 Band])/SUMPRODUCT(((tblY8[Class])&amp;""=($B13)&amp;"")*ISNUMBER(tblY8[Avg KS2 Band])),""))</f>
        <v>5.2</v>
      </c>
      <c r="F13" s="34">
        <f>IF($B13="","",IFERROR(SUMPRODUCT(((tblY8[Class])&amp;""=($B13)&amp;"")*ISNUMBER(tblY8[Tests Sat]),tblY8[Tests Sat])/SUMPRODUCT(((tblY8[Class])&amp;""=($B13)&amp;"")*ISNUMBER(tblY8[Tests Sat])),""))</f>
        <v>4.76</v>
      </c>
      <c r="G13" s="34">
        <f>IF($B13="","",IFERROR(SUMPRODUCT(((tblY8[Class])&amp;""=($B13)&amp;"")*ISNUMBER(tblY8[Mean Stanine]),tblY8[Mean Stanine])/SUMPRODUCT(((tblY8[Class])&amp;""=($B13)&amp;"")*ISNUMBER(tblY8[Mean Stanine])),""))</f>
        <v>5.108</v>
      </c>
      <c r="H13" s="35">
        <f>IF($B13="","",IFERROR(SUMPRODUCT(((tblY8[Class])&amp;""=($B13)&amp;"")*ISNUMBER(tblY8[vs Expected]),tblY8[vs Expected])/SUMPRODUCT(((tblY8[Class])&amp;""=($B13)&amp;"")*ISNUMBER(tblY8[vs Expected])),""))</f>
        <v>0.0103588079788514</v>
      </c>
      <c r="I13" s="36">
        <f>IF($B13="","",IFERROR(SUMPRODUCT(((tblY8[Class])&amp;""=($B13)&amp;"")*(RIGHT(tblY8[#Headers],8)=CHAR(10)&amp;"Stanine")*ISNUMBER(tblY8[#Data])*(tblY8[#Data]&gt;=7))/SUMPRODUCT(((tblY8[Class])&amp;""=($B13)&amp;"")*(RIGHT(tblY8[#Headers],8)=CHAR(10)&amp;"Stanine")*ISNUMBER(tblY8[#Data])),""))</f>
        <v>0.201680672268908</v>
      </c>
      <c r="J13" s="36">
        <f>IF($B13="","",IFERROR(SUMPRODUCT(((tblY8[Class])&amp;""=($B13)&amp;"")*(RIGHT(tblY8[#Headers],8)=CHAR(10)&amp;"Stanine")*ISNUMBER(tblY8[#Data])*(tblY8[#Data]&lt;=3))/SUMPRODUCT(((tblY8[Class])&amp;""=($B13)&amp;"")*(RIGHT(tblY8[#Headers],8)=CHAR(10)&amp;"Stanine")*ISNUMBER(tblY8[#Data])),""))</f>
        <v>0.176470588235294</v>
      </c>
      <c r="K13" s="36">
        <f>IF($B13="","",IFERROR(IF(Calc!$AF$3="","",SUMPRODUCT(((tblY8[Class])&amp;""=($B13)&amp;"")*ISNUMBER(INDEX(tblY8[#Data],0,MATCH(Calc!$AF$3&amp;CHAR(10)&amp;"Raw Score",tblY8[#Headers],0))),INDEX(tblY8[#Data],0,MATCH(Calc!$AF$3&amp;CHAR(10)&amp;"Raw Score",tblY8[#Headers],0)))/SUMPRODUCT(((tblY8[Class])&amp;""=($B13)&amp;"")*ISNUMBER(INDEX(tblY8[#Data],0,MATCH(Calc!$AF$3&amp;CHAR(10)&amp;"Raw Score",tblY8[#Headers],0))))/Calc!$AG$3),""))</f>
        <v>0.59963768115942</v>
      </c>
      <c r="L13" s="34">
        <f>IF($B13="","",IFERROR(IF(Calc!$AF$3="","",SUMPRODUCT(((tblY8[Class])&amp;""=($B13)&amp;"")*ISNUMBER(INDEX(tblY8[#Data],0,MATCH(Calc!$AF$3&amp;CHAR(10)&amp;"Stanine",tblY8[#Headers],0))),INDEX(tblY8[#Data],0,MATCH(Calc!$AF$3&amp;CHAR(10)&amp;"Stanine",tblY8[#Headers],0)))/SUMPRODUCT(((tblY8[Class])&amp;""=($B13)&amp;"")*ISNUMBER(INDEX(tblY8[#Data],0,MATCH(Calc!$AF$3&amp;CHAR(10)&amp;"Stanine",tblY8[#Headers],0))))),""))</f>
        <v>4.43478260869565</v>
      </c>
      <c r="M13" s="36">
        <f>IF($B13="","",IFERROR(IF(Calc!$AF$3="","",(SUMPRODUCT(((tblY8[Class])&amp;""=($B13)&amp;"")*ISNUMBER(INDEX(tblY8[#Data],0,MATCH(Calc!$AF$3&amp;CHAR(10)&amp;"Raw Score",tblY8[#Headers],0)))*((INDEX(tblY8[#Data],0,MATCH(Calc!$AF$3&amp;CHAR(10)&amp;"Raw Score",tblY8[#Headers],0)))&gt;=0))+SUMPRODUCT(((tblY8[Class])&amp;""=($B13)&amp;"")*((INDEX(tblY8[#Data],0,MATCH(Calc!$AF$3&amp;CHAR(10)&amp;"Raw Score",tblY8[#Headers],0)))&amp;""="A")))/SUMPRODUCT(--((tblY8[Class])&amp;""=($B13)&amp;""))),""))</f>
        <v>1</v>
      </c>
    </row>
    <row r="14">
      <c r="B14" s="31" t="str">
        <f>Calc!S5</f>
        <v>8A/Sc3</v>
      </c>
      <c r="C14" s="32" t="str">
        <f>IF($B14="","",IFERROR(INDEX(tblTeachers[Teacher],MATCH("Year 8"&amp;"|"&amp;$B14,tblTeachers[Key],0))&amp;"",""))</f>
        <v>Mr Owen</v>
      </c>
      <c r="D14" s="33">
        <f>IF($B14="","",IFERROR(SUMPRODUCT(--((tblY8[Class])&amp;""=($B14)&amp;"")),""))</f>
        <v>22</v>
      </c>
      <c r="E14" s="34">
        <f>IF($B14="","",IFERROR(SUMPRODUCT(((tblY8[Class])&amp;""=($B14)&amp;"")*ISNUMBER(tblY8[Avg KS2 Band]),tblY8[Avg KS2 Band])/SUMPRODUCT(((tblY8[Class])&amp;""=($B14)&amp;"")*ISNUMBER(tblY8[Avg KS2 Band])),""))</f>
        <v>4.52380952380952</v>
      </c>
      <c r="F14" s="34">
        <f>IF($B14="","",IFERROR(SUMPRODUCT(((tblY8[Class])&amp;""=($B14)&amp;"")*ISNUMBER(tblY8[Tests Sat]),tblY8[Tests Sat])/SUMPRODUCT(((tblY8[Class])&amp;""=($B14)&amp;"")*ISNUMBER(tblY8[Tests Sat])),""))</f>
        <v>4.90909090909091</v>
      </c>
      <c r="G14" s="34">
        <f>IF($B14="","",IFERROR(SUMPRODUCT(((tblY8[Class])&amp;""=($B14)&amp;"")*ISNUMBER(tblY8[Mean Stanine]),tblY8[Mean Stanine])/SUMPRODUCT(((tblY8[Class])&amp;""=($B14)&amp;"")*ISNUMBER(tblY8[Mean Stanine])),""))</f>
        <v>4.13863636363636</v>
      </c>
      <c r="H14" s="35">
        <f>IF($B14="","",IFERROR(SUMPRODUCT(((tblY8[Class])&amp;""=($B14)&amp;"")*ISNUMBER(tblY8[vs Expected]),tblY8[vs Expected])/SUMPRODUCT(((tblY8[Class])&amp;""=($B14)&amp;"")*ISNUMBER(tblY8[vs Expected])),""))</f>
        <v>-0.368567823668761</v>
      </c>
      <c r="I14" s="36">
        <f>IF($B14="","",IFERROR(SUMPRODUCT(((tblY8[Class])&amp;""=($B14)&amp;"")*(RIGHT(tblY8[#Headers],8)=CHAR(10)&amp;"Stanine")*ISNUMBER(tblY8[#Data])*(tblY8[#Data]&gt;=7))/SUMPRODUCT(((tblY8[Class])&amp;""=($B14)&amp;"")*(RIGHT(tblY8[#Headers],8)=CHAR(10)&amp;"Stanine")*ISNUMBER(tblY8[#Data])),""))</f>
        <v>0.12962962962963</v>
      </c>
      <c r="J14" s="36">
        <f>IF($B14="","",IFERROR(SUMPRODUCT(((tblY8[Class])&amp;""=($B14)&amp;"")*(RIGHT(tblY8[#Headers],8)=CHAR(10)&amp;"Stanine")*ISNUMBER(tblY8[#Data])*(tblY8[#Data]&lt;=3))/SUMPRODUCT(((tblY8[Class])&amp;""=($B14)&amp;"")*(RIGHT(tblY8[#Headers],8)=CHAR(10)&amp;"Stanine")*ISNUMBER(tblY8[#Data])),""))</f>
        <v>0.398148148148148</v>
      </c>
      <c r="K14" s="36">
        <f>IF($B14="","",IFERROR(IF(Calc!$AF$3="","",SUMPRODUCT(((tblY8[Class])&amp;""=($B14)&amp;"")*ISNUMBER(INDEX(tblY8[#Data],0,MATCH(Calc!$AF$3&amp;CHAR(10)&amp;"Raw Score",tblY8[#Headers],0))),INDEX(tblY8[#Data],0,MATCH(Calc!$AF$3&amp;CHAR(10)&amp;"Raw Score",tblY8[#Headers],0)))/SUMPRODUCT(((tblY8[Class])&amp;""=($B14)&amp;"")*ISNUMBER(INDEX(tblY8[#Data],0,MATCH(Calc!$AF$3&amp;CHAR(10)&amp;"Raw Score",tblY8[#Headers],0))))/Calc!$AG$3),""))</f>
        <v>0.560416666666667</v>
      </c>
      <c r="L14" s="34">
        <f>IF($B14="","",IFERROR(IF(Calc!$AF$3="","",SUMPRODUCT(((tblY8[Class])&amp;""=($B14)&amp;"")*ISNUMBER(INDEX(tblY8[#Data],0,MATCH(Calc!$AF$3&amp;CHAR(10)&amp;"Stanine",tblY8[#Headers],0))),INDEX(tblY8[#Data],0,MATCH(Calc!$AF$3&amp;CHAR(10)&amp;"Stanine",tblY8[#Headers],0)))/SUMPRODUCT(((tblY8[Class])&amp;""=($B14)&amp;"")*ISNUMBER(INDEX(tblY8[#Data],0,MATCH(Calc!$AF$3&amp;CHAR(10)&amp;"Stanine",tblY8[#Headers],0))))),""))</f>
        <v>4.05</v>
      </c>
      <c r="M14" s="36">
        <f>IF($B14="","",IFERROR(IF(Calc!$AF$3="","",(SUMPRODUCT(((tblY8[Class])&amp;""=($B14)&amp;"")*ISNUMBER(INDEX(tblY8[#Data],0,MATCH(Calc!$AF$3&amp;CHAR(10)&amp;"Raw Score",tblY8[#Headers],0)))*((INDEX(tblY8[#Data],0,MATCH(Calc!$AF$3&amp;CHAR(10)&amp;"Raw Score",tblY8[#Headers],0)))&gt;=0))+SUMPRODUCT(((tblY8[Class])&amp;""=($B14)&amp;"")*((INDEX(tblY8[#Data],0,MATCH(Calc!$AF$3&amp;CHAR(10)&amp;"Raw Score",tblY8[#Headers],0)))&amp;""="A")))/SUMPRODUCT(--((tblY8[Class])&amp;""=($B14)&amp;""))),""))</f>
        <v>1</v>
      </c>
    </row>
    <row r="15">
      <c r="B15" s="31" t="str">
        <f>Calc!S6</f>
        <v>8A/Sc4</v>
      </c>
      <c r="C15" s="32" t="str">
        <f>IF($B15="","",IFERROR(INDEX(tblTeachers[Teacher],MATCH("Year 8"&amp;"|"&amp;$B15,tblTeachers[Key],0))&amp;"",""))</f>
        <v>Ms Adeyemi</v>
      </c>
      <c r="D15" s="33">
        <f>IF($B15="","",IFERROR(SUMPRODUCT(--((tblY8[Class])&amp;""=($B15)&amp;"")),""))</f>
        <v>16</v>
      </c>
      <c r="E15" s="34">
        <f>IF($B15="","",IFERROR(SUMPRODUCT(((tblY8[Class])&amp;""=($B15)&amp;"")*ISNUMBER(tblY8[Avg KS2 Band]),tblY8[Avg KS2 Band])/SUMPRODUCT(((tblY8[Class])&amp;""=($B15)&amp;"")*ISNUMBER(tblY8[Avg KS2 Band])),""))</f>
        <v>3.375</v>
      </c>
      <c r="F15" s="34">
        <f>IF($B15="","",IFERROR(SUMPRODUCT(((tblY8[Class])&amp;""=($B15)&amp;"")*ISNUMBER(tblY8[Tests Sat]),tblY8[Tests Sat])/SUMPRODUCT(((tblY8[Class])&amp;""=($B15)&amp;"")*ISNUMBER(tblY8[Tests Sat])),""))</f>
        <v>3.9375</v>
      </c>
      <c r="G15" s="34">
        <f>IF($B15="","",IFERROR(SUMPRODUCT(((tblY8[Class])&amp;""=($B15)&amp;"")*ISNUMBER(tblY8[Mean Stanine]),tblY8[Mean Stanine])/SUMPRODUCT(((tblY8[Class])&amp;""=($B15)&amp;"")*ISNUMBER(tblY8[Mean Stanine])),""))</f>
        <v>3.484375</v>
      </c>
      <c r="H15" s="35">
        <f>IF($B15="","",IFERROR(SUMPRODUCT(((tblY8[Class])&amp;""=($B15)&amp;"")*ISNUMBER(tblY8[vs Expected]),tblY8[vs Expected])/SUMPRODUCT(((tblY8[Class])&amp;""=($B15)&amp;"")*ISNUMBER(tblY8[vs Expected])),""))</f>
        <v>-0.191753034126412</v>
      </c>
      <c r="I15" s="36">
        <f>IF($B15="","",IFERROR(SUMPRODUCT(((tblY8[Class])&amp;""=($B15)&amp;"")*(RIGHT(tblY8[#Headers],8)=CHAR(10)&amp;"Stanine")*ISNUMBER(tblY8[#Data])*(tblY8[#Data]&gt;=7))/SUMPRODUCT(((tblY8[Class])&amp;""=($B15)&amp;"")*(RIGHT(tblY8[#Headers],8)=CHAR(10)&amp;"Stanine")*ISNUMBER(tblY8[#Data])),""))</f>
        <v>0.0317460317460317</v>
      </c>
      <c r="J15" s="36">
        <f>IF($B15="","",IFERROR(SUMPRODUCT(((tblY8[Class])&amp;""=($B15)&amp;"")*(RIGHT(tblY8[#Headers],8)=CHAR(10)&amp;"Stanine")*ISNUMBER(tblY8[#Data])*(tblY8[#Data]&lt;=3))/SUMPRODUCT(((tblY8[Class])&amp;""=($B15)&amp;"")*(RIGHT(tblY8[#Headers],8)=CHAR(10)&amp;"Stanine")*ISNUMBER(tblY8[#Data])),""))</f>
        <v>0.555555555555556</v>
      </c>
      <c r="K15" s="36" t="str">
        <f>IF($B15="","",IFERROR(IF(Calc!$AF$3="","",SUMPRODUCT(((tblY8[Class])&amp;""=($B15)&amp;"")*ISNUMBER(INDEX(tblY8[#Data],0,MATCH(Calc!$AF$3&amp;CHAR(10)&amp;"Raw Score",tblY8[#Headers],0))),INDEX(tblY8[#Data],0,MATCH(Calc!$AF$3&amp;CHAR(10)&amp;"Raw Score",tblY8[#Headers],0)))/SUMPRODUCT(((tblY8[Class])&amp;""=($B15)&amp;"")*ISNUMBER(INDEX(tblY8[#Data],0,MATCH(Calc!$AF$3&amp;CHAR(10)&amp;"Raw Score",tblY8[#Headers],0))))/Calc!$AG$3),""))</f>
        <v/>
      </c>
      <c r="L15" s="34" t="str">
        <f>IF($B15="","",IFERROR(IF(Calc!$AF$3="","",SUMPRODUCT(((tblY8[Class])&amp;""=($B15)&amp;"")*ISNUMBER(INDEX(tblY8[#Data],0,MATCH(Calc!$AF$3&amp;CHAR(10)&amp;"Stanine",tblY8[#Headers],0))),INDEX(tblY8[#Data],0,MATCH(Calc!$AF$3&amp;CHAR(10)&amp;"Stanine",tblY8[#Headers],0)))/SUMPRODUCT(((tblY8[Class])&amp;""=($B15)&amp;"")*ISNUMBER(INDEX(tblY8[#Data],0,MATCH(Calc!$AF$3&amp;CHAR(10)&amp;"Stanine",tblY8[#Headers],0))))),""))</f>
        <v/>
      </c>
      <c r="M15" s="36">
        <f>IF($B15="","",IFERROR(IF(Calc!$AF$3="","",(SUMPRODUCT(((tblY8[Class])&amp;""=($B15)&amp;"")*ISNUMBER(INDEX(tblY8[#Data],0,MATCH(Calc!$AF$3&amp;CHAR(10)&amp;"Raw Score",tblY8[#Headers],0)))*((INDEX(tblY8[#Data],0,MATCH(Calc!$AF$3&amp;CHAR(10)&amp;"Raw Score",tblY8[#Headers],0)))&gt;=0))+SUMPRODUCT(((tblY8[Class])&amp;""=($B15)&amp;"")*((INDEX(tblY8[#Data],0,MATCH(Calc!$AF$3&amp;CHAR(10)&amp;"Raw Score",tblY8[#Headers],0)))&amp;""="A")))/SUMPRODUCT(--((tblY8[Class])&amp;""=($B15)&amp;""))),""))</f>
        <v>0</v>
      </c>
    </row>
    <row r="16">
      <c r="B16" s="31" t="str">
        <f>Calc!S7</f>
        <v>Science Support</v>
      </c>
      <c r="C16" s="32" t="str">
        <f>IF($B16="","",IFERROR(INDEX(tblTeachers[Teacher],MATCH("Year 8"&amp;"|"&amp;$B16,tblTeachers[Key],0))&amp;"",""))</f>
        <v>Mrs Evans</v>
      </c>
      <c r="D16" s="33">
        <f>IF($B16="","",IFERROR(SUMPRODUCT(--((tblY8[Class])&amp;""=($B16)&amp;"")),""))</f>
        <v>2</v>
      </c>
      <c r="E16" s="34">
        <f>IF($B16="","",IFERROR(SUMPRODUCT(((tblY8[Class])&amp;""=($B16)&amp;"")*ISNUMBER(tblY8[Avg KS2 Band]),tblY8[Avg KS2 Band])/SUMPRODUCT(((tblY8[Class])&amp;""=($B16)&amp;"")*ISNUMBER(tblY8[Avg KS2 Band])),""))</f>
        <v>2.5</v>
      </c>
      <c r="F16" s="34">
        <f>IF($B16="","",IFERROR(SUMPRODUCT(((tblY8[Class])&amp;""=($B16)&amp;"")*ISNUMBER(tblY8[Tests Sat]),tblY8[Tests Sat])/SUMPRODUCT(((tblY8[Class])&amp;""=($B16)&amp;"")*ISNUMBER(tblY8[Tests Sat])),""))</f>
        <v>4</v>
      </c>
      <c r="G16" s="34">
        <f>IF($B16="","",IFERROR(SUMPRODUCT(((tblY8[Class])&amp;""=($B16)&amp;"")*ISNUMBER(tblY8[Mean Stanine]),tblY8[Mean Stanine])/SUMPRODUCT(((tblY8[Class])&amp;""=($B16)&amp;"")*ISNUMBER(tblY8[Mean Stanine])),""))</f>
        <v>1.5</v>
      </c>
      <c r="H16" s="35">
        <f>IF($B16="","",IFERROR(SUMPRODUCT(((tblY8[Class])&amp;""=($B16)&amp;"")*ISNUMBER(tblY8[vs Expected]),tblY8[vs Expected])/SUMPRODUCT(((tblY8[Class])&amp;""=($B16)&amp;"")*ISNUMBER(tblY8[vs Expected])),""))</f>
        <v>-1.49458062965633</v>
      </c>
      <c r="I16" s="36">
        <f>IF($B16="","",IFERROR(SUMPRODUCT(((tblY8[Class])&amp;""=($B16)&amp;"")*(RIGHT(tblY8[#Headers],8)=CHAR(10)&amp;"Stanine")*ISNUMBER(tblY8[#Data])*(tblY8[#Data]&gt;=7))/SUMPRODUCT(((tblY8[Class])&amp;""=($B16)&amp;"")*(RIGHT(tblY8[#Headers],8)=CHAR(10)&amp;"Stanine")*ISNUMBER(tblY8[#Data])),""))</f>
        <v>0</v>
      </c>
      <c r="J16" s="36">
        <f>IF($B16="","",IFERROR(SUMPRODUCT(((tblY8[Class])&amp;""=($B16)&amp;"")*(RIGHT(tblY8[#Headers],8)=CHAR(10)&amp;"Stanine")*ISNUMBER(tblY8[#Data])*(tblY8[#Data]&lt;=3))/SUMPRODUCT(((tblY8[Class])&amp;""=($B16)&amp;"")*(RIGHT(tblY8[#Headers],8)=CHAR(10)&amp;"Stanine")*ISNUMBER(tblY8[#Data])),""))</f>
        <v>1</v>
      </c>
      <c r="K16" s="36" t="str">
        <f>IF($B16="","",IFERROR(IF(Calc!$AF$3="","",SUMPRODUCT(((tblY8[Class])&amp;""=($B16)&amp;"")*ISNUMBER(INDEX(tblY8[#Data],0,MATCH(Calc!$AF$3&amp;CHAR(10)&amp;"Raw Score",tblY8[#Headers],0))),INDEX(tblY8[#Data],0,MATCH(Calc!$AF$3&amp;CHAR(10)&amp;"Raw Score",tblY8[#Headers],0)))/SUMPRODUCT(((tblY8[Class])&amp;""=($B16)&amp;"")*ISNUMBER(INDEX(tblY8[#Data],0,MATCH(Calc!$AF$3&amp;CHAR(10)&amp;"Raw Score",tblY8[#Headers],0))))/Calc!$AG$3),""))</f>
        <v/>
      </c>
      <c r="L16" s="34" t="str">
        <f>IF($B16="","",IFERROR(IF(Calc!$AF$3="","",SUMPRODUCT(((tblY8[Class])&amp;""=($B16)&amp;"")*ISNUMBER(INDEX(tblY8[#Data],0,MATCH(Calc!$AF$3&amp;CHAR(10)&amp;"Stanine",tblY8[#Headers],0))),INDEX(tblY8[#Data],0,MATCH(Calc!$AF$3&amp;CHAR(10)&amp;"Stanine",tblY8[#Headers],0)))/SUMPRODUCT(((tblY8[Class])&amp;""=($B16)&amp;"")*ISNUMBER(INDEX(tblY8[#Data],0,MATCH(Calc!$AF$3&amp;CHAR(10)&amp;"Stanine",tblY8[#Headers],0))))),""))</f>
        <v/>
      </c>
      <c r="M16" s="36">
        <f>IF($B16="","",IFERROR(IF(Calc!$AF$3="","",(SUMPRODUCT(((tblY8[Class])&amp;""=($B16)&amp;"")*ISNUMBER(INDEX(tblY8[#Data],0,MATCH(Calc!$AF$3&amp;CHAR(10)&amp;"Raw Score",tblY8[#Headers],0)))*((INDEX(tblY8[#Data],0,MATCH(Calc!$AF$3&amp;CHAR(10)&amp;"Raw Score",tblY8[#Headers],0)))&gt;=0))+SUMPRODUCT(((tblY8[Class])&amp;""=($B16)&amp;"")*((INDEX(tblY8[#Data],0,MATCH(Calc!$AF$3&amp;CHAR(10)&amp;"Raw Score",tblY8[#Headers],0)))&amp;""="A")))/SUMPRODUCT(--((tblY8[Class])&amp;""=($B16)&amp;""))),""))</f>
        <v>0</v>
      </c>
    </row>
    <row r="17">
      <c r="B17" s="31" t="str">
        <f>Calc!S8</f>
        <v/>
      </c>
      <c r="C17" s="32" t="str">
        <f>IF($B17="","",IFERROR(INDEX(tblTeachers[Teacher],MATCH("Year 8"&amp;"|"&amp;$B17,tblTeachers[Key],0))&amp;"",""))</f>
        <v/>
      </c>
      <c r="D17" s="33" t="str">
        <f>IF($B17="","",IFERROR(SUMPRODUCT(--((tblY8[Class])&amp;""=($B17)&amp;"")),""))</f>
        <v/>
      </c>
      <c r="E17" s="34" t="str">
        <f>IF($B17="","",IFERROR(SUMPRODUCT(((tblY8[Class])&amp;""=($B17)&amp;"")*ISNUMBER(tblY8[Avg KS2 Band]),tblY8[Avg KS2 Band])/SUMPRODUCT(((tblY8[Class])&amp;""=($B17)&amp;"")*ISNUMBER(tblY8[Avg KS2 Band])),""))</f>
        <v/>
      </c>
      <c r="F17" s="34" t="str">
        <f>IF($B17="","",IFERROR(SUMPRODUCT(((tblY8[Class])&amp;""=($B17)&amp;"")*ISNUMBER(tblY8[Tests Sat]),tblY8[Tests Sat])/SUMPRODUCT(((tblY8[Class])&amp;""=($B17)&amp;"")*ISNUMBER(tblY8[Tests Sat])),""))</f>
        <v/>
      </c>
      <c r="G17" s="34" t="str">
        <f>IF($B17="","",IFERROR(SUMPRODUCT(((tblY8[Class])&amp;""=($B17)&amp;"")*ISNUMBER(tblY8[Mean Stanine]),tblY8[Mean Stanine])/SUMPRODUCT(((tblY8[Class])&amp;""=($B17)&amp;"")*ISNUMBER(tblY8[Mean Stanine])),""))</f>
        <v/>
      </c>
      <c r="H17" s="35" t="str">
        <f>IF($B17="","",IFERROR(SUMPRODUCT(((tblY8[Class])&amp;""=($B17)&amp;"")*ISNUMBER(tblY8[vs Expected]),tblY8[vs Expected])/SUMPRODUCT(((tblY8[Class])&amp;""=($B17)&amp;"")*ISNUMBER(tblY8[vs Expected])),""))</f>
        <v/>
      </c>
      <c r="I17" s="36" t="str">
        <f>IF($B17="","",IFERROR(SUMPRODUCT(((tblY8[Class])&amp;""=($B17)&amp;"")*(RIGHT(tblY8[#Headers],8)=CHAR(10)&amp;"Stanine")*ISNUMBER(tblY8[#Data])*(tblY8[#Data]&gt;=7))/SUMPRODUCT(((tblY8[Class])&amp;""=($B17)&amp;"")*(RIGHT(tblY8[#Headers],8)=CHAR(10)&amp;"Stanine")*ISNUMBER(tblY8[#Data])),""))</f>
        <v/>
      </c>
      <c r="J17" s="36" t="str">
        <f>IF($B17="","",IFERROR(SUMPRODUCT(((tblY8[Class])&amp;""=($B17)&amp;"")*(RIGHT(tblY8[#Headers],8)=CHAR(10)&amp;"Stanine")*ISNUMBER(tblY8[#Data])*(tblY8[#Data]&lt;=3))/SUMPRODUCT(((tblY8[Class])&amp;""=($B17)&amp;"")*(RIGHT(tblY8[#Headers],8)=CHAR(10)&amp;"Stanine")*ISNUMBER(tblY8[#Data])),""))</f>
        <v/>
      </c>
      <c r="K17" s="36" t="str">
        <f>IF($B17="","",IFERROR(IF(Calc!$AF$3="","",SUMPRODUCT(((tblY8[Class])&amp;""=($B17)&amp;"")*ISNUMBER(INDEX(tblY8[#Data],0,MATCH(Calc!$AF$3&amp;CHAR(10)&amp;"Raw Score",tblY8[#Headers],0))),INDEX(tblY8[#Data],0,MATCH(Calc!$AF$3&amp;CHAR(10)&amp;"Raw Score",tblY8[#Headers],0)))/SUMPRODUCT(((tblY8[Class])&amp;""=($B17)&amp;"")*ISNUMBER(INDEX(tblY8[#Data],0,MATCH(Calc!$AF$3&amp;CHAR(10)&amp;"Raw Score",tblY8[#Headers],0))))/Calc!$AG$3),""))</f>
        <v/>
      </c>
      <c r="L17" s="34" t="str">
        <f>IF($B17="","",IFERROR(IF(Calc!$AF$3="","",SUMPRODUCT(((tblY8[Class])&amp;""=($B17)&amp;"")*ISNUMBER(INDEX(tblY8[#Data],0,MATCH(Calc!$AF$3&amp;CHAR(10)&amp;"Stanine",tblY8[#Headers],0))),INDEX(tblY8[#Data],0,MATCH(Calc!$AF$3&amp;CHAR(10)&amp;"Stanine",tblY8[#Headers],0)))/SUMPRODUCT(((tblY8[Class])&amp;""=($B17)&amp;"")*ISNUMBER(INDEX(tblY8[#Data],0,MATCH(Calc!$AF$3&amp;CHAR(10)&amp;"Stanine",tblY8[#Headers],0))))),""))</f>
        <v/>
      </c>
      <c r="M17" s="36" t="str">
        <f>IF($B17="","",IFERROR(IF(Calc!$AF$3="","",(SUMPRODUCT(((tblY8[Class])&amp;""=($B17)&amp;"")*ISNUMBER(INDEX(tblY8[#Data],0,MATCH(Calc!$AF$3&amp;CHAR(10)&amp;"Raw Score",tblY8[#Headers],0)))*((INDEX(tblY8[#Data],0,MATCH(Calc!$AF$3&amp;CHAR(10)&amp;"Raw Score",tblY8[#Headers],0)))&gt;=0))+SUMPRODUCT(((tblY8[Class])&amp;""=($B17)&amp;"")*((INDEX(tblY8[#Data],0,MATCH(Calc!$AF$3&amp;CHAR(10)&amp;"Raw Score",tblY8[#Headers],0)))&amp;""="A")))/SUMPRODUCT(--((tblY8[Class])&amp;""=($B17)&amp;""))),""))</f>
        <v/>
      </c>
    </row>
    <row r="18">
      <c r="B18" s="31" t="str">
        <f>Calc!S9</f>
        <v/>
      </c>
      <c r="C18" s="32" t="str">
        <f>IF($B18="","",IFERROR(INDEX(tblTeachers[Teacher],MATCH("Year 8"&amp;"|"&amp;$B18,tblTeachers[Key],0))&amp;"",""))</f>
        <v/>
      </c>
      <c r="D18" s="33" t="str">
        <f>IF($B18="","",IFERROR(SUMPRODUCT(--((tblY8[Class])&amp;""=($B18)&amp;"")),""))</f>
        <v/>
      </c>
      <c r="E18" s="34" t="str">
        <f>IF($B18="","",IFERROR(SUMPRODUCT(((tblY8[Class])&amp;""=($B18)&amp;"")*ISNUMBER(tblY8[Avg KS2 Band]),tblY8[Avg KS2 Band])/SUMPRODUCT(((tblY8[Class])&amp;""=($B18)&amp;"")*ISNUMBER(tblY8[Avg KS2 Band])),""))</f>
        <v/>
      </c>
      <c r="F18" s="34" t="str">
        <f>IF($B18="","",IFERROR(SUMPRODUCT(((tblY8[Class])&amp;""=($B18)&amp;"")*ISNUMBER(tblY8[Tests Sat]),tblY8[Tests Sat])/SUMPRODUCT(((tblY8[Class])&amp;""=($B18)&amp;"")*ISNUMBER(tblY8[Tests Sat])),""))</f>
        <v/>
      </c>
      <c r="G18" s="34" t="str">
        <f>IF($B18="","",IFERROR(SUMPRODUCT(((tblY8[Class])&amp;""=($B18)&amp;"")*ISNUMBER(tblY8[Mean Stanine]),tblY8[Mean Stanine])/SUMPRODUCT(((tblY8[Class])&amp;""=($B18)&amp;"")*ISNUMBER(tblY8[Mean Stanine])),""))</f>
        <v/>
      </c>
      <c r="H18" s="35" t="str">
        <f>IF($B18="","",IFERROR(SUMPRODUCT(((tblY8[Class])&amp;""=($B18)&amp;"")*ISNUMBER(tblY8[vs Expected]),tblY8[vs Expected])/SUMPRODUCT(((tblY8[Class])&amp;""=($B18)&amp;"")*ISNUMBER(tblY8[vs Expected])),""))</f>
        <v/>
      </c>
      <c r="I18" s="36" t="str">
        <f>IF($B18="","",IFERROR(SUMPRODUCT(((tblY8[Class])&amp;""=($B18)&amp;"")*(RIGHT(tblY8[#Headers],8)=CHAR(10)&amp;"Stanine")*ISNUMBER(tblY8[#Data])*(tblY8[#Data]&gt;=7))/SUMPRODUCT(((tblY8[Class])&amp;""=($B18)&amp;"")*(RIGHT(tblY8[#Headers],8)=CHAR(10)&amp;"Stanine")*ISNUMBER(tblY8[#Data])),""))</f>
        <v/>
      </c>
      <c r="J18" s="36" t="str">
        <f>IF($B18="","",IFERROR(SUMPRODUCT(((tblY8[Class])&amp;""=($B18)&amp;"")*(RIGHT(tblY8[#Headers],8)=CHAR(10)&amp;"Stanine")*ISNUMBER(tblY8[#Data])*(tblY8[#Data]&lt;=3))/SUMPRODUCT(((tblY8[Class])&amp;""=($B18)&amp;"")*(RIGHT(tblY8[#Headers],8)=CHAR(10)&amp;"Stanine")*ISNUMBER(tblY8[#Data])),""))</f>
        <v/>
      </c>
      <c r="K18" s="36" t="str">
        <f>IF($B18="","",IFERROR(IF(Calc!$AF$3="","",SUMPRODUCT(((tblY8[Class])&amp;""=($B18)&amp;"")*ISNUMBER(INDEX(tblY8[#Data],0,MATCH(Calc!$AF$3&amp;CHAR(10)&amp;"Raw Score",tblY8[#Headers],0))),INDEX(tblY8[#Data],0,MATCH(Calc!$AF$3&amp;CHAR(10)&amp;"Raw Score",tblY8[#Headers],0)))/SUMPRODUCT(((tblY8[Class])&amp;""=($B18)&amp;"")*ISNUMBER(INDEX(tblY8[#Data],0,MATCH(Calc!$AF$3&amp;CHAR(10)&amp;"Raw Score",tblY8[#Headers],0))))/Calc!$AG$3),""))</f>
        <v/>
      </c>
      <c r="L18" s="34" t="str">
        <f>IF($B18="","",IFERROR(IF(Calc!$AF$3="","",SUMPRODUCT(((tblY8[Class])&amp;""=($B18)&amp;"")*ISNUMBER(INDEX(tblY8[#Data],0,MATCH(Calc!$AF$3&amp;CHAR(10)&amp;"Stanine",tblY8[#Headers],0))),INDEX(tblY8[#Data],0,MATCH(Calc!$AF$3&amp;CHAR(10)&amp;"Stanine",tblY8[#Headers],0)))/SUMPRODUCT(((tblY8[Class])&amp;""=($B18)&amp;"")*ISNUMBER(INDEX(tblY8[#Data],0,MATCH(Calc!$AF$3&amp;CHAR(10)&amp;"Stanine",tblY8[#Headers],0))))),""))</f>
        <v/>
      </c>
      <c r="M18" s="36" t="str">
        <f>IF($B18="","",IFERROR(IF(Calc!$AF$3="","",(SUMPRODUCT(((tblY8[Class])&amp;""=($B18)&amp;"")*ISNUMBER(INDEX(tblY8[#Data],0,MATCH(Calc!$AF$3&amp;CHAR(10)&amp;"Raw Score",tblY8[#Headers],0)))*((INDEX(tblY8[#Data],0,MATCH(Calc!$AF$3&amp;CHAR(10)&amp;"Raw Score",tblY8[#Headers],0)))&gt;=0))+SUMPRODUCT(((tblY8[Class])&amp;""=($B18)&amp;"")*((INDEX(tblY8[#Data],0,MATCH(Calc!$AF$3&amp;CHAR(10)&amp;"Raw Score",tblY8[#Headers],0)))&amp;""="A")))/SUMPRODUCT(--((tblY8[Class])&amp;""=($B18)&amp;""))),""))</f>
        <v/>
      </c>
    </row>
    <row r="19">
      <c r="B19" s="31" t="str">
        <f>Calc!S10</f>
        <v/>
      </c>
      <c r="C19" s="32" t="str">
        <f>IF($B19="","",IFERROR(INDEX(tblTeachers[Teacher],MATCH("Year 8"&amp;"|"&amp;$B19,tblTeachers[Key],0))&amp;"",""))</f>
        <v/>
      </c>
      <c r="D19" s="33" t="str">
        <f>IF($B19="","",IFERROR(SUMPRODUCT(--((tblY8[Class])&amp;""=($B19)&amp;"")),""))</f>
        <v/>
      </c>
      <c r="E19" s="34" t="str">
        <f>IF($B19="","",IFERROR(SUMPRODUCT(((tblY8[Class])&amp;""=($B19)&amp;"")*ISNUMBER(tblY8[Avg KS2 Band]),tblY8[Avg KS2 Band])/SUMPRODUCT(((tblY8[Class])&amp;""=($B19)&amp;"")*ISNUMBER(tblY8[Avg KS2 Band])),""))</f>
        <v/>
      </c>
      <c r="F19" s="34" t="str">
        <f>IF($B19="","",IFERROR(SUMPRODUCT(((tblY8[Class])&amp;""=($B19)&amp;"")*ISNUMBER(tblY8[Tests Sat]),tblY8[Tests Sat])/SUMPRODUCT(((tblY8[Class])&amp;""=($B19)&amp;"")*ISNUMBER(tblY8[Tests Sat])),""))</f>
        <v/>
      </c>
      <c r="G19" s="34" t="str">
        <f>IF($B19="","",IFERROR(SUMPRODUCT(((tblY8[Class])&amp;""=($B19)&amp;"")*ISNUMBER(tblY8[Mean Stanine]),tblY8[Mean Stanine])/SUMPRODUCT(((tblY8[Class])&amp;""=($B19)&amp;"")*ISNUMBER(tblY8[Mean Stanine])),""))</f>
        <v/>
      </c>
      <c r="H19" s="35" t="str">
        <f>IF($B19="","",IFERROR(SUMPRODUCT(((tblY8[Class])&amp;""=($B19)&amp;"")*ISNUMBER(tblY8[vs Expected]),tblY8[vs Expected])/SUMPRODUCT(((tblY8[Class])&amp;""=($B19)&amp;"")*ISNUMBER(tblY8[vs Expected])),""))</f>
        <v/>
      </c>
      <c r="I19" s="36" t="str">
        <f>IF($B19="","",IFERROR(SUMPRODUCT(((tblY8[Class])&amp;""=($B19)&amp;"")*(RIGHT(tblY8[#Headers],8)=CHAR(10)&amp;"Stanine")*ISNUMBER(tblY8[#Data])*(tblY8[#Data]&gt;=7))/SUMPRODUCT(((tblY8[Class])&amp;""=($B19)&amp;"")*(RIGHT(tblY8[#Headers],8)=CHAR(10)&amp;"Stanine")*ISNUMBER(tblY8[#Data])),""))</f>
        <v/>
      </c>
      <c r="J19" s="36" t="str">
        <f>IF($B19="","",IFERROR(SUMPRODUCT(((tblY8[Class])&amp;""=($B19)&amp;"")*(RIGHT(tblY8[#Headers],8)=CHAR(10)&amp;"Stanine")*ISNUMBER(tblY8[#Data])*(tblY8[#Data]&lt;=3))/SUMPRODUCT(((tblY8[Class])&amp;""=($B19)&amp;"")*(RIGHT(tblY8[#Headers],8)=CHAR(10)&amp;"Stanine")*ISNUMBER(tblY8[#Data])),""))</f>
        <v/>
      </c>
      <c r="K19" s="36" t="str">
        <f>IF($B19="","",IFERROR(IF(Calc!$AF$3="","",SUMPRODUCT(((tblY8[Class])&amp;""=($B19)&amp;"")*ISNUMBER(INDEX(tblY8[#Data],0,MATCH(Calc!$AF$3&amp;CHAR(10)&amp;"Raw Score",tblY8[#Headers],0))),INDEX(tblY8[#Data],0,MATCH(Calc!$AF$3&amp;CHAR(10)&amp;"Raw Score",tblY8[#Headers],0)))/SUMPRODUCT(((tblY8[Class])&amp;""=($B19)&amp;"")*ISNUMBER(INDEX(tblY8[#Data],0,MATCH(Calc!$AF$3&amp;CHAR(10)&amp;"Raw Score",tblY8[#Headers],0))))/Calc!$AG$3),""))</f>
        <v/>
      </c>
      <c r="L19" s="34" t="str">
        <f>IF($B19="","",IFERROR(IF(Calc!$AF$3="","",SUMPRODUCT(((tblY8[Class])&amp;""=($B19)&amp;"")*ISNUMBER(INDEX(tblY8[#Data],0,MATCH(Calc!$AF$3&amp;CHAR(10)&amp;"Stanine",tblY8[#Headers],0))),INDEX(tblY8[#Data],0,MATCH(Calc!$AF$3&amp;CHAR(10)&amp;"Stanine",tblY8[#Headers],0)))/SUMPRODUCT(((tblY8[Class])&amp;""=($B19)&amp;"")*ISNUMBER(INDEX(tblY8[#Data],0,MATCH(Calc!$AF$3&amp;CHAR(10)&amp;"Stanine",tblY8[#Headers],0))))),""))</f>
        <v/>
      </c>
      <c r="M19" s="36" t="str">
        <f>IF($B19="","",IFERROR(IF(Calc!$AF$3="","",(SUMPRODUCT(((tblY8[Class])&amp;""=($B19)&amp;"")*ISNUMBER(INDEX(tblY8[#Data],0,MATCH(Calc!$AF$3&amp;CHAR(10)&amp;"Raw Score",tblY8[#Headers],0)))*((INDEX(tblY8[#Data],0,MATCH(Calc!$AF$3&amp;CHAR(10)&amp;"Raw Score",tblY8[#Headers],0)))&gt;=0))+SUMPRODUCT(((tblY8[Class])&amp;""=($B19)&amp;"")*((INDEX(tblY8[#Data],0,MATCH(Calc!$AF$3&amp;CHAR(10)&amp;"Raw Score",tblY8[#Headers],0)))&amp;""="A")))/SUMPRODUCT(--((tblY8[Class])&amp;""=($B19)&amp;""))),""))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8</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93</v>
      </c>
      <c r="J5" s="19" t="n"/>
      <c r="K5" s="20">
        <f>IFERROR(dTestCount,0)</f>
        <v>5</v>
      </c>
      <c r="L5" s="19" t="n"/>
      <c r="M5" s="41">
        <f>IFERROR((COUNT(dRaw)+COUNTIF(dRaw,"A"))/dCount,"-")</f>
        <v>0.806451612903226</v>
      </c>
      <c r="N5" s="19" t="n"/>
      <c r="O5" s="41">
        <f>IFERROR(AVERAGE(dRaw)/dMax,"-")</f>
        <v>0.64906103286385</v>
      </c>
      <c r="P5" s="19" t="n"/>
      <c r="Q5" s="19" t="n"/>
    </row>
    <row r="6">
      <c r="B6" s="38" t="inlineStr">
        <is>
          <t>Test</t>
        </is>
      </c>
      <c r="C6" s="39" t="inlineStr">
        <is>
          <t>8P02 - Light</t>
        </is>
      </c>
      <c r="D6" s="42" t="n"/>
      <c r="E6" s="42" t="n"/>
      <c r="F6" s="42" t="n"/>
      <c r="G6" s="40" t="n"/>
      <c r="I6" s="19" t="n"/>
      <c r="J6" s="19" t="n"/>
      <c r="K6" s="19" t="n"/>
      <c r="L6" s="19" t="n"/>
      <c r="M6" s="19" t="n"/>
      <c r="N6" s="19" t="n"/>
      <c r="O6" s="19" t="n"/>
      <c r="P6" s="19" t="n"/>
      <c r="Q6" s="19" t="n"/>
    </row>
    <row r="7">
      <c r="B7" s="38" t="inlineStr">
        <is>
          <t>Focus class (trend chart)</t>
        </is>
      </c>
      <c r="C7" s="39" t="inlineStr">
        <is>
          <t>8A/Sc1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8P02 - Light   ·   out of 24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93</v>
      </c>
      <c r="E12" s="46">
        <f>IFERROR(IF(dHasTest,COUNT(dRaw),""),"")</f>
        <v>71</v>
      </c>
      <c r="F12" s="46">
        <f>IFERROR(COUNTIF(dRaw,"A"),"")</f>
        <v>4</v>
      </c>
      <c r="G12" s="46">
        <f>IFERROR(IF($D12="","",$D12-$E12-$F12),"")</f>
        <v>18</v>
      </c>
      <c r="H12" s="47">
        <f>IFERROR(IF(N($E12)=0,"",AVERAGE(dRaw)),"")</f>
        <v>15.5774647887324</v>
      </c>
      <c r="I12" s="48">
        <f>IFERROR(IF($H12="","",$H12/dMax),"")</f>
        <v>0.64906103286385</v>
      </c>
      <c r="J12" s="47">
        <f>IFERROR(IF(N($E12)=0,"",AVERAGE(dStn)),"")</f>
        <v>5.05633802816901</v>
      </c>
      <c r="K12" s="48">
        <f>IFERROR(IF(N($E12)=0,"",COUNTIFS(dStn,"&lt;=3")/$E12),"")</f>
        <v>0.23943661971831</v>
      </c>
      <c r="L12" s="48">
        <f>IFERROR(IF(N($E12)=0,"",COUNTIFS(dStn,"&gt;=4",dStn,"&lt;=6")/$E12),"")</f>
        <v>0.464788732394366</v>
      </c>
      <c r="M12" s="48">
        <f>IFERROR(IF(N($E12)=0,"",COUNTIFS(dStn,"&gt;=7")/$E12),"")</f>
        <v>0.295774647887324</v>
      </c>
      <c r="N12" s="45" t="n"/>
    </row>
    <row r="13">
      <c r="B13" s="31" t="str">
        <f>Calc!Y3</f>
        <v>8A/Sc1</v>
      </c>
      <c r="C13" s="32" t="str">
        <f>IFERROR(IF($B13="","",IFERROR(INDEX(tblTeachers[Teacher],MATCH(SelYear&amp;"|"&amp;$B13,tblTeachers[Key],0))&amp;"","")),"")</f>
        <v>Mr Owen</v>
      </c>
      <c r="D13" s="33">
        <f>IFERROR(IF($B13="","",SUMPRODUCT(--((dClass)&amp;""=($B13)&amp;""))),"")</f>
        <v>28</v>
      </c>
      <c r="E13" s="33">
        <f>IFERROR(IF($B13="","",SUMPRODUCT(((dClass)&amp;""=($B13)&amp;"")*ISNUMBER(dRaw)*((dRaw)&gt;=0))),"")</f>
        <v>28</v>
      </c>
      <c r="F13" s="33">
        <f>IFERROR(IF($B13="","",SUMPRODUCT(((dClass)&amp;""=($B13)&amp;"")*((dRaw)&amp;""="A"))),"")</f>
        <v>0</v>
      </c>
      <c r="G13" s="33">
        <f>IFERROR(IF($D13="","",$D13-$E13-$F13),"")</f>
        <v>0</v>
      </c>
      <c r="H13" s="34">
        <f>IFERROR(IF(OR($B13="",N($E13)=0),"",SUMPRODUCT(((dClass)&amp;""=($B13)&amp;"")*ISNUMBER(dRaw),dRaw)/SUMPRODUCT(((dClass)&amp;""=($B13)&amp;"")*ISNUMBER(dRaw))),"")</f>
        <v>18.0714285714286</v>
      </c>
      <c r="I13" s="36">
        <f>IFERROR(IF($H13="","",$H13/dMax),"")</f>
        <v>0.752976190476191</v>
      </c>
      <c r="J13" s="34">
        <f>IFERROR(IF(OR($B13="",N($E13)=0),"",SUMPRODUCT(((dClass)&amp;""=($B13)&amp;"")*ISNUMBER(dStn),dStn)/SUMPRODUCT(((dClass)&amp;""=($B13)&amp;"")*ISNUMBER(dStn))),"")</f>
        <v>6.28571428571429</v>
      </c>
      <c r="K13" s="36">
        <f>IFERROR(IF(OR($B13="",N($E13)=0),"",SUMPRODUCT(((dClass)&amp;""=($B13)&amp;"")*ISNUMBER(dStn)*((dStn)&lt;=3))/$E13),"")</f>
        <v>0.0357142857142857</v>
      </c>
      <c r="L13" s="36">
        <f>IFERROR(IF(OR($B13="",N($E13)=0),"",SUMPRODUCT(((dClass)&amp;""=($B13)&amp;"")*ISNUMBER(dStn)*((dStn)&gt;=4)*((dStn)&lt;=6))/$E13),"")</f>
        <v>0.428571428571429</v>
      </c>
      <c r="M13" s="36">
        <f>IFERROR(IF(OR($B13="",N($E13)=0),"",SUMPRODUCT(((dClass)&amp;""=($B13)&amp;"")*ISNUMBER(dStn)*((dStn)&gt;=7))/$E13),"")</f>
        <v>0.535714285714286</v>
      </c>
      <c r="N13" s="49">
        <f>IFERROR(IF(OR($I13="",$I$12=""),"",($I13-$I$12)*100),"")</f>
        <v>10.3915157612341</v>
      </c>
    </row>
    <row r="14">
      <c r="B14" s="31" t="str">
        <f>Calc!Y4</f>
        <v>8A/Sc2</v>
      </c>
      <c r="C14" s="32" t="str">
        <f>IFERROR(IF($B14="","",IFERROR(INDEX(tblTeachers[Teacher],MATCH(SelYear&amp;"|"&amp;$B14,tblTeachers[Key],0))&amp;"","")),"")</f>
        <v>Mr Hughes</v>
      </c>
      <c r="D14" s="33">
        <f>IFERROR(IF($B14="","",SUMPRODUCT(--((dClass)&amp;""=($B14)&amp;""))),"")</f>
        <v>25</v>
      </c>
      <c r="E14" s="33">
        <f>IFERROR(IF($B14="","",SUMPRODUCT(((dClass)&amp;""=($B14)&amp;"")*ISNUMBER(dRaw)*((dRaw)&gt;=0))),"")</f>
        <v>23</v>
      </c>
      <c r="F14" s="33">
        <f>IFERROR(IF($B14="","",SUMPRODUCT(((dClass)&amp;""=($B14)&amp;"")*((dRaw)&amp;""="A"))),"")</f>
        <v>2</v>
      </c>
      <c r="G14" s="33">
        <f>IFERROR(IF($D14="","",$D14-$E14-$F14),"")</f>
        <v>0</v>
      </c>
      <c r="H14" s="34">
        <f>IFERROR(IF(OR($B14="",N($E14)=0),"",SUMPRODUCT(((dClass)&amp;""=($B14)&amp;"")*ISNUMBER(dRaw),dRaw)/SUMPRODUCT(((dClass)&amp;""=($B14)&amp;"")*ISNUMBER(dRaw))),"")</f>
        <v>14.3913043478261</v>
      </c>
      <c r="I14" s="36">
        <f>IFERROR(IF($H14="","",$H14/dMax),"")</f>
        <v>0.59963768115942</v>
      </c>
      <c r="J14" s="34">
        <f>IFERROR(IF(OR($B14="",N($E14)=0),"",SUMPRODUCT(((dClass)&amp;""=($B14)&amp;"")*ISNUMBER(dStn),dStn)/SUMPRODUCT(((dClass)&amp;""=($B14)&amp;"")*ISNUMBER(dStn))),"")</f>
        <v>4.43478260869565</v>
      </c>
      <c r="K14" s="36">
        <f>IFERROR(IF(OR($B14="",N($E14)=0),"",SUMPRODUCT(((dClass)&amp;""=($B14)&amp;"")*ISNUMBER(dStn)*((dStn)&lt;=3))/$E14),"")</f>
        <v>0.260869565217391</v>
      </c>
      <c r="L14" s="36">
        <f>IFERROR(IF(OR($B14="",N($E14)=0),"",SUMPRODUCT(((dClass)&amp;""=($B14)&amp;"")*ISNUMBER(dStn)*((dStn)&gt;=4)*((dStn)&lt;=6))/$E14),"")</f>
        <v>0.608695652173913</v>
      </c>
      <c r="M14" s="36">
        <f>IFERROR(IF(OR($B14="",N($E14)=0),"",SUMPRODUCT(((dClass)&amp;""=($B14)&amp;"")*ISNUMBER(dStn)*((dStn)&gt;=7))/$E14),"")</f>
        <v>0.130434782608696</v>
      </c>
      <c r="N14" s="49">
        <f>IFERROR(IF(OR($I14="",$I$12=""),"",($I14-$I$12)*100),"")</f>
        <v>-4.94233517044295</v>
      </c>
    </row>
    <row r="15">
      <c r="B15" s="31" t="str">
        <f>Calc!Y5</f>
        <v>8A/Sc3</v>
      </c>
      <c r="C15" s="32" t="str">
        <f>IFERROR(IF($B15="","",IFERROR(INDEX(tblTeachers[Teacher],MATCH(SelYear&amp;"|"&amp;$B15,tblTeachers[Key],0))&amp;"","")),"")</f>
        <v>Mr Owen</v>
      </c>
      <c r="D15" s="33">
        <f>IFERROR(IF($B15="","",SUMPRODUCT(--((dClass)&amp;""=($B15)&amp;""))),"")</f>
        <v>22</v>
      </c>
      <c r="E15" s="33">
        <f>IFERROR(IF($B15="","",SUMPRODUCT(((dClass)&amp;""=($B15)&amp;"")*ISNUMBER(dRaw)*((dRaw)&gt;=0))),"")</f>
        <v>20</v>
      </c>
      <c r="F15" s="33">
        <f>IFERROR(IF($B15="","",SUMPRODUCT(((dClass)&amp;""=($B15)&amp;"")*((dRaw)&amp;""="A"))),"")</f>
        <v>2</v>
      </c>
      <c r="G15" s="33">
        <f>IFERROR(IF($D15="","",$D15-$E15-$F15),"")</f>
        <v>0</v>
      </c>
      <c r="H15" s="34">
        <f>IFERROR(IF(OR($B15="",N($E15)=0),"",SUMPRODUCT(((dClass)&amp;""=($B15)&amp;"")*ISNUMBER(dRaw),dRaw)/SUMPRODUCT(((dClass)&amp;""=($B15)&amp;"")*ISNUMBER(dRaw))),"")</f>
        <v>13.45</v>
      </c>
      <c r="I15" s="36">
        <f>IFERROR(IF($H15="","",$H15/dMax),"")</f>
        <v>0.560416666666667</v>
      </c>
      <c r="J15" s="34">
        <f>IFERROR(IF(OR($B15="",N($E15)=0),"",SUMPRODUCT(((dClass)&amp;""=($B15)&amp;"")*ISNUMBER(dStn),dStn)/SUMPRODUCT(((dClass)&amp;""=($B15)&amp;"")*ISNUMBER(dStn))),"")</f>
        <v>4.05</v>
      </c>
      <c r="K15" s="36">
        <f>IFERROR(IF(OR($B15="",N($E15)=0),"",SUMPRODUCT(((dClass)&amp;""=($B15)&amp;"")*ISNUMBER(dStn)*((dStn)&lt;=3))/$E15),"")</f>
        <v>0.5</v>
      </c>
      <c r="L15" s="36">
        <f>IFERROR(IF(OR($B15="",N($E15)=0),"",SUMPRODUCT(((dClass)&amp;""=($B15)&amp;"")*ISNUMBER(dStn)*((dStn)&gt;=4)*((dStn)&lt;=6))/$E15),"")</f>
        <v>0.35</v>
      </c>
      <c r="M15" s="36">
        <f>IFERROR(IF(OR($B15="",N($E15)=0),"",SUMPRODUCT(((dClass)&amp;""=($B15)&amp;"")*ISNUMBER(dStn)*((dStn)&gt;=7))/$E15),"")</f>
        <v>0.15</v>
      </c>
      <c r="N15" s="49">
        <f>IFERROR(IF(OR($I15="",$I$12=""),"",($I15-$I$12)*100),"")</f>
        <v>-8.86443661971831</v>
      </c>
    </row>
    <row r="16">
      <c r="B16" s="31" t="str">
        <f>Calc!Y6</f>
        <v>8A/Sc4</v>
      </c>
      <c r="C16" s="32" t="str">
        <f>IFERROR(IF($B16="","",IFERROR(INDEX(tblTeachers[Teacher],MATCH(SelYear&amp;"|"&amp;$B16,tblTeachers[Key],0))&amp;"","")),"")</f>
        <v>Ms Adeyemi</v>
      </c>
      <c r="D16" s="33">
        <f>IFERROR(IF($B16="","",SUMPRODUCT(--((dClass)&amp;""=($B16)&amp;""))),"")</f>
        <v>16</v>
      </c>
      <c r="E16" s="33">
        <f>IFERROR(IF($B16="","",SUMPRODUCT(((dClass)&amp;""=($B16)&amp;"")*ISNUMBER(dRaw)*((dRaw)&gt;=0))),"")</f>
        <v>0</v>
      </c>
      <c r="F16" s="33">
        <f>IFERROR(IF($B16="","",SUMPRODUCT(((dClass)&amp;""=($B16)&amp;"")*((dRaw)&amp;""="A"))),"")</f>
        <v>0</v>
      </c>
      <c r="G16" s="33">
        <f>IFERROR(IF($D16="","",$D16-$E16-$F16),"")</f>
        <v>16</v>
      </c>
      <c r="H16" s="34" t="str">
        <f>IFERROR(IF(OR($B16="",N($E16)=0),"",SUMPRODUCT(((dClass)&amp;""=($B16)&amp;"")*ISNUMBER(dRaw),dRaw)/SUMPRODUCT(((dClass)&amp;""=($B16)&amp;"")*ISNUMBER(dRaw))),"")</f>
        <v/>
      </c>
      <c r="I16" s="36" t="str">
        <f>IFERROR(IF($H16="","",$H16/dMax),"")</f>
        <v/>
      </c>
      <c r="J16" s="34" t="str">
        <f>IFERROR(IF(OR($B16="",N($E16)=0),"",SUMPRODUCT(((dClass)&amp;""=($B16)&amp;"")*ISNUMBER(dStn),dStn)/SUMPRODUCT(((dClass)&amp;""=($B16)&amp;"")*ISNUMBER(dStn))),"")</f>
        <v/>
      </c>
      <c r="K16" s="36" t="str">
        <f>IFERROR(IF(OR($B16="",N($E16)=0),"",SUMPRODUCT(((dClass)&amp;""=($B16)&amp;"")*ISNUMBER(dStn)*((dStn)&lt;=3))/$E16),"")</f>
        <v/>
      </c>
      <c r="L16" s="36" t="str">
        <f>IFERROR(IF(OR($B16="",N($E16)=0),"",SUMPRODUCT(((dClass)&amp;""=($B16)&amp;"")*ISNUMBER(dStn)*((dStn)&gt;=4)*((dStn)&lt;=6))/$E16),"")</f>
        <v/>
      </c>
      <c r="M16" s="36" t="str">
        <f>IFERROR(IF(OR($B16="",N($E16)=0),"",SUMPRODUCT(((dClass)&amp;""=($B16)&amp;"")*ISNUMBER(dStn)*((dStn)&gt;=7))/$E16),"")</f>
        <v/>
      </c>
      <c r="N16" s="49" t="str">
        <f>IFERROR(IF(OR($I16="",$I$12=""),"",($I16-$I$12)*100),"")</f>
        <v/>
      </c>
    </row>
    <row r="17">
      <c r="B17" s="31" t="str">
        <f>Calc!Y7</f>
        <v>Science Support</v>
      </c>
      <c r="C17" s="32" t="str">
        <f>IFERROR(IF($B17="","",IFERROR(INDEX(tblTeachers[Teacher],MATCH(SelYear&amp;"|"&amp;$B17,tblTeachers[Key],0))&amp;"","")),"")</f>
        <v>Mrs Evans</v>
      </c>
      <c r="D17" s="33">
        <f>IFERROR(IF($B17="","",SUMPRODUCT(--((dClass)&amp;""=($B17)&amp;""))),"")</f>
        <v>2</v>
      </c>
      <c r="E17" s="33">
        <f>IFERROR(IF($B17="","",SUMPRODUCT(((dClass)&amp;""=($B17)&amp;"")*ISNUMBER(dRaw)*((dRaw)&gt;=0))),"")</f>
        <v>0</v>
      </c>
      <c r="F17" s="33">
        <f>IFERROR(IF($B17="","",SUMPRODUCT(((dClass)&amp;""=($B17)&amp;"")*((dRaw)&amp;""="A"))),"")</f>
        <v>0</v>
      </c>
      <c r="G17" s="33">
        <f>IFERROR(IF($D17="","",$D17-$E17-$F17),"")</f>
        <v>2</v>
      </c>
      <c r="H17" s="34" t="str">
        <f>IFERROR(IF(OR($B17="",N($E17)=0),"",SUMPRODUCT(((dClass)&amp;""=($B17)&amp;"")*ISNUMBER(dRaw),dRaw)/SUMPRODUCT(((dClass)&amp;""=($B17)&amp;"")*ISNUMBER(dRaw))),"")</f>
        <v/>
      </c>
      <c r="I17" s="36" t="str">
        <f>IFERROR(IF($H17="","",$H17/dMax),"")</f>
        <v/>
      </c>
      <c r="J17" s="34" t="str">
        <f>IFERROR(IF(OR($B17="",N($E17)=0),"",SUMPRODUCT(((dClass)&amp;""=($B17)&amp;"")*ISNUMBER(dStn),dStn)/SUMPRODUCT(((dClass)&amp;""=($B17)&amp;"")*ISNUMBER(dStn))),"")</f>
        <v/>
      </c>
      <c r="K17" s="36" t="str">
        <f>IFERROR(IF(OR($B17="",N($E17)=0),"",SUMPRODUCT(((dClass)&amp;""=($B17)&amp;"")*ISNUMBER(dStn)*((dStn)&lt;=3))/$E17),"")</f>
        <v/>
      </c>
      <c r="L17" s="36" t="str">
        <f>IFERROR(IF(OR($B17="",N($E17)=0),"",SUMPRODUCT(((dClass)&amp;""=($B17)&amp;"")*ISNUMBER(dStn)*((dStn)&gt;=4)*((dStn)&lt;=6))/$E17),"")</f>
        <v/>
      </c>
      <c r="M17" s="36" t="str">
        <f>IFERROR(IF(OR($B17="",N($E17)=0),"",SUMPRODUCT(((dClass)&amp;""=($B17)&amp;"")*ISNUMBER(dStn)*((dStn)&gt;=7))/$E17),"")</f>
        <v/>
      </c>
      <c r="N17" s="49" t="str">
        <f>IFERROR(IF(OR($I17="",$I$12=""),"",($I17-$I$12)*100),"")</f>
        <v/>
      </c>
    </row>
    <row r="18">
      <c r="B18" s="31" t="str">
        <f>Calc!Y8</f>
        <v/>
      </c>
      <c r="C18" s="32" t="str">
        <f>IFERROR(IF($B18="","",IFERROR(INDEX(tblTeachers[Teacher],MATCH(SelYear&amp;"|"&amp;$B18,tblTeachers[Key],0))&amp;"","")),"")</f>
        <v/>
      </c>
      <c r="D18" s="33" t="str">
        <f>IFERROR(IF($B18="","",SUMPRODUCT(--((dClass)&amp;""=($B18)&amp;""))),"")</f>
        <v/>
      </c>
      <c r="E18" s="33" t="str">
        <f>IFERROR(IF($B18="","",SUMPRODUCT(((dClass)&amp;""=($B18)&amp;"")*ISNUMBER(dRaw)*((dRaw)&gt;=0))),"")</f>
        <v/>
      </c>
      <c r="F18" s="33" t="str">
        <f>IFERROR(IF($B18="","",SUMPRODUCT(((dClass)&amp;""=($B18)&amp;"")*((dRaw)&amp;""="A"))),"")</f>
        <v/>
      </c>
      <c r="G18" s="33" t="str">
        <f>IFERROR(IF($D18="","",$D18-$E18-$F18),"")</f>
        <v/>
      </c>
      <c r="H18" s="34" t="str">
        <f>IFERROR(IF(OR($B18="",N($E18)=0),"",SUMPRODUCT(((dClass)&amp;""=($B18)&amp;"")*ISNUMBER(dRaw),dRaw)/SUMPRODUCT(((dClass)&amp;""=($B18)&amp;"")*ISNUMBER(dRaw))),"")</f>
        <v/>
      </c>
      <c r="I18" s="36" t="str">
        <f>IFERROR(IF($H18="","",$H18/dMax),"")</f>
        <v/>
      </c>
      <c r="J18" s="34" t="str">
        <f>IFERROR(IF(OR($B18="",N($E18)=0),"",SUMPRODUCT(((dClass)&amp;""=($B18)&amp;"")*ISNUMBER(dStn),dStn)/SUMPRODUCT(((dClass)&amp;""=($B18)&amp;"")*ISNUMBER(dStn))),"")</f>
        <v/>
      </c>
      <c r="K18" s="36" t="str">
        <f>IFERROR(IF(OR($B18="",N($E18)=0),"",SUMPRODUCT(((dClass)&amp;""=($B18)&amp;"")*ISNUMBER(dStn)*((dStn)&lt;=3))/$E18),"")</f>
        <v/>
      </c>
      <c r="L18" s="36" t="str">
        <f>IFERROR(IF(OR($B18="",N($E18)=0),"",SUMPRODUCT(((dClass)&amp;""=($B18)&amp;"")*ISNUMBER(dStn)*((dStn)&gt;=4)*((dStn)&lt;=6))/$E18),"")</f>
        <v/>
      </c>
      <c r="M18" s="36" t="str">
        <f>IFERROR(IF(OR($B18="",N($E18)=0),"",SUMPRODUCT(((dClass)&amp;""=($B18)&amp;"")*ISNUMBER(dStn)*((dStn)&gt;=7))/$E18),"")</f>
        <v/>
      </c>
      <c r="N18" s="49" t="str">
        <f>IFERROR(IF(OR($I18="",$I$12=""),"",($I18-$I$12)*100),"")</f>
        <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5</v>
      </c>
      <c r="D25" s="33">
        <f>IFERROR(COUNTIF(dStn,2),"")</f>
        <v>4</v>
      </c>
      <c r="E25" s="33">
        <f>IFERROR(COUNTIF(dStn,3),"")</f>
        <v>8</v>
      </c>
      <c r="F25" s="33">
        <f>IFERROR(COUNTIF(dStn,4),"")</f>
        <v>10</v>
      </c>
      <c r="G25" s="33">
        <f>IFERROR(COUNTIF(dStn,5),"")</f>
        <v>12</v>
      </c>
      <c r="H25" s="33">
        <f>IFERROR(COUNTIF(dStn,6),"")</f>
        <v>11</v>
      </c>
      <c r="I25" s="33">
        <f>IFERROR(COUNTIF(dStn,7),"")</f>
        <v>13</v>
      </c>
      <c r="J25" s="33">
        <f>IFERROR(COUNTIF(dStn,8),"")</f>
        <v>7</v>
      </c>
      <c r="K25" s="33">
        <f>IFERROR(COUNTIF(dStn,9),"")</f>
        <v>1</v>
      </c>
    </row>
    <row r="26">
      <c r="B26" s="38" t="inlineStr">
        <is>
          <t>% of those who sat</t>
        </is>
      </c>
      <c r="C26" s="36">
        <f>IFERROR(COUNTIF(dStn,1)/COUNT(dStn),"")</f>
        <v>0.0704225352112676</v>
      </c>
      <c r="D26" s="36">
        <f>IFERROR(COUNTIF(dStn,2)/COUNT(dStn),"")</f>
        <v>0.0563380281690141</v>
      </c>
      <c r="E26" s="36">
        <f>IFERROR(COUNTIF(dStn,3)/COUNT(dStn),"")</f>
        <v>0.112676056338028</v>
      </c>
      <c r="F26" s="36">
        <f>IFERROR(COUNTIF(dStn,4)/COUNT(dStn),"")</f>
        <v>0.140845070422535</v>
      </c>
      <c r="G26" s="36">
        <f>IFERROR(COUNTIF(dStn,5)/COUNT(dStn),"")</f>
        <v>0.169014084507042</v>
      </c>
      <c r="H26" s="36">
        <f>IFERROR(COUNTIF(dStn,6)/COUNT(dStn),"")</f>
        <v>0.154929577464789</v>
      </c>
      <c r="I26" s="36">
        <f>IFERROR(COUNTIF(dStn,7)/COUNT(dStn),"")</f>
        <v>0.183098591549296</v>
      </c>
      <c r="J26" s="36">
        <f>IFERROR(COUNTIF(dStn,8)/COUNT(dStn),"")</f>
        <v>0.0985915492957746</v>
      </c>
      <c r="K26" s="36">
        <f>IFERROR(COUNTIF(dStn,9)/COUNT(dStn),"")</f>
        <v>0.0140845070422535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34</v>
      </c>
      <c r="D32" s="33">
        <f>IFERROR((COUNTIFS(dPP,"Y",dRaw,"&gt;=0")),"")</f>
        <v>27</v>
      </c>
      <c r="E32" s="36">
        <f>IFERROR(IF((COUNTIFS(dPP,"Y",dRaw,"&gt;=0"))=0,"",(SUMIFS(dRaw,dPP,"Y"))/(COUNTIFS(dPP,"Y",dRaw,"&gt;=0"))/dMax),"")</f>
        <v>0.679012345679012</v>
      </c>
      <c r="F32" s="34">
        <f>IFERROR(IF((COUNTIFS(dPP,"Y",dRaw,"&gt;=0"))=0,"",(SUMIFS(dStn,dPP,"Y"))/(COUNTIFS(dPP,"Y",dStn,"&gt;=1"))),"")</f>
        <v>5.37037037037037</v>
      </c>
      <c r="G32" s="34">
        <f>IFERROR((SUMIFS(dMean,dPP,"Y"))/(COUNTIFS(dPP,"Y",dMean,"&gt;=1")),"")</f>
        <v>5.12794117647059</v>
      </c>
      <c r="H32" s="35">
        <f>IFERROR((SUMIFS(dVs,dPP,"Y"))/(COUNTIFS(dPP,"Y",dVs,"&gt;=-99")),"")</f>
        <v>-0.11173678555777</v>
      </c>
    </row>
    <row r="33">
      <c r="B33" s="31" t="inlineStr">
        <is>
          <t>Not disadvantaged</t>
        </is>
      </c>
      <c r="C33" s="33">
        <f>IFERROR((dCount-(COUNTIFS(dPP,"Y"))),"")</f>
        <v>59</v>
      </c>
      <c r="D33" s="33">
        <f>IFERROR((COUNT(dRaw)-(COUNTIFS(dPP,"Y",dRaw,"&gt;=0"))),"")</f>
        <v>44</v>
      </c>
      <c r="E33" s="36">
        <f>IFERROR(IF((COUNT(dRaw)-(COUNTIFS(dPP,"Y",dRaw,"&gt;=0")))=0,"",(SUM(dRaw)-(SUMIFS(dRaw,dPP,"Y")))/(COUNT(dRaw)-(COUNTIFS(dPP,"Y",dRaw,"&gt;=0")))/dMax),"")</f>
        <v>0.630681818181818</v>
      </c>
      <c r="F33" s="34">
        <f>IFERROR(IF((COUNT(dRaw)-(COUNTIFS(dPP,"Y",dRaw,"&gt;=0")))=0,"",(SUM(dStn)-(SUMIFS(dStn,dPP,"Y")))/(COUNT(dStn)-(COUNTIFS(dPP,"Y",dStn,"&gt;=1")))),"")</f>
        <v>4.86363636363636</v>
      </c>
      <c r="G33" s="34">
        <f>IFERROR((SUM(dMean)-(SUMIFS(dMean,dPP,"Y")))/(COUNT(dMean)-(COUNTIFS(dPP,"Y",dMean,"&gt;=1"))),"")</f>
        <v>4.85112994350283</v>
      </c>
      <c r="H33" s="35">
        <f>IFERROR((SUM(dVs)-(SUMIFS(dVs,dPP,"Y")))/(COUNT(dVs)-(COUNTIFS(dPP,"Y",dVs,"&gt;=-99"))),"")</f>
        <v>0.0655008742924862</v>
      </c>
    </row>
    <row r="34">
      <c r="B34" s="52" t="inlineStr">
        <is>
          <t>Gap: PP minus not PP</t>
        </is>
      </c>
      <c r="C34" s="53" t="n"/>
      <c r="D34" s="53" t="n"/>
      <c r="E34" s="54">
        <f>IFERROR(IF(OR($E32="",$E33=""),"",($E32-$E33)*100),"")</f>
        <v>4.83305274971941</v>
      </c>
      <c r="F34" s="55">
        <f>IFERROR(IF(OR($F32="",$F33=""),"",$F32-$F33),"")</f>
        <v>0.506734006734007</v>
      </c>
      <c r="G34" s="55">
        <f>IFERROR(IF(OR($G32="",$G33=""),"",$G32-$G33),"")</f>
        <v>0.276811232967763</v>
      </c>
      <c r="H34" s="55">
        <f>IFERROR(IF(OR($H32="",$H33=""),"",$H32-$H33),"")</f>
        <v>-0.177237659850256</v>
      </c>
    </row>
    <row r="35">
      <c r="B35" s="31" t="inlineStr">
        <is>
          <t>SEN support or EHCP (K, E)</t>
        </is>
      </c>
      <c r="C35" s="33">
        <f>IFERROR((COUNTIFS(dSEN,"K")+COUNTIFS(dSEN,"E")),"")</f>
        <v>20</v>
      </c>
      <c r="D35" s="33">
        <f>IFERROR((COUNTIFS(dSEN,"K",dRaw,"&gt;=0")+COUNTIFS(dSEN,"E",dRaw,"&gt;=0")),"")</f>
        <v>15</v>
      </c>
      <c r="E35" s="36">
        <f>IFERROR(IF((COUNTIFS(dSEN,"K",dRaw,"&gt;=0")+COUNTIFS(dSEN,"E",dRaw,"&gt;=0"))=0,"",(SUMIFS(dRaw,dSEN,"K")+SUMIFS(dRaw,dSEN,"E"))/(COUNTIFS(dSEN,"K",dRaw,"&gt;=0")+COUNTIFS(dSEN,"E",dRaw,"&gt;=0"))/dMax),"")</f>
        <v>0.7</v>
      </c>
      <c r="F35" s="34">
        <f>IFERROR(IF((COUNTIFS(dSEN,"K",dRaw,"&gt;=0")+COUNTIFS(dSEN,"E",dRaw,"&gt;=0"))=0,"",(SUMIFS(dStn,dSEN,"K")+SUMIFS(dStn,dSEN,"E"))/(COUNTIFS(dSEN,"K",dStn,"&gt;=1")+COUNTIFS(dSEN,"E",dStn,"&gt;=1"))),"")</f>
        <v>5.53333333333333</v>
      </c>
      <c r="G35" s="34">
        <f>IFERROR((SUMIFS(dMean,dSEN,"K")+SUMIFS(dMean,dSEN,"E"))/(COUNTIFS(dSEN,"K",dMean,"&gt;=1")+COUNTIFS(dSEN,"E",dMean,"&gt;=1")),"")</f>
        <v>4.8625</v>
      </c>
      <c r="H35" s="35">
        <f>IFERROR((SUMIFS(dVs,dSEN,"K")+SUMIFS(dVs,dSEN,"E"))/(COUNTIFS(dSEN,"K",dVs,"&gt;=-99")+COUNTIFS(dSEN,"E",dVs,"&gt;=-99")),"")</f>
        <v>-0.313032323960586</v>
      </c>
    </row>
    <row r="36">
      <c r="B36" s="31" t="inlineStr">
        <is>
          <t>No SEN support (N or blank)</t>
        </is>
      </c>
      <c r="C36" s="33">
        <f>IFERROR((dCount-(COUNTIFS(dSEN,"K")+COUNTIFS(dSEN,"E"))),"")</f>
        <v>73</v>
      </c>
      <c r="D36" s="33">
        <f>IFERROR((COUNT(dRaw)-(COUNTIFS(dSEN,"K",dRaw,"&gt;=0")+COUNTIFS(dSEN,"E",dRaw,"&gt;=0"))),"")</f>
        <v>56</v>
      </c>
      <c r="E36" s="36">
        <f>IFERROR(IF((COUNT(dRaw)-(COUNTIFS(dSEN,"K",dRaw,"&gt;=0")+COUNTIFS(dSEN,"E",dRaw,"&gt;=0")))=0,"",(SUM(dRaw)-(SUMIFS(dRaw,dSEN,"K")+SUMIFS(dRaw,dSEN,"E")))/(COUNT(dRaw)-(COUNTIFS(dSEN,"K",dRaw,"&gt;=0")+COUNTIFS(dSEN,"E",dRaw,"&gt;=0")))/dMax),"")</f>
        <v>0.635416666666667</v>
      </c>
      <c r="F36" s="34">
        <f>IFERROR(IF((COUNT(dRaw)-(COUNTIFS(dSEN,"K",dRaw,"&gt;=0")+COUNTIFS(dSEN,"E",dRaw,"&gt;=0")))=0,"",(SUM(dStn)-(SUMIFS(dStn,dSEN,"K")+SUMIFS(dStn,dSEN,"E")))/(COUNT(dStn)-(COUNTIFS(dSEN,"K",dStn,"&gt;=1")+COUNTIFS(dSEN,"E",dStn,"&gt;=1")))),"")</f>
        <v>4.92857142857143</v>
      </c>
      <c r="G36" s="34">
        <f>IFERROR((SUM(dMean)-(SUMIFS(dMean,dSEN,"K")+SUMIFS(dMean,dSEN,"E")))/(COUNT(dMean)-(COUNTIFS(dSEN,"K",dMean,"&gt;=1")+COUNTIFS(dSEN,"E",dMean,"&gt;=1"))),"")</f>
        <v>4.97694063926941</v>
      </c>
      <c r="H36" s="35">
        <f>IFERROR((SUM(dVs)-(SUMIFS(dVs,dSEN,"K")+SUMIFS(dVs,dSEN,"E")))/(COUNT(dVs)-(COUNTIFS(dSEN,"K",dVs,"&gt;=-99")+COUNTIFS(dSEN,"E",dVs,"&gt;=-99"))),"")</f>
        <v>0.0869534233223852</v>
      </c>
    </row>
    <row r="37">
      <c r="B37" s="52" t="inlineStr">
        <is>
          <t>Gap: SEN minus no SEN</t>
        </is>
      </c>
      <c r="C37" s="53" t="n"/>
      <c r="D37" s="53" t="n"/>
      <c r="E37" s="54">
        <f>IFERROR(IF(OR($E35="",$E36=""),"",($E35-$E36)*100),"")</f>
        <v>6.45833333333334</v>
      </c>
      <c r="F37" s="55">
        <f>IFERROR(IF(OR($F35="",$F36=""),"",$F35-$F36),"")</f>
        <v>0.604761904761904</v>
      </c>
      <c r="G37" s="55">
        <f>IFERROR(IF(OR($G35="",$G36=""),"",$G35-$G36),"")</f>
        <v>-0.114440639269406</v>
      </c>
      <c r="H37" s="55">
        <f>IFERROR(IF(OR($H35="",$H36=""),"",$H35-$H36),"")</f>
        <v>-0.399985747282971</v>
      </c>
    </row>
    <row r="38">
      <c r="B38" s="31" t="inlineStr">
        <is>
          <t>Female</t>
        </is>
      </c>
      <c r="C38" s="33">
        <f>IFERROR((COUNTIFS(dSex,"F")),"")</f>
        <v>50</v>
      </c>
      <c r="D38" s="33">
        <f>IFERROR((COUNTIFS(dSex,"F",dRaw,"&gt;=0")),"")</f>
        <v>39</v>
      </c>
      <c r="E38" s="36">
        <f>IFERROR(IF((COUNTIFS(dSex,"F",dRaw,"&gt;=0"))=0,"",(SUMIFS(dRaw,dSex,"F"))/(COUNTIFS(dSex,"F",dRaw,"&gt;=0"))/dMax),"")</f>
        <v>0.636752136752137</v>
      </c>
      <c r="F38" s="34">
        <f>IFERROR(IF((COUNTIFS(dSex,"F",dRaw,"&gt;=0"))=0,"",(SUMIFS(dStn,dSex,"F"))/(COUNTIFS(dSex,"F",dStn,"&gt;=1"))),"")</f>
        <v>4.87179487179487</v>
      </c>
      <c r="G38" s="34">
        <f>IFERROR((SUMIFS(dMean,dSex,"F"))/(COUNTIFS(dSex,"F",dMean,"&gt;=1")),"")</f>
        <v>4.98766666666667</v>
      </c>
      <c r="H38" s="35">
        <f>IFERROR((SUMIFS(dVs,dSex,"F"))/(COUNTIFS(dSex,"F",dVs,"&gt;=-99")),"")</f>
        <v>-0.141130978130257</v>
      </c>
    </row>
    <row r="39">
      <c r="B39" s="31" t="inlineStr">
        <is>
          <t>Male</t>
        </is>
      </c>
      <c r="C39" s="33">
        <f>IFERROR((COUNTIFS(dSex,"M")),"")</f>
        <v>43</v>
      </c>
      <c r="D39" s="33">
        <f>IFERROR((COUNTIFS(dSex,"M",dRaw,"&gt;=0")),"")</f>
        <v>32</v>
      </c>
      <c r="E39" s="36">
        <f>IFERROR(IF((COUNTIFS(dSex,"M",dRaw,"&gt;=0"))=0,"",(SUMIFS(dRaw,dSex,"M"))/(COUNTIFS(dSex,"M",dRaw,"&gt;=0"))/dMax),"")</f>
        <v>0.6640625</v>
      </c>
      <c r="F39" s="34">
        <f>IFERROR(IF((COUNTIFS(dSex,"M",dRaw,"&gt;=0"))=0,"",(SUMIFS(dStn,dSex,"M"))/(COUNTIFS(dSex,"M",dStn,"&gt;=1"))),"")</f>
        <v>5.28125</v>
      </c>
      <c r="G39" s="34">
        <f>IFERROR((SUMIFS(dMean,dSex,"M"))/(COUNTIFS(dSex,"M",dMean,"&gt;=1")),"")</f>
        <v>4.91124031007752</v>
      </c>
      <c r="H39" s="35">
        <f>IFERROR((SUMIFS(dVs,dSex,"M"))/(COUNTIFS(dSex,"M",dVs,"&gt;=-99")),"")</f>
        <v>0.168013069202687</v>
      </c>
    </row>
    <row r="40">
      <c r="B40" s="52" t="inlineStr">
        <is>
          <t>Gap: female minus male</t>
        </is>
      </c>
      <c r="C40" s="53" t="n"/>
      <c r="D40" s="53" t="n"/>
      <c r="E40" s="54">
        <f>IFERROR(IF(OR($E38="",$E39=""),"",($E38-$E39)*100),"")</f>
        <v>-2.73103632478632</v>
      </c>
      <c r="F40" s="55">
        <f>IFERROR(IF(OR($F38="",$F39=""),"",$F38-$F39),"")</f>
        <v>-0.409455128205129</v>
      </c>
      <c r="G40" s="55">
        <f>IFERROR(IF(OR($G38="",$G39=""),"",$G38-$G39),"")</f>
        <v>0.0764263565891472</v>
      </c>
      <c r="H40" s="55">
        <f>IFERROR(IF(OR($H38="",$H39=""),"",$H38-$H39),"")</f>
        <v>-0.309144047332944</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8A/Sc1</v>
      </c>
      <c r="I45" s="7" t="str">
        <f>IF(Calc!Y4="","",Calc!Y4)</f>
        <v>8A/Sc2</v>
      </c>
      <c r="J45" s="7" t="str">
        <f>IF(Calc!Y5="","",Calc!Y5)</f>
        <v>8A/Sc3</v>
      </c>
      <c r="K45" s="7" t="str">
        <f>IF(Calc!Y6="","",Calc!Y6)</f>
        <v>8A/Sc4</v>
      </c>
      <c r="L45" s="7" t="str">
        <f>IF(Calc!Y7="","",Calc!Y7)</f>
        <v>Science Support</v>
      </c>
      <c r="M45" s="7" t="str">
        <f>IF(Calc!Y8="","",Calc!Y8)</f>
        <v/>
      </c>
      <c r="N45" s="7" t="str">
        <f>IF(Calc!Y9="","",Calc!Y9)</f>
        <v/>
      </c>
      <c r="O45" s="7" t="str">
        <f>IF(Calc!Y10="","",Calc!Y10)</f>
        <v/>
      </c>
    </row>
    <row r="46">
      <c r="B46" s="31" t="str">
        <f>Calc!AA3</f>
        <v>8C01 - Periodic Table</v>
      </c>
      <c r="C46" s="57">
        <f>Calc!AC3</f>
        <v>46288.0</v>
      </c>
      <c r="D46" s="33">
        <f>Calc!AB3</f>
        <v>30</v>
      </c>
      <c r="E46" s="33">
        <f>IF($B46="","",IFERROR(ROWS(INDEX(dData,0,MATCH($B46&amp;CHAR(10)&amp;"Raw Score",dHdr,0)))*0+COUNT(INDEX(dData,0,MATCH($B46&amp;CHAR(10)&amp;"Raw Score",dHdr,0))),""))</f>
        <v>85</v>
      </c>
      <c r="F46" s="36">
        <f>IF($B46="","",IFERROR(($E46+COUNTIF(INDEX(dData,0,MATCH($B46&amp;CHAR(10)&amp;"Raw Score",dHdr,0)),"A"))/dCount,""))</f>
        <v>1</v>
      </c>
      <c r="G46" s="58">
        <f>IF($B46="","",IFERROR(CHOOSE(MATCH(SelMeasure,MeasureList,0),AVERAGE(INDEX(dData,0,MATCH($B46&amp;CHAR(10)&amp;"Raw Score",dHdr,0)))/$D46,AVERAGE(INDEX(dData,0,MATCH($B46&amp;CHAR(10)&amp;"Stanine",dHdr,0))),$F46),""))</f>
        <v>0.590196078431373</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0.76031746031746</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0.629166666666667</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0.525757575757576</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0.441666666666667</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0.233333333333333</v>
      </c>
      <c r="M46" s="36" t="str">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8P01 - Energy</v>
      </c>
      <c r="C47" s="57">
        <f>Calc!AC4</f>
        <v>46302.0</v>
      </c>
      <c r="D47" s="33">
        <f>Calc!AB4</f>
        <v>25</v>
      </c>
      <c r="E47" s="33">
        <f>IF($B47="","",IFERROR(ROWS(INDEX(dData,0,MATCH($B47&amp;CHAR(10)&amp;"Raw Score",dHdr,0)))*0+COUNT(INDEX(dData,0,MATCH($B47&amp;CHAR(10)&amp;"Raw Score",dHdr,0))),""))</f>
        <v>89</v>
      </c>
      <c r="F47" s="36">
        <f>IF($B47="","",IFERROR(($E47+COUNTIF(INDEX(dData,0,MATCH($B47&amp;CHAR(10)&amp;"Raw Score",dHdr,0)),"A"))/dCount,""))</f>
        <v>1</v>
      </c>
      <c r="G47" s="58">
        <f>IF($B47="","",IFERROR(CHOOSE(MATCH(SelMeasure,MeasureList,0),AVERAGE(INDEX(dData,0,MATCH($B47&amp;CHAR(10)&amp;"Raw Score",dHdr,0)))/$D47,AVERAGE(INDEX(dData,0,MATCH($B47&amp;CHAR(10)&amp;"Stanine",dHdr,0))),$F47),""))</f>
        <v>0.417078651685393</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0.574814814814815</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0.449090909090909</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0.330909090909091</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0.2675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0.08</v>
      </c>
      <c r="M47" s="36" t="str">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8B01 - Digestion</v>
      </c>
      <c r="C48" s="57">
        <f>Calc!AC5</f>
        <v>46316.0</v>
      </c>
      <c r="D48" s="33">
        <f>Calc!AB5</f>
        <v>30</v>
      </c>
      <c r="E48" s="33">
        <f>IF($B48="","",IFERROR(ROWS(INDEX(dData,0,MATCH($B48&amp;CHAR(10)&amp;"Raw Score",dHdr,0)))*0+COUNT(INDEX(dData,0,MATCH($B48&amp;CHAR(10)&amp;"Raw Score",dHdr,0))),""))</f>
        <v>92</v>
      </c>
      <c r="F48" s="36">
        <f>IF($B48="","",IFERROR(($E48+COUNTIF(INDEX(dData,0,MATCH($B48&amp;CHAR(10)&amp;"Raw Score",dHdr,0)),"A"))/dCount,""))</f>
        <v>1</v>
      </c>
      <c r="G48" s="58">
        <f>IF($B48="","",IFERROR(CHOOSE(MATCH(SelMeasure,MeasureList,0),AVERAGE(INDEX(dData,0,MATCH($B48&amp;CHAR(10)&amp;"Raw Score",dHdr,0)))/$D48,AVERAGE(INDEX(dData,0,MATCH($B48&amp;CHAR(10)&amp;"Stanine",dHdr,0))),$F48),""))</f>
        <v>0.46268115942029</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0.614285714285714</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0.490666666666667</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0.363636363636364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0.331111111111111</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0.0666666666666667</v>
      </c>
      <c r="M48" s="36" t="str">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8C02 - Metals and Acids</v>
      </c>
      <c r="C49" s="57">
        <f>Calc!AC6</f>
        <v>46330.0</v>
      </c>
      <c r="D49" s="33">
        <f>Calc!AB6</f>
        <v>26</v>
      </c>
      <c r="E49" s="33">
        <f>IF($B49="","",IFERROR(ROWS(INDEX(dData,0,MATCH($B49&amp;CHAR(10)&amp;"Raw Score",dHdr,0)))*0+COUNT(INDEX(dData,0,MATCH($B49&amp;CHAR(10)&amp;"Raw Score",dHdr,0))),""))</f>
        <v>91</v>
      </c>
      <c r="F49" s="36">
        <f>IF($B49="","",IFERROR(($E49+COUNTIF(INDEX(dData,0,MATCH($B49&amp;CHAR(10)&amp;"Raw Score",dHdr,0)),"A"))/dCount,""))</f>
        <v>1</v>
      </c>
      <c r="G49" s="58">
        <f>IF($B49="","",IFERROR(CHOOSE(MATCH(SelMeasure,MeasureList,0),AVERAGE(INDEX(dData,0,MATCH($B49&amp;CHAR(10)&amp;"Raw Score",dHdr,0)))/$D49,AVERAGE(INDEX(dData,0,MATCH($B49&amp;CHAR(10)&amp;"Stanine",dHdr,0))),$F49),""))</f>
        <v>0.43956043956044</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0.616863905325444</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0.458461538461539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0.354895104895105</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0.28125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0.0961538461538462</v>
      </c>
      <c r="M49" s="36" t="str">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8P02 - Light</v>
      </c>
      <c r="C50" s="57">
        <f>Calc!AC7</f>
        <v>46344.0</v>
      </c>
      <c r="D50" s="33">
        <f>Calc!AB7</f>
        <v>24</v>
      </c>
      <c r="E50" s="33">
        <f>IF($B50="","",IFERROR(ROWS(INDEX(dData,0,MATCH($B50&amp;CHAR(10)&amp;"Raw Score",dHdr,0)))*0+COUNT(INDEX(dData,0,MATCH($B50&amp;CHAR(10)&amp;"Raw Score",dHdr,0))),""))</f>
        <v>71</v>
      </c>
      <c r="F50" s="36">
        <f>IF($B50="","",IFERROR(($E50+COUNTIF(INDEX(dData,0,MATCH($B50&amp;CHAR(10)&amp;"Raw Score",dHdr,0)),"A"))/dCount,""))</f>
        <v>0.806451612903226</v>
      </c>
      <c r="G50" s="58">
        <f>IF($B50="","",IFERROR(CHOOSE(MATCH(SelMeasure,MeasureList,0),AVERAGE(INDEX(dData,0,MATCH($B50&amp;CHAR(10)&amp;"Raw Score",dHdr,0)))/$D50,AVERAGE(INDEX(dData,0,MATCH($B50&amp;CHAR(10)&amp;"Stanine",dHdr,0))),$F50),""))</f>
        <v>0.64906103286385</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0.752976190476191</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0.59963768115942</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0.560416666666667</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8</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11 students flagged in Year 8.</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Fletcher, Priya</v>
      </c>
      <c r="C9" s="32" t="str">
        <f>IF(Calc!$BL$3="","",INDEX(Calc!$BC$70:$BC$669,Calc!$BL$3))</f>
        <v>8A/Sc4</v>
      </c>
      <c r="D9" s="33">
        <f>IF(Calc!$BL$3="","",INDEX(Calc!$BD$70:$BD$669,Calc!$BL$3))</f>
        <v>5</v>
      </c>
      <c r="E9" s="33">
        <f>IF(Calc!$BL$3="","",INDEX(Calc!$BE$70:$BE$669,Calc!$BL$3))</f>
        <v>4</v>
      </c>
      <c r="F9" s="34">
        <f>IF(Calc!$BL$3="","",INDEX(Calc!$BF$70:$BF$669,Calc!$BL$3))</f>
        <v>2.25</v>
      </c>
      <c r="G9" s="35">
        <f>IF(Calc!$BL$3="","",INDEX(Calc!$BG$70:$BG$669,Calc!$BL$3))</f>
        <v>-2.69185892814227</v>
      </c>
      <c r="H9" s="33" t="str">
        <f>IF(Calc!$BL$3="","",INDEX(Calc!$BH$70:$BH$669,Calc!$BL$3))</f>
        <v/>
      </c>
      <c r="I9" s="32" t="str">
        <f>IF(Calc!$BL$3="","",INDEX(Calc!$BI$70:$BI$669,Calc!$BL$3))</f>
        <v>Below expected for KS2</v>
      </c>
    </row>
    <row r="10">
      <c r="B10" s="31" t="str">
        <f>IF(Calc!$BL$4="","",INDEX(Calc!$BA$70:$BA$669,Calc!$BL$4)&amp;", "&amp;INDEX(Calc!$BB$70:$BB$669,Calc!$BL$4))</f>
        <v>Clarke, Amara</v>
      </c>
      <c r="C10" s="32" t="str">
        <f>IF(Calc!$BL$4="","",INDEX(Calc!$BC$70:$BC$669,Calc!$BL$4))</f>
        <v>Science Support</v>
      </c>
      <c r="D10" s="33">
        <f>IF(Calc!$BL$4="","",INDEX(Calc!$BD$70:$BD$669,Calc!$BL$4))</f>
        <v>4</v>
      </c>
      <c r="E10" s="33">
        <f>IF(Calc!$BL$4="","",INDEX(Calc!$BE$70:$BE$669,Calc!$BL$4))</f>
        <v>4</v>
      </c>
      <c r="F10" s="34">
        <f>IF(Calc!$BL$4="","",INDEX(Calc!$BF$70:$BF$669,Calc!$BL$4))</f>
        <v>2</v>
      </c>
      <c r="G10" s="35">
        <f>IF(Calc!$BL$4="","",INDEX(Calc!$BG$70:$BG$669,Calc!$BL$4))</f>
        <v>-2.1629476087479</v>
      </c>
      <c r="H10" s="33" t="str">
        <f>IF(Calc!$BL$4="","",INDEX(Calc!$BH$70:$BH$669,Calc!$BL$4))</f>
        <v/>
      </c>
      <c r="I10" s="32" t="str">
        <f>IF(Calc!$BL$4="","",INDEX(Calc!$BI$70:$BI$669,Calc!$BL$4))</f>
        <v>Below expected for KS2</v>
      </c>
    </row>
    <row r="11">
      <c r="B11" s="31" t="str">
        <f>IF(Calc!$BL$5="","",INDEX(Calc!$BA$70:$BA$669,Calc!$BL$5)&amp;", "&amp;INDEX(Calc!$BB$70:$BB$669,Calc!$BL$5))</f>
        <v>Davies, Isla</v>
      </c>
      <c r="C11" s="32" t="str">
        <f>IF(Calc!$BL$5="","",INDEX(Calc!$BC$70:$BC$669,Calc!$BL$5))</f>
        <v>8A/Sc3</v>
      </c>
      <c r="D11" s="33">
        <f>IF(Calc!$BL$5="","",INDEX(Calc!$BD$70:$BD$669,Calc!$BL$5))</f>
        <v>7</v>
      </c>
      <c r="E11" s="33">
        <f>IF(Calc!$BL$5="","",INDEX(Calc!$BE$70:$BE$669,Calc!$BL$5))</f>
        <v>5</v>
      </c>
      <c r="F11" s="34">
        <f>IF(Calc!$BL$5="","",INDEX(Calc!$BF$70:$BF$669,Calc!$BL$5))</f>
        <v>4.4</v>
      </c>
      <c r="G11" s="35">
        <f>IF(Calc!$BL$5="","",INDEX(Calc!$BG$70:$BG$669,Calc!$BL$5))</f>
        <v>-2.09968156693103</v>
      </c>
      <c r="H11" s="33">
        <f>IF(Calc!$BL$5="","",INDEX(Calc!$BH$70:$BH$669,Calc!$BL$5))</f>
        <v>3</v>
      </c>
      <c r="I11" s="32" t="str">
        <f>IF(Calc!$BL$5="","",INDEX(Calc!$BI$70:$BI$669,Calc!$BL$5))</f>
        <v>Below expected for KS2</v>
      </c>
    </row>
    <row r="12">
      <c r="B12" s="31" t="str">
        <f>IF(Calc!$BL$6="","",INDEX(Calc!$BA$70:$BA$669,Calc!$BL$6)&amp;", "&amp;INDEX(Calc!$BB$70:$BB$669,Calc!$BL$6))</f>
        <v>Brown, Oliver</v>
      </c>
      <c r="C12" s="32" t="str">
        <f>IF(Calc!$BL$6="","",INDEX(Calc!$BC$70:$BC$669,Calc!$BL$6))</f>
        <v>8A/Sc4</v>
      </c>
      <c r="D12" s="33">
        <f>IF(Calc!$BL$6="","",INDEX(Calc!$BD$70:$BD$669,Calc!$BL$6))</f>
        <v>5</v>
      </c>
      <c r="E12" s="33">
        <f>IF(Calc!$BL$6="","",INDEX(Calc!$BE$70:$BE$669,Calc!$BL$6))</f>
        <v>4</v>
      </c>
      <c r="F12" s="34">
        <f>IF(Calc!$BL$6="","",INDEX(Calc!$BF$70:$BF$669,Calc!$BL$6))</f>
        <v>3</v>
      </c>
      <c r="G12" s="35">
        <f>IF(Calc!$BL$6="","",INDEX(Calc!$BG$70:$BG$669,Calc!$BL$6))</f>
        <v>-1.94185892814227</v>
      </c>
      <c r="H12" s="33" t="str">
        <f>IF(Calc!$BL$6="","",INDEX(Calc!$BH$70:$BH$669,Calc!$BL$6))</f>
        <v/>
      </c>
      <c r="I12" s="32" t="str">
        <f>IF(Calc!$BL$6="","",INDEX(Calc!$BI$70:$BI$669,Calc!$BL$6))</f>
        <v>Below expected for KS2</v>
      </c>
    </row>
    <row r="13">
      <c r="B13" s="31" t="str">
        <f>IF(Calc!$BL$7="","",INDEX(Calc!$BA$70:$BA$669,Calc!$BL$7)&amp;", "&amp;INDEX(Calc!$BB$70:$BB$669,Calc!$BL$7))</f>
        <v>Johnson, Sami</v>
      </c>
      <c r="C13" s="32" t="str">
        <f>IF(Calc!$BL$7="","",INDEX(Calc!$BC$70:$BC$669,Calc!$BL$7))</f>
        <v>8A/Sc3</v>
      </c>
      <c r="D13" s="33">
        <f>IF(Calc!$BL$7="","",INDEX(Calc!$BD$70:$BD$669,Calc!$BL$7))</f>
        <v>6</v>
      </c>
      <c r="E13" s="33">
        <f>IF(Calc!$BL$7="","",INDEX(Calc!$BE$70:$BE$669,Calc!$BL$7))</f>
        <v>5</v>
      </c>
      <c r="F13" s="34">
        <f>IF(Calc!$BL$7="","",INDEX(Calc!$BF$70:$BF$669,Calc!$BL$7))</f>
        <v>3.8</v>
      </c>
      <c r="G13" s="35">
        <f>IF(Calc!$BL$7="","",INDEX(Calc!$BG$70:$BG$669,Calc!$BL$7))</f>
        <v>-1.92077024753665</v>
      </c>
      <c r="H13" s="33">
        <f>IF(Calc!$BL$7="","",INDEX(Calc!$BH$70:$BH$669,Calc!$BL$7))</f>
        <v>4</v>
      </c>
      <c r="I13" s="32" t="str">
        <f>IF(Calc!$BL$7="","",INDEX(Calc!$BI$70:$BI$669,Calc!$BL$7))</f>
        <v>Below expected for KS2</v>
      </c>
    </row>
    <row r="14">
      <c r="B14" s="31" t="str">
        <f>IF(Calc!$BL$8="","",INDEX(Calc!$BA$70:$BA$669,Calc!$BL$8)&amp;", "&amp;INDEX(Calc!$BB$70:$BB$669,Calc!$BL$8))</f>
        <v>Cooper, Ava</v>
      </c>
      <c r="C14" s="32" t="str">
        <f>IF(Calc!$BL$8="","",INDEX(Calc!$BC$70:$BC$669,Calc!$BL$8))</f>
        <v>8A/Sc3</v>
      </c>
      <c r="D14" s="33">
        <f>IF(Calc!$BL$8="","",INDEX(Calc!$BD$70:$BD$669,Calc!$BL$8))</f>
        <v>5</v>
      </c>
      <c r="E14" s="33">
        <f>IF(Calc!$BL$8="","",INDEX(Calc!$BE$70:$BE$669,Calc!$BL$8))</f>
        <v>5</v>
      </c>
      <c r="F14" s="34">
        <f>IF(Calc!$BL$8="","",INDEX(Calc!$BF$70:$BF$669,Calc!$BL$8))</f>
        <v>3.2</v>
      </c>
      <c r="G14" s="35">
        <f>IF(Calc!$BL$8="","",INDEX(Calc!$BG$70:$BG$669,Calc!$BL$8))</f>
        <v>-1.74185892814227</v>
      </c>
      <c r="H14" s="33">
        <f>IF(Calc!$BL$8="","",INDEX(Calc!$BH$70:$BH$669,Calc!$BL$8))</f>
        <v>2</v>
      </c>
      <c r="I14" s="32" t="str">
        <f>IF(Calc!$BL$8="","",INDEX(Calc!$BI$70:$BI$669,Calc!$BL$8))</f>
        <v>Below expected for KS2</v>
      </c>
    </row>
    <row r="15">
      <c r="B15" s="31" t="str">
        <f>IF(Calc!$BL$9="","",INDEX(Calc!$BA$70:$BA$669,Calc!$BL$9)&amp;", "&amp;INDEX(Calc!$BB$70:$BB$669,Calc!$BL$9))</f>
        <v>Green, Keira</v>
      </c>
      <c r="C15" s="32" t="str">
        <f>IF(Calc!$BL$9="","",INDEX(Calc!$BC$70:$BC$669,Calc!$BL$9))</f>
        <v>8A/Sc2</v>
      </c>
      <c r="D15" s="33">
        <f>IF(Calc!$BL$9="","",INDEX(Calc!$BD$70:$BD$669,Calc!$BL$9))</f>
        <v>7</v>
      </c>
      <c r="E15" s="33">
        <f>IF(Calc!$BL$9="","",INDEX(Calc!$BE$70:$BE$669,Calc!$BL$9))</f>
        <v>5</v>
      </c>
      <c r="F15" s="34">
        <f>IF(Calc!$BL$9="","",INDEX(Calc!$BF$70:$BF$669,Calc!$BL$9))</f>
        <v>4.8</v>
      </c>
      <c r="G15" s="35">
        <f>IF(Calc!$BL$9="","",INDEX(Calc!$BG$70:$BG$669,Calc!$BL$9))</f>
        <v>-1.69968156693103</v>
      </c>
      <c r="H15" s="33">
        <f>IF(Calc!$BL$9="","",INDEX(Calc!$BH$70:$BH$669,Calc!$BL$9))</f>
        <v>5</v>
      </c>
      <c r="I15" s="32" t="str">
        <f>IF(Calc!$BL$9="","",INDEX(Calc!$BI$70:$BI$669,Calc!$BL$9))</f>
        <v>Below expected for KS2</v>
      </c>
    </row>
    <row r="16">
      <c r="B16" s="31" t="str">
        <f>IF(Calc!$BL$10="","",INDEX(Calc!$BA$70:$BA$669,Calc!$BL$10)&amp;", "&amp;INDEX(Calc!$BB$70:$BB$669,Calc!$BL$10))</f>
        <v>Pearson, Callum</v>
      </c>
      <c r="C16" s="32" t="str">
        <f>IF(Calc!$BL$10="","",INDEX(Calc!$BC$70:$BC$669,Calc!$BL$10))</f>
        <v>8A/Sc3</v>
      </c>
      <c r="D16" s="33">
        <f>IF(Calc!$BL$10="","",INDEX(Calc!$BD$70:$BD$669,Calc!$BL$10))</f>
        <v>3</v>
      </c>
      <c r="E16" s="33">
        <f>IF(Calc!$BL$10="","",INDEX(Calc!$BE$70:$BE$669,Calc!$BL$10))</f>
        <v>5</v>
      </c>
      <c r="F16" s="34">
        <f>IF(Calc!$BL$10="","",INDEX(Calc!$BF$70:$BF$669,Calc!$BL$10))</f>
        <v>1.8</v>
      </c>
      <c r="G16" s="35">
        <f>IF(Calc!$BL$10="","",INDEX(Calc!$BG$70:$BG$669,Calc!$BL$10))</f>
        <v>-1.58403628935352</v>
      </c>
      <c r="H16" s="33">
        <f>IF(Calc!$BL$10="","",INDEX(Calc!$BH$70:$BH$669,Calc!$BL$10))</f>
        <v>1</v>
      </c>
      <c r="I16" s="32" t="str">
        <f>IF(Calc!$BL$10="","",INDEX(Calc!$BI$70:$BI$669,Calc!$BL$10))</f>
        <v>Below expected for KS2</v>
      </c>
    </row>
    <row r="17">
      <c r="B17" s="31" t="str">
        <f>IF(Calc!$BL$11="","",INDEX(Calc!$BA$70:$BA$669,Calc!$BL$11)&amp;", "&amp;INDEX(Calc!$BB$70:$BB$669,Calc!$BL$11))</f>
        <v>Brown, George</v>
      </c>
      <c r="C17" s="32" t="str">
        <f>IF(Calc!$BL$11="","",INDEX(Calc!$BC$70:$BC$669,Calc!$BL$11))</f>
        <v>8A/Sc3</v>
      </c>
      <c r="D17" s="33">
        <f>IF(Calc!$BL$11="","",INDEX(Calc!$BD$70:$BD$669,Calc!$BL$11))</f>
        <v>5</v>
      </c>
      <c r="E17" s="33">
        <f>IF(Calc!$BL$11="","",INDEX(Calc!$BE$70:$BE$669,Calc!$BL$11))</f>
        <v>5</v>
      </c>
      <c r="F17" s="34">
        <f>IF(Calc!$BL$11="","",INDEX(Calc!$BF$70:$BF$669,Calc!$BL$11))</f>
        <v>3.4</v>
      </c>
      <c r="G17" s="35">
        <f>IF(Calc!$BL$11="","",INDEX(Calc!$BG$70:$BG$669,Calc!$BL$11))</f>
        <v>-1.54185892814227</v>
      </c>
      <c r="H17" s="33">
        <f>IF(Calc!$BL$11="","",INDEX(Calc!$BH$70:$BH$669,Calc!$BL$11))</f>
        <v>3</v>
      </c>
      <c r="I17" s="32" t="str">
        <f>IF(Calc!$BL$11="","",INDEX(Calc!$BI$70:$BI$669,Calc!$BL$11))</f>
        <v>Below expected for KS2</v>
      </c>
    </row>
    <row r="18">
      <c r="B18" s="31" t="str">
        <f>IF(Calc!$BL$12="","",INDEX(Calc!$BA$70:$BA$669,Calc!$BL$12)&amp;", "&amp;INDEX(Calc!$BB$70:$BB$669,Calc!$BL$12))</f>
        <v>Thompson, Rhys</v>
      </c>
      <c r="C18" s="32" t="str">
        <f>IF(Calc!$BL$12="","",INDEX(Calc!$BC$70:$BC$669,Calc!$BL$12))</f>
        <v>8A/Sc2</v>
      </c>
      <c r="D18" s="33">
        <f>IF(Calc!$BL$12="","",INDEX(Calc!$BD$70:$BD$669,Calc!$BL$12))</f>
        <v>6</v>
      </c>
      <c r="E18" s="33">
        <f>IF(Calc!$BL$12="","",INDEX(Calc!$BE$70:$BE$669,Calc!$BL$12))</f>
        <v>5</v>
      </c>
      <c r="F18" s="34">
        <f>IF(Calc!$BL$12="","",INDEX(Calc!$BF$70:$BF$669,Calc!$BL$12))</f>
        <v>4.2</v>
      </c>
      <c r="G18" s="35">
        <f>IF(Calc!$BL$12="","",INDEX(Calc!$BG$70:$BG$669,Calc!$BL$12))</f>
        <v>-1.52077024753665</v>
      </c>
      <c r="H18" s="33">
        <f>IF(Calc!$BL$12="","",INDEX(Calc!$BH$70:$BH$669,Calc!$BL$12))</f>
        <v>3</v>
      </c>
      <c r="I18" s="32" t="str">
        <f>IF(Calc!$BL$12="","",INDEX(Calc!$BI$70:$BI$669,Calc!$BL$12))</f>
        <v>Below expected for KS2</v>
      </c>
    </row>
    <row r="19">
      <c r="B19" s="31" t="str">
        <f>IF(Calc!$BL$13="","",INDEX(Calc!$BA$70:$BA$669,Calc!$BL$13)&amp;", "&amp;INDEX(Calc!$BB$70:$BB$669,Calc!$BL$13))</f>
        <v>Cooper, Reuben</v>
      </c>
      <c r="C19" s="32" t="str">
        <f>IF(Calc!$BL$13="","",INDEX(Calc!$BC$70:$BC$669,Calc!$BL$13))</f>
        <v>8A/Sc3</v>
      </c>
      <c r="D19" s="33" t="str">
        <f>IF(Calc!$BL$13="","",INDEX(Calc!$BD$70:$BD$669,Calc!$BL$13))</f>
        <v/>
      </c>
      <c r="E19" s="33">
        <f>IF(Calc!$BL$13="","",INDEX(Calc!$BE$70:$BE$669,Calc!$BL$13))</f>
        <v>5</v>
      </c>
      <c r="F19" s="34">
        <f>IF(Calc!$BL$13="","",INDEX(Calc!$BF$70:$BF$669,Calc!$BL$13))</f>
        <v>2.8</v>
      </c>
      <c r="G19" s="35" t="str">
        <f>IF(Calc!$BL$13="","",INDEX(Calc!$BG$70:$BG$669,Calc!$BL$13))</f>
        <v/>
      </c>
      <c r="H19" s="33">
        <f>IF(Calc!$BL$13="","",INDEX(Calc!$BH$70:$BH$669,Calc!$BL$13))</f>
        <v>2</v>
      </c>
      <c r="I19" s="32" t="str">
        <f>IF(Calc!$BL$13="","",INDEX(Calc!$BI$70:$BI$669,Calc!$BL$13))</f>
        <v>Low results, no KS2 data</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8">
    <outlinePr summaryBelow="1" summaryRight="1"/>
    <pageSetUpPr/>
  </sheetPr>
  <dimension ref="A1:W9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8C01 - Periodic Table
Raw Score</t>
        </is>
      </c>
      <c r="O1" s="63" t="inlineStr">
        <is>
          <t>8C01 - Periodic Table
Stanine</t>
        </is>
      </c>
      <c r="P1" s="64" t="inlineStr">
        <is>
          <t>8P01 - Energy
Raw Score</t>
        </is>
      </c>
      <c r="Q1" s="64" t="inlineStr">
        <is>
          <t>8P01 - Energy
Stanine</t>
        </is>
      </c>
      <c r="R1" s="63" t="inlineStr">
        <is>
          <t>8B01 - Digestion
Raw Score</t>
        </is>
      </c>
      <c r="S1" s="63" t="inlineStr">
        <is>
          <t>8B01 - Digestion
Stanine</t>
        </is>
      </c>
      <c r="T1" s="64" t="inlineStr">
        <is>
          <t>8C02 - Metals and Acids
Raw Score</t>
        </is>
      </c>
      <c r="U1" s="64" t="inlineStr">
        <is>
          <t>8C02 - Metals and Acids
Stanine</t>
        </is>
      </c>
      <c r="V1" s="63" t="inlineStr">
        <is>
          <t>8P02 - Light
Raw Score</t>
        </is>
      </c>
      <c r="W1" s="63" t="inlineStr">
        <is>
          <t>8P02 - Light
Stanine</t>
        </is>
      </c>
    </row>
    <row r="2">
      <c r="A2" s="65" t="inlineStr">
        <is>
          <t>X906863152979</t>
        </is>
      </c>
      <c r="B2" s="65" t="inlineStr">
        <is>
          <t>Adeyemi</t>
        </is>
      </c>
      <c r="C2" s="65" t="inlineStr">
        <is>
          <t>Hannah</t>
        </is>
      </c>
      <c r="D2" s="66" t="inlineStr">
        <is>
          <t>M</t>
        </is>
      </c>
      <c r="E2" s="66" t="n"/>
      <c r="F2" s="66" t="inlineStr">
        <is>
          <t>N</t>
        </is>
      </c>
      <c r="G2" s="34" t="n">
        <v>89.40000000000001</v>
      </c>
      <c r="H2" s="34" t="n">
        <v>112.5</v>
      </c>
      <c r="I2" s="67">
        <f>IF(ISNUMBER(tblY8[[#This Row],[Avg KS2]]),IFERROR(VLOOKUP(ROUND(STANDARDIZE(tblY8[[#This Row],[Avg KS2]],AVERAGE(tblY8[[Avg KS2]]),_xlfn.STDEV.P(tblY8[[Avg KS2]])),9),_Stanine,2),5),"")</f>
        <v>8</v>
      </c>
      <c r="J2" s="66" t="inlineStr">
        <is>
          <t>8A/Sc1</t>
        </is>
      </c>
      <c r="K2" s="67">
        <f>IF(tblY8[[#This Row],[Preferred Last name]]="","",COUNTIFS($N$1:$ZZ$1,"*"&amp;CHAR(10)&amp;"Stanine",$N2:$ZZ2,"&gt;=1"))</f>
        <v>5</v>
      </c>
      <c r="L2" s="68">
        <f>IFERROR(AVERAGEIF($N$1:$ZZ$1,"*"&amp;CHAR(10)&amp;"Stanine",$N2:$ZZ2),"")</f>
        <v>8.4</v>
      </c>
      <c r="M2" s="69">
        <f>IF(AND(ISNUMBER(tblY8[[#This Row],[Mean Stanine]]),ISNUMBER(tblY8[[#This Row],[Avg KS2 Band]]),ISNUMBER(SlopeY8)),tblY8[[#This Row],[Mean Stanine]]-(InterceptY8+SlopeY8*tblY8[[#This Row],[Avg KS2 Band]]),"")</f>
        <v>1.1214071136746</v>
      </c>
      <c r="N2" s="66" t="n">
        <v>27</v>
      </c>
      <c r="O2" s="67">
        <f>IF(ISNUMBER(tblY8[[#This Row],[8C01 - Periodic Table
Raw Score]]),IFERROR(VLOOKUP(ROUND(STANDARDIZE(tblY8[[#This Row],[8C01 - Periodic Table
Raw Score]],AVERAGE(tblY8[[8C01 - Periodic Table
Raw Score]]),_xlfn.STDEV.P(tblY8[[8C01 - Periodic Table
Raw Score]])),9),_Stanine,2),5),"")</f>
        <v>8</v>
      </c>
      <c r="P2" s="66" t="n">
        <v>19</v>
      </c>
      <c r="Q2" s="67">
        <f>IF(ISNUMBER(tblY8[[#This Row],[8P01 - Energy
Raw Score]]),IFERROR(VLOOKUP(ROUND(STANDARDIZE(tblY8[[#This Row],[8P01 - Energy
Raw Score]],AVERAGE(tblY8[[8P01 - Energy
Raw Score]]),_xlfn.STDEV.P(tblY8[[8P01 - Energy
Raw Score]])),9),_Stanine,2),5),"")</f>
        <v>8</v>
      </c>
      <c r="R2" s="66" t="n">
        <v>26</v>
      </c>
      <c r="S2" s="67">
        <f>IF(ISNUMBER(tblY8[[#This Row],[8B01 - Digestion
Raw Score]]),IFERROR(VLOOKUP(ROUND(STANDARDIZE(tblY8[[#This Row],[8B01 - Digestion
Raw Score]],AVERAGE(tblY8[[8B01 - Digestion
Raw Score]]),_xlfn.STDEV.P(tblY8[[8B01 - Digestion
Raw Score]])),9),_Stanine,2),5),"")</f>
        <v>9</v>
      </c>
      <c r="T2" s="66" t="n">
        <v>21</v>
      </c>
      <c r="U2" s="67">
        <f>IF(ISNUMBER(tblY8[[#This Row],[8C02 - Metals and Acids
Raw Score]]),IFERROR(VLOOKUP(ROUND(STANDARDIZE(tblY8[[#This Row],[8C02 - Metals and Acids
Raw Score]],AVERAGE(tblY8[[8C02 - Metals and Acids
Raw Score]]),_xlfn.STDEV.P(tblY8[[8C02 - Metals and Acids
Raw Score]])),9),_Stanine,2),5),"")</f>
        <v>9</v>
      </c>
      <c r="V2" s="66" t="n">
        <v>21</v>
      </c>
      <c r="W2" s="67">
        <f>IF(ISNUMBER(tblY8[[#This Row],[8P02 - Light
Raw Score]]),IFERROR(VLOOKUP(ROUND(STANDARDIZE(tblY8[[#This Row],[8P02 - Light
Raw Score]],AVERAGE(tblY8[[8P02 - Light
Raw Score]]),_xlfn.STDEV.P(tblY8[[8P02 - Light
Raw Score]])),9),_Stanine,2),5),"")</f>
        <v>8</v>
      </c>
    </row>
    <row r="3">
      <c r="A3" s="65" t="inlineStr">
        <is>
          <t>X903495682420</t>
        </is>
      </c>
      <c r="B3" s="65" t="inlineStr">
        <is>
          <t>Ahmed</t>
        </is>
      </c>
      <c r="C3" s="65" t="inlineStr">
        <is>
          <t>Evie</t>
        </is>
      </c>
      <c r="D3" s="66" t="inlineStr">
        <is>
          <t>F</t>
        </is>
      </c>
      <c r="E3" s="66" t="n"/>
      <c r="F3" s="66" t="inlineStr">
        <is>
          <t>N</t>
        </is>
      </c>
      <c r="G3" s="34" t="n">
        <v>92.90000000000001</v>
      </c>
      <c r="H3" s="34" t="n">
        <v>116</v>
      </c>
      <c r="I3" s="67">
        <f>IF(ISNUMBER(tblY8[[#This Row],[Avg KS2]]),IFERROR(VLOOKUP(ROUND(STANDARDIZE(tblY8[[#This Row],[Avg KS2]],AVERAGE(tblY8[[Avg KS2]]),_xlfn.STDEV.P(tblY8[[Avg KS2]])),9),_Stanine,2),5),"")</f>
        <v>9</v>
      </c>
      <c r="J3" s="66" t="inlineStr">
        <is>
          <t>8A/Sc1</t>
        </is>
      </c>
      <c r="K3" s="67">
        <f>IF(tblY8[[#This Row],[Preferred Last name]]="","",COUNTIFS($N$1:$ZZ$1,"*"&amp;CHAR(10)&amp;"Stanine",$N3:$ZZ3,"&gt;=1"))</f>
        <v>5</v>
      </c>
      <c r="L3" s="68">
        <f>IFERROR(AVERAGEIF($N$1:$ZZ$1,"*"&amp;CHAR(10)&amp;"Stanine",$N3:$ZZ3),"")</f>
        <v>7.8</v>
      </c>
      <c r="M3" s="69">
        <f>IF(AND(ISNUMBER(tblY8[[#This Row],[Mean Stanine]]),ISNUMBER(tblY8[[#This Row],[Avg KS2 Band]]),ISNUMBER(SlopeY8)),tblY8[[#This Row],[Mean Stanine]]-(InterceptY8+SlopeY8*tblY8[[#This Row],[Avg KS2 Band]]),"")</f>
        <v>-0.257504205719779</v>
      </c>
      <c r="N3" s="66" t="n">
        <v>28</v>
      </c>
      <c r="O3" s="67">
        <f>IF(ISNUMBER(tblY8[[#This Row],[8C01 - Periodic Table
Raw Score]]),IFERROR(VLOOKUP(ROUND(STANDARDIZE(tblY8[[#This Row],[8C01 - Periodic Table
Raw Score]],AVERAGE(tblY8[[8C01 - Periodic Table
Raw Score]]),_xlfn.STDEV.P(tblY8[[8C01 - Periodic Table
Raw Score]])),9),_Stanine,2),5),"")</f>
        <v>8</v>
      </c>
      <c r="P3" s="66" t="n">
        <v>18</v>
      </c>
      <c r="Q3" s="67">
        <f>IF(ISNUMBER(tblY8[[#This Row],[8P01 - Energy
Raw Score]]),IFERROR(VLOOKUP(ROUND(STANDARDIZE(tblY8[[#This Row],[8P01 - Energy
Raw Score]],AVERAGE(tblY8[[8P01 - Energy
Raw Score]]),_xlfn.STDEV.P(tblY8[[8P01 - Energy
Raw Score]])),9),_Stanine,2),5),"")</f>
        <v>8</v>
      </c>
      <c r="R3" s="66" t="n">
        <v>22</v>
      </c>
      <c r="S3" s="67">
        <f>IF(ISNUMBER(tblY8[[#This Row],[8B01 - Digestion
Raw Score]]),IFERROR(VLOOKUP(ROUND(STANDARDIZE(tblY8[[#This Row],[8B01 - Digestion
Raw Score]],AVERAGE(tblY8[[8B01 - Digestion
Raw Score]]),_xlfn.STDEV.P(tblY8[[8B01 - Digestion
Raw Score]])),9),_Stanine,2),5),"")</f>
        <v>8</v>
      </c>
      <c r="T3" s="66" t="n">
        <v>19</v>
      </c>
      <c r="U3" s="67">
        <f>IF(ISNUMBER(tblY8[[#This Row],[8C02 - Metals and Acids
Raw Score]]),IFERROR(VLOOKUP(ROUND(STANDARDIZE(tblY8[[#This Row],[8C02 - Metals and Acids
Raw Score]],AVERAGE(tblY8[[8C02 - Metals and Acids
Raw Score]]),_xlfn.STDEV.P(tblY8[[8C02 - Metals and Acids
Raw Score]])),9),_Stanine,2),5),"")</f>
        <v>8</v>
      </c>
      <c r="V3" s="66" t="n">
        <v>20</v>
      </c>
      <c r="W3" s="67">
        <f>IF(ISNUMBER(tblY8[[#This Row],[8P02 - Light
Raw Score]]),IFERROR(VLOOKUP(ROUND(STANDARDIZE(tblY8[[#This Row],[8P02 - Light
Raw Score]],AVERAGE(tblY8[[8P02 - Light
Raw Score]]),_xlfn.STDEV.P(tblY8[[8P02 - Light
Raw Score]])),9),_Stanine,2),5),"")</f>
        <v>7</v>
      </c>
    </row>
    <row r="4">
      <c r="A4" s="65" t="inlineStr">
        <is>
          <t>X909722358870</t>
        </is>
      </c>
      <c r="B4" s="65" t="inlineStr">
        <is>
          <t>Bennett</t>
        </is>
      </c>
      <c r="C4" s="65" t="inlineStr">
        <is>
          <t>Lily</t>
        </is>
      </c>
      <c r="D4" s="66" t="inlineStr">
        <is>
          <t>M</t>
        </is>
      </c>
      <c r="E4" s="66" t="inlineStr">
        <is>
          <t>N</t>
        </is>
      </c>
      <c r="F4" s="66" t="inlineStr">
        <is>
          <t>N</t>
        </is>
      </c>
      <c r="G4" s="34" t="n">
        <v>85.2</v>
      </c>
      <c r="H4" s="34" t="n">
        <v>103</v>
      </c>
      <c r="I4" s="67">
        <f>IF(ISNUMBER(tblY8[[#This Row],[Avg KS2]]),IFERROR(VLOOKUP(ROUND(STANDARDIZE(tblY8[[#This Row],[Avg KS2]],AVERAGE(tblY8[[Avg KS2]]),_xlfn.STDEV.P(tblY8[[Avg KS2]])),9),_Stanine,2),5),"")</f>
        <v>4</v>
      </c>
      <c r="J4" s="66" t="inlineStr">
        <is>
          <t>8A/Sc1</t>
        </is>
      </c>
      <c r="K4" s="67">
        <f>IF(tblY8[[#This Row],[Preferred Last name]]="","",COUNTIFS($N$1:$ZZ$1,"*"&amp;CHAR(10)&amp;"Stanine",$N4:$ZZ4,"&gt;=1"))</f>
        <v>5</v>
      </c>
      <c r="L4" s="68">
        <f>IFERROR(AVERAGEIF($N$1:$ZZ$1,"*"&amp;CHAR(10)&amp;"Stanine",$N4:$ZZ4),"")</f>
        <v>6</v>
      </c>
      <c r="M4" s="69">
        <f>IF(AND(ISNUMBER(tblY8[[#This Row],[Mean Stanine]]),ISNUMBER(tblY8[[#This Row],[Avg KS2 Band]]),ISNUMBER(SlopeY8)),tblY8[[#This Row],[Mean Stanine]]-(InterceptY8+SlopeY8*tblY8[[#This Row],[Avg KS2 Band]]),"")</f>
        <v>1.8370523912521</v>
      </c>
      <c r="N4" s="66" t="n">
        <v>21</v>
      </c>
      <c r="O4" s="67">
        <f>IF(ISNUMBER(tblY8[[#This Row],[8C01 - Periodic Table
Raw Score]]),IFERROR(VLOOKUP(ROUND(STANDARDIZE(tblY8[[#This Row],[8C01 - Periodic Table
Raw Score]],AVERAGE(tblY8[[8C01 - Periodic Table
Raw Score]]),_xlfn.STDEV.P(tblY8[[8C01 - Periodic Table
Raw Score]])),9),_Stanine,2),5),"")</f>
        <v>6</v>
      </c>
      <c r="P4" s="66" t="n">
        <v>10</v>
      </c>
      <c r="Q4" s="67">
        <f>IF(ISNUMBER(tblY8[[#This Row],[8P01 - Energy
Raw Score]]),IFERROR(VLOOKUP(ROUND(STANDARDIZE(tblY8[[#This Row],[8P01 - Energy
Raw Score]],AVERAGE(tblY8[[8P01 - Energy
Raw Score]]),_xlfn.STDEV.P(tblY8[[8P01 - Energy
Raw Score]])),9),_Stanine,2),5),"")</f>
        <v>5</v>
      </c>
      <c r="R4" s="66" t="n">
        <v>15</v>
      </c>
      <c r="S4" s="67">
        <f>IF(ISNUMBER(tblY8[[#This Row],[8B01 - Digestion
Raw Score]]),IFERROR(VLOOKUP(ROUND(STANDARDIZE(tblY8[[#This Row],[8B01 - Digestion
Raw Score]],AVERAGE(tblY8[[8B01 - Digestion
Raw Score]]),_xlfn.STDEV.P(tblY8[[8B01 - Digestion
Raw Score]])),9),_Stanine,2),5),"")</f>
        <v>5</v>
      </c>
      <c r="T4" s="66" t="n">
        <v>16</v>
      </c>
      <c r="U4" s="67">
        <f>IF(ISNUMBER(tblY8[[#This Row],[8C02 - Metals and Acids
Raw Score]]),IFERROR(VLOOKUP(ROUND(STANDARDIZE(tblY8[[#This Row],[8C02 - Metals and Acids
Raw Score]],AVERAGE(tblY8[[8C02 - Metals and Acids
Raw Score]]),_xlfn.STDEV.P(tblY8[[8C02 - Metals and Acids
Raw Score]])),9),_Stanine,2),5),"")</f>
        <v>7</v>
      </c>
      <c r="V4" s="66" t="n">
        <v>19</v>
      </c>
      <c r="W4" s="67">
        <f>IF(ISNUMBER(tblY8[[#This Row],[8P02 - Light
Raw Score]]),IFERROR(VLOOKUP(ROUND(STANDARDIZE(tblY8[[#This Row],[8P02 - Light
Raw Score]],AVERAGE(tblY8[[8P02 - Light
Raw Score]]),_xlfn.STDEV.P(tblY8[[8P02 - Light
Raw Score]])),9),_Stanine,2),5),"")</f>
        <v>7</v>
      </c>
    </row>
    <row r="5">
      <c r="A5" s="65" t="inlineStr">
        <is>
          <t>X900604320344</t>
        </is>
      </c>
      <c r="B5" s="65" t="inlineStr">
        <is>
          <t>Bennett</t>
        </is>
      </c>
      <c r="C5" s="65" t="inlineStr">
        <is>
          <t>Seren</t>
        </is>
      </c>
      <c r="D5" s="66" t="inlineStr">
        <is>
          <t>F</t>
        </is>
      </c>
      <c r="E5" s="66" t="inlineStr">
        <is>
          <t>N</t>
        </is>
      </c>
      <c r="F5" s="66" t="inlineStr">
        <is>
          <t>N</t>
        </is>
      </c>
      <c r="G5" s="34" t="n">
        <v>87.3</v>
      </c>
      <c r="H5" s="34" t="n">
        <v>107</v>
      </c>
      <c r="I5" s="67">
        <f>IF(ISNUMBER(tblY8[[#This Row],[Avg KS2]]),IFERROR(VLOOKUP(ROUND(STANDARDIZE(tblY8[[#This Row],[Avg KS2]],AVERAGE(tblY8[[Avg KS2]]),_xlfn.STDEV.P(tblY8[[Avg KS2]])),9),_Stanine,2),5),"")</f>
        <v>6</v>
      </c>
      <c r="J5" s="66" t="inlineStr">
        <is>
          <t>8A/Sc1</t>
        </is>
      </c>
      <c r="K5" s="67">
        <f>IF(tblY8[[#This Row],[Preferred Last name]]="","",COUNTIFS($N$1:$ZZ$1,"*"&amp;CHAR(10)&amp;"Stanine",$N5:$ZZ5,"&gt;=1"))</f>
        <v>5</v>
      </c>
      <c r="L5" s="68">
        <f>IFERROR(AVERAGEIF($N$1:$ZZ$1,"*"&amp;CHAR(10)&amp;"Stanine",$N5:$ZZ5),"")</f>
        <v>6</v>
      </c>
      <c r="M5" s="69">
        <f>IF(AND(ISNUMBER(tblY8[[#This Row],[Mean Stanine]]),ISNUMBER(tblY8[[#This Row],[Avg KS2 Band]]),ISNUMBER(SlopeY8)),tblY8[[#This Row],[Mean Stanine]]-(InterceptY8+SlopeY8*tblY8[[#This Row],[Avg KS2 Band]]),"")</f>
        <v>0.27922975246335</v>
      </c>
      <c r="N5" s="66" t="n">
        <v>20</v>
      </c>
      <c r="O5" s="67">
        <f>IF(ISNUMBER(tblY8[[#This Row],[8C01 - Periodic Table
Raw Score]]),IFERROR(VLOOKUP(ROUND(STANDARDIZE(tblY8[[#This Row],[8C01 - Periodic Table
Raw Score]],AVERAGE(tblY8[[8C01 - Periodic Table
Raw Score]]),_xlfn.STDEV.P(tblY8[[8C01 - Periodic Table
Raw Score]])),9),_Stanine,2),5),"")</f>
        <v>6</v>
      </c>
      <c r="P5" s="66" t="n">
        <v>15</v>
      </c>
      <c r="Q5" s="67">
        <f>IF(ISNUMBER(tblY8[[#This Row],[8P01 - Energy
Raw Score]]),IFERROR(VLOOKUP(ROUND(STANDARDIZE(tblY8[[#This Row],[8P01 - Energy
Raw Score]],AVERAGE(tblY8[[8P01 - Energy
Raw Score]]),_xlfn.STDEV.P(tblY8[[8P01 - Energy
Raw Score]])),9),_Stanine,2),5),"")</f>
        <v>7</v>
      </c>
      <c r="R5" s="66" t="n">
        <v>13</v>
      </c>
      <c r="S5" s="67">
        <f>IF(ISNUMBER(tblY8[[#This Row],[8B01 - Digestion
Raw Score]]),IFERROR(VLOOKUP(ROUND(STANDARDIZE(tblY8[[#This Row],[8B01 - Digestion
Raw Score]],AVERAGE(tblY8[[8B01 - Digestion
Raw Score]]),_xlfn.STDEV.P(tblY8[[8B01 - Digestion
Raw Score]])),9),_Stanine,2),5),"")</f>
        <v>5</v>
      </c>
      <c r="T5" s="66" t="n">
        <v>16</v>
      </c>
      <c r="U5" s="67">
        <f>IF(ISNUMBER(tblY8[[#This Row],[8C02 - Metals and Acids
Raw Score]]),IFERROR(VLOOKUP(ROUND(STANDARDIZE(tblY8[[#This Row],[8C02 - Metals and Acids
Raw Score]],AVERAGE(tblY8[[8C02 - Metals and Acids
Raw Score]]),_xlfn.STDEV.P(tblY8[[8C02 - Metals and Acids
Raw Score]])),9),_Stanine,2),5),"")</f>
        <v>7</v>
      </c>
      <c r="V5" s="66" t="n">
        <v>16</v>
      </c>
      <c r="W5" s="67">
        <f>IF(ISNUMBER(tblY8[[#This Row],[8P02 - Light
Raw Score]]),IFERROR(VLOOKUP(ROUND(STANDARDIZE(tblY8[[#This Row],[8P02 - Light
Raw Score]],AVERAGE(tblY8[[8P02 - Light
Raw Score]]),_xlfn.STDEV.P(tblY8[[8P02 - Light
Raw Score]])),9),_Stanine,2),5),"")</f>
        <v>5</v>
      </c>
    </row>
    <row r="6">
      <c r="A6" s="65" t="inlineStr">
        <is>
          <t>X908699107732</t>
        </is>
      </c>
      <c r="B6" s="65" t="inlineStr">
        <is>
          <t>Bennett</t>
        </is>
      </c>
      <c r="C6" s="65" t="inlineStr">
        <is>
          <t>Seren</t>
        </is>
      </c>
      <c r="D6" s="66" t="inlineStr">
        <is>
          <t>F</t>
        </is>
      </c>
      <c r="E6" s="66" t="inlineStr">
        <is>
          <t>N</t>
        </is>
      </c>
      <c r="F6" s="66" t="inlineStr">
        <is>
          <t>N</t>
        </is>
      </c>
      <c r="G6" s="34" t="n">
        <v>91.8</v>
      </c>
      <c r="H6" s="34" t="n">
        <v>107</v>
      </c>
      <c r="I6" s="67">
        <f>IF(ISNUMBER(tblY8[[#This Row],[Avg KS2]]),IFERROR(VLOOKUP(ROUND(STANDARDIZE(tblY8[[#This Row],[Avg KS2]],AVERAGE(tblY8[[Avg KS2]]),_xlfn.STDEV.P(tblY8[[Avg KS2]])),9),_Stanine,2),5),"")</f>
        <v>6</v>
      </c>
      <c r="J6" s="66" t="inlineStr">
        <is>
          <t>8A/Sc1</t>
        </is>
      </c>
      <c r="K6" s="67">
        <f>IF(tblY8[[#This Row],[Preferred Last name]]="","",COUNTIFS($N$1:$ZZ$1,"*"&amp;CHAR(10)&amp;"Stanine",$N6:$ZZ6,"&gt;=1"))</f>
        <v>4</v>
      </c>
      <c r="L6" s="68">
        <f>IFERROR(AVERAGEIF($N$1:$ZZ$1,"*"&amp;CHAR(10)&amp;"Stanine",$N6:$ZZ6),"")</f>
        <v>6</v>
      </c>
      <c r="M6" s="69">
        <f>IF(AND(ISNUMBER(tblY8[[#This Row],[Mean Stanine]]),ISNUMBER(tblY8[[#This Row],[Avg KS2 Band]]),ISNUMBER(SlopeY8)),tblY8[[#This Row],[Mean Stanine]]-(InterceptY8+SlopeY8*tblY8[[#This Row],[Avg KS2 Band]]),"")</f>
        <v>0.27922975246335</v>
      </c>
      <c r="N6" s="66" t="inlineStr">
        <is>
          <t>A</t>
        </is>
      </c>
      <c r="O6" s="67" t="str">
        <f>IF(ISNUMBER(tblY8[[#This Row],[8C01 - Periodic Table
Raw Score]]),IFERROR(VLOOKUP(ROUND(STANDARDIZE(tblY8[[#This Row],[8C01 - Periodic Table
Raw Score]],AVERAGE(tblY8[[8C01 - Periodic Table
Raw Score]]),_xlfn.STDEV.P(tblY8[[8C01 - Periodic Table
Raw Score]])),9),_Stanine,2),5),"")</f>
        <v/>
      </c>
      <c r="P6" s="66" t="n">
        <v>13</v>
      </c>
      <c r="Q6" s="67">
        <f>IF(ISNUMBER(tblY8[[#This Row],[8P01 - Energy
Raw Score]]),IFERROR(VLOOKUP(ROUND(STANDARDIZE(tblY8[[#This Row],[8P01 - Energy
Raw Score]],AVERAGE(tblY8[[8P01 - Energy
Raw Score]]),_xlfn.STDEV.P(tblY8[[8P01 - Energy
Raw Score]])),9),_Stanine,2),5),"")</f>
        <v>6</v>
      </c>
      <c r="R6" s="66" t="n">
        <v>16</v>
      </c>
      <c r="S6" s="67">
        <f>IF(ISNUMBER(tblY8[[#This Row],[8B01 - Digestion
Raw Score]]),IFERROR(VLOOKUP(ROUND(STANDARDIZE(tblY8[[#This Row],[8B01 - Digestion
Raw Score]],AVERAGE(tblY8[[8B01 - Digestion
Raw Score]]),_xlfn.STDEV.P(tblY8[[8B01 - Digestion
Raw Score]])),9),_Stanine,2),5),"")</f>
        <v>6</v>
      </c>
      <c r="T6" s="66" t="n">
        <v>14</v>
      </c>
      <c r="U6" s="67">
        <f>IF(ISNUMBER(tblY8[[#This Row],[8C02 - Metals and Acids
Raw Score]]),IFERROR(VLOOKUP(ROUND(STANDARDIZE(tblY8[[#This Row],[8C02 - Metals and Acids
Raw Score]],AVERAGE(tblY8[[8C02 - Metals and Acids
Raw Score]]),_xlfn.STDEV.P(tblY8[[8C02 - Metals and Acids
Raw Score]])),9),_Stanine,2),5),"")</f>
        <v>6</v>
      </c>
      <c r="V6" s="66" t="n">
        <v>18</v>
      </c>
      <c r="W6" s="67">
        <f>IF(ISNUMBER(tblY8[[#This Row],[8P02 - Light
Raw Score]]),IFERROR(VLOOKUP(ROUND(STANDARDIZE(tblY8[[#This Row],[8P02 - Light
Raw Score]],AVERAGE(tblY8[[8P02 - Light
Raw Score]]),_xlfn.STDEV.P(tblY8[[8P02 - Light
Raw Score]])),9),_Stanine,2),5),"")</f>
        <v>6</v>
      </c>
    </row>
    <row r="7">
      <c r="A7" s="65" t="inlineStr">
        <is>
          <t>X907267711206</t>
        </is>
      </c>
      <c r="B7" s="65" t="inlineStr">
        <is>
          <t>Brown</t>
        </is>
      </c>
      <c r="C7" s="65" t="inlineStr">
        <is>
          <t>Megan</t>
        </is>
      </c>
      <c r="D7" s="66" t="inlineStr">
        <is>
          <t>F</t>
        </is>
      </c>
      <c r="E7" s="66" t="inlineStr">
        <is>
          <t>K</t>
        </is>
      </c>
      <c r="F7" s="66" t="inlineStr">
        <is>
          <t>Y</t>
        </is>
      </c>
      <c r="G7" s="34" t="n">
        <v>90.8</v>
      </c>
      <c r="H7" s="34" t="n">
        <v>117</v>
      </c>
      <c r="I7" s="67">
        <f>IF(ISNUMBER(tblY8[[#This Row],[Avg KS2]]),IFERROR(VLOOKUP(ROUND(STANDARDIZE(tblY8[[#This Row],[Avg KS2]],AVERAGE(tblY8[[Avg KS2]]),_xlfn.STDEV.P(tblY8[[Avg KS2]])),9),_Stanine,2),5),"")</f>
        <v>9</v>
      </c>
      <c r="J7" s="66" t="inlineStr">
        <is>
          <t>8A/Sc1</t>
        </is>
      </c>
      <c r="K7" s="67">
        <f>IF(tblY8[[#This Row],[Preferred Last name]]="","",COUNTIFS($N$1:$ZZ$1,"*"&amp;CHAR(10)&amp;"Stanine",$N7:$ZZ7,"&gt;=1"))</f>
        <v>5</v>
      </c>
      <c r="L7" s="68">
        <f>IFERROR(AVERAGEIF($N$1:$ZZ$1,"*"&amp;CHAR(10)&amp;"Stanine",$N7:$ZZ7),"")</f>
        <v>8.4</v>
      </c>
      <c r="M7" s="69">
        <f>IF(AND(ISNUMBER(tblY8[[#This Row],[Mean Stanine]]),ISNUMBER(tblY8[[#This Row],[Avg KS2 Band]]),ISNUMBER(SlopeY8)),tblY8[[#This Row],[Mean Stanine]]-(InterceptY8+SlopeY8*tblY8[[#This Row],[Avg KS2 Band]]),"")</f>
        <v>0.342495794280222</v>
      </c>
      <c r="N7" s="66" t="n">
        <v>27</v>
      </c>
      <c r="O7" s="67">
        <f>IF(ISNUMBER(tblY8[[#This Row],[8C01 - Periodic Table
Raw Score]]),IFERROR(VLOOKUP(ROUND(STANDARDIZE(tblY8[[#This Row],[8C01 - Periodic Table
Raw Score]],AVERAGE(tblY8[[8C01 - Periodic Table
Raw Score]]),_xlfn.STDEV.P(tblY8[[8C01 - Periodic Table
Raw Score]])),9),_Stanine,2),5),"")</f>
        <v>8</v>
      </c>
      <c r="P7" s="66" t="n">
        <v>20</v>
      </c>
      <c r="Q7" s="67">
        <f>IF(ISNUMBER(tblY8[[#This Row],[8P01 - Energy
Raw Score]]),IFERROR(VLOOKUP(ROUND(STANDARDIZE(tblY8[[#This Row],[8P01 - Energy
Raw Score]],AVERAGE(tblY8[[8P01 - Energy
Raw Score]]),_xlfn.STDEV.P(tblY8[[8P01 - Energy
Raw Score]])),9),_Stanine,2),5),"")</f>
        <v>9</v>
      </c>
      <c r="R7" s="66" t="n">
        <v>25</v>
      </c>
      <c r="S7" s="67">
        <f>IF(ISNUMBER(tblY8[[#This Row],[8B01 - Digestion
Raw Score]]),IFERROR(VLOOKUP(ROUND(STANDARDIZE(tblY8[[#This Row],[8B01 - Digestion
Raw Score]],AVERAGE(tblY8[[8B01 - Digestion
Raw Score]]),_xlfn.STDEV.P(tblY8[[8B01 - Digestion
Raw Score]])),9),_Stanine,2),5),"")</f>
        <v>9</v>
      </c>
      <c r="T7" s="66" t="n">
        <v>21</v>
      </c>
      <c r="U7" s="67">
        <f>IF(ISNUMBER(tblY8[[#This Row],[8C02 - Metals and Acids
Raw Score]]),IFERROR(VLOOKUP(ROUND(STANDARDIZE(tblY8[[#This Row],[8C02 - Metals and Acids
Raw Score]],AVERAGE(tblY8[[8C02 - Metals and Acids
Raw Score]]),_xlfn.STDEV.P(tblY8[[8C02 - Metals and Acids
Raw Score]])),9),_Stanine,2),5),"")</f>
        <v>9</v>
      </c>
      <c r="V7" s="66" t="n">
        <v>20</v>
      </c>
      <c r="W7" s="67">
        <f>IF(ISNUMBER(tblY8[[#This Row],[8P02 - Light
Raw Score]]),IFERROR(VLOOKUP(ROUND(STANDARDIZE(tblY8[[#This Row],[8P02 - Light
Raw Score]],AVERAGE(tblY8[[8P02 - Light
Raw Score]]),_xlfn.STDEV.P(tblY8[[8P02 - Light
Raw Score]])),9),_Stanine,2),5),"")</f>
        <v>7</v>
      </c>
    </row>
    <row r="8">
      <c r="A8" s="65" t="inlineStr">
        <is>
          <t>X901647503146</t>
        </is>
      </c>
      <c r="B8" s="65" t="inlineStr">
        <is>
          <t>Edwards</t>
        </is>
      </c>
      <c r="C8" s="65" t="inlineStr">
        <is>
          <t>Theo</t>
        </is>
      </c>
      <c r="D8" s="66" t="inlineStr">
        <is>
          <t>M</t>
        </is>
      </c>
      <c r="E8" s="66" t="inlineStr">
        <is>
          <t>N</t>
        </is>
      </c>
      <c r="F8" s="66" t="inlineStr">
        <is>
          <t>Y</t>
        </is>
      </c>
      <c r="G8" s="34" t="n">
        <v>95.40000000000001</v>
      </c>
      <c r="H8" s="34" t="n">
        <v>115</v>
      </c>
      <c r="I8" s="67">
        <f>IF(ISNUMBER(tblY8[[#This Row],[Avg KS2]]),IFERROR(VLOOKUP(ROUND(STANDARDIZE(tblY8[[#This Row],[Avg KS2]],AVERAGE(tblY8[[Avg KS2]]),_xlfn.STDEV.P(tblY8[[Avg KS2]])),9),_Stanine,2),5),"")</f>
        <v>9</v>
      </c>
      <c r="J8" s="66" t="inlineStr">
        <is>
          <t>8A/Sc1</t>
        </is>
      </c>
      <c r="K8" s="67">
        <f>IF(tblY8[[#This Row],[Preferred Last name]]="","",COUNTIFS($N$1:$ZZ$1,"*"&amp;CHAR(10)&amp;"Stanine",$N8:$ZZ8,"&gt;=1"))</f>
        <v>5</v>
      </c>
      <c r="L8" s="68">
        <f>IFERROR(AVERAGEIF($N$1:$ZZ$1,"*"&amp;CHAR(10)&amp;"Stanine",$N8:$ZZ8),"")</f>
        <v>8.8</v>
      </c>
      <c r="M8" s="69">
        <f>IF(AND(ISNUMBER(tblY8[[#This Row],[Mean Stanine]]),ISNUMBER(tblY8[[#This Row],[Avg KS2 Band]]),ISNUMBER(SlopeY8)),tblY8[[#This Row],[Mean Stanine]]-(InterceptY8+SlopeY8*tblY8[[#This Row],[Avg KS2 Band]]),"")</f>
        <v>0.742495794280222</v>
      </c>
      <c r="N8" s="66" t="n">
        <v>27</v>
      </c>
      <c r="O8" s="67">
        <f>IF(ISNUMBER(tblY8[[#This Row],[8C01 - Periodic Table
Raw Score]]),IFERROR(VLOOKUP(ROUND(STANDARDIZE(tblY8[[#This Row],[8C01 - Periodic Table
Raw Score]],AVERAGE(tblY8[[8C01 - Periodic Table
Raw Score]]),_xlfn.STDEV.P(tblY8[[8C01 - Periodic Table
Raw Score]])),9),_Stanine,2),5),"")</f>
        <v>8</v>
      </c>
      <c r="P8" s="66" t="n">
        <v>22</v>
      </c>
      <c r="Q8" s="67">
        <f>IF(ISNUMBER(tblY8[[#This Row],[8P01 - Energy
Raw Score]]),IFERROR(VLOOKUP(ROUND(STANDARDIZE(tblY8[[#This Row],[8P01 - Energy
Raw Score]],AVERAGE(tblY8[[8P01 - Energy
Raw Score]]),_xlfn.STDEV.P(tblY8[[8P01 - Energy
Raw Score]])),9),_Stanine,2),5),"")</f>
        <v>9</v>
      </c>
      <c r="R8" s="66" t="n">
        <v>28</v>
      </c>
      <c r="S8" s="67">
        <f>IF(ISNUMBER(tblY8[[#This Row],[8B01 - Digestion
Raw Score]]),IFERROR(VLOOKUP(ROUND(STANDARDIZE(tblY8[[#This Row],[8B01 - Digestion
Raw Score]],AVERAGE(tblY8[[8B01 - Digestion
Raw Score]]),_xlfn.STDEV.P(tblY8[[8B01 - Digestion
Raw Score]])),9),_Stanine,2),5),"")</f>
        <v>9</v>
      </c>
      <c r="T8" s="66" t="n">
        <v>24</v>
      </c>
      <c r="U8" s="67">
        <f>IF(ISNUMBER(tblY8[[#This Row],[8C02 - Metals and Acids
Raw Score]]),IFERROR(VLOOKUP(ROUND(STANDARDIZE(tblY8[[#This Row],[8C02 - Metals and Acids
Raw Score]],AVERAGE(tblY8[[8C02 - Metals and Acids
Raw Score]]),_xlfn.STDEV.P(tblY8[[8C02 - Metals and Acids
Raw Score]])),9),_Stanine,2),5),"")</f>
        <v>9</v>
      </c>
      <c r="V8" s="66" t="n">
        <v>23</v>
      </c>
      <c r="W8" s="67">
        <f>IF(ISNUMBER(tblY8[[#This Row],[8P02 - Light
Raw Score]]),IFERROR(VLOOKUP(ROUND(STANDARDIZE(tblY8[[#This Row],[8P02 - Light
Raw Score]],AVERAGE(tblY8[[8P02 - Light
Raw Score]]),_xlfn.STDEV.P(tblY8[[8P02 - Light
Raw Score]])),9),_Stanine,2),5),"")</f>
        <v>9</v>
      </c>
    </row>
    <row r="9">
      <c r="A9" s="65" t="inlineStr">
        <is>
          <t>X908942539851</t>
        </is>
      </c>
      <c r="B9" s="65" t="inlineStr">
        <is>
          <t>Green</t>
        </is>
      </c>
      <c r="C9" s="65" t="inlineStr">
        <is>
          <t>Kai</t>
        </is>
      </c>
      <c r="D9" s="66" t="inlineStr">
        <is>
          <t>M</t>
        </is>
      </c>
      <c r="E9" s="66" t="inlineStr">
        <is>
          <t>N</t>
        </is>
      </c>
      <c r="F9" s="66" t="inlineStr">
        <is>
          <t>Y</t>
        </is>
      </c>
      <c r="G9" s="34" t="n">
        <v>94.7</v>
      </c>
      <c r="H9" s="34" t="n">
        <v>115.5</v>
      </c>
      <c r="I9" s="67">
        <f>IF(ISNUMBER(tblY8[[#This Row],[Avg KS2]]),IFERROR(VLOOKUP(ROUND(STANDARDIZE(tblY8[[#This Row],[Avg KS2]],AVERAGE(tblY8[[Avg KS2]]),_xlfn.STDEV.P(tblY8[[Avg KS2]])),9),_Stanine,2),5),"")</f>
        <v>9</v>
      </c>
      <c r="J9" s="66" t="inlineStr">
        <is>
          <t>8A/Sc1</t>
        </is>
      </c>
      <c r="K9" s="67">
        <f>IF(tblY8[[#This Row],[Preferred Last name]]="","",COUNTIFS($N$1:$ZZ$1,"*"&amp;CHAR(10)&amp;"Stanine",$N9:$ZZ9,"&gt;=1"))</f>
        <v>5</v>
      </c>
      <c r="L9" s="68">
        <f>IFERROR(AVERAGEIF($N$1:$ZZ$1,"*"&amp;CHAR(10)&amp;"Stanine",$N9:$ZZ9),"")</f>
        <v>6.6</v>
      </c>
      <c r="M9" s="69">
        <f>IF(AND(ISNUMBER(tblY8[[#This Row],[Mean Stanine]]),ISNUMBER(tblY8[[#This Row],[Avg KS2 Band]]),ISNUMBER(SlopeY8)),tblY8[[#This Row],[Mean Stanine]]-(InterceptY8+SlopeY8*tblY8[[#This Row],[Avg KS2 Band]]),"")</f>
        <v>-1.45750420571978</v>
      </c>
      <c r="N9" s="66" t="n">
        <v>24</v>
      </c>
      <c r="O9" s="67">
        <f>IF(ISNUMBER(tblY8[[#This Row],[8C01 - Periodic Table
Raw Score]]),IFERROR(VLOOKUP(ROUND(STANDARDIZE(tblY8[[#This Row],[8C01 - Periodic Table
Raw Score]],AVERAGE(tblY8[[8C01 - Periodic Table
Raw Score]]),_xlfn.STDEV.P(tblY8[[8C01 - Periodic Table
Raw Score]])),9),_Stanine,2),5),"")</f>
        <v>7</v>
      </c>
      <c r="P9" s="66" t="n">
        <v>12</v>
      </c>
      <c r="Q9" s="67">
        <f>IF(ISNUMBER(tblY8[[#This Row],[8P01 - Energy
Raw Score]]),IFERROR(VLOOKUP(ROUND(STANDARDIZE(tblY8[[#This Row],[8P01 - Energy
Raw Score]],AVERAGE(tblY8[[8P01 - Energy
Raw Score]]),_xlfn.STDEV.P(tblY8[[8P01 - Energy
Raw Score]])),9),_Stanine,2),5),"")</f>
        <v>6</v>
      </c>
      <c r="R9" s="66" t="n">
        <v>19</v>
      </c>
      <c r="S9" s="67">
        <f>IF(ISNUMBER(tblY8[[#This Row],[8B01 - Digestion
Raw Score]]),IFERROR(VLOOKUP(ROUND(STANDARDIZE(tblY8[[#This Row],[8B01 - Digestion
Raw Score]],AVERAGE(tblY8[[8B01 - Digestion
Raw Score]]),_xlfn.STDEV.P(tblY8[[8B01 - Digestion
Raw Score]])),9),_Stanine,2),5),"")</f>
        <v>7</v>
      </c>
      <c r="T9" s="66" t="n">
        <v>16</v>
      </c>
      <c r="U9" s="67">
        <f>IF(ISNUMBER(tblY8[[#This Row],[8C02 - Metals and Acids
Raw Score]]),IFERROR(VLOOKUP(ROUND(STANDARDIZE(tblY8[[#This Row],[8C02 - Metals and Acids
Raw Score]],AVERAGE(tblY8[[8C02 - Metals and Acids
Raw Score]]),_xlfn.STDEV.P(tblY8[[8C02 - Metals and Acids
Raw Score]])),9),_Stanine,2),5),"")</f>
        <v>7</v>
      </c>
      <c r="V9" s="66" t="n">
        <v>17</v>
      </c>
      <c r="W9" s="67">
        <f>IF(ISNUMBER(tblY8[[#This Row],[8P02 - Light
Raw Score]]),IFERROR(VLOOKUP(ROUND(STANDARDIZE(tblY8[[#This Row],[8P02 - Light
Raw Score]],AVERAGE(tblY8[[8P02 - Light
Raw Score]]),_xlfn.STDEV.P(tblY8[[8P02 - Light
Raw Score]])),9),_Stanine,2),5),"")</f>
        <v>6</v>
      </c>
    </row>
    <row r="10">
      <c r="A10" s="65" t="inlineStr">
        <is>
          <t>X903363526024</t>
        </is>
      </c>
      <c r="B10" s="65" t="inlineStr">
        <is>
          <t>Griffiths</t>
        </is>
      </c>
      <c r="C10" s="65" t="inlineStr">
        <is>
          <t>Megan</t>
        </is>
      </c>
      <c r="D10" s="66" t="inlineStr">
        <is>
          <t>F</t>
        </is>
      </c>
      <c r="E10" s="66" t="inlineStr">
        <is>
          <t>N</t>
        </is>
      </c>
      <c r="F10" s="66" t="inlineStr">
        <is>
          <t>Y</t>
        </is>
      </c>
      <c r="G10" s="34" t="n">
        <v>91.5</v>
      </c>
      <c r="H10" s="34" t="n">
        <v>100</v>
      </c>
      <c r="I10" s="67">
        <f>IF(ISNUMBER(tblY8[[#This Row],[Avg KS2]]),IFERROR(VLOOKUP(ROUND(STANDARDIZE(tblY8[[#This Row],[Avg KS2]],AVERAGE(tblY8[[Avg KS2]]),_xlfn.STDEV.P(tblY8[[Avg KS2]])),9),_Stanine,2),5),"")</f>
        <v>3</v>
      </c>
      <c r="J10" s="66" t="inlineStr">
        <is>
          <t>8A/Sc1</t>
        </is>
      </c>
      <c r="K10" s="67">
        <f>IF(tblY8[[#This Row],[Preferred Last name]]="","",COUNTIFS($N$1:$ZZ$1,"*"&amp;CHAR(10)&amp;"Stanine",$N10:$ZZ10,"&gt;=1"))</f>
        <v>5</v>
      </c>
      <c r="L10" s="68">
        <f>IFERROR(AVERAGEIF($N$1:$ZZ$1,"*"&amp;CHAR(10)&amp;"Stanine",$N10:$ZZ10),"")</f>
        <v>3</v>
      </c>
      <c r="M10" s="69">
        <f>IF(AND(ISNUMBER(tblY8[[#This Row],[Mean Stanine]]),ISNUMBER(tblY8[[#This Row],[Avg KS2 Band]]),ISNUMBER(SlopeY8)),tblY8[[#This Row],[Mean Stanine]]-(InterceptY8+SlopeY8*tblY8[[#This Row],[Avg KS2 Band]]),"")</f>
        <v>-0.384036289353521</v>
      </c>
      <c r="N10" s="66" t="n">
        <v>14</v>
      </c>
      <c r="O10" s="67">
        <f>IF(ISNUMBER(tblY8[[#This Row],[8C01 - Periodic Table
Raw Score]]),IFERROR(VLOOKUP(ROUND(STANDARDIZE(tblY8[[#This Row],[8C01 - Periodic Table
Raw Score]],AVERAGE(tblY8[[8C01 - Periodic Table
Raw Score]]),_xlfn.STDEV.P(tblY8[[8C01 - Periodic Table
Raw Score]])),9),_Stanine,2),5),"")</f>
        <v>4</v>
      </c>
      <c r="P10" s="66" t="n">
        <v>5</v>
      </c>
      <c r="Q10" s="67">
        <f>IF(ISNUMBER(tblY8[[#This Row],[8P01 - Energy
Raw Score]]),IFERROR(VLOOKUP(ROUND(STANDARDIZE(tblY8[[#This Row],[8P01 - Energy
Raw Score]],AVERAGE(tblY8[[8P01 - Energy
Raw Score]]),_xlfn.STDEV.P(tblY8[[8P01 - Energy
Raw Score]])),9),_Stanine,2),5),"")</f>
        <v>3</v>
      </c>
      <c r="R10" s="66" t="n">
        <v>8</v>
      </c>
      <c r="S10" s="67">
        <f>IF(ISNUMBER(tblY8[[#This Row],[8B01 - Digestion
Raw Score]]),IFERROR(VLOOKUP(ROUND(STANDARDIZE(tblY8[[#This Row],[8B01 - Digestion
Raw Score]],AVERAGE(tblY8[[8B01 - Digestion
Raw Score]]),_xlfn.STDEV.P(tblY8[[8B01 - Digestion
Raw Score]])),9),_Stanine,2),5),"")</f>
        <v>3</v>
      </c>
      <c r="T10" s="66" t="n">
        <v>9</v>
      </c>
      <c r="U10" s="67">
        <f>IF(ISNUMBER(tblY8[[#This Row],[8C02 - Metals and Acids
Raw Score]]),IFERROR(VLOOKUP(ROUND(STANDARDIZE(tblY8[[#This Row],[8C02 - Metals and Acids
Raw Score]],AVERAGE(tblY8[[8C02 - Metals and Acids
Raw Score]]),_xlfn.STDEV.P(tblY8[[8C02 - Metals and Acids
Raw Score]])),9),_Stanine,2),5),"")</f>
        <v>4</v>
      </c>
      <c r="V10" s="66" t="n">
        <v>8</v>
      </c>
      <c r="W10" s="67">
        <f>IF(ISNUMBER(tblY8[[#This Row],[8P02 - Light
Raw Score]]),IFERROR(VLOOKUP(ROUND(STANDARDIZE(tblY8[[#This Row],[8P02 - Light
Raw Score]],AVERAGE(tblY8[[8P02 - Light
Raw Score]]),_xlfn.STDEV.P(tblY8[[8P02 - Light
Raw Score]])),9),_Stanine,2),5),"")</f>
        <v>1</v>
      </c>
    </row>
    <row r="11">
      <c r="A11" s="65" t="inlineStr">
        <is>
          <t>X908714529660</t>
        </is>
      </c>
      <c r="B11" s="65" t="inlineStr">
        <is>
          <t>Harrison</t>
        </is>
      </c>
      <c r="C11" s="65" t="inlineStr">
        <is>
          <t>Evie</t>
        </is>
      </c>
      <c r="D11" s="66" t="inlineStr">
        <is>
          <t>M</t>
        </is>
      </c>
      <c r="E11" s="66" t="n"/>
      <c r="F11" s="66" t="inlineStr">
        <is>
          <t>N</t>
        </is>
      </c>
      <c r="G11" s="34" t="n">
        <v>99.3</v>
      </c>
      <c r="H11" s="34" t="n">
        <v>113</v>
      </c>
      <c r="I11" s="67">
        <f>IF(ISNUMBER(tblY8[[#This Row],[Avg KS2]]),IFERROR(VLOOKUP(ROUND(STANDARDIZE(tblY8[[#This Row],[Avg KS2]],AVERAGE(tblY8[[Avg KS2]]),_xlfn.STDEV.P(tblY8[[Avg KS2]])),9),_Stanine,2),5),"")</f>
        <v>8</v>
      </c>
      <c r="J11" s="66" t="inlineStr">
        <is>
          <t>8A/Sc1</t>
        </is>
      </c>
      <c r="K11" s="67">
        <f>IF(tblY8[[#This Row],[Preferred Last name]]="","",COUNTIFS($N$1:$ZZ$1,"*"&amp;CHAR(10)&amp;"Stanine",$N11:$ZZ11,"&gt;=1"))</f>
        <v>5</v>
      </c>
      <c r="L11" s="68">
        <f>IFERROR(AVERAGEIF($N$1:$ZZ$1,"*"&amp;CHAR(10)&amp;"Stanine",$N11:$ZZ11),"")</f>
        <v>7.6</v>
      </c>
      <c r="M11" s="69">
        <f>IF(AND(ISNUMBER(tblY8[[#This Row],[Mean Stanine]]),ISNUMBER(tblY8[[#This Row],[Avg KS2 Band]]),ISNUMBER(SlopeY8)),tblY8[[#This Row],[Mean Stanine]]-(InterceptY8+SlopeY8*tblY8[[#This Row],[Avg KS2 Band]]),"")</f>
        <v>0.321407113674598</v>
      </c>
      <c r="N11" s="66" t="n">
        <v>25</v>
      </c>
      <c r="O11" s="67">
        <f>IF(ISNUMBER(tblY8[[#This Row],[8C01 - Periodic Table
Raw Score]]),IFERROR(VLOOKUP(ROUND(STANDARDIZE(tblY8[[#This Row],[8C01 - Periodic Table
Raw Score]],AVERAGE(tblY8[[8C01 - Periodic Table
Raw Score]]),_xlfn.STDEV.P(tblY8[[8C01 - Periodic Table
Raw Score]])),9),_Stanine,2),5),"")</f>
        <v>7</v>
      </c>
      <c r="P11" s="66" t="n">
        <v>16</v>
      </c>
      <c r="Q11" s="67">
        <f>IF(ISNUMBER(tblY8[[#This Row],[8P01 - Energy
Raw Score]]),IFERROR(VLOOKUP(ROUND(STANDARDIZE(tblY8[[#This Row],[8P01 - Energy
Raw Score]],AVERAGE(tblY8[[8P01 - Energy
Raw Score]]),_xlfn.STDEV.P(tblY8[[8P01 - Energy
Raw Score]])),9),_Stanine,2),5),"")</f>
        <v>7</v>
      </c>
      <c r="R11" s="66" t="n">
        <v>22</v>
      </c>
      <c r="S11" s="67">
        <f>IF(ISNUMBER(tblY8[[#This Row],[8B01 - Digestion
Raw Score]]),IFERROR(VLOOKUP(ROUND(STANDARDIZE(tblY8[[#This Row],[8B01 - Digestion
Raw Score]],AVERAGE(tblY8[[8B01 - Digestion
Raw Score]]),_xlfn.STDEV.P(tblY8[[8B01 - Digestion
Raw Score]])),9),_Stanine,2),5),"")</f>
        <v>8</v>
      </c>
      <c r="T11" s="66" t="n">
        <v>21</v>
      </c>
      <c r="U11" s="67">
        <f>IF(ISNUMBER(tblY8[[#This Row],[8C02 - Metals and Acids
Raw Score]]),IFERROR(VLOOKUP(ROUND(STANDARDIZE(tblY8[[#This Row],[8C02 - Metals and Acids
Raw Score]],AVERAGE(tblY8[[8C02 - Metals and Acids
Raw Score]]),_xlfn.STDEV.P(tblY8[[8C02 - Metals and Acids
Raw Score]])),9),_Stanine,2),5),"")</f>
        <v>9</v>
      </c>
      <c r="V11" s="66" t="n">
        <v>20</v>
      </c>
      <c r="W11" s="67">
        <f>IF(ISNUMBER(tblY8[[#This Row],[8P02 - Light
Raw Score]]),IFERROR(VLOOKUP(ROUND(STANDARDIZE(tblY8[[#This Row],[8P02 - Light
Raw Score]],AVERAGE(tblY8[[8P02 - Light
Raw Score]]),_xlfn.STDEV.P(tblY8[[8P02 - Light
Raw Score]])),9),_Stanine,2),5),"")</f>
        <v>7</v>
      </c>
    </row>
    <row r="12">
      <c r="A12" s="65" t="inlineStr">
        <is>
          <t>X908981793003</t>
        </is>
      </c>
      <c r="B12" s="65" t="inlineStr">
        <is>
          <t>Hughes</t>
        </is>
      </c>
      <c r="C12" s="65" t="inlineStr">
        <is>
          <t>Sophie</t>
        </is>
      </c>
      <c r="D12" s="66" t="inlineStr">
        <is>
          <t>F</t>
        </is>
      </c>
      <c r="E12" s="66" t="n"/>
      <c r="F12" s="66" t="inlineStr">
        <is>
          <t>N</t>
        </is>
      </c>
      <c r="G12" s="34" t="n">
        <v>95.3</v>
      </c>
      <c r="H12" s="34" t="n">
        <v>110</v>
      </c>
      <c r="I12" s="67">
        <f>IF(ISNUMBER(tblY8[[#This Row],[Avg KS2]]),IFERROR(VLOOKUP(ROUND(STANDARDIZE(tblY8[[#This Row],[Avg KS2]],AVERAGE(tblY8[[Avg KS2]]),_xlfn.STDEV.P(tblY8[[Avg KS2]])),9),_Stanine,2),5),"")</f>
        <v>7</v>
      </c>
      <c r="J12" s="66" t="inlineStr">
        <is>
          <t>8A/Sc1</t>
        </is>
      </c>
      <c r="K12" s="67">
        <f>IF(tblY8[[#This Row],[Preferred Last name]]="","",COUNTIFS($N$1:$ZZ$1,"*"&amp;CHAR(10)&amp;"Stanine",$N12:$ZZ12,"&gt;=1"))</f>
        <v>5</v>
      </c>
      <c r="L12" s="68">
        <f>IFERROR(AVERAGEIF($N$1:$ZZ$1,"*"&amp;CHAR(10)&amp;"Stanine",$N12:$ZZ12),"")</f>
        <v>7.4</v>
      </c>
      <c r="M12" s="69">
        <f>IF(AND(ISNUMBER(tblY8[[#This Row],[Mean Stanine]]),ISNUMBER(tblY8[[#This Row],[Avg KS2 Band]]),ISNUMBER(SlopeY8)),tblY8[[#This Row],[Mean Stanine]]-(InterceptY8+SlopeY8*tblY8[[#This Row],[Avg KS2 Band]]),"")</f>
        <v>0.900318433068975</v>
      </c>
      <c r="N12" s="66" t="n">
        <v>25</v>
      </c>
      <c r="O12" s="67">
        <f>IF(ISNUMBER(tblY8[[#This Row],[8C01 - Periodic Table
Raw Score]]),IFERROR(VLOOKUP(ROUND(STANDARDIZE(tblY8[[#This Row],[8C01 - Periodic Table
Raw Score]],AVERAGE(tblY8[[8C01 - Periodic Table
Raw Score]]),_xlfn.STDEV.P(tblY8[[8C01 - Periodic Table
Raw Score]])),9),_Stanine,2),5),"")</f>
        <v>7</v>
      </c>
      <c r="P12" s="66" t="n">
        <v>17</v>
      </c>
      <c r="Q12" s="67">
        <f>IF(ISNUMBER(tblY8[[#This Row],[8P01 - Energy
Raw Score]]),IFERROR(VLOOKUP(ROUND(STANDARDIZE(tblY8[[#This Row],[8P01 - Energy
Raw Score]],AVERAGE(tblY8[[8P01 - Energy
Raw Score]]),_xlfn.STDEV.P(tblY8[[8P01 - Energy
Raw Score]])),9),_Stanine,2),5),"")</f>
        <v>8</v>
      </c>
      <c r="R12" s="66" t="n">
        <v>21</v>
      </c>
      <c r="S12" s="67">
        <f>IF(ISNUMBER(tblY8[[#This Row],[8B01 - Digestion
Raw Score]]),IFERROR(VLOOKUP(ROUND(STANDARDIZE(tblY8[[#This Row],[8B01 - Digestion
Raw Score]],AVERAGE(tblY8[[8B01 - Digestion
Raw Score]]),_xlfn.STDEV.P(tblY8[[8B01 - Digestion
Raw Score]])),9),_Stanine,2),5),"")</f>
        <v>7</v>
      </c>
      <c r="T12" s="66" t="n">
        <v>19</v>
      </c>
      <c r="U12" s="67">
        <f>IF(ISNUMBER(tblY8[[#This Row],[8C02 - Metals and Acids
Raw Score]]),IFERROR(VLOOKUP(ROUND(STANDARDIZE(tblY8[[#This Row],[8C02 - Metals and Acids
Raw Score]],AVERAGE(tblY8[[8C02 - Metals and Acids
Raw Score]]),_xlfn.STDEV.P(tblY8[[8C02 - Metals and Acids
Raw Score]])),9),_Stanine,2),5),"")</f>
        <v>8</v>
      </c>
      <c r="V12" s="66" t="n">
        <v>20</v>
      </c>
      <c r="W12" s="67">
        <f>IF(ISNUMBER(tblY8[[#This Row],[8P02 - Light
Raw Score]]),IFERROR(VLOOKUP(ROUND(STANDARDIZE(tblY8[[#This Row],[8P02 - Light
Raw Score]],AVERAGE(tblY8[[8P02 - Light
Raw Score]]),_xlfn.STDEV.P(tblY8[[8P02 - Light
Raw Score]])),9),_Stanine,2),5),"")</f>
        <v>7</v>
      </c>
    </row>
    <row r="13">
      <c r="A13" s="65" t="inlineStr">
        <is>
          <t>X901371565485</t>
        </is>
      </c>
      <c r="B13" s="65" t="inlineStr">
        <is>
          <t>Jackson</t>
        </is>
      </c>
      <c r="C13" s="65" t="inlineStr">
        <is>
          <t>Noah</t>
        </is>
      </c>
      <c r="D13" s="66" t="inlineStr">
        <is>
          <t>F</t>
        </is>
      </c>
      <c r="E13" s="66" t="inlineStr">
        <is>
          <t>N</t>
        </is>
      </c>
      <c r="F13" s="66" t="inlineStr">
        <is>
          <t>Y</t>
        </is>
      </c>
      <c r="G13" s="34" t="n">
        <v>85.3</v>
      </c>
      <c r="H13" s="34" t="n">
        <v>111</v>
      </c>
      <c r="I13" s="67">
        <f>IF(ISNUMBER(tblY8[[#This Row],[Avg KS2]]),IFERROR(VLOOKUP(ROUND(STANDARDIZE(tblY8[[#This Row],[Avg KS2]],AVERAGE(tblY8[[Avg KS2]]),_xlfn.STDEV.P(tblY8[[Avg KS2]])),9),_Stanine,2),5),"")</f>
        <v>7</v>
      </c>
      <c r="J13" s="66" t="inlineStr">
        <is>
          <t>8A/Sc1</t>
        </is>
      </c>
      <c r="K13" s="67">
        <f>IF(tblY8[[#This Row],[Preferred Last name]]="","",COUNTIFS($N$1:$ZZ$1,"*"&amp;CHAR(10)&amp;"Stanine",$N13:$ZZ13,"&gt;=1"))</f>
        <v>4</v>
      </c>
      <c r="L13" s="68">
        <f>IFERROR(AVERAGEIF($N$1:$ZZ$1,"*"&amp;CHAR(10)&amp;"Stanine",$N13:$ZZ13),"")</f>
        <v>8.25</v>
      </c>
      <c r="M13" s="69">
        <f>IF(AND(ISNUMBER(tblY8[[#This Row],[Mean Stanine]]),ISNUMBER(tblY8[[#This Row],[Avg KS2 Band]]),ISNUMBER(SlopeY8)),tblY8[[#This Row],[Mean Stanine]]-(InterceptY8+SlopeY8*tblY8[[#This Row],[Avg KS2 Band]]),"")</f>
        <v>1.75031843306897</v>
      </c>
      <c r="N13" s="66" t="inlineStr">
        <is>
          <t>A</t>
        </is>
      </c>
      <c r="O13" s="67" t="str">
        <f>IF(ISNUMBER(tblY8[[#This Row],[8C01 - Periodic Table
Raw Score]]),IFERROR(VLOOKUP(ROUND(STANDARDIZE(tblY8[[#This Row],[8C01 - Periodic Table
Raw Score]],AVERAGE(tblY8[[8C01 - Periodic Table
Raw Score]]),_xlfn.STDEV.P(tblY8[[8C01 - Periodic Table
Raw Score]])),9),_Stanine,2),5),"")</f>
        <v/>
      </c>
      <c r="P13" s="66" t="n">
        <v>17</v>
      </c>
      <c r="Q13" s="67">
        <f>IF(ISNUMBER(tblY8[[#This Row],[8P01 - Energy
Raw Score]]),IFERROR(VLOOKUP(ROUND(STANDARDIZE(tblY8[[#This Row],[8P01 - Energy
Raw Score]],AVERAGE(tblY8[[8P01 - Energy
Raw Score]]),_xlfn.STDEV.P(tblY8[[8P01 - Energy
Raw Score]])),9),_Stanine,2),5),"")</f>
        <v>8</v>
      </c>
      <c r="R13" s="66" t="n">
        <v>23</v>
      </c>
      <c r="S13" s="67">
        <f>IF(ISNUMBER(tblY8[[#This Row],[8B01 - Digestion
Raw Score]]),IFERROR(VLOOKUP(ROUND(STANDARDIZE(tblY8[[#This Row],[8B01 - Digestion
Raw Score]],AVERAGE(tblY8[[8B01 - Digestion
Raw Score]]),_xlfn.STDEV.P(tblY8[[8B01 - Digestion
Raw Score]])),9),_Stanine,2),5),"")</f>
        <v>8</v>
      </c>
      <c r="T13" s="66" t="n">
        <v>21</v>
      </c>
      <c r="U13" s="67">
        <f>IF(ISNUMBER(tblY8[[#This Row],[8C02 - Metals and Acids
Raw Score]]),IFERROR(VLOOKUP(ROUND(STANDARDIZE(tblY8[[#This Row],[8C02 - Metals and Acids
Raw Score]],AVERAGE(tblY8[[8C02 - Metals and Acids
Raw Score]]),_xlfn.STDEV.P(tblY8[[8C02 - Metals and Acids
Raw Score]])),9),_Stanine,2),5),"")</f>
        <v>9</v>
      </c>
      <c r="V13" s="66" t="n">
        <v>21</v>
      </c>
      <c r="W13" s="67">
        <f>IF(ISNUMBER(tblY8[[#This Row],[8P02 - Light
Raw Score]]),IFERROR(VLOOKUP(ROUND(STANDARDIZE(tblY8[[#This Row],[8P02 - Light
Raw Score]],AVERAGE(tblY8[[8P02 - Light
Raw Score]]),_xlfn.STDEV.P(tblY8[[8P02 - Light
Raw Score]])),9),_Stanine,2),5),"")</f>
        <v>8</v>
      </c>
    </row>
    <row r="14">
      <c r="A14" s="65" t="inlineStr">
        <is>
          <t>X909852596604</t>
        </is>
      </c>
      <c r="B14" s="65" t="inlineStr">
        <is>
          <t>Kowalski</t>
        </is>
      </c>
      <c r="C14" s="65" t="inlineStr">
        <is>
          <t>Ibrahim</t>
        </is>
      </c>
      <c r="D14" s="66" t="inlineStr">
        <is>
          <t>F</t>
        </is>
      </c>
      <c r="E14" s="66" t="n"/>
      <c r="F14" s="66" t="inlineStr">
        <is>
          <t>N</t>
        </is>
      </c>
      <c r="G14" s="34" t="n">
        <v>100</v>
      </c>
      <c r="H14" s="34" t="n">
        <v>104</v>
      </c>
      <c r="I14" s="67">
        <f>IF(ISNUMBER(tblY8[[#This Row],[Avg KS2]]),IFERROR(VLOOKUP(ROUND(STANDARDIZE(tblY8[[#This Row],[Avg KS2]],AVERAGE(tblY8[[Avg KS2]]),_xlfn.STDEV.P(tblY8[[Avg KS2]])),9),_Stanine,2),5),"")</f>
        <v>5</v>
      </c>
      <c r="J14" s="66" t="inlineStr">
        <is>
          <t>8A/Sc1</t>
        </is>
      </c>
      <c r="K14" s="67">
        <f>IF(tblY8[[#This Row],[Preferred Last name]]="","",COUNTIFS($N$1:$ZZ$1,"*"&amp;CHAR(10)&amp;"Stanine",$N14:$ZZ14,"&gt;=1"))</f>
        <v>5</v>
      </c>
      <c r="L14" s="68">
        <f>IFERROR(AVERAGEIF($N$1:$ZZ$1,"*"&amp;CHAR(10)&amp;"Stanine",$N14:$ZZ14),"")</f>
        <v>5.6</v>
      </c>
      <c r="M14" s="69">
        <f>IF(AND(ISNUMBER(tblY8[[#This Row],[Mean Stanine]]),ISNUMBER(tblY8[[#This Row],[Avg KS2 Band]]),ISNUMBER(SlopeY8)),tblY8[[#This Row],[Mean Stanine]]-(InterceptY8+SlopeY8*tblY8[[#This Row],[Avg KS2 Band]]),"")</f>
        <v>0.658141071857727</v>
      </c>
      <c r="N14" s="66" t="n">
        <v>22</v>
      </c>
      <c r="O14" s="67">
        <f>IF(ISNUMBER(tblY8[[#This Row],[8C01 - Periodic Table
Raw Score]]),IFERROR(VLOOKUP(ROUND(STANDARDIZE(tblY8[[#This Row],[8C01 - Periodic Table
Raw Score]],AVERAGE(tblY8[[8C01 - Periodic Table
Raw Score]]),_xlfn.STDEV.P(tblY8[[8C01 - Periodic Table
Raw Score]])),9),_Stanine,2),5),"")</f>
        <v>6</v>
      </c>
      <c r="P14" s="66" t="n">
        <v>11</v>
      </c>
      <c r="Q14" s="67">
        <f>IF(ISNUMBER(tblY8[[#This Row],[8P01 - Energy
Raw Score]]),IFERROR(VLOOKUP(ROUND(STANDARDIZE(tblY8[[#This Row],[8P01 - Energy
Raw Score]],AVERAGE(tblY8[[8P01 - Energy
Raw Score]]),_xlfn.STDEV.P(tblY8[[8P01 - Energy
Raw Score]])),9),_Stanine,2),5),"")</f>
        <v>5</v>
      </c>
      <c r="R14" s="66" t="n">
        <v>13</v>
      </c>
      <c r="S14" s="67">
        <f>IF(ISNUMBER(tblY8[[#This Row],[8B01 - Digestion
Raw Score]]),IFERROR(VLOOKUP(ROUND(STANDARDIZE(tblY8[[#This Row],[8B01 - Digestion
Raw Score]],AVERAGE(tblY8[[8B01 - Digestion
Raw Score]]),_xlfn.STDEV.P(tblY8[[8B01 - Digestion
Raw Score]])),9),_Stanine,2),5),"")</f>
        <v>5</v>
      </c>
      <c r="T14" s="66" t="n">
        <v>13</v>
      </c>
      <c r="U14" s="67">
        <f>IF(ISNUMBER(tblY8[[#This Row],[8C02 - Metals and Acids
Raw Score]]),IFERROR(VLOOKUP(ROUND(STANDARDIZE(tblY8[[#This Row],[8C02 - Metals and Acids
Raw Score]],AVERAGE(tblY8[[8C02 - Metals and Acids
Raw Score]]),_xlfn.STDEV.P(tblY8[[8C02 - Metals and Acids
Raw Score]])),9),_Stanine,2),5),"")</f>
        <v>6</v>
      </c>
      <c r="V14" s="66" t="n">
        <v>17</v>
      </c>
      <c r="W14" s="67">
        <f>IF(ISNUMBER(tblY8[[#This Row],[8P02 - Light
Raw Score]]),IFERROR(VLOOKUP(ROUND(STANDARDIZE(tblY8[[#This Row],[8P02 - Light
Raw Score]],AVERAGE(tblY8[[8P02 - Light
Raw Score]]),_xlfn.STDEV.P(tblY8[[8P02 - Light
Raw Score]])),9),_Stanine,2),5),"")</f>
        <v>6</v>
      </c>
    </row>
    <row r="15">
      <c r="A15" s="65" t="inlineStr">
        <is>
          <t>X904945341746</t>
        </is>
      </c>
      <c r="B15" s="65" t="inlineStr">
        <is>
          <t>Mistry</t>
        </is>
      </c>
      <c r="C15" s="65" t="inlineStr">
        <is>
          <t>Ava</t>
        </is>
      </c>
      <c r="D15" s="66" t="inlineStr">
        <is>
          <t>M</t>
        </is>
      </c>
      <c r="E15" s="66" t="inlineStr">
        <is>
          <t>K</t>
        </is>
      </c>
      <c r="F15" s="66" t="inlineStr">
        <is>
          <t>Y</t>
        </is>
      </c>
      <c r="G15" s="34" t="n">
        <v>86.8</v>
      </c>
      <c r="H15" s="34" t="n">
        <v>111.5</v>
      </c>
      <c r="I15" s="67">
        <f>IF(ISNUMBER(tblY8[[#This Row],[Avg KS2]]),IFERROR(VLOOKUP(ROUND(STANDARDIZE(tblY8[[#This Row],[Avg KS2]],AVERAGE(tblY8[[Avg KS2]]),_xlfn.STDEV.P(tblY8[[Avg KS2]])),9),_Stanine,2),5),"")</f>
        <v>7</v>
      </c>
      <c r="J15" s="66" t="inlineStr">
        <is>
          <t>8A/Sc1</t>
        </is>
      </c>
      <c r="K15" s="67">
        <f>IF(tblY8[[#This Row],[Preferred Last name]]="","",COUNTIFS($N$1:$ZZ$1,"*"&amp;CHAR(10)&amp;"Stanine",$N15:$ZZ15,"&gt;=1"))</f>
        <v>4</v>
      </c>
      <c r="L15" s="68">
        <f>IFERROR(AVERAGEIF($N$1:$ZZ$1,"*"&amp;CHAR(10)&amp;"Stanine",$N15:$ZZ15),"")</f>
        <v>7.25</v>
      </c>
      <c r="M15" s="69">
        <f>IF(AND(ISNUMBER(tblY8[[#This Row],[Mean Stanine]]),ISNUMBER(tblY8[[#This Row],[Avg KS2 Band]]),ISNUMBER(SlopeY8)),tblY8[[#This Row],[Mean Stanine]]-(InterceptY8+SlopeY8*tblY8[[#This Row],[Avg KS2 Band]]),"")</f>
        <v>0.750318433068975</v>
      </c>
      <c r="N15" s="66" t="n">
        <v>27</v>
      </c>
      <c r="O15" s="67">
        <f>IF(ISNUMBER(tblY8[[#This Row],[8C01 - Periodic Table
Raw Score]]),IFERROR(VLOOKUP(ROUND(STANDARDIZE(tblY8[[#This Row],[8C01 - Periodic Table
Raw Score]],AVERAGE(tblY8[[8C01 - Periodic Table
Raw Score]]),_xlfn.STDEV.P(tblY8[[8C01 - Periodic Table
Raw Score]])),9),_Stanine,2),5),"")</f>
        <v>8</v>
      </c>
      <c r="P15" s="66" t="inlineStr">
        <is>
          <t>A</t>
        </is>
      </c>
      <c r="Q15" s="67" t="str">
        <f>IF(ISNUMBER(tblY8[[#This Row],[8P01 - Energy
Raw Score]]),IFERROR(VLOOKUP(ROUND(STANDARDIZE(tblY8[[#This Row],[8P01 - Energy
Raw Score]],AVERAGE(tblY8[[8P01 - Energy
Raw Score]]),_xlfn.STDEV.P(tblY8[[8P01 - Energy
Raw Score]])),9),_Stanine,2),5),"")</f>
        <v/>
      </c>
      <c r="R15" s="66" t="n">
        <v>17</v>
      </c>
      <c r="S15" s="67">
        <f>IF(ISNUMBER(tblY8[[#This Row],[8B01 - Digestion
Raw Score]]),IFERROR(VLOOKUP(ROUND(STANDARDIZE(tblY8[[#This Row],[8B01 - Digestion
Raw Score]],AVERAGE(tblY8[[8B01 - Digestion
Raw Score]]),_xlfn.STDEV.P(tblY8[[8B01 - Digestion
Raw Score]])),9),_Stanine,2),5),"")</f>
        <v>6</v>
      </c>
      <c r="T15" s="66" t="n">
        <v>20</v>
      </c>
      <c r="U15" s="67">
        <f>IF(ISNUMBER(tblY8[[#This Row],[8C02 - Metals and Acids
Raw Score]]),IFERROR(VLOOKUP(ROUND(STANDARDIZE(tblY8[[#This Row],[8C02 - Metals and Acids
Raw Score]],AVERAGE(tblY8[[8C02 - Metals and Acids
Raw Score]]),_xlfn.STDEV.P(tblY8[[8C02 - Metals and Acids
Raw Score]])),9),_Stanine,2),5),"")</f>
        <v>8</v>
      </c>
      <c r="V15" s="66" t="n">
        <v>20</v>
      </c>
      <c r="W15" s="67">
        <f>IF(ISNUMBER(tblY8[[#This Row],[8P02 - Light
Raw Score]]),IFERROR(VLOOKUP(ROUND(STANDARDIZE(tblY8[[#This Row],[8P02 - Light
Raw Score]],AVERAGE(tblY8[[8P02 - Light
Raw Score]]),_xlfn.STDEV.P(tblY8[[8P02 - Light
Raw Score]])),9),_Stanine,2),5),"")</f>
        <v>7</v>
      </c>
    </row>
    <row r="16">
      <c r="A16" s="65" t="inlineStr">
        <is>
          <t>X906539072460</t>
        </is>
      </c>
      <c r="B16" s="65" t="inlineStr">
        <is>
          <t>Mistry</t>
        </is>
      </c>
      <c r="C16" s="65" t="inlineStr">
        <is>
          <t>Hollie</t>
        </is>
      </c>
      <c r="D16" s="66" t="inlineStr">
        <is>
          <t>M</t>
        </is>
      </c>
      <c r="E16" s="66" t="inlineStr">
        <is>
          <t>N</t>
        </is>
      </c>
      <c r="F16" s="66" t="inlineStr">
        <is>
          <t>N</t>
        </is>
      </c>
      <c r="G16" s="34" t="n">
        <v>95</v>
      </c>
      <c r="H16" s="34" t="n">
        <v>107</v>
      </c>
      <c r="I16" s="67">
        <f>IF(ISNUMBER(tblY8[[#This Row],[Avg KS2]]),IFERROR(VLOOKUP(ROUND(STANDARDIZE(tblY8[[#This Row],[Avg KS2]],AVERAGE(tblY8[[Avg KS2]]),_xlfn.STDEV.P(tblY8[[Avg KS2]])),9),_Stanine,2),5),"")</f>
        <v>6</v>
      </c>
      <c r="J16" s="66" t="inlineStr">
        <is>
          <t>8A/Sc1</t>
        </is>
      </c>
      <c r="K16" s="67">
        <f>IF(tblY8[[#This Row],[Preferred Last name]]="","",COUNTIFS($N$1:$ZZ$1,"*"&amp;CHAR(10)&amp;"Stanine",$N16:$ZZ16,"&gt;=1"))</f>
        <v>5</v>
      </c>
      <c r="L16" s="68">
        <f>IFERROR(AVERAGEIF($N$1:$ZZ$1,"*"&amp;CHAR(10)&amp;"Stanine",$N16:$ZZ16),"")</f>
        <v>6.2</v>
      </c>
      <c r="M16" s="69">
        <f>IF(AND(ISNUMBER(tblY8[[#This Row],[Mean Stanine]]),ISNUMBER(tblY8[[#This Row],[Avg KS2 Band]]),ISNUMBER(SlopeY8)),tblY8[[#This Row],[Mean Stanine]]-(InterceptY8+SlopeY8*tblY8[[#This Row],[Avg KS2 Band]]),"")</f>
        <v>0.47922975246335</v>
      </c>
      <c r="N16" s="66" t="n">
        <v>22</v>
      </c>
      <c r="O16" s="67">
        <f>IF(ISNUMBER(tblY8[[#This Row],[8C01 - Periodic Table
Raw Score]]),IFERROR(VLOOKUP(ROUND(STANDARDIZE(tblY8[[#This Row],[8C01 - Periodic Table
Raw Score]],AVERAGE(tblY8[[8C01 - Periodic Table
Raw Score]]),_xlfn.STDEV.P(tblY8[[8C01 - Periodic Table
Raw Score]])),9),_Stanine,2),5),"")</f>
        <v>6</v>
      </c>
      <c r="P16" s="66" t="n">
        <v>13</v>
      </c>
      <c r="Q16" s="67">
        <f>IF(ISNUMBER(tblY8[[#This Row],[8P01 - Energy
Raw Score]]),IFERROR(VLOOKUP(ROUND(STANDARDIZE(tblY8[[#This Row],[8P01 - Energy
Raw Score]],AVERAGE(tblY8[[8P01 - Energy
Raw Score]]),_xlfn.STDEV.P(tblY8[[8P01 - Energy
Raw Score]])),9),_Stanine,2),5),"")</f>
        <v>6</v>
      </c>
      <c r="R16" s="66" t="n">
        <v>18</v>
      </c>
      <c r="S16" s="67">
        <f>IF(ISNUMBER(tblY8[[#This Row],[8B01 - Digestion
Raw Score]]),IFERROR(VLOOKUP(ROUND(STANDARDIZE(tblY8[[#This Row],[8B01 - Digestion
Raw Score]],AVERAGE(tblY8[[8B01 - Digestion
Raw Score]]),_xlfn.STDEV.P(tblY8[[8B01 - Digestion
Raw Score]])),9),_Stanine,2),5),"")</f>
        <v>6</v>
      </c>
      <c r="T16" s="66" t="n">
        <v>16</v>
      </c>
      <c r="U16" s="67">
        <f>IF(ISNUMBER(tblY8[[#This Row],[8C02 - Metals and Acids
Raw Score]]),IFERROR(VLOOKUP(ROUND(STANDARDIZE(tblY8[[#This Row],[8C02 - Metals and Acids
Raw Score]],AVERAGE(tblY8[[8C02 - Metals and Acids
Raw Score]]),_xlfn.STDEV.P(tblY8[[8C02 - Metals and Acids
Raw Score]])),9),_Stanine,2),5),"")</f>
        <v>7</v>
      </c>
      <c r="V16" s="66" t="n">
        <v>17</v>
      </c>
      <c r="W16" s="67">
        <f>IF(ISNUMBER(tblY8[[#This Row],[8P02 - Light
Raw Score]]),IFERROR(VLOOKUP(ROUND(STANDARDIZE(tblY8[[#This Row],[8P02 - Light
Raw Score]],AVERAGE(tblY8[[8P02 - Light
Raw Score]]),_xlfn.STDEV.P(tblY8[[8P02 - Light
Raw Score]])),9),_Stanine,2),5),"")</f>
        <v>6</v>
      </c>
    </row>
    <row r="17">
      <c r="A17" s="65" t="inlineStr">
        <is>
          <t>X903594142402</t>
        </is>
      </c>
      <c r="B17" s="65" t="inlineStr">
        <is>
          <t>Morgan</t>
        </is>
      </c>
      <c r="C17" s="65" t="inlineStr">
        <is>
          <t>Freya</t>
        </is>
      </c>
      <c r="D17" s="66" t="inlineStr">
        <is>
          <t>F</t>
        </is>
      </c>
      <c r="E17" s="66" t="inlineStr">
        <is>
          <t>N</t>
        </is>
      </c>
      <c r="F17" s="66" t="inlineStr">
        <is>
          <t>Y</t>
        </is>
      </c>
      <c r="G17" s="34" t="n">
        <v>100</v>
      </c>
      <c r="H17" s="34" t="n">
        <v>113</v>
      </c>
      <c r="I17" s="67">
        <f>IF(ISNUMBER(tblY8[[#This Row],[Avg KS2]]),IFERROR(VLOOKUP(ROUND(STANDARDIZE(tblY8[[#This Row],[Avg KS2]],AVERAGE(tblY8[[Avg KS2]]),_xlfn.STDEV.P(tblY8[[Avg KS2]])),9),_Stanine,2),5),"")</f>
        <v>8</v>
      </c>
      <c r="J17" s="66" t="inlineStr">
        <is>
          <t>8A/Sc1</t>
        </is>
      </c>
      <c r="K17" s="67">
        <f>IF(tblY8[[#This Row],[Preferred Last name]]="","",COUNTIFS($N$1:$ZZ$1,"*"&amp;CHAR(10)&amp;"Stanine",$N17:$ZZ17,"&gt;=1"))</f>
        <v>5</v>
      </c>
      <c r="L17" s="68">
        <f>IFERROR(AVERAGEIF($N$1:$ZZ$1,"*"&amp;CHAR(10)&amp;"Stanine",$N17:$ZZ17),"")</f>
        <v>8.2</v>
      </c>
      <c r="M17" s="69">
        <f>IF(AND(ISNUMBER(tblY8[[#This Row],[Mean Stanine]]),ISNUMBER(tblY8[[#This Row],[Avg KS2 Band]]),ISNUMBER(SlopeY8)),tblY8[[#This Row],[Mean Stanine]]-(InterceptY8+SlopeY8*tblY8[[#This Row],[Avg KS2 Band]]),"")</f>
        <v>0.921407113674597</v>
      </c>
      <c r="N17" s="66" t="n">
        <v>27</v>
      </c>
      <c r="O17" s="67">
        <f>IF(ISNUMBER(tblY8[[#This Row],[8C01 - Periodic Table
Raw Score]]),IFERROR(VLOOKUP(ROUND(STANDARDIZE(tblY8[[#This Row],[8C01 - Periodic Table
Raw Score]],AVERAGE(tblY8[[8C01 - Periodic Table
Raw Score]]),_xlfn.STDEV.P(tblY8[[8C01 - Periodic Table
Raw Score]])),9),_Stanine,2),5),"")</f>
        <v>8</v>
      </c>
      <c r="P17" s="66" t="n">
        <v>21</v>
      </c>
      <c r="Q17" s="67">
        <f>IF(ISNUMBER(tblY8[[#This Row],[8P01 - Energy
Raw Score]]),IFERROR(VLOOKUP(ROUND(STANDARDIZE(tblY8[[#This Row],[8P01 - Energy
Raw Score]],AVERAGE(tblY8[[8P01 - Energy
Raw Score]]),_xlfn.STDEV.P(tblY8[[8P01 - Energy
Raw Score]])),9),_Stanine,2),5),"")</f>
        <v>9</v>
      </c>
      <c r="R17" s="66" t="n">
        <v>24</v>
      </c>
      <c r="S17" s="67">
        <f>IF(ISNUMBER(tblY8[[#This Row],[8B01 - Digestion
Raw Score]]),IFERROR(VLOOKUP(ROUND(STANDARDIZE(tblY8[[#This Row],[8B01 - Digestion
Raw Score]],AVERAGE(tblY8[[8B01 - Digestion
Raw Score]]),_xlfn.STDEV.P(tblY8[[8B01 - Digestion
Raw Score]])),9),_Stanine,2),5),"")</f>
        <v>8</v>
      </c>
      <c r="T17" s="66" t="n">
        <v>20</v>
      </c>
      <c r="U17" s="67">
        <f>IF(ISNUMBER(tblY8[[#This Row],[8C02 - Metals and Acids
Raw Score]]),IFERROR(VLOOKUP(ROUND(STANDARDIZE(tblY8[[#This Row],[8C02 - Metals and Acids
Raw Score]],AVERAGE(tblY8[[8C02 - Metals and Acids
Raw Score]]),_xlfn.STDEV.P(tblY8[[8C02 - Metals and Acids
Raw Score]])),9),_Stanine,2),5),"")</f>
        <v>8</v>
      </c>
      <c r="V17" s="66" t="n">
        <v>22</v>
      </c>
      <c r="W17" s="67">
        <f>IF(ISNUMBER(tblY8[[#This Row],[8P02 - Light
Raw Score]]),IFERROR(VLOOKUP(ROUND(STANDARDIZE(tblY8[[#This Row],[8P02 - Light
Raw Score]],AVERAGE(tblY8[[8P02 - Light
Raw Score]]),_xlfn.STDEV.P(tblY8[[8P02 - Light
Raw Score]])),9),_Stanine,2),5),"")</f>
        <v>8</v>
      </c>
    </row>
    <row r="18">
      <c r="A18" s="65" t="inlineStr">
        <is>
          <t>X905756499107</t>
        </is>
      </c>
      <c r="B18" s="65" t="inlineStr">
        <is>
          <t>Nowak</t>
        </is>
      </c>
      <c r="C18" s="65" t="inlineStr">
        <is>
          <t>Arjun</t>
        </is>
      </c>
      <c r="D18" s="66" t="inlineStr">
        <is>
          <t>M</t>
        </is>
      </c>
      <c r="E18" s="66" t="inlineStr">
        <is>
          <t>N</t>
        </is>
      </c>
      <c r="F18" s="66" t="inlineStr">
        <is>
          <t>Y</t>
        </is>
      </c>
      <c r="G18" s="34" t="n">
        <v>100</v>
      </c>
      <c r="H18" s="34" t="n">
        <v>109.5</v>
      </c>
      <c r="I18" s="67">
        <f>IF(ISNUMBER(tblY8[[#This Row],[Avg KS2]]),IFERROR(VLOOKUP(ROUND(STANDARDIZE(tblY8[[#This Row],[Avg KS2]],AVERAGE(tblY8[[Avg KS2]]),_xlfn.STDEV.P(tblY8[[Avg KS2]])),9),_Stanine,2),5),"")</f>
        <v>7</v>
      </c>
      <c r="J18" s="66" t="inlineStr">
        <is>
          <t>8A/Sc1</t>
        </is>
      </c>
      <c r="K18" s="67">
        <f>IF(tblY8[[#This Row],[Preferred Last name]]="","",COUNTIFS($N$1:$ZZ$1,"*"&amp;CHAR(10)&amp;"Stanine",$N18:$ZZ18,"&gt;=1"))</f>
        <v>5</v>
      </c>
      <c r="L18" s="68">
        <f>IFERROR(AVERAGEIF($N$1:$ZZ$1,"*"&amp;CHAR(10)&amp;"Stanine",$N18:$ZZ18),"")</f>
        <v>6.8</v>
      </c>
      <c r="M18" s="69">
        <f>IF(AND(ISNUMBER(tblY8[[#This Row],[Mean Stanine]]),ISNUMBER(tblY8[[#This Row],[Avg KS2 Band]]),ISNUMBER(SlopeY8)),tblY8[[#This Row],[Mean Stanine]]-(InterceptY8+SlopeY8*tblY8[[#This Row],[Avg KS2 Band]]),"")</f>
        <v>0.300318433068974</v>
      </c>
      <c r="N18" s="66" t="n">
        <v>23</v>
      </c>
      <c r="O18" s="67">
        <f>IF(ISNUMBER(tblY8[[#This Row],[8C01 - Periodic Table
Raw Score]]),IFERROR(VLOOKUP(ROUND(STANDARDIZE(tblY8[[#This Row],[8C01 - Periodic Table
Raw Score]],AVERAGE(tblY8[[8C01 - Periodic Table
Raw Score]]),_xlfn.STDEV.P(tblY8[[8C01 - Periodic Table
Raw Score]])),9),_Stanine,2),5),"")</f>
        <v>7</v>
      </c>
      <c r="P18" s="66" t="n">
        <v>15</v>
      </c>
      <c r="Q18" s="67">
        <f>IF(ISNUMBER(tblY8[[#This Row],[8P01 - Energy
Raw Score]]),IFERROR(VLOOKUP(ROUND(STANDARDIZE(tblY8[[#This Row],[8P01 - Energy
Raw Score]],AVERAGE(tblY8[[8P01 - Energy
Raw Score]]),_xlfn.STDEV.P(tblY8[[8P01 - Energy
Raw Score]])),9),_Stanine,2),5),"")</f>
        <v>7</v>
      </c>
      <c r="R18" s="66" t="n">
        <v>19</v>
      </c>
      <c r="S18" s="67">
        <f>IF(ISNUMBER(tblY8[[#This Row],[8B01 - Digestion
Raw Score]]),IFERROR(VLOOKUP(ROUND(STANDARDIZE(tblY8[[#This Row],[8B01 - Digestion
Raw Score]],AVERAGE(tblY8[[8B01 - Digestion
Raw Score]]),_xlfn.STDEV.P(tblY8[[8B01 - Digestion
Raw Score]])),9),_Stanine,2),5),"")</f>
        <v>7</v>
      </c>
      <c r="T18" s="66" t="n">
        <v>15</v>
      </c>
      <c r="U18" s="67">
        <f>IF(ISNUMBER(tblY8[[#This Row],[8C02 - Metals and Acids
Raw Score]]),IFERROR(VLOOKUP(ROUND(STANDARDIZE(tblY8[[#This Row],[8C02 - Metals and Acids
Raw Score]],AVERAGE(tblY8[[8C02 - Metals and Acids
Raw Score]]),_xlfn.STDEV.P(tblY8[[8C02 - Metals and Acids
Raw Score]])),9),_Stanine,2),5),"")</f>
        <v>6</v>
      </c>
      <c r="V18" s="66" t="n">
        <v>19</v>
      </c>
      <c r="W18" s="67">
        <f>IF(ISNUMBER(tblY8[[#This Row],[8P02 - Light
Raw Score]]),IFERROR(VLOOKUP(ROUND(STANDARDIZE(tblY8[[#This Row],[8P02 - Light
Raw Score]],AVERAGE(tblY8[[8P02 - Light
Raw Score]]),_xlfn.STDEV.P(tblY8[[8P02 - Light
Raw Score]])),9),_Stanine,2),5),"")</f>
        <v>7</v>
      </c>
    </row>
    <row r="19">
      <c r="A19" s="65" t="inlineStr">
        <is>
          <t>X906388959437</t>
        </is>
      </c>
      <c r="B19" s="65" t="inlineStr">
        <is>
          <t>Nowak</t>
        </is>
      </c>
      <c r="C19" s="65" t="inlineStr">
        <is>
          <t>Nia</t>
        </is>
      </c>
      <c r="D19" s="66" t="inlineStr">
        <is>
          <t>F</t>
        </is>
      </c>
      <c r="E19" s="66" t="n"/>
      <c r="F19" s="66" t="inlineStr">
        <is>
          <t>N</t>
        </is>
      </c>
      <c r="G19" s="34" t="n">
        <v>97.3</v>
      </c>
      <c r="H19" s="34" t="n">
        <v>108</v>
      </c>
      <c r="I19" s="67">
        <f>IF(ISNUMBER(tblY8[[#This Row],[Avg KS2]]),IFERROR(VLOOKUP(ROUND(STANDARDIZE(tblY8[[#This Row],[Avg KS2]],AVERAGE(tblY8[[Avg KS2]]),_xlfn.STDEV.P(tblY8[[Avg KS2]])),9),_Stanine,2),5),"")</f>
        <v>6</v>
      </c>
      <c r="J19" s="66" t="inlineStr">
        <is>
          <t>8A/Sc1</t>
        </is>
      </c>
      <c r="K19" s="67">
        <f>IF(tblY8[[#This Row],[Preferred Last name]]="","",COUNTIFS($N$1:$ZZ$1,"*"&amp;CHAR(10)&amp;"Stanine",$N19:$ZZ19,"&gt;=1"))</f>
        <v>5</v>
      </c>
      <c r="L19" s="68">
        <f>IFERROR(AVERAGEIF($N$1:$ZZ$1,"*"&amp;CHAR(10)&amp;"Stanine",$N19:$ZZ19),"")</f>
        <v>4.8</v>
      </c>
      <c r="M19" s="69">
        <f>IF(AND(ISNUMBER(tblY8[[#This Row],[Mean Stanine]]),ISNUMBER(tblY8[[#This Row],[Avg KS2 Band]]),ISNUMBER(SlopeY8)),tblY8[[#This Row],[Mean Stanine]]-(InterceptY8+SlopeY8*tblY8[[#This Row],[Avg KS2 Band]]),"")</f>
        <v>-0.92077024753665</v>
      </c>
      <c r="N19" s="66" t="n">
        <v>15</v>
      </c>
      <c r="O19" s="67">
        <f>IF(ISNUMBER(tblY8[[#This Row],[8C01 - Periodic Table
Raw Score]]),IFERROR(VLOOKUP(ROUND(STANDARDIZE(tblY8[[#This Row],[8C01 - Periodic Table
Raw Score]],AVERAGE(tblY8[[8C01 - Periodic Table
Raw Score]]),_xlfn.STDEV.P(tblY8[[8C01 - Periodic Table
Raw Score]])),9),_Stanine,2),5),"")</f>
        <v>4</v>
      </c>
      <c r="P19" s="66" t="n">
        <v>12</v>
      </c>
      <c r="Q19" s="67">
        <f>IF(ISNUMBER(tblY8[[#This Row],[8P01 - Energy
Raw Score]]),IFERROR(VLOOKUP(ROUND(STANDARDIZE(tblY8[[#This Row],[8P01 - Energy
Raw Score]],AVERAGE(tblY8[[8P01 - Energy
Raw Score]]),_xlfn.STDEV.P(tblY8[[8P01 - Energy
Raw Score]])),9),_Stanine,2),5),"")</f>
        <v>6</v>
      </c>
      <c r="R19" s="66" t="n">
        <v>15</v>
      </c>
      <c r="S19" s="67">
        <f>IF(ISNUMBER(tblY8[[#This Row],[8B01 - Digestion
Raw Score]]),IFERROR(VLOOKUP(ROUND(STANDARDIZE(tblY8[[#This Row],[8B01 - Digestion
Raw Score]],AVERAGE(tblY8[[8B01 - Digestion
Raw Score]]),_xlfn.STDEV.P(tblY8[[8B01 - Digestion
Raw Score]])),9),_Stanine,2),5),"")</f>
        <v>5</v>
      </c>
      <c r="T19" s="66" t="n">
        <v>11</v>
      </c>
      <c r="U19" s="67">
        <f>IF(ISNUMBER(tblY8[[#This Row],[8C02 - Metals and Acids
Raw Score]]),IFERROR(VLOOKUP(ROUND(STANDARDIZE(tblY8[[#This Row],[8C02 - Metals and Acids
Raw Score]],AVERAGE(tblY8[[8C02 - Metals and Acids
Raw Score]]),_xlfn.STDEV.P(tblY8[[8C02 - Metals and Acids
Raw Score]])),9),_Stanine,2),5),"")</f>
        <v>5</v>
      </c>
      <c r="V19" s="66" t="n">
        <v>13</v>
      </c>
      <c r="W19" s="67">
        <f>IF(ISNUMBER(tblY8[[#This Row],[8P02 - Light
Raw Score]]),IFERROR(VLOOKUP(ROUND(STANDARDIZE(tblY8[[#This Row],[8P02 - Light
Raw Score]],AVERAGE(tblY8[[8P02 - Light
Raw Score]]),_xlfn.STDEV.P(tblY8[[8P02 - Light
Raw Score]])),9),_Stanine,2),5),"")</f>
        <v>4</v>
      </c>
    </row>
    <row r="20">
      <c r="A20" s="65" t="inlineStr">
        <is>
          <t>X909473519278</t>
        </is>
      </c>
      <c r="B20" s="65" t="inlineStr">
        <is>
          <t>Nowak</t>
        </is>
      </c>
      <c r="C20" s="65" t="inlineStr">
        <is>
          <t>Rhys</t>
        </is>
      </c>
      <c r="D20" s="66" t="inlineStr">
        <is>
          <t>F</t>
        </is>
      </c>
      <c r="E20" s="66" t="inlineStr">
        <is>
          <t>N</t>
        </is>
      </c>
      <c r="F20" s="66" t="inlineStr">
        <is>
          <t>N</t>
        </is>
      </c>
      <c r="G20" s="34" t="n">
        <v>95.8</v>
      </c>
      <c r="H20" s="34" t="n">
        <v>109</v>
      </c>
      <c r="I20" s="67">
        <f>IF(ISNUMBER(tblY8[[#This Row],[Avg KS2]]),IFERROR(VLOOKUP(ROUND(STANDARDIZE(tblY8[[#This Row],[Avg KS2]],AVERAGE(tblY8[[Avg KS2]]),_xlfn.STDEV.P(tblY8[[Avg KS2]])),9),_Stanine,2),5),"")</f>
        <v>6</v>
      </c>
      <c r="J20" s="66" t="inlineStr">
        <is>
          <t>8A/Sc1</t>
        </is>
      </c>
      <c r="K20" s="67">
        <f>IF(tblY8[[#This Row],[Preferred Last name]]="","",COUNTIFS($N$1:$ZZ$1,"*"&amp;CHAR(10)&amp;"Stanine",$N20:$ZZ20,"&gt;=1"))</f>
        <v>5</v>
      </c>
      <c r="L20" s="68">
        <f>IFERROR(AVERAGEIF($N$1:$ZZ$1,"*"&amp;CHAR(10)&amp;"Stanine",$N20:$ZZ20),"")</f>
        <v>4.4</v>
      </c>
      <c r="M20" s="69">
        <f>IF(AND(ISNUMBER(tblY8[[#This Row],[Mean Stanine]]),ISNUMBER(tblY8[[#This Row],[Avg KS2 Band]]),ISNUMBER(SlopeY8)),tblY8[[#This Row],[Mean Stanine]]-(InterceptY8+SlopeY8*tblY8[[#This Row],[Avg KS2 Band]]),"")</f>
        <v>-1.32077024753665</v>
      </c>
      <c r="N20" s="66" t="n">
        <v>18</v>
      </c>
      <c r="O20" s="67">
        <f>IF(ISNUMBER(tblY8[[#This Row],[8C01 - Periodic Table
Raw Score]]),IFERROR(VLOOKUP(ROUND(STANDARDIZE(tblY8[[#This Row],[8C01 - Periodic Table
Raw Score]],AVERAGE(tblY8[[8C01 - Periodic Table
Raw Score]]),_xlfn.STDEV.P(tblY8[[8C01 - Periodic Table
Raw Score]])),9),_Stanine,2),5),"")</f>
        <v>5</v>
      </c>
      <c r="P20" s="66" t="n">
        <v>8</v>
      </c>
      <c r="Q20" s="67">
        <f>IF(ISNUMBER(tblY8[[#This Row],[8P01 - Energy
Raw Score]]),IFERROR(VLOOKUP(ROUND(STANDARDIZE(tblY8[[#This Row],[8P01 - Energy
Raw Score]],AVERAGE(tblY8[[8P01 - Energy
Raw Score]]),_xlfn.STDEV.P(tblY8[[8P01 - Energy
Raw Score]])),9),_Stanine,2),5),"")</f>
        <v>4</v>
      </c>
      <c r="R20" s="66" t="n">
        <v>12</v>
      </c>
      <c r="S20" s="67">
        <f>IF(ISNUMBER(tblY8[[#This Row],[8B01 - Digestion
Raw Score]]),IFERROR(VLOOKUP(ROUND(STANDARDIZE(tblY8[[#This Row],[8B01 - Digestion
Raw Score]],AVERAGE(tblY8[[8B01 - Digestion
Raw Score]]),_xlfn.STDEV.P(tblY8[[8B01 - Digestion
Raw Score]])),9),_Stanine,2),5),"")</f>
        <v>4</v>
      </c>
      <c r="T20" s="66" t="n">
        <v>10</v>
      </c>
      <c r="U20" s="67">
        <f>IF(ISNUMBER(tblY8[[#This Row],[8C02 - Metals and Acids
Raw Score]]),IFERROR(VLOOKUP(ROUND(STANDARDIZE(tblY8[[#This Row],[8C02 - Metals and Acids
Raw Score]],AVERAGE(tblY8[[8C02 - Metals and Acids
Raw Score]]),_xlfn.STDEV.P(tblY8[[8C02 - Metals and Acids
Raw Score]])),9),_Stanine,2),5),"")</f>
        <v>4</v>
      </c>
      <c r="V20" s="66" t="n">
        <v>15</v>
      </c>
      <c r="W20" s="67">
        <f>IF(ISNUMBER(tblY8[[#This Row],[8P02 - Light
Raw Score]]),IFERROR(VLOOKUP(ROUND(STANDARDIZE(tblY8[[#This Row],[8P02 - Light
Raw Score]],AVERAGE(tblY8[[8P02 - Light
Raw Score]]),_xlfn.STDEV.P(tblY8[[8P02 - Light
Raw Score]])),9),_Stanine,2),5),"")</f>
        <v>5</v>
      </c>
    </row>
    <row r="21">
      <c r="A21" s="65" t="inlineStr">
        <is>
          <t>X907318145186</t>
        </is>
      </c>
      <c r="B21" s="65" t="inlineStr">
        <is>
          <t>Patel</t>
        </is>
      </c>
      <c r="C21" s="65" t="inlineStr">
        <is>
          <t>Chidi</t>
        </is>
      </c>
      <c r="D21" s="66" t="inlineStr">
        <is>
          <t>M</t>
        </is>
      </c>
      <c r="E21" s="66" t="inlineStr">
        <is>
          <t>N</t>
        </is>
      </c>
      <c r="F21" s="66" t="inlineStr">
        <is>
          <t>N</t>
        </is>
      </c>
      <c r="G21" s="34" t="n">
        <v>91.7</v>
      </c>
      <c r="H21" s="34" t="n">
        <v>111</v>
      </c>
      <c r="I21" s="67">
        <f>IF(ISNUMBER(tblY8[[#This Row],[Avg KS2]]),IFERROR(VLOOKUP(ROUND(STANDARDIZE(tblY8[[#This Row],[Avg KS2]],AVERAGE(tblY8[[Avg KS2]]),_xlfn.STDEV.P(tblY8[[Avg KS2]])),9),_Stanine,2),5),"")</f>
        <v>7</v>
      </c>
      <c r="J21" s="66" t="inlineStr">
        <is>
          <t>8A/Sc1</t>
        </is>
      </c>
      <c r="K21" s="67">
        <f>IF(tblY8[[#This Row],[Preferred Last name]]="","",COUNTIFS($N$1:$ZZ$1,"*"&amp;CHAR(10)&amp;"Stanine",$N21:$ZZ21,"&gt;=1"))</f>
        <v>5</v>
      </c>
      <c r="L21" s="68">
        <f>IFERROR(AVERAGEIF($N$1:$ZZ$1,"*"&amp;CHAR(10)&amp;"Stanine",$N21:$ZZ21),"")</f>
        <v>7</v>
      </c>
      <c r="M21" s="69">
        <f>IF(AND(ISNUMBER(tblY8[[#This Row],[Mean Stanine]]),ISNUMBER(tblY8[[#This Row],[Avg KS2 Band]]),ISNUMBER(SlopeY8)),tblY8[[#This Row],[Mean Stanine]]-(InterceptY8+SlopeY8*tblY8[[#This Row],[Avg KS2 Band]]),"")</f>
        <v>0.500318433068975</v>
      </c>
      <c r="N21" s="66" t="n">
        <v>23</v>
      </c>
      <c r="O21" s="67">
        <f>IF(ISNUMBER(tblY8[[#This Row],[8C01 - Periodic Table
Raw Score]]),IFERROR(VLOOKUP(ROUND(STANDARDIZE(tblY8[[#This Row],[8C01 - Periodic Table
Raw Score]],AVERAGE(tblY8[[8C01 - Periodic Table
Raw Score]]),_xlfn.STDEV.P(tblY8[[8C01 - Periodic Table
Raw Score]])),9),_Stanine,2),5),"")</f>
        <v>7</v>
      </c>
      <c r="P21" s="66" t="n">
        <v>15</v>
      </c>
      <c r="Q21" s="67">
        <f>IF(ISNUMBER(tblY8[[#This Row],[8P01 - Energy
Raw Score]]),IFERROR(VLOOKUP(ROUND(STANDARDIZE(tblY8[[#This Row],[8P01 - Energy
Raw Score]],AVERAGE(tblY8[[8P01 - Energy
Raw Score]]),_xlfn.STDEV.P(tblY8[[8P01 - Energy
Raw Score]])),9),_Stanine,2),5),"")</f>
        <v>7</v>
      </c>
      <c r="R21" s="66" t="n">
        <v>21</v>
      </c>
      <c r="S21" s="67">
        <f>IF(ISNUMBER(tblY8[[#This Row],[8B01 - Digestion
Raw Score]]),IFERROR(VLOOKUP(ROUND(STANDARDIZE(tblY8[[#This Row],[8B01 - Digestion
Raw Score]],AVERAGE(tblY8[[8B01 - Digestion
Raw Score]]),_xlfn.STDEV.P(tblY8[[8B01 - Digestion
Raw Score]])),9),_Stanine,2),5),"")</f>
        <v>7</v>
      </c>
      <c r="T21" s="66" t="n">
        <v>16</v>
      </c>
      <c r="U21" s="67">
        <f>IF(ISNUMBER(tblY8[[#This Row],[8C02 - Metals and Acids
Raw Score]]),IFERROR(VLOOKUP(ROUND(STANDARDIZE(tblY8[[#This Row],[8C02 - Metals and Acids
Raw Score]],AVERAGE(tblY8[[8C02 - Metals and Acids
Raw Score]]),_xlfn.STDEV.P(tblY8[[8C02 - Metals and Acids
Raw Score]])),9),_Stanine,2),5),"")</f>
        <v>7</v>
      </c>
      <c r="V21" s="66" t="n">
        <v>19</v>
      </c>
      <c r="W21" s="67">
        <f>IF(ISNUMBER(tblY8[[#This Row],[8P02 - Light
Raw Score]]),IFERROR(VLOOKUP(ROUND(STANDARDIZE(tblY8[[#This Row],[8P02 - Light
Raw Score]],AVERAGE(tblY8[[8P02 - Light
Raw Score]]),_xlfn.STDEV.P(tblY8[[8P02 - Light
Raw Score]])),9),_Stanine,2),5),"")</f>
        <v>7</v>
      </c>
    </row>
    <row r="22">
      <c r="A22" s="65" t="inlineStr">
        <is>
          <t>X901743486137</t>
        </is>
      </c>
      <c r="B22" s="65" t="inlineStr">
        <is>
          <t>Shaw</t>
        </is>
      </c>
      <c r="C22" s="65" t="inlineStr">
        <is>
          <t>Finley</t>
        </is>
      </c>
      <c r="D22" s="66" t="inlineStr">
        <is>
          <t>F</t>
        </is>
      </c>
      <c r="E22" s="66" t="n"/>
      <c r="F22" s="66" t="inlineStr">
        <is>
          <t>Y</t>
        </is>
      </c>
      <c r="G22" s="34" t="n">
        <v>88.09999999999999</v>
      </c>
      <c r="H22" s="34" t="n">
        <v>110</v>
      </c>
      <c r="I22" s="67">
        <f>IF(ISNUMBER(tblY8[[#This Row],[Avg KS2]]),IFERROR(VLOOKUP(ROUND(STANDARDIZE(tblY8[[#This Row],[Avg KS2]],AVERAGE(tblY8[[Avg KS2]]),_xlfn.STDEV.P(tblY8[[Avg KS2]])),9),_Stanine,2),5),"")</f>
        <v>7</v>
      </c>
      <c r="J22" s="66" t="inlineStr">
        <is>
          <t>8A/Sc1</t>
        </is>
      </c>
      <c r="K22" s="67">
        <f>IF(tblY8[[#This Row],[Preferred Last name]]="","",COUNTIFS($N$1:$ZZ$1,"*"&amp;CHAR(10)&amp;"Stanine",$N22:$ZZ22,"&gt;=1"))</f>
        <v>5</v>
      </c>
      <c r="L22" s="68">
        <f>IFERROR(AVERAGEIF($N$1:$ZZ$1,"*"&amp;CHAR(10)&amp;"Stanine",$N22:$ZZ22),"")</f>
        <v>8</v>
      </c>
      <c r="M22" s="69">
        <f>IF(AND(ISNUMBER(tblY8[[#This Row],[Mean Stanine]]),ISNUMBER(tblY8[[#This Row],[Avg KS2 Band]]),ISNUMBER(SlopeY8)),tblY8[[#This Row],[Mean Stanine]]-(InterceptY8+SlopeY8*tblY8[[#This Row],[Avg KS2 Band]]),"")</f>
        <v>1.50031843306897</v>
      </c>
      <c r="N22" s="66" t="n">
        <v>27</v>
      </c>
      <c r="O22" s="67">
        <f>IF(ISNUMBER(tblY8[[#This Row],[8C01 - Periodic Table
Raw Score]]),IFERROR(VLOOKUP(ROUND(STANDARDIZE(tblY8[[#This Row],[8C01 - Periodic Table
Raw Score]],AVERAGE(tblY8[[8C01 - Periodic Table
Raw Score]]),_xlfn.STDEV.P(tblY8[[8C01 - Periodic Table
Raw Score]])),9),_Stanine,2),5),"")</f>
        <v>8</v>
      </c>
      <c r="P22" s="66" t="n">
        <v>19</v>
      </c>
      <c r="Q22" s="67">
        <f>IF(ISNUMBER(tblY8[[#This Row],[8P01 - Energy
Raw Score]]),IFERROR(VLOOKUP(ROUND(STANDARDIZE(tblY8[[#This Row],[8P01 - Energy
Raw Score]],AVERAGE(tblY8[[8P01 - Energy
Raw Score]]),_xlfn.STDEV.P(tblY8[[8P01 - Energy
Raw Score]])),9),_Stanine,2),5),"")</f>
        <v>8</v>
      </c>
      <c r="R22" s="66" t="n">
        <v>24</v>
      </c>
      <c r="S22" s="67">
        <f>IF(ISNUMBER(tblY8[[#This Row],[8B01 - Digestion
Raw Score]]),IFERROR(VLOOKUP(ROUND(STANDARDIZE(tblY8[[#This Row],[8B01 - Digestion
Raw Score]],AVERAGE(tblY8[[8B01 - Digestion
Raw Score]]),_xlfn.STDEV.P(tblY8[[8B01 - Digestion
Raw Score]])),9),_Stanine,2),5),"")</f>
        <v>8</v>
      </c>
      <c r="T22" s="66" t="n">
        <v>19</v>
      </c>
      <c r="U22" s="67">
        <f>IF(ISNUMBER(tblY8[[#This Row],[8C02 - Metals and Acids
Raw Score]]),IFERROR(VLOOKUP(ROUND(STANDARDIZE(tblY8[[#This Row],[8C02 - Metals and Acids
Raw Score]],AVERAGE(tblY8[[8C02 - Metals and Acids
Raw Score]]),_xlfn.STDEV.P(tblY8[[8C02 - Metals and Acids
Raw Score]])),9),_Stanine,2),5),"")</f>
        <v>8</v>
      </c>
      <c r="V22" s="66" t="n">
        <v>22</v>
      </c>
      <c r="W22" s="67">
        <f>IF(ISNUMBER(tblY8[[#This Row],[8P02 - Light
Raw Score]]),IFERROR(VLOOKUP(ROUND(STANDARDIZE(tblY8[[#This Row],[8P02 - Light
Raw Score]],AVERAGE(tblY8[[8P02 - Light
Raw Score]]),_xlfn.STDEV.P(tblY8[[8P02 - Light
Raw Score]])),9),_Stanine,2),5),"")</f>
        <v>8</v>
      </c>
    </row>
    <row r="23">
      <c r="A23" s="65" t="inlineStr">
        <is>
          <t>X900166787806</t>
        </is>
      </c>
      <c r="B23" s="65" t="inlineStr">
        <is>
          <t>Thompson</t>
        </is>
      </c>
      <c r="C23" s="65" t="inlineStr">
        <is>
          <t>Oliver</t>
        </is>
      </c>
      <c r="D23" s="66" t="inlineStr">
        <is>
          <t>M</t>
        </is>
      </c>
      <c r="E23" s="66" t="inlineStr">
        <is>
          <t>N</t>
        </is>
      </c>
      <c r="F23" s="66" t="inlineStr">
        <is>
          <t>Y</t>
        </is>
      </c>
      <c r="G23" s="34" t="n">
        <v>92.5</v>
      </c>
      <c r="H23" s="34" t="n">
        <v>110</v>
      </c>
      <c r="I23" s="67">
        <f>IF(ISNUMBER(tblY8[[#This Row],[Avg KS2]]),IFERROR(VLOOKUP(ROUND(STANDARDIZE(tblY8[[#This Row],[Avg KS2]],AVERAGE(tblY8[[Avg KS2]]),_xlfn.STDEV.P(tblY8[[Avg KS2]])),9),_Stanine,2),5),"")</f>
        <v>7</v>
      </c>
      <c r="J23" s="66" t="inlineStr">
        <is>
          <t>8A/Sc1</t>
        </is>
      </c>
      <c r="K23" s="67">
        <f>IF(tblY8[[#This Row],[Preferred Last name]]="","",COUNTIFS($N$1:$ZZ$1,"*"&amp;CHAR(10)&amp;"Stanine",$N23:$ZZ23,"&gt;=1"))</f>
        <v>4</v>
      </c>
      <c r="L23" s="68">
        <f>IFERROR(AVERAGEIF($N$1:$ZZ$1,"*"&amp;CHAR(10)&amp;"Stanine",$N23:$ZZ23),"")</f>
        <v>6</v>
      </c>
      <c r="M23" s="69">
        <f>IF(AND(ISNUMBER(tblY8[[#This Row],[Mean Stanine]]),ISNUMBER(tblY8[[#This Row],[Avg KS2 Band]]),ISNUMBER(SlopeY8)),tblY8[[#This Row],[Mean Stanine]]-(InterceptY8+SlopeY8*tblY8[[#This Row],[Avg KS2 Band]]),"")</f>
        <v>-0.499681566931026</v>
      </c>
      <c r="N23" s="66" t="inlineStr">
        <is>
          <t>A</t>
        </is>
      </c>
      <c r="O23" s="67" t="str">
        <f>IF(ISNUMBER(tblY8[[#This Row],[8C01 - Periodic Table
Raw Score]]),IFERROR(VLOOKUP(ROUND(STANDARDIZE(tblY8[[#This Row],[8C01 - Periodic Table
Raw Score]],AVERAGE(tblY8[[8C01 - Periodic Table
Raw Score]]),_xlfn.STDEV.P(tblY8[[8C01 - Periodic Table
Raw Score]])),9),_Stanine,2),5),"")</f>
        <v/>
      </c>
      <c r="P23" s="66" t="n">
        <v>16</v>
      </c>
      <c r="Q23" s="67">
        <f>IF(ISNUMBER(tblY8[[#This Row],[8P01 - Energy
Raw Score]]),IFERROR(VLOOKUP(ROUND(STANDARDIZE(tblY8[[#This Row],[8P01 - Energy
Raw Score]],AVERAGE(tblY8[[8P01 - Energy
Raw Score]]),_xlfn.STDEV.P(tblY8[[8P01 - Energy
Raw Score]])),9),_Stanine,2),5),"")</f>
        <v>7</v>
      </c>
      <c r="R23" s="66" t="n">
        <v>17</v>
      </c>
      <c r="S23" s="67">
        <f>IF(ISNUMBER(tblY8[[#This Row],[8B01 - Digestion
Raw Score]]),IFERROR(VLOOKUP(ROUND(STANDARDIZE(tblY8[[#This Row],[8B01 - Digestion
Raw Score]],AVERAGE(tblY8[[8B01 - Digestion
Raw Score]]),_xlfn.STDEV.P(tblY8[[8B01 - Digestion
Raw Score]])),9),_Stanine,2),5),"")</f>
        <v>6</v>
      </c>
      <c r="T23" s="66" t="n">
        <v>12</v>
      </c>
      <c r="U23" s="67">
        <f>IF(ISNUMBER(tblY8[[#This Row],[8C02 - Metals and Acids
Raw Score]]),IFERROR(VLOOKUP(ROUND(STANDARDIZE(tblY8[[#This Row],[8C02 - Metals and Acids
Raw Score]],AVERAGE(tblY8[[8C02 - Metals and Acids
Raw Score]]),_xlfn.STDEV.P(tblY8[[8C02 - Metals and Acids
Raw Score]])),9),_Stanine,2),5),"")</f>
        <v>5</v>
      </c>
      <c r="V23" s="66" t="n">
        <v>17</v>
      </c>
      <c r="W23" s="67">
        <f>IF(ISNUMBER(tblY8[[#This Row],[8P02 - Light
Raw Score]]),IFERROR(VLOOKUP(ROUND(STANDARDIZE(tblY8[[#This Row],[8P02 - Light
Raw Score]],AVERAGE(tblY8[[8P02 - Light
Raw Score]]),_xlfn.STDEV.P(tblY8[[8P02 - Light
Raw Score]])),9),_Stanine,2),5),"")</f>
        <v>6</v>
      </c>
    </row>
    <row r="24">
      <c r="A24" s="65" t="inlineStr">
        <is>
          <t>X901879732919</t>
        </is>
      </c>
      <c r="B24" s="65" t="inlineStr">
        <is>
          <t>Turner</t>
        </is>
      </c>
      <c r="C24" s="65" t="inlineStr">
        <is>
          <t>Ethan</t>
        </is>
      </c>
      <c r="D24" s="66" t="inlineStr">
        <is>
          <t>F</t>
        </is>
      </c>
      <c r="E24" s="66" t="inlineStr">
        <is>
          <t>N</t>
        </is>
      </c>
      <c r="F24" s="66" t="inlineStr">
        <is>
          <t>N</t>
        </is>
      </c>
      <c r="G24" s="34" t="n">
        <v>91.59999999999999</v>
      </c>
      <c r="H24" s="34" t="n">
        <v>106</v>
      </c>
      <c r="I24" s="67">
        <f>IF(ISNUMBER(tblY8[[#This Row],[Avg KS2]]),IFERROR(VLOOKUP(ROUND(STANDARDIZE(tblY8[[#This Row],[Avg KS2]],AVERAGE(tblY8[[Avg KS2]]),_xlfn.STDEV.P(tblY8[[Avg KS2]])),9),_Stanine,2),5),"")</f>
        <v>5</v>
      </c>
      <c r="J24" s="66" t="inlineStr">
        <is>
          <t>8A/Sc1</t>
        </is>
      </c>
      <c r="K24" s="67">
        <f>IF(tblY8[[#This Row],[Preferred Last name]]="","",COUNTIFS($N$1:$ZZ$1,"*"&amp;CHAR(10)&amp;"Stanine",$N24:$ZZ24,"&gt;=1"))</f>
        <v>3</v>
      </c>
      <c r="L24" s="68">
        <f>IFERROR(AVERAGEIF($N$1:$ZZ$1,"*"&amp;CHAR(10)&amp;"Stanine",$N24:$ZZ24),"")</f>
        <v>5.33333333333333</v>
      </c>
      <c r="M24" s="69">
        <f>IF(AND(ISNUMBER(tblY8[[#This Row],[Mean Stanine]]),ISNUMBER(tblY8[[#This Row],[Avg KS2 Band]]),ISNUMBER(SlopeY8)),tblY8[[#This Row],[Mean Stanine]]-(InterceptY8+SlopeY8*tblY8[[#This Row],[Avg KS2 Band]]),"")</f>
        <v>0.39147440519106</v>
      </c>
      <c r="N24" s="66" t="inlineStr">
        <is>
          <t>A</t>
        </is>
      </c>
      <c r="O24" s="67" t="str">
        <f>IF(ISNUMBER(tblY8[[#This Row],[8C01 - Periodic Table
Raw Score]]),IFERROR(VLOOKUP(ROUND(STANDARDIZE(tblY8[[#This Row],[8C01 - Periodic Table
Raw Score]],AVERAGE(tblY8[[8C01 - Periodic Table
Raw Score]]),_xlfn.STDEV.P(tblY8[[8C01 - Periodic Table
Raw Score]])),9),_Stanine,2),5),"")</f>
        <v/>
      </c>
      <c r="P24" s="66" t="n">
        <v>13</v>
      </c>
      <c r="Q24" s="67">
        <f>IF(ISNUMBER(tblY8[[#This Row],[8P01 - Energy
Raw Score]]),IFERROR(VLOOKUP(ROUND(STANDARDIZE(tblY8[[#This Row],[8P01 - Energy
Raw Score]],AVERAGE(tblY8[[8P01 - Energy
Raw Score]]),_xlfn.STDEV.P(tblY8[[8P01 - Energy
Raw Score]])),9),_Stanine,2),5),"")</f>
        <v>6</v>
      </c>
      <c r="R24" s="66" t="n">
        <v>12</v>
      </c>
      <c r="S24" s="67">
        <f>IF(ISNUMBER(tblY8[[#This Row],[8B01 - Digestion
Raw Score]]),IFERROR(VLOOKUP(ROUND(STANDARDIZE(tblY8[[#This Row],[8B01 - Digestion
Raw Score]],AVERAGE(tblY8[[8B01 - Digestion
Raw Score]]),_xlfn.STDEV.P(tblY8[[8B01 - Digestion
Raw Score]])),9),_Stanine,2),5),"")</f>
        <v>4</v>
      </c>
      <c r="T24" s="66" t="inlineStr">
        <is>
          <t>A</t>
        </is>
      </c>
      <c r="U24" s="67" t="str">
        <f>IF(ISNUMBER(tblY8[[#This Row],[8C02 - Metals and Acids
Raw Score]]),IFERROR(VLOOKUP(ROUND(STANDARDIZE(tblY8[[#This Row],[8C02 - Metals and Acids
Raw Score]],AVERAGE(tblY8[[8C02 - Metals and Acids
Raw Score]]),_xlfn.STDEV.P(tblY8[[8C02 - Metals and Acids
Raw Score]])),9),_Stanine,2),5),"")</f>
        <v/>
      </c>
      <c r="V24" s="66" t="n">
        <v>18</v>
      </c>
      <c r="W24" s="67">
        <f>IF(ISNUMBER(tblY8[[#This Row],[8P02 - Light
Raw Score]]),IFERROR(VLOOKUP(ROUND(STANDARDIZE(tblY8[[#This Row],[8P02 - Light
Raw Score]],AVERAGE(tblY8[[8P02 - Light
Raw Score]]),_xlfn.STDEV.P(tblY8[[8P02 - Light
Raw Score]])),9),_Stanine,2),5),"")</f>
        <v>6</v>
      </c>
    </row>
    <row r="25">
      <c r="A25" s="65" t="inlineStr">
        <is>
          <t>X902547368454</t>
        </is>
      </c>
      <c r="B25" s="65" t="inlineStr">
        <is>
          <t>Ward</t>
        </is>
      </c>
      <c r="C25" s="65" t="inlineStr">
        <is>
          <t>Poppy</t>
        </is>
      </c>
      <c r="D25" s="66" t="inlineStr">
        <is>
          <t>F</t>
        </is>
      </c>
      <c r="E25" s="66" t="n"/>
      <c r="F25" s="66" t="inlineStr">
        <is>
          <t>N</t>
        </is>
      </c>
      <c r="G25" s="34" t="n">
        <v>99</v>
      </c>
      <c r="H25" s="34" t="n">
        <v>110</v>
      </c>
      <c r="I25" s="67">
        <f>IF(ISNUMBER(tblY8[[#This Row],[Avg KS2]]),IFERROR(VLOOKUP(ROUND(STANDARDIZE(tblY8[[#This Row],[Avg KS2]],AVERAGE(tblY8[[Avg KS2]]),_xlfn.STDEV.P(tblY8[[Avg KS2]])),9),_Stanine,2),5),"")</f>
        <v>7</v>
      </c>
      <c r="J25" s="66" t="inlineStr">
        <is>
          <t>8A/Sc1</t>
        </is>
      </c>
      <c r="K25" s="67">
        <f>IF(tblY8[[#This Row],[Preferred Last name]]="","",COUNTIFS($N$1:$ZZ$1,"*"&amp;CHAR(10)&amp;"Stanine",$N25:$ZZ25,"&gt;=1"))</f>
        <v>4</v>
      </c>
      <c r="L25" s="68">
        <f>IFERROR(AVERAGEIF($N$1:$ZZ$1,"*"&amp;CHAR(10)&amp;"Stanine",$N25:$ZZ25),"")</f>
        <v>7.25</v>
      </c>
      <c r="M25" s="69">
        <f>IF(AND(ISNUMBER(tblY8[[#This Row],[Mean Stanine]]),ISNUMBER(tblY8[[#This Row],[Avg KS2 Band]]),ISNUMBER(SlopeY8)),tblY8[[#This Row],[Mean Stanine]]-(InterceptY8+SlopeY8*tblY8[[#This Row],[Avg KS2 Band]]),"")</f>
        <v>0.750318433068975</v>
      </c>
      <c r="N25" s="66" t="inlineStr">
        <is>
          <t>A</t>
        </is>
      </c>
      <c r="O25" s="67" t="str">
        <f>IF(ISNUMBER(tblY8[[#This Row],[8C01 - Periodic Table
Raw Score]]),IFERROR(VLOOKUP(ROUND(STANDARDIZE(tblY8[[#This Row],[8C01 - Periodic Table
Raw Score]],AVERAGE(tblY8[[8C01 - Periodic Table
Raw Score]]),_xlfn.STDEV.P(tblY8[[8C01 - Periodic Table
Raw Score]])),9),_Stanine,2),5),"")</f>
        <v/>
      </c>
      <c r="P25" s="66" t="n">
        <v>20</v>
      </c>
      <c r="Q25" s="67">
        <f>IF(ISNUMBER(tblY8[[#This Row],[8P01 - Energy
Raw Score]]),IFERROR(VLOOKUP(ROUND(STANDARDIZE(tblY8[[#This Row],[8P01 - Energy
Raw Score]],AVERAGE(tblY8[[8P01 - Energy
Raw Score]]),_xlfn.STDEV.P(tblY8[[8P01 - Energy
Raw Score]])),9),_Stanine,2),5),"")</f>
        <v>9</v>
      </c>
      <c r="R25" s="66" t="n">
        <v>18</v>
      </c>
      <c r="S25" s="67">
        <f>IF(ISNUMBER(tblY8[[#This Row],[8B01 - Digestion
Raw Score]]),IFERROR(VLOOKUP(ROUND(STANDARDIZE(tblY8[[#This Row],[8B01 - Digestion
Raw Score]],AVERAGE(tblY8[[8B01 - Digestion
Raw Score]]),_xlfn.STDEV.P(tblY8[[8B01 - Digestion
Raw Score]])),9),_Stanine,2),5),"")</f>
        <v>6</v>
      </c>
      <c r="T25" s="66" t="n">
        <v>16</v>
      </c>
      <c r="U25" s="67">
        <f>IF(ISNUMBER(tblY8[[#This Row],[8C02 - Metals and Acids
Raw Score]]),IFERROR(VLOOKUP(ROUND(STANDARDIZE(tblY8[[#This Row],[8C02 - Metals and Acids
Raw Score]],AVERAGE(tblY8[[8C02 - Metals and Acids
Raw Score]]),_xlfn.STDEV.P(tblY8[[8C02 - Metals and Acids
Raw Score]])),9),_Stanine,2),5),"")</f>
        <v>7</v>
      </c>
      <c r="V25" s="66" t="n">
        <v>19</v>
      </c>
      <c r="W25" s="67">
        <f>IF(ISNUMBER(tblY8[[#This Row],[8P02 - Light
Raw Score]]),IFERROR(VLOOKUP(ROUND(STANDARDIZE(tblY8[[#This Row],[8P02 - Light
Raw Score]],AVERAGE(tblY8[[8P02 - Light
Raw Score]]),_xlfn.STDEV.P(tblY8[[8P02 - Light
Raw Score]])),9),_Stanine,2),5),"")</f>
        <v>7</v>
      </c>
    </row>
    <row r="26">
      <c r="A26" s="65" t="inlineStr">
        <is>
          <t>X905869080032</t>
        </is>
      </c>
      <c r="B26" s="65" t="inlineStr">
        <is>
          <t>White</t>
        </is>
      </c>
      <c r="C26" s="65" t="inlineStr">
        <is>
          <t>Niamh</t>
        </is>
      </c>
      <c r="D26" s="66" t="inlineStr">
        <is>
          <t>M</t>
        </is>
      </c>
      <c r="E26" s="66" t="n"/>
      <c r="F26" s="66" t="inlineStr">
        <is>
          <t>N</t>
        </is>
      </c>
      <c r="G26" s="34" t="n">
        <v>98.7</v>
      </c>
      <c r="H26" s="34" t="n">
        <v>108</v>
      </c>
      <c r="I26" s="67">
        <f>IF(ISNUMBER(tblY8[[#This Row],[Avg KS2]]),IFERROR(VLOOKUP(ROUND(STANDARDIZE(tblY8[[#This Row],[Avg KS2]],AVERAGE(tblY8[[Avg KS2]]),_xlfn.STDEV.P(tblY8[[Avg KS2]])),9),_Stanine,2),5),"")</f>
        <v>6</v>
      </c>
      <c r="J26" s="66" t="inlineStr">
        <is>
          <t>8A/Sc1</t>
        </is>
      </c>
      <c r="K26" s="67">
        <f>IF(tblY8[[#This Row],[Preferred Last name]]="","",COUNTIFS($N$1:$ZZ$1,"*"&amp;CHAR(10)&amp;"Stanine",$N26:$ZZ26,"&gt;=1"))</f>
        <v>3</v>
      </c>
      <c r="L26" s="68">
        <f>IFERROR(AVERAGEIF($N$1:$ZZ$1,"*"&amp;CHAR(10)&amp;"Stanine",$N26:$ZZ26),"")</f>
        <v>8.33333333333333</v>
      </c>
      <c r="M26" s="69">
        <f>IF(AND(ISNUMBER(tblY8[[#This Row],[Mean Stanine]]),ISNUMBER(tblY8[[#This Row],[Avg KS2 Band]]),ISNUMBER(SlopeY8)),tblY8[[#This Row],[Mean Stanine]]-(InterceptY8+SlopeY8*tblY8[[#This Row],[Avg KS2 Band]]),"")</f>
        <v>2.61256308579668</v>
      </c>
      <c r="N26" s="66" t="inlineStr">
        <is>
          <t>A</t>
        </is>
      </c>
      <c r="O26" s="67" t="str">
        <f>IF(ISNUMBER(tblY8[[#This Row],[8C01 - Periodic Table
Raw Score]]),IFERROR(VLOOKUP(ROUND(STANDARDIZE(tblY8[[#This Row],[8C01 - Periodic Table
Raw Score]],AVERAGE(tblY8[[8C01 - Periodic Table
Raw Score]]),_xlfn.STDEV.P(tblY8[[8C01 - Periodic Table
Raw Score]])),9),_Stanine,2),5),"")</f>
        <v/>
      </c>
      <c r="P26" s="66" t="n">
        <v>18</v>
      </c>
      <c r="Q26" s="67">
        <f>IF(ISNUMBER(tblY8[[#This Row],[8P01 - Energy
Raw Score]]),IFERROR(VLOOKUP(ROUND(STANDARDIZE(tblY8[[#This Row],[8P01 - Energy
Raw Score]],AVERAGE(tblY8[[8P01 - Energy
Raw Score]]),_xlfn.STDEV.P(tblY8[[8P01 - Energy
Raw Score]])),9),_Stanine,2),5),"")</f>
        <v>8</v>
      </c>
      <c r="R26" s="66" t="n">
        <v>26</v>
      </c>
      <c r="S26" s="67">
        <f>IF(ISNUMBER(tblY8[[#This Row],[8B01 - Digestion
Raw Score]]),IFERROR(VLOOKUP(ROUND(STANDARDIZE(tblY8[[#This Row],[8B01 - Digestion
Raw Score]],AVERAGE(tblY8[[8B01 - Digestion
Raw Score]]),_xlfn.STDEV.P(tblY8[[8B01 - Digestion
Raw Score]])),9),_Stanine,2),5),"")</f>
        <v>9</v>
      </c>
      <c r="T26" s="66" t="inlineStr">
        <is>
          <t>A</t>
        </is>
      </c>
      <c r="U26" s="67" t="str">
        <f>IF(ISNUMBER(tblY8[[#This Row],[8C02 - Metals and Acids
Raw Score]]),IFERROR(VLOOKUP(ROUND(STANDARDIZE(tblY8[[#This Row],[8C02 - Metals and Acids
Raw Score]],AVERAGE(tblY8[[8C02 - Metals and Acids
Raw Score]]),_xlfn.STDEV.P(tblY8[[8C02 - Metals and Acids
Raw Score]])),9),_Stanine,2),5),"")</f>
        <v/>
      </c>
      <c r="V26" s="66" t="n">
        <v>21</v>
      </c>
      <c r="W26" s="67">
        <f>IF(ISNUMBER(tblY8[[#This Row],[8P02 - Light
Raw Score]]),IFERROR(VLOOKUP(ROUND(STANDARDIZE(tblY8[[#This Row],[8P02 - Light
Raw Score]],AVERAGE(tblY8[[8P02 - Light
Raw Score]]),_xlfn.STDEV.P(tblY8[[8P02 - Light
Raw Score]])),9),_Stanine,2),5),"")</f>
        <v>8</v>
      </c>
    </row>
    <row r="27">
      <c r="A27" s="65" t="inlineStr">
        <is>
          <t>X901480356570</t>
        </is>
      </c>
      <c r="B27" s="65" t="inlineStr">
        <is>
          <t>Williams</t>
        </is>
      </c>
      <c r="C27" s="65" t="inlineStr">
        <is>
          <t>Dylan</t>
        </is>
      </c>
      <c r="D27" s="66" t="inlineStr">
        <is>
          <t>F</t>
        </is>
      </c>
      <c r="E27" s="66" t="inlineStr">
        <is>
          <t>N</t>
        </is>
      </c>
      <c r="F27" s="66" t="inlineStr">
        <is>
          <t>N</t>
        </is>
      </c>
      <c r="G27" s="34" t="n">
        <v>78.8</v>
      </c>
      <c r="H27" s="34" t="n">
        <v>101.5</v>
      </c>
      <c r="I27" s="67">
        <f>IF(ISNUMBER(tblY8[[#This Row],[Avg KS2]]),IFERROR(VLOOKUP(ROUND(STANDARDIZE(tblY8[[#This Row],[Avg KS2]],AVERAGE(tblY8[[Avg KS2]]),_xlfn.STDEV.P(tblY8[[Avg KS2]])),9),_Stanine,2),5),"")</f>
        <v>4</v>
      </c>
      <c r="J27" s="66" t="inlineStr">
        <is>
          <t>8A/Sc1</t>
        </is>
      </c>
      <c r="K27" s="67">
        <f>IF(tblY8[[#This Row],[Preferred Last name]]="","",COUNTIFS($N$1:$ZZ$1,"*"&amp;CHAR(10)&amp;"Stanine",$N27:$ZZ27,"&gt;=1"))</f>
        <v>5</v>
      </c>
      <c r="L27" s="68">
        <f>IFERROR(AVERAGEIF($N$1:$ZZ$1,"*"&amp;CHAR(10)&amp;"Stanine",$N27:$ZZ27),"")</f>
        <v>5</v>
      </c>
      <c r="M27" s="69">
        <f>IF(AND(ISNUMBER(tblY8[[#This Row],[Mean Stanine]]),ISNUMBER(tblY8[[#This Row],[Avg KS2 Band]]),ISNUMBER(SlopeY8)),tblY8[[#This Row],[Mean Stanine]]-(InterceptY8+SlopeY8*tblY8[[#This Row],[Avg KS2 Band]]),"")</f>
        <v>0.837052391252103</v>
      </c>
      <c r="N27" s="66" t="n">
        <v>22</v>
      </c>
      <c r="O27" s="67">
        <f>IF(ISNUMBER(tblY8[[#This Row],[8C01 - Periodic Table
Raw Score]]),IFERROR(VLOOKUP(ROUND(STANDARDIZE(tblY8[[#This Row],[8C01 - Periodic Table
Raw Score]],AVERAGE(tblY8[[8C01 - Periodic Table
Raw Score]]),_xlfn.STDEV.P(tblY8[[8C01 - Periodic Table
Raw Score]])),9),_Stanine,2),5),"")</f>
        <v>6</v>
      </c>
      <c r="P27" s="66" t="n">
        <v>9</v>
      </c>
      <c r="Q27" s="67">
        <f>IF(ISNUMBER(tblY8[[#This Row],[8P01 - Energy
Raw Score]]),IFERROR(VLOOKUP(ROUND(STANDARDIZE(tblY8[[#This Row],[8P01 - Energy
Raw Score]],AVERAGE(tblY8[[8P01 - Energy
Raw Score]]),_xlfn.STDEV.P(tblY8[[8P01 - Energy
Raw Score]])),9),_Stanine,2),5),"")</f>
        <v>4</v>
      </c>
      <c r="R27" s="66" t="n">
        <v>16</v>
      </c>
      <c r="S27" s="67">
        <f>IF(ISNUMBER(tblY8[[#This Row],[8B01 - Digestion
Raw Score]]),IFERROR(VLOOKUP(ROUND(STANDARDIZE(tblY8[[#This Row],[8B01 - Digestion
Raw Score]],AVERAGE(tblY8[[8B01 - Digestion
Raw Score]]),_xlfn.STDEV.P(tblY8[[8B01 - Digestion
Raw Score]])),9),_Stanine,2),5),"")</f>
        <v>6</v>
      </c>
      <c r="T27" s="66" t="n">
        <v>11</v>
      </c>
      <c r="U27" s="67">
        <f>IF(ISNUMBER(tblY8[[#This Row],[8C02 - Metals and Acids
Raw Score]]),IFERROR(VLOOKUP(ROUND(STANDARDIZE(tblY8[[#This Row],[8C02 - Metals and Acids
Raw Score]],AVERAGE(tblY8[[8C02 - Metals and Acids
Raw Score]]),_xlfn.STDEV.P(tblY8[[8C02 - Metals and Acids
Raw Score]])),9),_Stanine,2),5),"")</f>
        <v>5</v>
      </c>
      <c r="V27" s="66" t="n">
        <v>14</v>
      </c>
      <c r="W27" s="67">
        <f>IF(ISNUMBER(tblY8[[#This Row],[8P02 - Light
Raw Score]]),IFERROR(VLOOKUP(ROUND(STANDARDIZE(tblY8[[#This Row],[8P02 - Light
Raw Score]],AVERAGE(tblY8[[8P02 - Light
Raw Score]]),_xlfn.STDEV.P(tblY8[[8P02 - Light
Raw Score]])),9),_Stanine,2),5),"")</f>
        <v>4</v>
      </c>
    </row>
    <row r="28">
      <c r="A28" s="65" t="inlineStr">
        <is>
          <t>X900661281452</t>
        </is>
      </c>
      <c r="B28" s="65" t="inlineStr">
        <is>
          <t>Williams</t>
        </is>
      </c>
      <c r="C28" s="65" t="inlineStr">
        <is>
          <t>Noah</t>
        </is>
      </c>
      <c r="D28" s="66" t="inlineStr">
        <is>
          <t>F</t>
        </is>
      </c>
      <c r="E28" s="66" t="inlineStr">
        <is>
          <t>N</t>
        </is>
      </c>
      <c r="F28" s="66" t="inlineStr">
        <is>
          <t>N</t>
        </is>
      </c>
      <c r="G28" s="34" t="n">
        <v>90.8</v>
      </c>
      <c r="H28" s="34" t="n">
        <v>103</v>
      </c>
      <c r="I28" s="67">
        <f>IF(ISNUMBER(tblY8[[#This Row],[Avg KS2]]),IFERROR(VLOOKUP(ROUND(STANDARDIZE(tblY8[[#This Row],[Avg KS2]],AVERAGE(tblY8[[Avg KS2]]),_xlfn.STDEV.P(tblY8[[Avg KS2]])),9),_Stanine,2),5),"")</f>
        <v>4</v>
      </c>
      <c r="J28" s="66" t="inlineStr">
        <is>
          <t>8A/Sc1</t>
        </is>
      </c>
      <c r="K28" s="67">
        <f>IF(tblY8[[#This Row],[Preferred Last name]]="","",COUNTIFS($N$1:$ZZ$1,"*"&amp;CHAR(10)&amp;"Stanine",$N28:$ZZ28,"&gt;=1"))</f>
        <v>5</v>
      </c>
      <c r="L28" s="68">
        <f>IFERROR(AVERAGEIF($N$1:$ZZ$1,"*"&amp;CHAR(10)&amp;"Stanine",$N28:$ZZ28),"")</f>
        <v>4.4</v>
      </c>
      <c r="M28" s="69">
        <f>IF(AND(ISNUMBER(tblY8[[#This Row],[Mean Stanine]]),ISNUMBER(tblY8[[#This Row],[Avg KS2 Band]]),ISNUMBER(SlopeY8)),tblY8[[#This Row],[Mean Stanine]]-(InterceptY8+SlopeY8*tblY8[[#This Row],[Avg KS2 Band]]),"")</f>
        <v>0.237052391252103</v>
      </c>
      <c r="N28" s="66" t="n">
        <v>15</v>
      </c>
      <c r="O28" s="67">
        <f>IF(ISNUMBER(tblY8[[#This Row],[8C01 - Periodic Table
Raw Score]]),IFERROR(VLOOKUP(ROUND(STANDARDIZE(tblY8[[#This Row],[8C01 - Periodic Table
Raw Score]],AVERAGE(tblY8[[8C01 - Periodic Table
Raw Score]]),_xlfn.STDEV.P(tblY8[[8C01 - Periodic Table
Raw Score]])),9),_Stanine,2),5),"")</f>
        <v>4</v>
      </c>
      <c r="P28" s="66" t="n">
        <v>7</v>
      </c>
      <c r="Q28" s="67">
        <f>IF(ISNUMBER(tblY8[[#This Row],[8P01 - Energy
Raw Score]]),IFERROR(VLOOKUP(ROUND(STANDARDIZE(tblY8[[#This Row],[8P01 - Energy
Raw Score]],AVERAGE(tblY8[[8P01 - Energy
Raw Score]]),_xlfn.STDEV.P(tblY8[[8P01 - Energy
Raw Score]])),9),_Stanine,2),5),"")</f>
        <v>4</v>
      </c>
      <c r="R28" s="66" t="n">
        <v>15</v>
      </c>
      <c r="S28" s="67">
        <f>IF(ISNUMBER(tblY8[[#This Row],[8B01 - Digestion
Raw Score]]),IFERROR(VLOOKUP(ROUND(STANDARDIZE(tblY8[[#This Row],[8B01 - Digestion
Raw Score]],AVERAGE(tblY8[[8B01 - Digestion
Raw Score]]),_xlfn.STDEV.P(tblY8[[8B01 - Digestion
Raw Score]])),9),_Stanine,2),5),"")</f>
        <v>5</v>
      </c>
      <c r="T28" s="66" t="n">
        <v>12</v>
      </c>
      <c r="U28" s="67">
        <f>IF(ISNUMBER(tblY8[[#This Row],[8C02 - Metals and Acids
Raw Score]]),IFERROR(VLOOKUP(ROUND(STANDARDIZE(tblY8[[#This Row],[8C02 - Metals and Acids
Raw Score]],AVERAGE(tblY8[[8C02 - Metals and Acids
Raw Score]]),_xlfn.STDEV.P(tblY8[[8C02 - Metals and Acids
Raw Score]])),9),_Stanine,2),5),"")</f>
        <v>5</v>
      </c>
      <c r="V28" s="66" t="n">
        <v>14</v>
      </c>
      <c r="W28" s="67">
        <f>IF(ISNUMBER(tblY8[[#This Row],[8P02 - Light
Raw Score]]),IFERROR(VLOOKUP(ROUND(STANDARDIZE(tblY8[[#This Row],[8P02 - Light
Raw Score]],AVERAGE(tblY8[[8P02 - Light
Raw Score]]),_xlfn.STDEV.P(tblY8[[8P02 - Light
Raw Score]])),9),_Stanine,2),5),"")</f>
        <v>4</v>
      </c>
    </row>
    <row r="29">
      <c r="A29" s="65" t="inlineStr">
        <is>
          <t>X909501948450</t>
        </is>
      </c>
      <c r="B29" s="65" t="inlineStr">
        <is>
          <t>Wilson</t>
        </is>
      </c>
      <c r="C29" s="65" t="inlineStr">
        <is>
          <t>Ella</t>
        </is>
      </c>
      <c r="D29" s="66" t="inlineStr">
        <is>
          <t>M</t>
        </is>
      </c>
      <c r="E29" s="66" t="inlineStr">
        <is>
          <t>K</t>
        </is>
      </c>
      <c r="F29" s="66" t="inlineStr">
        <is>
          <t>Y</t>
        </is>
      </c>
      <c r="G29" s="34" t="n">
        <v>100</v>
      </c>
      <c r="H29" s="34" t="n">
        <v>100</v>
      </c>
      <c r="I29" s="67">
        <f>IF(ISNUMBER(tblY8[[#This Row],[Avg KS2]]),IFERROR(VLOOKUP(ROUND(STANDARDIZE(tblY8[[#This Row],[Avg KS2]],AVERAGE(tblY8[[Avg KS2]]),_xlfn.STDEV.P(tblY8[[Avg KS2]])),9),_Stanine,2),5),"")</f>
        <v>3</v>
      </c>
      <c r="J29" s="66" t="inlineStr">
        <is>
          <t>8A/Sc1</t>
        </is>
      </c>
      <c r="K29" s="67">
        <f>IF(tblY8[[#This Row],[Preferred Last name]]="","",COUNTIFS($N$1:$ZZ$1,"*"&amp;CHAR(10)&amp;"Stanine",$N29:$ZZ29,"&gt;=1"))</f>
        <v>4</v>
      </c>
      <c r="L29" s="68">
        <f>IFERROR(AVERAGEIF($N$1:$ZZ$1,"*"&amp;CHAR(10)&amp;"Stanine",$N29:$ZZ29),"")</f>
        <v>4.25</v>
      </c>
      <c r="M29" s="69">
        <f>IF(AND(ISNUMBER(tblY8[[#This Row],[Mean Stanine]]),ISNUMBER(tblY8[[#This Row],[Avg KS2 Band]]),ISNUMBER(SlopeY8)),tblY8[[#This Row],[Mean Stanine]]-(InterceptY8+SlopeY8*tblY8[[#This Row],[Avg KS2 Band]]),"")</f>
        <v>0.865963710646479</v>
      </c>
      <c r="N29" s="66" t="inlineStr">
        <is>
          <t>A</t>
        </is>
      </c>
      <c r="O29" s="67" t="str">
        <f>IF(ISNUMBER(tblY8[[#This Row],[8C01 - Periodic Table
Raw Score]]),IFERROR(VLOOKUP(ROUND(STANDARDIZE(tblY8[[#This Row],[8C01 - Periodic Table
Raw Score]],AVERAGE(tblY8[[8C01 - Periodic Table
Raw Score]]),_xlfn.STDEV.P(tblY8[[8C01 - Periodic Table
Raw Score]])),9),_Stanine,2),5),"")</f>
        <v/>
      </c>
      <c r="P29" s="66" t="n">
        <v>7</v>
      </c>
      <c r="Q29" s="67">
        <f>IF(ISNUMBER(tblY8[[#This Row],[8P01 - Energy
Raw Score]]),IFERROR(VLOOKUP(ROUND(STANDARDIZE(tblY8[[#This Row],[8P01 - Energy
Raw Score]],AVERAGE(tblY8[[8P01 - Energy
Raw Score]]),_xlfn.STDEV.P(tblY8[[8P01 - Energy
Raw Score]])),9),_Stanine,2),5),"")</f>
        <v>4</v>
      </c>
      <c r="R29" s="66" t="n">
        <v>11</v>
      </c>
      <c r="S29" s="67">
        <f>IF(ISNUMBER(tblY8[[#This Row],[8B01 - Digestion
Raw Score]]),IFERROR(VLOOKUP(ROUND(STANDARDIZE(tblY8[[#This Row],[8B01 - Digestion
Raw Score]],AVERAGE(tblY8[[8B01 - Digestion
Raw Score]]),_xlfn.STDEV.P(tblY8[[8B01 - Digestion
Raw Score]])),9),_Stanine,2),5),"")</f>
        <v>4</v>
      </c>
      <c r="T29" s="66" t="n">
        <v>9</v>
      </c>
      <c r="U29" s="67">
        <f>IF(ISNUMBER(tblY8[[#This Row],[8C02 - Metals and Acids
Raw Score]]),IFERROR(VLOOKUP(ROUND(STANDARDIZE(tblY8[[#This Row],[8C02 - Metals and Acids
Raw Score]],AVERAGE(tblY8[[8C02 - Metals and Acids
Raw Score]]),_xlfn.STDEV.P(tblY8[[8C02 - Metals and Acids
Raw Score]])),9),_Stanine,2),5),"")</f>
        <v>4</v>
      </c>
      <c r="V29" s="66" t="n">
        <v>16</v>
      </c>
      <c r="W29" s="67">
        <f>IF(ISNUMBER(tblY8[[#This Row],[8P02 - Light
Raw Score]]),IFERROR(VLOOKUP(ROUND(STANDARDIZE(tblY8[[#This Row],[8P02 - Light
Raw Score]],AVERAGE(tblY8[[8P02 - Light
Raw Score]]),_xlfn.STDEV.P(tblY8[[8P02 - Light
Raw Score]])),9),_Stanine,2),5),"")</f>
        <v>5</v>
      </c>
    </row>
    <row r="30">
      <c r="A30" s="65" t="inlineStr">
        <is>
          <t>X901970444227</t>
        </is>
      </c>
      <c r="B30" s="65" t="inlineStr">
        <is>
          <t>Begum</t>
        </is>
      </c>
      <c r="C30" s="65" t="inlineStr">
        <is>
          <t>Callum</t>
        </is>
      </c>
      <c r="D30" s="66" t="inlineStr">
        <is>
          <t>M</t>
        </is>
      </c>
      <c r="E30" s="66" t="inlineStr">
        <is>
          <t>N</t>
        </is>
      </c>
      <c r="F30" s="66" t="inlineStr">
        <is>
          <t>Y</t>
        </is>
      </c>
      <c r="G30" s="34" t="n">
        <v>93</v>
      </c>
      <c r="H30" s="34" t="n">
        <v>104.5</v>
      </c>
      <c r="I30" s="67">
        <f>IF(ISNUMBER(tblY8[[#This Row],[Avg KS2]]),IFERROR(VLOOKUP(ROUND(STANDARDIZE(tblY8[[#This Row],[Avg KS2]],AVERAGE(tblY8[[Avg KS2]]),_xlfn.STDEV.P(tblY8[[Avg KS2]])),9),_Stanine,2),5),"")</f>
        <v>5</v>
      </c>
      <c r="J30" s="66" t="inlineStr">
        <is>
          <t>8A/Sc2</t>
        </is>
      </c>
      <c r="K30" s="67">
        <f>IF(tblY8[[#This Row],[Preferred Last name]]="","",COUNTIFS($N$1:$ZZ$1,"*"&amp;CHAR(10)&amp;"Stanine",$N30:$ZZ30,"&gt;=1"))</f>
        <v>4</v>
      </c>
      <c r="L30" s="68">
        <f>IFERROR(AVERAGEIF($N$1:$ZZ$1,"*"&amp;CHAR(10)&amp;"Stanine",$N30:$ZZ30),"")</f>
        <v>4</v>
      </c>
      <c r="M30" s="69">
        <f>IF(AND(ISNUMBER(tblY8[[#This Row],[Mean Stanine]]),ISNUMBER(tblY8[[#This Row],[Avg KS2 Band]]),ISNUMBER(SlopeY8)),tblY8[[#This Row],[Mean Stanine]]-(InterceptY8+SlopeY8*tblY8[[#This Row],[Avg KS2 Band]]),"")</f>
        <v>-0.941858928142273</v>
      </c>
      <c r="N30" s="66" t="n">
        <v>10</v>
      </c>
      <c r="O30" s="67">
        <f>IF(ISNUMBER(tblY8[[#This Row],[8C01 - Periodic Table
Raw Score]]),IFERROR(VLOOKUP(ROUND(STANDARDIZE(tblY8[[#This Row],[8C01 - Periodic Table
Raw Score]],AVERAGE(tblY8[[8C01 - Periodic Table
Raw Score]]),_xlfn.STDEV.P(tblY8[[8C01 - Periodic Table
Raw Score]])),9),_Stanine,2),5),"")</f>
        <v>2</v>
      </c>
      <c r="P30" s="66" t="inlineStr">
        <is>
          <t>A</t>
        </is>
      </c>
      <c r="Q30" s="67" t="str">
        <f>IF(ISNUMBER(tblY8[[#This Row],[8P01 - Energy
Raw Score]]),IFERROR(VLOOKUP(ROUND(STANDARDIZE(tblY8[[#This Row],[8P01 - Energy
Raw Score]],AVERAGE(tblY8[[8P01 - Energy
Raw Score]]),_xlfn.STDEV.P(tblY8[[8P01 - Energy
Raw Score]])),9),_Stanine,2),5),"")</f>
        <v/>
      </c>
      <c r="R30" s="66" t="n">
        <v>10</v>
      </c>
      <c r="S30" s="67">
        <f>IF(ISNUMBER(tblY8[[#This Row],[8B01 - Digestion
Raw Score]]),IFERROR(VLOOKUP(ROUND(STANDARDIZE(tblY8[[#This Row],[8B01 - Digestion
Raw Score]],AVERAGE(tblY8[[8B01 - Digestion
Raw Score]]),_xlfn.STDEV.P(tblY8[[8B01 - Digestion
Raw Score]])),9),_Stanine,2),5),"")</f>
        <v>4</v>
      </c>
      <c r="T30" s="66" t="n">
        <v>13</v>
      </c>
      <c r="U30" s="67">
        <f>IF(ISNUMBER(tblY8[[#This Row],[8C02 - Metals and Acids
Raw Score]]),IFERROR(VLOOKUP(ROUND(STANDARDIZE(tblY8[[#This Row],[8C02 - Metals and Acids
Raw Score]],AVERAGE(tblY8[[8C02 - Metals and Acids
Raw Score]]),_xlfn.STDEV.P(tblY8[[8C02 - Metals and Acids
Raw Score]])),9),_Stanine,2),5),"")</f>
        <v>6</v>
      </c>
      <c r="V30" s="66" t="n">
        <v>13</v>
      </c>
      <c r="W30" s="67">
        <f>IF(ISNUMBER(tblY8[[#This Row],[8P02 - Light
Raw Score]]),IFERROR(VLOOKUP(ROUND(STANDARDIZE(tblY8[[#This Row],[8P02 - Light
Raw Score]],AVERAGE(tblY8[[8P02 - Light
Raw Score]]),_xlfn.STDEV.P(tblY8[[8P02 - Light
Raw Score]])),9),_Stanine,2),5),"")</f>
        <v>4</v>
      </c>
    </row>
    <row r="31">
      <c r="A31" s="65" t="inlineStr">
        <is>
          <t>X908821102118</t>
        </is>
      </c>
      <c r="B31" s="65" t="inlineStr">
        <is>
          <t>Clarke</t>
        </is>
      </c>
      <c r="C31" s="65" t="inlineStr">
        <is>
          <t>Maya</t>
        </is>
      </c>
      <c r="D31" s="66" t="inlineStr">
        <is>
          <t>F</t>
        </is>
      </c>
      <c r="E31" s="66" t="inlineStr">
        <is>
          <t>K</t>
        </is>
      </c>
      <c r="F31" s="66" t="inlineStr">
        <is>
          <t>Y</t>
        </is>
      </c>
      <c r="G31" s="34" t="n">
        <v>91.8</v>
      </c>
      <c r="H31" s="34" t="n">
        <v>110</v>
      </c>
      <c r="I31" s="67">
        <f>IF(ISNUMBER(tblY8[[#This Row],[Avg KS2]]),IFERROR(VLOOKUP(ROUND(STANDARDIZE(tblY8[[#This Row],[Avg KS2]],AVERAGE(tblY8[[Avg KS2]]),_xlfn.STDEV.P(tblY8[[Avg KS2]])),9),_Stanine,2),5),"")</f>
        <v>7</v>
      </c>
      <c r="J31" s="66" t="inlineStr">
        <is>
          <t>8A/Sc2</t>
        </is>
      </c>
      <c r="K31" s="67">
        <f>IF(tblY8[[#This Row],[Preferred Last name]]="","",COUNTIFS($N$1:$ZZ$1,"*"&amp;CHAR(10)&amp;"Stanine",$N31:$ZZ31,"&gt;=1"))</f>
        <v>4</v>
      </c>
      <c r="L31" s="68">
        <f>IFERROR(AVERAGEIF($N$1:$ZZ$1,"*"&amp;CHAR(10)&amp;"Stanine",$N31:$ZZ31),"")</f>
        <v>6</v>
      </c>
      <c r="M31" s="69">
        <f>IF(AND(ISNUMBER(tblY8[[#This Row],[Mean Stanine]]),ISNUMBER(tblY8[[#This Row],[Avg KS2 Band]]),ISNUMBER(SlopeY8)),tblY8[[#This Row],[Mean Stanine]]-(InterceptY8+SlopeY8*tblY8[[#This Row],[Avg KS2 Band]]),"")</f>
        <v>-0.499681566931026</v>
      </c>
      <c r="N31" s="66" t="inlineStr">
        <is>
          <t>A</t>
        </is>
      </c>
      <c r="O31" s="67" t="str">
        <f>IF(ISNUMBER(tblY8[[#This Row],[8C01 - Periodic Table
Raw Score]]),IFERROR(VLOOKUP(ROUND(STANDARDIZE(tblY8[[#This Row],[8C01 - Periodic Table
Raw Score]],AVERAGE(tblY8[[8C01 - Periodic Table
Raw Score]]),_xlfn.STDEV.P(tblY8[[8C01 - Periodic Table
Raw Score]])),9),_Stanine,2),5),"")</f>
        <v/>
      </c>
      <c r="P31" s="66" t="n">
        <v>14</v>
      </c>
      <c r="Q31" s="67">
        <f>IF(ISNUMBER(tblY8[[#This Row],[8P01 - Energy
Raw Score]]),IFERROR(VLOOKUP(ROUND(STANDARDIZE(tblY8[[#This Row],[8P01 - Energy
Raw Score]],AVERAGE(tblY8[[8P01 - Energy
Raw Score]]),_xlfn.STDEV.P(tblY8[[8P01 - Energy
Raw Score]])),9),_Stanine,2),5),"")</f>
        <v>6</v>
      </c>
      <c r="R31" s="66" t="n">
        <v>19</v>
      </c>
      <c r="S31" s="67">
        <f>IF(ISNUMBER(tblY8[[#This Row],[8B01 - Digestion
Raw Score]]),IFERROR(VLOOKUP(ROUND(STANDARDIZE(tblY8[[#This Row],[8B01 - Digestion
Raw Score]],AVERAGE(tblY8[[8B01 - Digestion
Raw Score]]),_xlfn.STDEV.P(tblY8[[8B01 - Digestion
Raw Score]])),9),_Stanine,2),5),"")</f>
        <v>7</v>
      </c>
      <c r="T31" s="66" t="n">
        <v>10</v>
      </c>
      <c r="U31" s="67">
        <f>IF(ISNUMBER(tblY8[[#This Row],[8C02 - Metals and Acids
Raw Score]]),IFERROR(VLOOKUP(ROUND(STANDARDIZE(tblY8[[#This Row],[8C02 - Metals and Acids
Raw Score]],AVERAGE(tblY8[[8C02 - Metals and Acids
Raw Score]]),_xlfn.STDEV.P(tblY8[[8C02 - Metals and Acids
Raw Score]])),9),_Stanine,2),5),"")</f>
        <v>4</v>
      </c>
      <c r="V31" s="66" t="n">
        <v>20</v>
      </c>
      <c r="W31" s="67">
        <f>IF(ISNUMBER(tblY8[[#This Row],[8P02 - Light
Raw Score]]),IFERROR(VLOOKUP(ROUND(STANDARDIZE(tblY8[[#This Row],[8P02 - Light
Raw Score]],AVERAGE(tblY8[[8P02 - Light
Raw Score]]),_xlfn.STDEV.P(tblY8[[8P02 - Light
Raw Score]])),9),_Stanine,2),5),"")</f>
        <v>7</v>
      </c>
    </row>
    <row r="32">
      <c r="A32" s="65" t="inlineStr">
        <is>
          <t>X900544089078</t>
        </is>
      </c>
      <c r="B32" s="65" t="inlineStr">
        <is>
          <t>Cooper</t>
        </is>
      </c>
      <c r="C32" s="65" t="inlineStr">
        <is>
          <t>Ethan</t>
        </is>
      </c>
      <c r="D32" s="66" t="inlineStr">
        <is>
          <t>M</t>
        </is>
      </c>
      <c r="E32" s="66" t="inlineStr">
        <is>
          <t>K</t>
        </is>
      </c>
      <c r="F32" s="66" t="inlineStr">
        <is>
          <t>N</t>
        </is>
      </c>
      <c r="G32" s="34" t="n">
        <v>91.3</v>
      </c>
      <c r="H32" s="34" t="n">
        <v>106</v>
      </c>
      <c r="I32" s="67">
        <f>IF(ISNUMBER(tblY8[[#This Row],[Avg KS2]]),IFERROR(VLOOKUP(ROUND(STANDARDIZE(tblY8[[#This Row],[Avg KS2]],AVERAGE(tblY8[[Avg KS2]]),_xlfn.STDEV.P(tblY8[[Avg KS2]])),9),_Stanine,2),5),"")</f>
        <v>5</v>
      </c>
      <c r="J32" s="66" t="inlineStr">
        <is>
          <t>8A/Sc2</t>
        </is>
      </c>
      <c r="K32" s="67">
        <f>IF(tblY8[[#This Row],[Preferred Last name]]="","",COUNTIFS($N$1:$ZZ$1,"*"&amp;CHAR(10)&amp;"Stanine",$N32:$ZZ32,"&gt;=1"))</f>
        <v>5</v>
      </c>
      <c r="L32" s="68">
        <f>IFERROR(AVERAGEIF($N$1:$ZZ$1,"*"&amp;CHAR(10)&amp;"Stanine",$N32:$ZZ32),"")</f>
        <v>5.6</v>
      </c>
      <c r="M32" s="69">
        <f>IF(AND(ISNUMBER(tblY8[[#This Row],[Mean Stanine]]),ISNUMBER(tblY8[[#This Row],[Avg KS2 Band]]),ISNUMBER(SlopeY8)),tblY8[[#This Row],[Mean Stanine]]-(InterceptY8+SlopeY8*tblY8[[#This Row],[Avg KS2 Band]]),"")</f>
        <v>0.658141071857727</v>
      </c>
      <c r="N32" s="66" t="n">
        <v>22</v>
      </c>
      <c r="O32" s="67">
        <f>IF(ISNUMBER(tblY8[[#This Row],[8C01 - Periodic Table
Raw Score]]),IFERROR(VLOOKUP(ROUND(STANDARDIZE(tblY8[[#This Row],[8C01 - Periodic Table
Raw Score]],AVERAGE(tblY8[[8C01 - Periodic Table
Raw Score]]),_xlfn.STDEV.P(tblY8[[8C01 - Periodic Table
Raw Score]])),9),_Stanine,2),5),"")</f>
        <v>6</v>
      </c>
      <c r="P32" s="66" t="n">
        <v>14</v>
      </c>
      <c r="Q32" s="67">
        <f>IF(ISNUMBER(tblY8[[#This Row],[8P01 - Energy
Raw Score]]),IFERROR(VLOOKUP(ROUND(STANDARDIZE(tblY8[[#This Row],[8P01 - Energy
Raw Score]],AVERAGE(tblY8[[8P01 - Energy
Raw Score]]),_xlfn.STDEV.P(tblY8[[8P01 - Energy
Raw Score]])),9),_Stanine,2),5),"")</f>
        <v>6</v>
      </c>
      <c r="R32" s="66" t="n">
        <v>16</v>
      </c>
      <c r="S32" s="67">
        <f>IF(ISNUMBER(tblY8[[#This Row],[8B01 - Digestion
Raw Score]]),IFERROR(VLOOKUP(ROUND(STANDARDIZE(tblY8[[#This Row],[8B01 - Digestion
Raw Score]],AVERAGE(tblY8[[8B01 - Digestion
Raw Score]]),_xlfn.STDEV.P(tblY8[[8B01 - Digestion
Raw Score]])),9),_Stanine,2),5),"")</f>
        <v>6</v>
      </c>
      <c r="T32" s="66" t="n">
        <v>12</v>
      </c>
      <c r="U32" s="67">
        <f>IF(ISNUMBER(tblY8[[#This Row],[8C02 - Metals and Acids
Raw Score]]),IFERROR(VLOOKUP(ROUND(STANDARDIZE(tblY8[[#This Row],[8C02 - Metals and Acids
Raw Score]],AVERAGE(tblY8[[8C02 - Metals and Acids
Raw Score]]),_xlfn.STDEV.P(tblY8[[8C02 - Metals and Acids
Raw Score]])),9),_Stanine,2),5),"")</f>
        <v>5</v>
      </c>
      <c r="V32" s="66" t="n">
        <v>16</v>
      </c>
      <c r="W32" s="67">
        <f>IF(ISNUMBER(tblY8[[#This Row],[8P02 - Light
Raw Score]]),IFERROR(VLOOKUP(ROUND(STANDARDIZE(tblY8[[#This Row],[8P02 - Light
Raw Score]],AVERAGE(tblY8[[8P02 - Light
Raw Score]]),_xlfn.STDEV.P(tblY8[[8P02 - Light
Raw Score]])),9),_Stanine,2),5),"")</f>
        <v>5</v>
      </c>
    </row>
    <row r="33">
      <c r="A33" s="65" t="inlineStr">
        <is>
          <t>X903941689298</t>
        </is>
      </c>
      <c r="B33" s="65" t="inlineStr">
        <is>
          <t>Davies</t>
        </is>
      </c>
      <c r="C33" s="65" t="inlineStr">
        <is>
          <t>Arjun</t>
        </is>
      </c>
      <c r="D33" s="66" t="inlineStr">
        <is>
          <t>F</t>
        </is>
      </c>
      <c r="E33" s="66" t="inlineStr">
        <is>
          <t>N</t>
        </is>
      </c>
      <c r="F33" s="66" t="inlineStr">
        <is>
          <t>Y</t>
        </is>
      </c>
      <c r="G33" s="34" t="n">
        <v>86.3</v>
      </c>
      <c r="H33" s="34" t="n">
        <v>102</v>
      </c>
      <c r="I33" s="67">
        <f>IF(ISNUMBER(tblY8[[#This Row],[Avg KS2]]),IFERROR(VLOOKUP(ROUND(STANDARDIZE(tblY8[[#This Row],[Avg KS2]],AVERAGE(tblY8[[Avg KS2]]),_xlfn.STDEV.P(tblY8[[Avg KS2]])),9),_Stanine,2),5),"")</f>
        <v>4</v>
      </c>
      <c r="J33" s="66" t="inlineStr">
        <is>
          <t>8A/Sc2</t>
        </is>
      </c>
      <c r="K33" s="67">
        <f>IF(tblY8[[#This Row],[Preferred Last name]]="","",COUNTIFS($N$1:$ZZ$1,"*"&amp;CHAR(10)&amp;"Stanine",$N33:$ZZ33,"&gt;=1"))</f>
        <v>5</v>
      </c>
      <c r="L33" s="68">
        <f>IFERROR(AVERAGEIF($N$1:$ZZ$1,"*"&amp;CHAR(10)&amp;"Stanine",$N33:$ZZ33),"")</f>
        <v>4.8</v>
      </c>
      <c r="M33" s="69">
        <f>IF(AND(ISNUMBER(tblY8[[#This Row],[Mean Stanine]]),ISNUMBER(tblY8[[#This Row],[Avg KS2 Band]]),ISNUMBER(SlopeY8)),tblY8[[#This Row],[Mean Stanine]]-(InterceptY8+SlopeY8*tblY8[[#This Row],[Avg KS2 Band]]),"")</f>
        <v>0.637052391252102</v>
      </c>
      <c r="N33" s="66" t="n">
        <v>17</v>
      </c>
      <c r="O33" s="67">
        <f>IF(ISNUMBER(tblY8[[#This Row],[8C01 - Periodic Table
Raw Score]]),IFERROR(VLOOKUP(ROUND(STANDARDIZE(tblY8[[#This Row],[8C01 - Periodic Table
Raw Score]],AVERAGE(tblY8[[8C01 - Periodic Table
Raw Score]]),_xlfn.STDEV.P(tblY8[[8C01 - Periodic Table
Raw Score]])),9),_Stanine,2),5),"")</f>
        <v>5</v>
      </c>
      <c r="P33" s="66" t="n">
        <v>10</v>
      </c>
      <c r="Q33" s="67">
        <f>IF(ISNUMBER(tblY8[[#This Row],[8P01 - Energy
Raw Score]]),IFERROR(VLOOKUP(ROUND(STANDARDIZE(tblY8[[#This Row],[8P01 - Energy
Raw Score]],AVERAGE(tblY8[[8P01 - Energy
Raw Score]]),_xlfn.STDEV.P(tblY8[[8P01 - Energy
Raw Score]])),9),_Stanine,2),5),"")</f>
        <v>5</v>
      </c>
      <c r="R33" s="66" t="n">
        <v>15</v>
      </c>
      <c r="S33" s="67">
        <f>IF(ISNUMBER(tblY8[[#This Row],[8B01 - Digestion
Raw Score]]),IFERROR(VLOOKUP(ROUND(STANDARDIZE(tblY8[[#This Row],[8B01 - Digestion
Raw Score]],AVERAGE(tblY8[[8B01 - Digestion
Raw Score]]),_xlfn.STDEV.P(tblY8[[8B01 - Digestion
Raw Score]])),9),_Stanine,2),5),"")</f>
        <v>5</v>
      </c>
      <c r="T33" s="66" t="n">
        <v>14</v>
      </c>
      <c r="U33" s="67">
        <f>IF(ISNUMBER(tblY8[[#This Row],[8C02 - Metals and Acids
Raw Score]]),IFERROR(VLOOKUP(ROUND(STANDARDIZE(tblY8[[#This Row],[8C02 - Metals and Acids
Raw Score]],AVERAGE(tblY8[[8C02 - Metals and Acids
Raw Score]]),_xlfn.STDEV.P(tblY8[[8C02 - Metals and Acids
Raw Score]])),9),_Stanine,2),5),"")</f>
        <v>6</v>
      </c>
      <c r="V33" s="66" t="n">
        <v>11</v>
      </c>
      <c r="W33" s="67">
        <f>IF(ISNUMBER(tblY8[[#This Row],[8P02 - Light
Raw Score]]),IFERROR(VLOOKUP(ROUND(STANDARDIZE(tblY8[[#This Row],[8P02 - Light
Raw Score]],AVERAGE(tblY8[[8P02 - Light
Raw Score]]),_xlfn.STDEV.P(tblY8[[8P02 - Light
Raw Score]])),9),_Stanine,2),5),"")</f>
        <v>3</v>
      </c>
    </row>
    <row r="34">
      <c r="A34" s="65" t="inlineStr">
        <is>
          <t>X901503034555</t>
        </is>
      </c>
      <c r="B34" s="65" t="inlineStr">
        <is>
          <t>Fletcher</t>
        </is>
      </c>
      <c r="C34" s="65" t="inlineStr">
        <is>
          <t>Noah</t>
        </is>
      </c>
      <c r="D34" s="66" t="inlineStr">
        <is>
          <t>M</t>
        </is>
      </c>
      <c r="E34" s="66" t="n"/>
      <c r="F34" s="66" t="inlineStr">
        <is>
          <t>N</t>
        </is>
      </c>
      <c r="G34" s="34" t="n">
        <v>95.59999999999999</v>
      </c>
      <c r="H34" s="34" t="n">
        <v>106</v>
      </c>
      <c r="I34" s="67">
        <f>IF(ISNUMBER(tblY8[[#This Row],[Avg KS2]]),IFERROR(VLOOKUP(ROUND(STANDARDIZE(tblY8[[#This Row],[Avg KS2]],AVERAGE(tblY8[[Avg KS2]]),_xlfn.STDEV.P(tblY8[[Avg KS2]])),9),_Stanine,2),5),"")</f>
        <v>5</v>
      </c>
      <c r="J34" s="66" t="inlineStr">
        <is>
          <t>8A/Sc2</t>
        </is>
      </c>
      <c r="K34" s="67">
        <f>IF(tblY8[[#This Row],[Preferred Last name]]="","",COUNTIFS($N$1:$ZZ$1,"*"&amp;CHAR(10)&amp;"Stanine",$N34:$ZZ34,"&gt;=1"))</f>
        <v>4</v>
      </c>
      <c r="L34" s="68">
        <f>IFERROR(AVERAGEIF($N$1:$ZZ$1,"*"&amp;CHAR(10)&amp;"Stanine",$N34:$ZZ34),"")</f>
        <v>7.25</v>
      </c>
      <c r="M34" s="69">
        <f>IF(AND(ISNUMBER(tblY8[[#This Row],[Mean Stanine]]),ISNUMBER(tblY8[[#This Row],[Avg KS2 Band]]),ISNUMBER(SlopeY8)),tblY8[[#This Row],[Mean Stanine]]-(InterceptY8+SlopeY8*tblY8[[#This Row],[Avg KS2 Band]]),"")</f>
        <v>2.30814107185773</v>
      </c>
      <c r="N34" s="66" t="n">
        <v>23</v>
      </c>
      <c r="O34" s="67">
        <f>IF(ISNUMBER(tblY8[[#This Row],[8C01 - Periodic Table
Raw Score]]),IFERROR(VLOOKUP(ROUND(STANDARDIZE(tblY8[[#This Row],[8C01 - Periodic Table
Raw Score]],AVERAGE(tblY8[[8C01 - Periodic Table
Raw Score]]),_xlfn.STDEV.P(tblY8[[8C01 - Periodic Table
Raw Score]])),9),_Stanine,2),5),"")</f>
        <v>7</v>
      </c>
      <c r="P34" s="66" t="n">
        <v>16</v>
      </c>
      <c r="Q34" s="67">
        <f>IF(ISNUMBER(tblY8[[#This Row],[8P01 - Energy
Raw Score]]),IFERROR(VLOOKUP(ROUND(STANDARDIZE(tblY8[[#This Row],[8P01 - Energy
Raw Score]],AVERAGE(tblY8[[8P01 - Energy
Raw Score]]),_xlfn.STDEV.P(tblY8[[8P01 - Energy
Raw Score]])),9),_Stanine,2),5),"")</f>
        <v>7</v>
      </c>
      <c r="R34" s="66" t="n">
        <v>23</v>
      </c>
      <c r="S34" s="67">
        <f>IF(ISNUMBER(tblY8[[#This Row],[8B01 - Digestion
Raw Score]]),IFERROR(VLOOKUP(ROUND(STANDARDIZE(tblY8[[#This Row],[8B01 - Digestion
Raw Score]],AVERAGE(tblY8[[8B01 - Digestion
Raw Score]]),_xlfn.STDEV.P(tblY8[[8B01 - Digestion
Raw Score]])),9),_Stanine,2),5),"")</f>
        <v>8</v>
      </c>
      <c r="T34" s="66" t="n">
        <v>16</v>
      </c>
      <c r="U34" s="67">
        <f>IF(ISNUMBER(tblY8[[#This Row],[8C02 - Metals and Acids
Raw Score]]),IFERROR(VLOOKUP(ROUND(STANDARDIZE(tblY8[[#This Row],[8C02 - Metals and Acids
Raw Score]],AVERAGE(tblY8[[8C02 - Metals and Acids
Raw Score]]),_xlfn.STDEV.P(tblY8[[8C02 - Metals and Acids
Raw Score]])),9),_Stanine,2),5),"")</f>
        <v>7</v>
      </c>
      <c r="V34" s="66" t="inlineStr">
        <is>
          <t>A</t>
        </is>
      </c>
      <c r="W34" s="67" t="str">
        <f>IF(ISNUMBER(tblY8[[#This Row],[8P02 - Light
Raw Score]]),IFERROR(VLOOKUP(ROUND(STANDARDIZE(tblY8[[#This Row],[8P02 - Light
Raw Score]],AVERAGE(tblY8[[8P02 - Light
Raw Score]]),_xlfn.STDEV.P(tblY8[[8P02 - Light
Raw Score]])),9),_Stanine,2),5),"")</f>
        <v/>
      </c>
    </row>
    <row r="35">
      <c r="A35" s="65" t="inlineStr">
        <is>
          <t>X901697649052</t>
        </is>
      </c>
      <c r="B35" s="65" t="inlineStr">
        <is>
          <t>Fletcher</t>
        </is>
      </c>
      <c r="C35" s="65" t="inlineStr">
        <is>
          <t>Rosie</t>
        </is>
      </c>
      <c r="D35" s="66" t="inlineStr">
        <is>
          <t>F</t>
        </is>
      </c>
      <c r="E35" s="66" t="inlineStr">
        <is>
          <t>N</t>
        </is>
      </c>
      <c r="F35" s="66" t="inlineStr">
        <is>
          <t>N</t>
        </is>
      </c>
      <c r="G35" s="34" t="n">
        <v>98.2</v>
      </c>
      <c r="H35" s="34" t="n">
        <v>109.5</v>
      </c>
      <c r="I35" s="67">
        <f>IF(ISNUMBER(tblY8[[#This Row],[Avg KS2]]),IFERROR(VLOOKUP(ROUND(STANDARDIZE(tblY8[[#This Row],[Avg KS2]],AVERAGE(tblY8[[Avg KS2]]),_xlfn.STDEV.P(tblY8[[Avg KS2]])),9),_Stanine,2),5),"")</f>
        <v>7</v>
      </c>
      <c r="J35" s="66" t="inlineStr">
        <is>
          <t>8A/Sc2</t>
        </is>
      </c>
      <c r="K35" s="67">
        <f>IF(tblY8[[#This Row],[Preferred Last name]]="","",COUNTIFS($N$1:$ZZ$1,"*"&amp;CHAR(10)&amp;"Stanine",$N35:$ZZ35,"&gt;=1"))</f>
        <v>5</v>
      </c>
      <c r="L35" s="68">
        <f>IFERROR(AVERAGEIF($N$1:$ZZ$1,"*"&amp;CHAR(10)&amp;"Stanine",$N35:$ZZ35),"")</f>
        <v>8</v>
      </c>
      <c r="M35" s="69">
        <f>IF(AND(ISNUMBER(tblY8[[#This Row],[Mean Stanine]]),ISNUMBER(tblY8[[#This Row],[Avg KS2 Band]]),ISNUMBER(SlopeY8)),tblY8[[#This Row],[Mean Stanine]]-(InterceptY8+SlopeY8*tblY8[[#This Row],[Avg KS2 Band]]),"")</f>
        <v>1.50031843306897</v>
      </c>
      <c r="N35" s="66" t="n">
        <v>27</v>
      </c>
      <c r="O35" s="67">
        <f>IF(ISNUMBER(tblY8[[#This Row],[8C01 - Periodic Table
Raw Score]]),IFERROR(VLOOKUP(ROUND(STANDARDIZE(tblY8[[#This Row],[8C01 - Periodic Table
Raw Score]],AVERAGE(tblY8[[8C01 - Periodic Table
Raw Score]]),_xlfn.STDEV.P(tblY8[[8C01 - Periodic Table
Raw Score]])),9),_Stanine,2),5),"")</f>
        <v>8</v>
      </c>
      <c r="P35" s="66" t="n">
        <v>19</v>
      </c>
      <c r="Q35" s="67">
        <f>IF(ISNUMBER(tblY8[[#This Row],[8P01 - Energy
Raw Score]]),IFERROR(VLOOKUP(ROUND(STANDARDIZE(tblY8[[#This Row],[8P01 - Energy
Raw Score]],AVERAGE(tblY8[[8P01 - Energy
Raw Score]]),_xlfn.STDEV.P(tblY8[[8P01 - Energy
Raw Score]])),9),_Stanine,2),5),"")</f>
        <v>8</v>
      </c>
      <c r="R35" s="66" t="n">
        <v>25</v>
      </c>
      <c r="S35" s="67">
        <f>IF(ISNUMBER(tblY8[[#This Row],[8B01 - Digestion
Raw Score]]),IFERROR(VLOOKUP(ROUND(STANDARDIZE(tblY8[[#This Row],[8B01 - Digestion
Raw Score]],AVERAGE(tblY8[[8B01 - Digestion
Raw Score]]),_xlfn.STDEV.P(tblY8[[8B01 - Digestion
Raw Score]])),9),_Stanine,2),5),"")</f>
        <v>9</v>
      </c>
      <c r="T35" s="66" t="n">
        <v>18</v>
      </c>
      <c r="U35" s="67">
        <f>IF(ISNUMBER(tblY8[[#This Row],[8C02 - Metals and Acids
Raw Score]]),IFERROR(VLOOKUP(ROUND(STANDARDIZE(tblY8[[#This Row],[8C02 - Metals and Acids
Raw Score]],AVERAGE(tblY8[[8C02 - Metals and Acids
Raw Score]]),_xlfn.STDEV.P(tblY8[[8C02 - Metals and Acids
Raw Score]])),9),_Stanine,2),5),"")</f>
        <v>7</v>
      </c>
      <c r="V35" s="66" t="n">
        <v>21</v>
      </c>
      <c r="W35" s="67">
        <f>IF(ISNUMBER(tblY8[[#This Row],[8P02 - Light
Raw Score]]),IFERROR(VLOOKUP(ROUND(STANDARDIZE(tblY8[[#This Row],[8P02 - Light
Raw Score]],AVERAGE(tblY8[[8P02 - Light
Raw Score]]),_xlfn.STDEV.P(tblY8[[8P02 - Light
Raw Score]])),9),_Stanine,2),5),"")</f>
        <v>8</v>
      </c>
    </row>
    <row r="36">
      <c r="A36" s="65" t="inlineStr">
        <is>
          <t>X909752290917</t>
        </is>
      </c>
      <c r="B36" s="65" t="inlineStr">
        <is>
          <t>Green</t>
        </is>
      </c>
      <c r="C36" s="65" t="inlineStr">
        <is>
          <t>Keira</t>
        </is>
      </c>
      <c r="D36" s="66" t="inlineStr">
        <is>
          <t>F</t>
        </is>
      </c>
      <c r="E36" s="66" t="inlineStr">
        <is>
          <t>K</t>
        </is>
      </c>
      <c r="F36" s="66" t="inlineStr">
        <is>
          <t>N</t>
        </is>
      </c>
      <c r="G36" s="34" t="n">
        <v>94.3</v>
      </c>
      <c r="H36" s="34" t="n">
        <v>110</v>
      </c>
      <c r="I36" s="67">
        <f>IF(ISNUMBER(tblY8[[#This Row],[Avg KS2]]),IFERROR(VLOOKUP(ROUND(STANDARDIZE(tblY8[[#This Row],[Avg KS2]],AVERAGE(tblY8[[Avg KS2]]),_xlfn.STDEV.P(tblY8[[Avg KS2]])),9),_Stanine,2),5),"")</f>
        <v>7</v>
      </c>
      <c r="J36" s="66" t="inlineStr">
        <is>
          <t>8A/Sc2</t>
        </is>
      </c>
      <c r="K36" s="67">
        <f>IF(tblY8[[#This Row],[Preferred Last name]]="","",COUNTIFS($N$1:$ZZ$1,"*"&amp;CHAR(10)&amp;"Stanine",$N36:$ZZ36,"&gt;=1"))</f>
        <v>5</v>
      </c>
      <c r="L36" s="68">
        <f>IFERROR(AVERAGEIF($N$1:$ZZ$1,"*"&amp;CHAR(10)&amp;"Stanine",$N36:$ZZ36),"")</f>
        <v>4.8</v>
      </c>
      <c r="M36" s="69">
        <f>IF(AND(ISNUMBER(tblY8[[#This Row],[Mean Stanine]]),ISNUMBER(tblY8[[#This Row],[Avg KS2 Band]]),ISNUMBER(SlopeY8)),tblY8[[#This Row],[Mean Stanine]]-(InterceptY8+SlopeY8*tblY8[[#This Row],[Avg KS2 Band]]),"")</f>
        <v>-1.69968156693103</v>
      </c>
      <c r="N36" s="66" t="n">
        <v>16</v>
      </c>
      <c r="O36" s="67">
        <f>IF(ISNUMBER(tblY8[[#This Row],[8C01 - Periodic Table
Raw Score]]),IFERROR(VLOOKUP(ROUND(STANDARDIZE(tblY8[[#This Row],[8C01 - Periodic Table
Raw Score]],AVERAGE(tblY8[[8C01 - Periodic Table
Raw Score]]),_xlfn.STDEV.P(tblY8[[8C01 - Periodic Table
Raw Score]])),9),_Stanine,2),5),"")</f>
        <v>4</v>
      </c>
      <c r="P36" s="66" t="n">
        <v>11</v>
      </c>
      <c r="Q36" s="67">
        <f>IF(ISNUMBER(tblY8[[#This Row],[8P01 - Energy
Raw Score]]),IFERROR(VLOOKUP(ROUND(STANDARDIZE(tblY8[[#This Row],[8P01 - Energy
Raw Score]],AVERAGE(tblY8[[8P01 - Energy
Raw Score]]),_xlfn.STDEV.P(tblY8[[8P01 - Energy
Raw Score]])),9),_Stanine,2),5),"")</f>
        <v>5</v>
      </c>
      <c r="R36" s="66" t="n">
        <v>12</v>
      </c>
      <c r="S36" s="67">
        <f>IF(ISNUMBER(tblY8[[#This Row],[8B01 - Digestion
Raw Score]]),IFERROR(VLOOKUP(ROUND(STANDARDIZE(tblY8[[#This Row],[8B01 - Digestion
Raw Score]],AVERAGE(tblY8[[8B01 - Digestion
Raw Score]]),_xlfn.STDEV.P(tblY8[[8B01 - Digestion
Raw Score]])),9),_Stanine,2),5),"")</f>
        <v>4</v>
      </c>
      <c r="T36" s="66" t="n">
        <v>14</v>
      </c>
      <c r="U36" s="67">
        <f>IF(ISNUMBER(tblY8[[#This Row],[8C02 - Metals and Acids
Raw Score]]),IFERROR(VLOOKUP(ROUND(STANDARDIZE(tblY8[[#This Row],[8C02 - Metals and Acids
Raw Score]],AVERAGE(tblY8[[8C02 - Metals and Acids
Raw Score]]),_xlfn.STDEV.P(tblY8[[8C02 - Metals and Acids
Raw Score]])),9),_Stanine,2),5),"")</f>
        <v>6</v>
      </c>
      <c r="V36" s="66" t="n">
        <v>15</v>
      </c>
      <c r="W36" s="67">
        <f>IF(ISNUMBER(tblY8[[#This Row],[8P02 - Light
Raw Score]]),IFERROR(VLOOKUP(ROUND(STANDARDIZE(tblY8[[#This Row],[8P02 - Light
Raw Score]],AVERAGE(tblY8[[8P02 - Light
Raw Score]]),_xlfn.STDEV.P(tblY8[[8P02 - Light
Raw Score]])),9),_Stanine,2),5),"")</f>
        <v>5</v>
      </c>
    </row>
    <row r="37">
      <c r="A37" s="65" t="inlineStr">
        <is>
          <t>X904857958786</t>
        </is>
      </c>
      <c r="B37" s="65" t="inlineStr">
        <is>
          <t>Griffiths</t>
        </is>
      </c>
      <c r="C37" s="65" t="inlineStr">
        <is>
          <t>Arthur</t>
        </is>
      </c>
      <c r="D37" s="66" t="inlineStr">
        <is>
          <t>M</t>
        </is>
      </c>
      <c r="E37" s="66" t="n"/>
      <c r="F37" s="66" t="inlineStr">
        <is>
          <t>Y</t>
        </is>
      </c>
      <c r="G37" s="34" t="n">
        <v>100</v>
      </c>
      <c r="H37" s="34" t="n">
        <v>113</v>
      </c>
      <c r="I37" s="67">
        <f>IF(ISNUMBER(tblY8[[#This Row],[Avg KS2]]),IFERROR(VLOOKUP(ROUND(STANDARDIZE(tblY8[[#This Row],[Avg KS2]],AVERAGE(tblY8[[Avg KS2]]),_xlfn.STDEV.P(tblY8[[Avg KS2]])),9),_Stanine,2),5),"")</f>
        <v>8</v>
      </c>
      <c r="J37" s="66" t="inlineStr">
        <is>
          <t>8A/Sc2</t>
        </is>
      </c>
      <c r="K37" s="67">
        <f>IF(tblY8[[#This Row],[Preferred Last name]]="","",COUNTIFS($N$1:$ZZ$1,"*"&amp;CHAR(10)&amp;"Stanine",$N37:$ZZ37,"&gt;=1"))</f>
        <v>5</v>
      </c>
      <c r="L37" s="68">
        <f>IFERROR(AVERAGEIF($N$1:$ZZ$1,"*"&amp;CHAR(10)&amp;"Stanine",$N37:$ZZ37),"")</f>
        <v>6.8</v>
      </c>
      <c r="M37" s="69">
        <f>IF(AND(ISNUMBER(tblY8[[#This Row],[Mean Stanine]]),ISNUMBER(tblY8[[#This Row],[Avg KS2 Band]]),ISNUMBER(SlopeY8)),tblY8[[#This Row],[Mean Stanine]]-(InterceptY8+SlopeY8*tblY8[[#This Row],[Avg KS2 Band]]),"")</f>
        <v>-0.478592886325402</v>
      </c>
      <c r="N37" s="66" t="n">
        <v>23</v>
      </c>
      <c r="O37" s="67">
        <f>IF(ISNUMBER(tblY8[[#This Row],[8C01 - Periodic Table
Raw Score]]),IFERROR(VLOOKUP(ROUND(STANDARDIZE(tblY8[[#This Row],[8C01 - Periodic Table
Raw Score]],AVERAGE(tblY8[[8C01 - Periodic Table
Raw Score]]),_xlfn.STDEV.P(tblY8[[8C01 - Periodic Table
Raw Score]])),9),_Stanine,2),5),"")</f>
        <v>7</v>
      </c>
      <c r="P37" s="66" t="n">
        <v>18</v>
      </c>
      <c r="Q37" s="67">
        <f>IF(ISNUMBER(tblY8[[#This Row],[8P01 - Energy
Raw Score]]),IFERROR(VLOOKUP(ROUND(STANDARDIZE(tblY8[[#This Row],[8P01 - Energy
Raw Score]],AVERAGE(tblY8[[8P01 - Energy
Raw Score]]),_xlfn.STDEV.P(tblY8[[8P01 - Energy
Raw Score]])),9),_Stanine,2),5),"")</f>
        <v>8</v>
      </c>
      <c r="R37" s="66" t="n">
        <v>20</v>
      </c>
      <c r="S37" s="67">
        <f>IF(ISNUMBER(tblY8[[#This Row],[8B01 - Digestion
Raw Score]]),IFERROR(VLOOKUP(ROUND(STANDARDIZE(tblY8[[#This Row],[8B01 - Digestion
Raw Score]],AVERAGE(tblY8[[8B01 - Digestion
Raw Score]]),_xlfn.STDEV.P(tblY8[[8B01 - Digestion
Raw Score]])),9),_Stanine,2),5),"")</f>
        <v>7</v>
      </c>
      <c r="T37" s="66" t="n">
        <v>14</v>
      </c>
      <c r="U37" s="67">
        <f>IF(ISNUMBER(tblY8[[#This Row],[8C02 - Metals and Acids
Raw Score]]),IFERROR(VLOOKUP(ROUND(STANDARDIZE(tblY8[[#This Row],[8C02 - Metals and Acids
Raw Score]],AVERAGE(tblY8[[8C02 - Metals and Acids
Raw Score]]),_xlfn.STDEV.P(tblY8[[8C02 - Metals and Acids
Raw Score]])),9),_Stanine,2),5),"")</f>
        <v>6</v>
      </c>
      <c r="V37" s="66" t="n">
        <v>18</v>
      </c>
      <c r="W37" s="67">
        <f>IF(ISNUMBER(tblY8[[#This Row],[8P02 - Light
Raw Score]]),IFERROR(VLOOKUP(ROUND(STANDARDIZE(tblY8[[#This Row],[8P02 - Light
Raw Score]],AVERAGE(tblY8[[8P02 - Light
Raw Score]]),_xlfn.STDEV.P(tblY8[[8P02 - Light
Raw Score]])),9),_Stanine,2),5),"")</f>
        <v>6</v>
      </c>
    </row>
    <row r="38">
      <c r="A38" s="65" t="inlineStr">
        <is>
          <t>X903185482309</t>
        </is>
      </c>
      <c r="B38" s="65" t="inlineStr">
        <is>
          <t>Hall</t>
        </is>
      </c>
      <c r="C38" s="65" t="inlineStr">
        <is>
          <t>Callum</t>
        </is>
      </c>
      <c r="D38" s="66" t="inlineStr">
        <is>
          <t>M</t>
        </is>
      </c>
      <c r="E38" s="66" t="n"/>
      <c r="F38" s="66" t="inlineStr">
        <is>
          <t>N</t>
        </is>
      </c>
      <c r="G38" s="34" t="n">
        <v>100</v>
      </c>
      <c r="H38" s="34" t="n">
        <v>106</v>
      </c>
      <c r="I38" s="67">
        <f>IF(ISNUMBER(tblY8[[#This Row],[Avg KS2]]),IFERROR(VLOOKUP(ROUND(STANDARDIZE(tblY8[[#This Row],[Avg KS2]],AVERAGE(tblY8[[Avg KS2]]),_xlfn.STDEV.P(tblY8[[Avg KS2]])),9),_Stanine,2),5),"")</f>
        <v>5</v>
      </c>
      <c r="J38" s="66" t="inlineStr">
        <is>
          <t>8A/Sc2</t>
        </is>
      </c>
      <c r="K38" s="67">
        <f>IF(tblY8[[#This Row],[Preferred Last name]]="","",COUNTIFS($N$1:$ZZ$1,"*"&amp;CHAR(10)&amp;"Stanine",$N38:$ZZ38,"&gt;=1"))</f>
        <v>5</v>
      </c>
      <c r="L38" s="68">
        <f>IFERROR(AVERAGEIF($N$1:$ZZ$1,"*"&amp;CHAR(10)&amp;"Stanine",$N38:$ZZ38),"")</f>
        <v>6.4</v>
      </c>
      <c r="M38" s="69">
        <f>IF(AND(ISNUMBER(tblY8[[#This Row],[Mean Stanine]]),ISNUMBER(tblY8[[#This Row],[Avg KS2 Band]]),ISNUMBER(SlopeY8)),tblY8[[#This Row],[Mean Stanine]]-(InterceptY8+SlopeY8*tblY8[[#This Row],[Avg KS2 Band]]),"")</f>
        <v>1.45814107185773</v>
      </c>
      <c r="N38" s="66" t="n">
        <v>23</v>
      </c>
      <c r="O38" s="67">
        <f>IF(ISNUMBER(tblY8[[#This Row],[8C01 - Periodic Table
Raw Score]]),IFERROR(VLOOKUP(ROUND(STANDARDIZE(tblY8[[#This Row],[8C01 - Periodic Table
Raw Score]],AVERAGE(tblY8[[8C01 - Periodic Table
Raw Score]]),_xlfn.STDEV.P(tblY8[[8C01 - Periodic Table
Raw Score]])),9),_Stanine,2),5),"")</f>
        <v>7</v>
      </c>
      <c r="P38" s="66" t="n">
        <v>11</v>
      </c>
      <c r="Q38" s="67">
        <f>IF(ISNUMBER(tblY8[[#This Row],[8P01 - Energy
Raw Score]]),IFERROR(VLOOKUP(ROUND(STANDARDIZE(tblY8[[#This Row],[8P01 - Energy
Raw Score]],AVERAGE(tblY8[[8P01 - Energy
Raw Score]]),_xlfn.STDEV.P(tblY8[[8P01 - Energy
Raw Score]])),9),_Stanine,2),5),"")</f>
        <v>5</v>
      </c>
      <c r="R38" s="66" t="n">
        <v>22</v>
      </c>
      <c r="S38" s="67">
        <f>IF(ISNUMBER(tblY8[[#This Row],[8B01 - Digestion
Raw Score]]),IFERROR(VLOOKUP(ROUND(STANDARDIZE(tblY8[[#This Row],[8B01 - Digestion
Raw Score]],AVERAGE(tblY8[[8B01 - Digestion
Raw Score]]),_xlfn.STDEV.P(tblY8[[8B01 - Digestion
Raw Score]])),9),_Stanine,2),5),"")</f>
        <v>8</v>
      </c>
      <c r="T38" s="66" t="n">
        <v>16</v>
      </c>
      <c r="U38" s="67">
        <f>IF(ISNUMBER(tblY8[[#This Row],[8C02 - Metals and Acids
Raw Score]]),IFERROR(VLOOKUP(ROUND(STANDARDIZE(tblY8[[#This Row],[8C02 - Metals and Acids
Raw Score]],AVERAGE(tblY8[[8C02 - Metals and Acids
Raw Score]]),_xlfn.STDEV.P(tblY8[[8C02 - Metals and Acids
Raw Score]])),9),_Stanine,2),5),"")</f>
        <v>7</v>
      </c>
      <c r="V38" s="66" t="n">
        <v>15</v>
      </c>
      <c r="W38" s="67">
        <f>IF(ISNUMBER(tblY8[[#This Row],[8P02 - Light
Raw Score]]),IFERROR(VLOOKUP(ROUND(STANDARDIZE(tblY8[[#This Row],[8P02 - Light
Raw Score]],AVERAGE(tblY8[[8P02 - Light
Raw Score]]),_xlfn.STDEV.P(tblY8[[8P02 - Light
Raw Score]])),9),_Stanine,2),5),"")</f>
        <v>5</v>
      </c>
    </row>
    <row r="39">
      <c r="A39" s="65" t="inlineStr">
        <is>
          <t>X901792546778</t>
        </is>
      </c>
      <c r="B39" s="65" t="inlineStr">
        <is>
          <t>Hall</t>
        </is>
      </c>
      <c r="C39" s="65" t="inlineStr">
        <is>
          <t>Muhammad</t>
        </is>
      </c>
      <c r="D39" s="66" t="inlineStr">
        <is>
          <t>F</t>
        </is>
      </c>
      <c r="E39" s="66" t="inlineStr">
        <is>
          <t>K</t>
        </is>
      </c>
      <c r="F39" s="66" t="inlineStr">
        <is>
          <t>N</t>
        </is>
      </c>
      <c r="G39" s="34" t="n">
        <v>100</v>
      </c>
      <c r="H39" s="34" t="n">
        <v>107.5</v>
      </c>
      <c r="I39" s="67">
        <f>IF(ISNUMBER(tblY8[[#This Row],[Avg KS2]]),IFERROR(VLOOKUP(ROUND(STANDARDIZE(tblY8[[#This Row],[Avg KS2]],AVERAGE(tblY8[[Avg KS2]]),_xlfn.STDEV.P(tblY8[[Avg KS2]])),9),_Stanine,2),5),"")</f>
        <v>6</v>
      </c>
      <c r="J39" s="66" t="inlineStr">
        <is>
          <t>8A/Sc2</t>
        </is>
      </c>
      <c r="K39" s="67">
        <f>IF(tblY8[[#This Row],[Preferred Last name]]="","",COUNTIFS($N$1:$ZZ$1,"*"&amp;CHAR(10)&amp;"Stanine",$N39:$ZZ39,"&gt;=1"))</f>
        <v>5</v>
      </c>
      <c r="L39" s="68">
        <f>IFERROR(AVERAGEIF($N$1:$ZZ$1,"*"&amp;CHAR(10)&amp;"Stanine",$N39:$ZZ39),"")</f>
        <v>6.2</v>
      </c>
      <c r="M39" s="69">
        <f>IF(AND(ISNUMBER(tblY8[[#This Row],[Mean Stanine]]),ISNUMBER(tblY8[[#This Row],[Avg KS2 Band]]),ISNUMBER(SlopeY8)),tblY8[[#This Row],[Mean Stanine]]-(InterceptY8+SlopeY8*tblY8[[#This Row],[Avg KS2 Band]]),"")</f>
        <v>0.47922975246335</v>
      </c>
      <c r="N39" s="66" t="n">
        <v>21</v>
      </c>
      <c r="O39" s="67">
        <f>IF(ISNUMBER(tblY8[[#This Row],[8C01 - Periodic Table
Raw Score]]),IFERROR(VLOOKUP(ROUND(STANDARDIZE(tblY8[[#This Row],[8C01 - Periodic Table
Raw Score]],AVERAGE(tblY8[[8C01 - Periodic Table
Raw Score]]),_xlfn.STDEV.P(tblY8[[8C01 - Periodic Table
Raw Score]])),9),_Stanine,2),5),"")</f>
        <v>6</v>
      </c>
      <c r="P39" s="66" t="n">
        <v>16</v>
      </c>
      <c r="Q39" s="67">
        <f>IF(ISNUMBER(tblY8[[#This Row],[8P01 - Energy
Raw Score]]),IFERROR(VLOOKUP(ROUND(STANDARDIZE(tblY8[[#This Row],[8P01 - Energy
Raw Score]],AVERAGE(tblY8[[8P01 - Energy
Raw Score]]),_xlfn.STDEV.P(tblY8[[8P01 - Energy
Raw Score]])),9),_Stanine,2),5),"")</f>
        <v>7</v>
      </c>
      <c r="R39" s="66" t="n">
        <v>19</v>
      </c>
      <c r="S39" s="67">
        <f>IF(ISNUMBER(tblY8[[#This Row],[8B01 - Digestion
Raw Score]]),IFERROR(VLOOKUP(ROUND(STANDARDIZE(tblY8[[#This Row],[8B01 - Digestion
Raw Score]],AVERAGE(tblY8[[8B01 - Digestion
Raw Score]]),_xlfn.STDEV.P(tblY8[[8B01 - Digestion
Raw Score]])),9),_Stanine,2),5),"")</f>
        <v>7</v>
      </c>
      <c r="T39" s="66" t="n">
        <v>11</v>
      </c>
      <c r="U39" s="67">
        <f>IF(ISNUMBER(tblY8[[#This Row],[8C02 - Metals and Acids
Raw Score]]),IFERROR(VLOOKUP(ROUND(STANDARDIZE(tblY8[[#This Row],[8C02 - Metals and Acids
Raw Score]],AVERAGE(tblY8[[8C02 - Metals and Acids
Raw Score]]),_xlfn.STDEV.P(tblY8[[8C02 - Metals and Acids
Raw Score]])),9),_Stanine,2),5),"")</f>
        <v>5</v>
      </c>
      <c r="V39" s="66" t="n">
        <v>18</v>
      </c>
      <c r="W39" s="67">
        <f>IF(ISNUMBER(tblY8[[#This Row],[8P02 - Light
Raw Score]]),IFERROR(VLOOKUP(ROUND(STANDARDIZE(tblY8[[#This Row],[8P02 - Light
Raw Score]],AVERAGE(tblY8[[8P02 - Light
Raw Score]]),_xlfn.STDEV.P(tblY8[[8P02 - Light
Raw Score]])),9),_Stanine,2),5),"")</f>
        <v>6</v>
      </c>
    </row>
    <row r="40">
      <c r="A40" s="65" t="inlineStr">
        <is>
          <t>X901840811914</t>
        </is>
      </c>
      <c r="B40" s="65" t="inlineStr">
        <is>
          <t>Hall</t>
        </is>
      </c>
      <c r="C40" s="65" t="inlineStr">
        <is>
          <t>Noah</t>
        </is>
      </c>
      <c r="D40" s="66" t="inlineStr">
        <is>
          <t>M</t>
        </is>
      </c>
      <c r="E40" s="66" t="n"/>
      <c r="F40" s="66" t="inlineStr">
        <is>
          <t>Y</t>
        </is>
      </c>
      <c r="G40" s="34" t="n">
        <v>100</v>
      </c>
      <c r="H40" s="34" t="n">
        <v>97</v>
      </c>
      <c r="I40" s="67">
        <f>IF(ISNUMBER(tblY8[[#This Row],[Avg KS2]]),IFERROR(VLOOKUP(ROUND(STANDARDIZE(tblY8[[#This Row],[Avg KS2]],AVERAGE(tblY8[[Avg KS2]]),_xlfn.STDEV.P(tblY8[[Avg KS2]])),9),_Stanine,2),5),"")</f>
        <v>2</v>
      </c>
      <c r="J40" s="66" t="inlineStr">
        <is>
          <t>8A/Sc2</t>
        </is>
      </c>
      <c r="K40" s="67">
        <f>IF(tblY8[[#This Row],[Preferred Last name]]="","",COUNTIFS($N$1:$ZZ$1,"*"&amp;CHAR(10)&amp;"Stanine",$N40:$ZZ40,"&gt;=1"))</f>
        <v>5</v>
      </c>
      <c r="L40" s="68">
        <f>IFERROR(AVERAGEIF($N$1:$ZZ$1,"*"&amp;CHAR(10)&amp;"Stanine",$N40:$ZZ40),"")</f>
        <v>3.6</v>
      </c>
      <c r="M40" s="69">
        <f>IF(AND(ISNUMBER(tblY8[[#This Row],[Mean Stanine]]),ISNUMBER(tblY8[[#This Row],[Avg KS2 Band]]),ISNUMBER(SlopeY8)),tblY8[[#This Row],[Mean Stanine]]-(InterceptY8+SlopeY8*tblY8[[#This Row],[Avg KS2 Band]]),"")</f>
        <v>0.994875030040855</v>
      </c>
      <c r="N40" s="66" t="n">
        <v>14</v>
      </c>
      <c r="O40" s="67">
        <f>IF(ISNUMBER(tblY8[[#This Row],[8C01 - Periodic Table
Raw Score]]),IFERROR(VLOOKUP(ROUND(STANDARDIZE(tblY8[[#This Row],[8C01 - Periodic Table
Raw Score]],AVERAGE(tblY8[[8C01 - Periodic Table
Raw Score]]),_xlfn.STDEV.P(tblY8[[8C01 - Periodic Table
Raw Score]])),9),_Stanine,2),5),"")</f>
        <v>4</v>
      </c>
      <c r="P40" s="66" t="n">
        <v>7</v>
      </c>
      <c r="Q40" s="67">
        <f>IF(ISNUMBER(tblY8[[#This Row],[8P01 - Energy
Raw Score]]),IFERROR(VLOOKUP(ROUND(STANDARDIZE(tblY8[[#This Row],[8P01 - Energy
Raw Score]],AVERAGE(tblY8[[8P01 - Energy
Raw Score]]),_xlfn.STDEV.P(tblY8[[8P01 - Energy
Raw Score]])),9),_Stanine,2),5),"")</f>
        <v>4</v>
      </c>
      <c r="R40" s="66" t="n">
        <v>10</v>
      </c>
      <c r="S40" s="67">
        <f>IF(ISNUMBER(tblY8[[#This Row],[8B01 - Digestion
Raw Score]]),IFERROR(VLOOKUP(ROUND(STANDARDIZE(tblY8[[#This Row],[8B01 - Digestion
Raw Score]],AVERAGE(tblY8[[8B01 - Digestion
Raw Score]]),_xlfn.STDEV.P(tblY8[[8B01 - Digestion
Raw Score]])),9),_Stanine,2),5),"")</f>
        <v>4</v>
      </c>
      <c r="T40" s="66" t="n">
        <v>7</v>
      </c>
      <c r="U40" s="67">
        <f>IF(ISNUMBER(tblY8[[#This Row],[8C02 - Metals and Acids
Raw Score]]),IFERROR(VLOOKUP(ROUND(STANDARDIZE(tblY8[[#This Row],[8C02 - Metals and Acids
Raw Score]],AVERAGE(tblY8[[8C02 - Metals and Acids
Raw Score]]),_xlfn.STDEV.P(tblY8[[8C02 - Metals and Acids
Raw Score]])),9),_Stanine,2),5),"")</f>
        <v>3</v>
      </c>
      <c r="V40" s="66" t="n">
        <v>11</v>
      </c>
      <c r="W40" s="67">
        <f>IF(ISNUMBER(tblY8[[#This Row],[8P02 - Light
Raw Score]]),IFERROR(VLOOKUP(ROUND(STANDARDIZE(tblY8[[#This Row],[8P02 - Light
Raw Score]],AVERAGE(tblY8[[8P02 - Light
Raw Score]]),_xlfn.STDEV.P(tblY8[[8P02 - Light
Raw Score]])),9),_Stanine,2),5),"")</f>
        <v>3</v>
      </c>
    </row>
    <row r="41">
      <c r="A41" s="65" t="inlineStr">
        <is>
          <t>X907462902239</t>
        </is>
      </c>
      <c r="B41" s="65" t="inlineStr">
        <is>
          <t>Harrison</t>
        </is>
      </c>
      <c r="C41" s="65" t="inlineStr">
        <is>
          <t>Maya</t>
        </is>
      </c>
      <c r="D41" s="66" t="inlineStr">
        <is>
          <t>M</t>
        </is>
      </c>
      <c r="E41" s="66" t="n"/>
      <c r="F41" s="66" t="inlineStr">
        <is>
          <t>Y</t>
        </is>
      </c>
      <c r="G41" s="34" t="n">
        <v>100</v>
      </c>
      <c r="H41" s="34" t="n">
        <v>106</v>
      </c>
      <c r="I41" s="67">
        <f>IF(ISNUMBER(tblY8[[#This Row],[Avg KS2]]),IFERROR(VLOOKUP(ROUND(STANDARDIZE(tblY8[[#This Row],[Avg KS2]],AVERAGE(tblY8[[Avg KS2]]),_xlfn.STDEV.P(tblY8[[Avg KS2]])),9),_Stanine,2),5),"")</f>
        <v>5</v>
      </c>
      <c r="J41" s="66" t="inlineStr">
        <is>
          <t>8A/Sc2</t>
        </is>
      </c>
      <c r="K41" s="67">
        <f>IF(tblY8[[#This Row],[Preferred Last name]]="","",COUNTIFS($N$1:$ZZ$1,"*"&amp;CHAR(10)&amp;"Stanine",$N41:$ZZ41,"&gt;=1"))</f>
        <v>5</v>
      </c>
      <c r="L41" s="68">
        <f>IFERROR(AVERAGEIF($N$1:$ZZ$1,"*"&amp;CHAR(10)&amp;"Stanine",$N41:$ZZ41),"")</f>
        <v>4.6</v>
      </c>
      <c r="M41" s="69">
        <f>IF(AND(ISNUMBER(tblY8[[#This Row],[Mean Stanine]]),ISNUMBER(tblY8[[#This Row],[Avg KS2 Band]]),ISNUMBER(SlopeY8)),tblY8[[#This Row],[Mean Stanine]]-(InterceptY8+SlopeY8*tblY8[[#This Row],[Avg KS2 Band]]),"")</f>
        <v>-0.341858928142274</v>
      </c>
      <c r="N41" s="66" t="n">
        <v>15</v>
      </c>
      <c r="O41" s="67">
        <f>IF(ISNUMBER(tblY8[[#This Row],[8C01 - Periodic Table
Raw Score]]),IFERROR(VLOOKUP(ROUND(STANDARDIZE(tblY8[[#This Row],[8C01 - Periodic Table
Raw Score]],AVERAGE(tblY8[[8C01 - Periodic Table
Raw Score]]),_xlfn.STDEV.P(tblY8[[8C01 - Periodic Table
Raw Score]])),9),_Stanine,2),5),"")</f>
        <v>4</v>
      </c>
      <c r="P41" s="66" t="n">
        <v>11</v>
      </c>
      <c r="Q41" s="67">
        <f>IF(ISNUMBER(tblY8[[#This Row],[8P01 - Energy
Raw Score]]),IFERROR(VLOOKUP(ROUND(STANDARDIZE(tblY8[[#This Row],[8P01 - Energy
Raw Score]],AVERAGE(tblY8[[8P01 - Energy
Raw Score]]),_xlfn.STDEV.P(tblY8[[8P01 - Energy
Raw Score]])),9),_Stanine,2),5),"")</f>
        <v>5</v>
      </c>
      <c r="R41" s="66" t="n">
        <v>12</v>
      </c>
      <c r="S41" s="67">
        <f>IF(ISNUMBER(tblY8[[#This Row],[8B01 - Digestion
Raw Score]]),IFERROR(VLOOKUP(ROUND(STANDARDIZE(tblY8[[#This Row],[8B01 - Digestion
Raw Score]],AVERAGE(tblY8[[8B01 - Digestion
Raw Score]]),_xlfn.STDEV.P(tblY8[[8B01 - Digestion
Raw Score]])),9),_Stanine,2),5),"")</f>
        <v>4</v>
      </c>
      <c r="T41" s="66" t="n">
        <v>14</v>
      </c>
      <c r="U41" s="67">
        <f>IF(ISNUMBER(tblY8[[#This Row],[8C02 - Metals and Acids
Raw Score]]),IFERROR(VLOOKUP(ROUND(STANDARDIZE(tblY8[[#This Row],[8C02 - Metals and Acids
Raw Score]],AVERAGE(tblY8[[8C02 - Metals and Acids
Raw Score]]),_xlfn.STDEV.P(tblY8[[8C02 - Metals and Acids
Raw Score]])),9),_Stanine,2),5),"")</f>
        <v>6</v>
      </c>
      <c r="V41" s="66" t="n">
        <v>14</v>
      </c>
      <c r="W41" s="67">
        <f>IF(ISNUMBER(tblY8[[#This Row],[8P02 - Light
Raw Score]]),IFERROR(VLOOKUP(ROUND(STANDARDIZE(tblY8[[#This Row],[8P02 - Light
Raw Score]],AVERAGE(tblY8[[8P02 - Light
Raw Score]]),_xlfn.STDEV.P(tblY8[[8P02 - Light
Raw Score]])),9),_Stanine,2),5),"")</f>
        <v>4</v>
      </c>
    </row>
    <row r="42">
      <c r="A42" s="65" t="inlineStr">
        <is>
          <t>X903276559690</t>
        </is>
      </c>
      <c r="B42" s="65" t="inlineStr">
        <is>
          <t>Johnson</t>
        </is>
      </c>
      <c r="C42" s="65" t="inlineStr">
        <is>
          <t>Amara</t>
        </is>
      </c>
      <c r="D42" s="66" t="inlineStr">
        <is>
          <t>M</t>
        </is>
      </c>
      <c r="E42" s="66" t="n"/>
      <c r="F42" s="66" t="inlineStr">
        <is>
          <t>Y</t>
        </is>
      </c>
      <c r="G42" s="34" t="n">
        <v>100</v>
      </c>
      <c r="H42" s="34" t="n">
        <v>107.5</v>
      </c>
      <c r="I42" s="67">
        <f>IF(ISNUMBER(tblY8[[#This Row],[Avg KS2]]),IFERROR(VLOOKUP(ROUND(STANDARDIZE(tblY8[[#This Row],[Avg KS2]],AVERAGE(tblY8[[Avg KS2]]),_xlfn.STDEV.P(tblY8[[Avg KS2]])),9),_Stanine,2),5),"")</f>
        <v>6</v>
      </c>
      <c r="J42" s="66" t="inlineStr">
        <is>
          <t>8A/Sc2</t>
        </is>
      </c>
      <c r="K42" s="67">
        <f>IF(tblY8[[#This Row],[Preferred Last name]]="","",COUNTIFS($N$1:$ZZ$1,"*"&amp;CHAR(10)&amp;"Stanine",$N42:$ZZ42,"&gt;=1"))</f>
        <v>4</v>
      </c>
      <c r="L42" s="68">
        <f>IFERROR(AVERAGEIF($N$1:$ZZ$1,"*"&amp;CHAR(10)&amp;"Stanine",$N42:$ZZ42),"")</f>
        <v>6</v>
      </c>
      <c r="M42" s="69">
        <f>IF(AND(ISNUMBER(tblY8[[#This Row],[Mean Stanine]]),ISNUMBER(tblY8[[#This Row],[Avg KS2 Band]]),ISNUMBER(SlopeY8)),tblY8[[#This Row],[Mean Stanine]]-(InterceptY8+SlopeY8*tblY8[[#This Row],[Avg KS2 Band]]),"")</f>
        <v>0.27922975246335</v>
      </c>
      <c r="N42" s="66" t="n">
        <v>21</v>
      </c>
      <c r="O42" s="67">
        <f>IF(ISNUMBER(tblY8[[#This Row],[8C01 - Periodic Table
Raw Score]]),IFERROR(VLOOKUP(ROUND(STANDARDIZE(tblY8[[#This Row],[8C01 - Periodic Table
Raw Score]],AVERAGE(tblY8[[8C01 - Periodic Table
Raw Score]]),_xlfn.STDEV.P(tblY8[[8C01 - Periodic Table
Raw Score]])),9),_Stanine,2),5),"")</f>
        <v>6</v>
      </c>
      <c r="P42" s="66" t="inlineStr">
        <is>
          <t>A</t>
        </is>
      </c>
      <c r="Q42" s="67" t="str">
        <f>IF(ISNUMBER(tblY8[[#This Row],[8P01 - Energy
Raw Score]]),IFERROR(VLOOKUP(ROUND(STANDARDIZE(tblY8[[#This Row],[8P01 - Energy
Raw Score]],AVERAGE(tblY8[[8P01 - Energy
Raw Score]]),_xlfn.STDEV.P(tblY8[[8P01 - Energy
Raw Score]])),9),_Stanine,2),5),"")</f>
        <v/>
      </c>
      <c r="R42" s="66" t="n">
        <v>19</v>
      </c>
      <c r="S42" s="67">
        <f>IF(ISNUMBER(tblY8[[#This Row],[8B01 - Digestion
Raw Score]]),IFERROR(VLOOKUP(ROUND(STANDARDIZE(tblY8[[#This Row],[8B01 - Digestion
Raw Score]],AVERAGE(tblY8[[8B01 - Digestion
Raw Score]]),_xlfn.STDEV.P(tblY8[[8B01 - Digestion
Raw Score]])),9),_Stanine,2),5),"")</f>
        <v>7</v>
      </c>
      <c r="T42" s="66" t="n">
        <v>15</v>
      </c>
      <c r="U42" s="67">
        <f>IF(ISNUMBER(tblY8[[#This Row],[8C02 - Metals and Acids
Raw Score]]),IFERROR(VLOOKUP(ROUND(STANDARDIZE(tblY8[[#This Row],[8C02 - Metals and Acids
Raw Score]],AVERAGE(tblY8[[8C02 - Metals and Acids
Raw Score]]),_xlfn.STDEV.P(tblY8[[8C02 - Metals and Acids
Raw Score]])),9),_Stanine,2),5),"")</f>
        <v>6</v>
      </c>
      <c r="V42" s="66" t="n">
        <v>16</v>
      </c>
      <c r="W42" s="67">
        <f>IF(ISNUMBER(tblY8[[#This Row],[8P02 - Light
Raw Score]]),IFERROR(VLOOKUP(ROUND(STANDARDIZE(tblY8[[#This Row],[8P02 - Light
Raw Score]],AVERAGE(tblY8[[8P02 - Light
Raw Score]]),_xlfn.STDEV.P(tblY8[[8P02 - Light
Raw Score]])),9),_Stanine,2),5),"")</f>
        <v>5</v>
      </c>
    </row>
    <row r="43">
      <c r="A43" s="65" t="inlineStr">
        <is>
          <t>X907762209957</t>
        </is>
      </c>
      <c r="B43" s="65" t="inlineStr">
        <is>
          <t>Kelly</t>
        </is>
      </c>
      <c r="C43" s="65" t="inlineStr">
        <is>
          <t>Jacob</t>
        </is>
      </c>
      <c r="D43" s="66" t="inlineStr">
        <is>
          <t>F</t>
        </is>
      </c>
      <c r="E43" s="66" t="inlineStr">
        <is>
          <t>N</t>
        </is>
      </c>
      <c r="F43" s="66" t="inlineStr">
        <is>
          <t>N</t>
        </is>
      </c>
      <c r="G43" s="34" t="n">
        <v>91.09999999999999</v>
      </c>
      <c r="H43" s="34" t="n">
        <v>103</v>
      </c>
      <c r="I43" s="67">
        <f>IF(ISNUMBER(tblY8[[#This Row],[Avg KS2]]),IFERROR(VLOOKUP(ROUND(STANDARDIZE(tblY8[[#This Row],[Avg KS2]],AVERAGE(tblY8[[Avg KS2]]),_xlfn.STDEV.P(tblY8[[Avg KS2]])),9),_Stanine,2),5),"")</f>
        <v>4</v>
      </c>
      <c r="J43" s="66" t="inlineStr">
        <is>
          <t>8A/Sc2</t>
        </is>
      </c>
      <c r="K43" s="67">
        <f>IF(tblY8[[#This Row],[Preferred Last name]]="","",COUNTIFS($N$1:$ZZ$1,"*"&amp;CHAR(10)&amp;"Stanine",$N43:$ZZ43,"&gt;=1"))</f>
        <v>4</v>
      </c>
      <c r="L43" s="68">
        <f>IFERROR(AVERAGEIF($N$1:$ZZ$1,"*"&amp;CHAR(10)&amp;"Stanine",$N43:$ZZ43),"")</f>
        <v>5.25</v>
      </c>
      <c r="M43" s="69">
        <f>IF(AND(ISNUMBER(tblY8[[#This Row],[Mean Stanine]]),ISNUMBER(tblY8[[#This Row],[Avg KS2 Band]]),ISNUMBER(SlopeY8)),tblY8[[#This Row],[Mean Stanine]]-(InterceptY8+SlopeY8*tblY8[[#This Row],[Avg KS2 Band]]),"")</f>
        <v>1.0870523912521</v>
      </c>
      <c r="N43" s="66" t="n">
        <v>21</v>
      </c>
      <c r="O43" s="67">
        <f>IF(ISNUMBER(tblY8[[#This Row],[8C01 - Periodic Table
Raw Score]]),IFERROR(VLOOKUP(ROUND(STANDARDIZE(tblY8[[#This Row],[8C01 - Periodic Table
Raw Score]],AVERAGE(tblY8[[8C01 - Periodic Table
Raw Score]]),_xlfn.STDEV.P(tblY8[[8C01 - Periodic Table
Raw Score]])),9),_Stanine,2),5),"")</f>
        <v>6</v>
      </c>
      <c r="P43" s="66" t="n">
        <v>12</v>
      </c>
      <c r="Q43" s="67">
        <f>IF(ISNUMBER(tblY8[[#This Row],[8P01 - Energy
Raw Score]]),IFERROR(VLOOKUP(ROUND(STANDARDIZE(tblY8[[#This Row],[8P01 - Energy
Raw Score]],AVERAGE(tblY8[[8P01 - Energy
Raw Score]]),_xlfn.STDEV.P(tblY8[[8P01 - Energy
Raw Score]])),9),_Stanine,2),5),"")</f>
        <v>6</v>
      </c>
      <c r="R43" s="66" t="n">
        <v>15</v>
      </c>
      <c r="S43" s="67">
        <f>IF(ISNUMBER(tblY8[[#This Row],[8B01 - Digestion
Raw Score]]),IFERROR(VLOOKUP(ROUND(STANDARDIZE(tblY8[[#This Row],[8B01 - Digestion
Raw Score]],AVERAGE(tblY8[[8B01 - Digestion
Raw Score]]),_xlfn.STDEV.P(tblY8[[8B01 - Digestion
Raw Score]])),9),_Stanine,2),5),"")</f>
        <v>5</v>
      </c>
      <c r="T43" s="66" t="n">
        <v>10</v>
      </c>
      <c r="U43" s="67">
        <f>IF(ISNUMBER(tblY8[[#This Row],[8C02 - Metals and Acids
Raw Score]]),IFERROR(VLOOKUP(ROUND(STANDARDIZE(tblY8[[#This Row],[8C02 - Metals and Acids
Raw Score]],AVERAGE(tblY8[[8C02 - Metals and Acids
Raw Score]]),_xlfn.STDEV.P(tblY8[[8C02 - Metals and Acids
Raw Score]])),9),_Stanine,2),5),"")</f>
        <v>4</v>
      </c>
      <c r="V43" s="66" t="inlineStr">
        <is>
          <t>A</t>
        </is>
      </c>
      <c r="W43" s="67" t="str">
        <f>IF(ISNUMBER(tblY8[[#This Row],[8P02 - Light
Raw Score]]),IFERROR(VLOOKUP(ROUND(STANDARDIZE(tblY8[[#This Row],[8P02 - Light
Raw Score]],AVERAGE(tblY8[[8P02 - Light
Raw Score]]),_xlfn.STDEV.P(tblY8[[8P02 - Light
Raw Score]])),9),_Stanine,2),5),"")</f>
        <v/>
      </c>
    </row>
    <row r="44">
      <c r="A44" s="65" t="inlineStr">
        <is>
          <t>X900504625303</t>
        </is>
      </c>
      <c r="B44" s="65" t="inlineStr">
        <is>
          <t>Kowalski</t>
        </is>
      </c>
      <c r="C44" s="65" t="inlineStr">
        <is>
          <t>Keira</t>
        </is>
      </c>
      <c r="D44" s="66" t="inlineStr">
        <is>
          <t>F</t>
        </is>
      </c>
      <c r="E44" s="66" t="inlineStr">
        <is>
          <t>N</t>
        </is>
      </c>
      <c r="F44" s="66" t="inlineStr">
        <is>
          <t>Y</t>
        </is>
      </c>
      <c r="G44" s="34" t="n">
        <v>95.09999999999999</v>
      </c>
      <c r="H44" s="34" t="n">
        <v>105.5</v>
      </c>
      <c r="I44" s="67">
        <f>IF(ISNUMBER(tblY8[[#This Row],[Avg KS2]]),IFERROR(VLOOKUP(ROUND(STANDARDIZE(tblY8[[#This Row],[Avg KS2]],AVERAGE(tblY8[[Avg KS2]]),_xlfn.STDEV.P(tblY8[[Avg KS2]])),9),_Stanine,2),5),"")</f>
        <v>5</v>
      </c>
      <c r="J44" s="66" t="inlineStr">
        <is>
          <t>8A/Sc2</t>
        </is>
      </c>
      <c r="K44" s="67">
        <f>IF(tblY8[[#This Row],[Preferred Last name]]="","",COUNTIFS($N$1:$ZZ$1,"*"&amp;CHAR(10)&amp;"Stanine",$N44:$ZZ44,"&gt;=1"))</f>
        <v>5</v>
      </c>
      <c r="L44" s="68">
        <f>IFERROR(AVERAGEIF($N$1:$ZZ$1,"*"&amp;CHAR(10)&amp;"Stanine",$N44:$ZZ44),"")</f>
        <v>3.6</v>
      </c>
      <c r="M44" s="69">
        <f>IF(AND(ISNUMBER(tblY8[[#This Row],[Mean Stanine]]),ISNUMBER(tblY8[[#This Row],[Avg KS2 Band]]),ISNUMBER(SlopeY8)),tblY8[[#This Row],[Mean Stanine]]-(InterceptY8+SlopeY8*tblY8[[#This Row],[Avg KS2 Band]]),"")</f>
        <v>-1.34185892814227</v>
      </c>
      <c r="N44" s="66" t="n">
        <v>13</v>
      </c>
      <c r="O44" s="67">
        <f>IF(ISNUMBER(tblY8[[#This Row],[8C01 - Periodic Table
Raw Score]]),IFERROR(VLOOKUP(ROUND(STANDARDIZE(tblY8[[#This Row],[8C01 - Periodic Table
Raw Score]],AVERAGE(tblY8[[8C01 - Periodic Table
Raw Score]]),_xlfn.STDEV.P(tblY8[[8C01 - Periodic Table
Raw Score]])),9),_Stanine,2),5),"")</f>
        <v>3</v>
      </c>
      <c r="P44" s="66" t="n">
        <v>5</v>
      </c>
      <c r="Q44" s="67">
        <f>IF(ISNUMBER(tblY8[[#This Row],[8P01 - Energy
Raw Score]]),IFERROR(VLOOKUP(ROUND(STANDARDIZE(tblY8[[#This Row],[8P01 - Energy
Raw Score]],AVERAGE(tblY8[[8P01 - Energy
Raw Score]]),_xlfn.STDEV.P(tblY8[[8P01 - Energy
Raw Score]])),9),_Stanine,2),5),"")</f>
        <v>3</v>
      </c>
      <c r="R44" s="66" t="n">
        <v>9</v>
      </c>
      <c r="S44" s="67">
        <f>IF(ISNUMBER(tblY8[[#This Row],[8B01 - Digestion
Raw Score]]),IFERROR(VLOOKUP(ROUND(STANDARDIZE(tblY8[[#This Row],[8B01 - Digestion
Raw Score]],AVERAGE(tblY8[[8B01 - Digestion
Raw Score]]),_xlfn.STDEV.P(tblY8[[8B01 - Digestion
Raw Score]])),9),_Stanine,2),5),"")</f>
        <v>3</v>
      </c>
      <c r="T44" s="66" t="n">
        <v>11</v>
      </c>
      <c r="U44" s="67">
        <f>IF(ISNUMBER(tblY8[[#This Row],[8C02 - Metals and Acids
Raw Score]]),IFERROR(VLOOKUP(ROUND(STANDARDIZE(tblY8[[#This Row],[8C02 - Metals and Acids
Raw Score]],AVERAGE(tblY8[[8C02 - Metals and Acids
Raw Score]]),_xlfn.STDEV.P(tblY8[[8C02 - Metals and Acids
Raw Score]])),9),_Stanine,2),5),"")</f>
        <v>5</v>
      </c>
      <c r="V44" s="66" t="n">
        <v>13</v>
      </c>
      <c r="W44" s="67">
        <f>IF(ISNUMBER(tblY8[[#This Row],[8P02 - Light
Raw Score]]),IFERROR(VLOOKUP(ROUND(STANDARDIZE(tblY8[[#This Row],[8P02 - Light
Raw Score]],AVERAGE(tblY8[[8P02 - Light
Raw Score]]),_xlfn.STDEV.P(tblY8[[8P02 - Light
Raw Score]])),9),_Stanine,2),5),"")</f>
        <v>4</v>
      </c>
    </row>
    <row r="45">
      <c r="A45" s="65" t="inlineStr">
        <is>
          <t>X907144996938</t>
        </is>
      </c>
      <c r="B45" s="65" t="inlineStr">
        <is>
          <t>Lewis</t>
        </is>
      </c>
      <c r="C45" s="65" t="inlineStr">
        <is>
          <t>Layla</t>
        </is>
      </c>
      <c r="D45" s="66" t="inlineStr">
        <is>
          <t>F</t>
        </is>
      </c>
      <c r="E45" s="66" t="inlineStr">
        <is>
          <t>N</t>
        </is>
      </c>
      <c r="F45" s="66" t="inlineStr">
        <is>
          <t>N</t>
        </is>
      </c>
      <c r="G45" s="34" t="n">
        <v>100</v>
      </c>
      <c r="H45" s="34" t="n">
        <v>108.5</v>
      </c>
      <c r="I45" s="67">
        <f>IF(ISNUMBER(tblY8[[#This Row],[Avg KS2]]),IFERROR(VLOOKUP(ROUND(STANDARDIZE(tblY8[[#This Row],[Avg KS2]],AVERAGE(tblY8[[Avg KS2]]),_xlfn.STDEV.P(tblY8[[Avg KS2]])),9),_Stanine,2),5),"")</f>
        <v>6</v>
      </c>
      <c r="J45" s="66" t="inlineStr">
        <is>
          <t>8A/Sc2</t>
        </is>
      </c>
      <c r="K45" s="67">
        <f>IF(tblY8[[#This Row],[Preferred Last name]]="","",COUNTIFS($N$1:$ZZ$1,"*"&amp;CHAR(10)&amp;"Stanine",$N45:$ZZ45,"&gt;=1"))</f>
        <v>5</v>
      </c>
      <c r="L45" s="68">
        <f>IFERROR(AVERAGEIF($N$1:$ZZ$1,"*"&amp;CHAR(10)&amp;"Stanine",$N45:$ZZ45),"")</f>
        <v>4.6</v>
      </c>
      <c r="M45" s="69">
        <f>IF(AND(ISNUMBER(tblY8[[#This Row],[Mean Stanine]]),ISNUMBER(tblY8[[#This Row],[Avg KS2 Band]]),ISNUMBER(SlopeY8)),tblY8[[#This Row],[Mean Stanine]]-(InterceptY8+SlopeY8*tblY8[[#This Row],[Avg KS2 Band]]),"")</f>
        <v>-1.12077024753665</v>
      </c>
      <c r="N45" s="66" t="n">
        <v>21</v>
      </c>
      <c r="O45" s="67">
        <f>IF(ISNUMBER(tblY8[[#This Row],[8C01 - Periodic Table
Raw Score]]),IFERROR(VLOOKUP(ROUND(STANDARDIZE(tblY8[[#This Row],[8C01 - Periodic Table
Raw Score]],AVERAGE(tblY8[[8C01 - Periodic Table
Raw Score]]),_xlfn.STDEV.P(tblY8[[8C01 - Periodic Table
Raw Score]])),9),_Stanine,2),5),"")</f>
        <v>6</v>
      </c>
      <c r="P45" s="66" t="n">
        <v>8</v>
      </c>
      <c r="Q45" s="67">
        <f>IF(ISNUMBER(tblY8[[#This Row],[8P01 - Energy
Raw Score]]),IFERROR(VLOOKUP(ROUND(STANDARDIZE(tblY8[[#This Row],[8P01 - Energy
Raw Score]],AVERAGE(tblY8[[8P01 - Energy
Raw Score]]),_xlfn.STDEV.P(tblY8[[8P01 - Energy
Raw Score]])),9),_Stanine,2),5),"")</f>
        <v>4</v>
      </c>
      <c r="R45" s="66" t="n">
        <v>10</v>
      </c>
      <c r="S45" s="67">
        <f>IF(ISNUMBER(tblY8[[#This Row],[8B01 - Digestion
Raw Score]]),IFERROR(VLOOKUP(ROUND(STANDARDIZE(tblY8[[#This Row],[8B01 - Digestion
Raw Score]],AVERAGE(tblY8[[8B01 - Digestion
Raw Score]]),_xlfn.STDEV.P(tblY8[[8B01 - Digestion
Raw Score]])),9),_Stanine,2),5),"")</f>
        <v>4</v>
      </c>
      <c r="T45" s="66" t="n">
        <v>11</v>
      </c>
      <c r="U45" s="67">
        <f>IF(ISNUMBER(tblY8[[#This Row],[8C02 - Metals and Acids
Raw Score]]),IFERROR(VLOOKUP(ROUND(STANDARDIZE(tblY8[[#This Row],[8C02 - Metals and Acids
Raw Score]],AVERAGE(tblY8[[8C02 - Metals and Acids
Raw Score]]),_xlfn.STDEV.P(tblY8[[8C02 - Metals and Acids
Raw Score]])),9),_Stanine,2),5),"")</f>
        <v>5</v>
      </c>
      <c r="V45" s="66" t="n">
        <v>14</v>
      </c>
      <c r="W45" s="67">
        <f>IF(ISNUMBER(tblY8[[#This Row],[8P02 - Light
Raw Score]]),IFERROR(VLOOKUP(ROUND(STANDARDIZE(tblY8[[#This Row],[8P02 - Light
Raw Score]],AVERAGE(tblY8[[8P02 - Light
Raw Score]]),_xlfn.STDEV.P(tblY8[[8P02 - Light
Raw Score]])),9),_Stanine,2),5),"")</f>
        <v>4</v>
      </c>
    </row>
    <row r="46">
      <c r="A46" s="65" t="inlineStr">
        <is>
          <t>X903693569526</t>
        </is>
      </c>
      <c r="B46" s="65" t="inlineStr">
        <is>
          <t>Lewis</t>
        </is>
      </c>
      <c r="C46" s="65" t="inlineStr">
        <is>
          <t>Zofia</t>
        </is>
      </c>
      <c r="D46" s="66" t="inlineStr">
        <is>
          <t>M</t>
        </is>
      </c>
      <c r="E46" s="66" t="n"/>
      <c r="F46" s="66" t="inlineStr">
        <is>
          <t>N</t>
        </is>
      </c>
      <c r="G46" s="34" t="n">
        <v>87.40000000000001</v>
      </c>
      <c r="H46" s="34" t="n">
        <v>99</v>
      </c>
      <c r="I46" s="67">
        <f>IF(ISNUMBER(tblY8[[#This Row],[Avg KS2]]),IFERROR(VLOOKUP(ROUND(STANDARDIZE(tblY8[[#This Row],[Avg KS2]],AVERAGE(tblY8[[Avg KS2]]),_xlfn.STDEV.P(tblY8[[Avg KS2]])),9),_Stanine,2),5),"")</f>
        <v>3</v>
      </c>
      <c r="J46" s="66" t="inlineStr">
        <is>
          <t>8A/Sc2</t>
        </is>
      </c>
      <c r="K46" s="67">
        <f>IF(tblY8[[#This Row],[Preferred Last name]]="","",COUNTIFS($N$1:$ZZ$1,"*"&amp;CHAR(10)&amp;"Stanine",$N46:$ZZ46,"&gt;=1"))</f>
        <v>5</v>
      </c>
      <c r="L46" s="68">
        <f>IFERROR(AVERAGEIF($N$1:$ZZ$1,"*"&amp;CHAR(10)&amp;"Stanine",$N46:$ZZ46),"")</f>
        <v>2</v>
      </c>
      <c r="M46" s="69">
        <f>IF(AND(ISNUMBER(tblY8[[#This Row],[Mean Stanine]]),ISNUMBER(tblY8[[#This Row],[Avg KS2 Band]]),ISNUMBER(SlopeY8)),tblY8[[#This Row],[Mean Stanine]]-(InterceptY8+SlopeY8*tblY8[[#This Row],[Avg KS2 Band]]),"")</f>
        <v>-1.38403628935352</v>
      </c>
      <c r="N46" s="66" t="n">
        <v>9</v>
      </c>
      <c r="O46" s="67">
        <f>IF(ISNUMBER(tblY8[[#This Row],[8C01 - Periodic Table
Raw Score]]),IFERROR(VLOOKUP(ROUND(STANDARDIZE(tblY8[[#This Row],[8C01 - Periodic Table
Raw Score]],AVERAGE(tblY8[[8C01 - Periodic Table
Raw Score]]),_xlfn.STDEV.P(tblY8[[8C01 - Periodic Table
Raw Score]])),9),_Stanine,2),5),"")</f>
        <v>2</v>
      </c>
      <c r="P46" s="66" t="n">
        <v>5</v>
      </c>
      <c r="Q46" s="67">
        <f>IF(ISNUMBER(tblY8[[#This Row],[8P01 - Energy
Raw Score]]),IFERROR(VLOOKUP(ROUND(STANDARDIZE(tblY8[[#This Row],[8P01 - Energy
Raw Score]],AVERAGE(tblY8[[8P01 - Energy
Raw Score]]),_xlfn.STDEV.P(tblY8[[8P01 - Energy
Raw Score]])),9),_Stanine,2),5),"")</f>
        <v>3</v>
      </c>
      <c r="R46" s="66" t="n">
        <v>6</v>
      </c>
      <c r="S46" s="67">
        <f>IF(ISNUMBER(tblY8[[#This Row],[8B01 - Digestion
Raw Score]]),IFERROR(VLOOKUP(ROUND(STANDARDIZE(tblY8[[#This Row],[8B01 - Digestion
Raw Score]],AVERAGE(tblY8[[8B01 - Digestion
Raw Score]]),_xlfn.STDEV.P(tblY8[[8B01 - Digestion
Raw Score]])),9),_Stanine,2),5),"")</f>
        <v>2</v>
      </c>
      <c r="T46" s="66" t="n">
        <v>3</v>
      </c>
      <c r="U46" s="67">
        <f>IF(ISNUMBER(tblY8[[#This Row],[8C02 - Metals and Acids
Raw Score]]),IFERROR(VLOOKUP(ROUND(STANDARDIZE(tblY8[[#This Row],[8C02 - Metals and Acids
Raw Score]],AVERAGE(tblY8[[8C02 - Metals and Acids
Raw Score]]),_xlfn.STDEV.P(tblY8[[8C02 - Metals and Acids
Raw Score]])),9),_Stanine,2),5),"")</f>
        <v>2</v>
      </c>
      <c r="V46" s="66" t="n">
        <v>7</v>
      </c>
      <c r="W46" s="67">
        <f>IF(ISNUMBER(tblY8[[#This Row],[8P02 - Light
Raw Score]]),IFERROR(VLOOKUP(ROUND(STANDARDIZE(tblY8[[#This Row],[8P02 - Light
Raw Score]],AVERAGE(tblY8[[8P02 - Light
Raw Score]]),_xlfn.STDEV.P(tblY8[[8P02 - Light
Raw Score]])),9),_Stanine,2),5),"")</f>
        <v>1</v>
      </c>
    </row>
    <row r="47">
      <c r="A47" s="65" t="inlineStr">
        <is>
          <t>X902069116779</t>
        </is>
      </c>
      <c r="B47" s="65" t="inlineStr">
        <is>
          <t>Lloyd</t>
        </is>
      </c>
      <c r="C47" s="65" t="inlineStr">
        <is>
          <t>Hannah</t>
        </is>
      </c>
      <c r="D47" s="66" t="inlineStr">
        <is>
          <t>F</t>
        </is>
      </c>
      <c r="E47" s="66" t="n"/>
      <c r="F47" s="66" t="inlineStr">
        <is>
          <t>N</t>
        </is>
      </c>
      <c r="G47" s="34" t="n">
        <v>100</v>
      </c>
      <c r="H47" s="34" t="n">
        <v>99</v>
      </c>
      <c r="I47" s="67">
        <f>IF(ISNUMBER(tblY8[[#This Row],[Avg KS2]]),IFERROR(VLOOKUP(ROUND(STANDARDIZE(tblY8[[#This Row],[Avg KS2]],AVERAGE(tblY8[[Avg KS2]]),_xlfn.STDEV.P(tblY8[[Avg KS2]])),9),_Stanine,2),5),"")</f>
        <v>3</v>
      </c>
      <c r="J47" s="66" t="inlineStr">
        <is>
          <t>8A/Sc2</t>
        </is>
      </c>
      <c r="K47" s="67">
        <f>IF(tblY8[[#This Row],[Preferred Last name]]="","",COUNTIFS($N$1:$ZZ$1,"*"&amp;CHAR(10)&amp;"Stanine",$N47:$ZZ47,"&gt;=1"))</f>
        <v>5</v>
      </c>
      <c r="L47" s="68">
        <f>IFERROR(AVERAGEIF($N$1:$ZZ$1,"*"&amp;CHAR(10)&amp;"Stanine",$N47:$ZZ47),"")</f>
        <v>2.8</v>
      </c>
      <c r="M47" s="69">
        <f>IF(AND(ISNUMBER(tblY8[[#This Row],[Mean Stanine]]),ISNUMBER(tblY8[[#This Row],[Avg KS2 Band]]),ISNUMBER(SlopeY8)),tblY8[[#This Row],[Mean Stanine]]-(InterceptY8+SlopeY8*tblY8[[#This Row],[Avg KS2 Band]]),"")</f>
        <v>-0.584036289353521</v>
      </c>
      <c r="N47" s="66" t="n">
        <v>17</v>
      </c>
      <c r="O47" s="67">
        <f>IF(ISNUMBER(tblY8[[#This Row],[8C01 - Periodic Table
Raw Score]]),IFERROR(VLOOKUP(ROUND(STANDARDIZE(tblY8[[#This Row],[8C01 - Periodic Table
Raw Score]],AVERAGE(tblY8[[8C01 - Periodic Table
Raw Score]]),_xlfn.STDEV.P(tblY8[[8C01 - Periodic Table
Raw Score]])),9),_Stanine,2),5),"")</f>
        <v>5</v>
      </c>
      <c r="P47" s="66" t="n">
        <v>4</v>
      </c>
      <c r="Q47" s="67">
        <f>IF(ISNUMBER(tblY8[[#This Row],[8P01 - Energy
Raw Score]]),IFERROR(VLOOKUP(ROUND(STANDARDIZE(tblY8[[#This Row],[8P01 - Energy
Raw Score]],AVERAGE(tblY8[[8P01 - Energy
Raw Score]]),_xlfn.STDEV.P(tblY8[[8P01 - Energy
Raw Score]])),9),_Stanine,2),5),"")</f>
        <v>3</v>
      </c>
      <c r="R47" s="66" t="n">
        <v>6</v>
      </c>
      <c r="S47" s="67">
        <f>IF(ISNUMBER(tblY8[[#This Row],[8B01 - Digestion
Raw Score]]),IFERROR(VLOOKUP(ROUND(STANDARDIZE(tblY8[[#This Row],[8B01 - Digestion
Raw Score]],AVERAGE(tblY8[[8B01 - Digestion
Raw Score]]),_xlfn.STDEV.P(tblY8[[8B01 - Digestion
Raw Score]])),9),_Stanine,2),5),"")</f>
        <v>2</v>
      </c>
      <c r="T47" s="66" t="n">
        <v>3</v>
      </c>
      <c r="U47" s="67">
        <f>IF(ISNUMBER(tblY8[[#This Row],[8C02 - Metals and Acids
Raw Score]]),IFERROR(VLOOKUP(ROUND(STANDARDIZE(tblY8[[#This Row],[8C02 - Metals and Acids
Raw Score]],AVERAGE(tblY8[[8C02 - Metals and Acids
Raw Score]]),_xlfn.STDEV.P(tblY8[[8C02 - Metals and Acids
Raw Score]])),9),_Stanine,2),5),"")</f>
        <v>2</v>
      </c>
      <c r="V47" s="66" t="n">
        <v>9</v>
      </c>
      <c r="W47" s="67">
        <f>IF(ISNUMBER(tblY8[[#This Row],[8P02 - Light
Raw Score]]),IFERROR(VLOOKUP(ROUND(STANDARDIZE(tblY8[[#This Row],[8P02 - Light
Raw Score]],AVERAGE(tblY8[[8P02 - Light
Raw Score]]),_xlfn.STDEV.P(tblY8[[8P02 - Light
Raw Score]])),9),_Stanine,2),5),"")</f>
        <v>2</v>
      </c>
    </row>
    <row r="48">
      <c r="A48" s="65" t="inlineStr">
        <is>
          <t>X902389690191</t>
        </is>
      </c>
      <c r="B48" s="65" t="inlineStr">
        <is>
          <t>Morgan</t>
        </is>
      </c>
      <c r="C48" s="65" t="inlineStr">
        <is>
          <t>Maya</t>
        </is>
      </c>
      <c r="D48" s="66" t="inlineStr">
        <is>
          <t>M</t>
        </is>
      </c>
      <c r="E48" s="66" t="n"/>
      <c r="F48" s="66" t="inlineStr">
        <is>
          <t>Y</t>
        </is>
      </c>
      <c r="G48" s="34" t="n">
        <v>90.5</v>
      </c>
      <c r="H48" s="34" t="n">
        <v>106.5</v>
      </c>
      <c r="I48" s="67">
        <f>IF(ISNUMBER(tblY8[[#This Row],[Avg KS2]]),IFERROR(VLOOKUP(ROUND(STANDARDIZE(tblY8[[#This Row],[Avg KS2]],AVERAGE(tblY8[[Avg KS2]]),_xlfn.STDEV.P(tblY8[[Avg KS2]])),9),_Stanine,2),5),"")</f>
        <v>6</v>
      </c>
      <c r="J48" s="66" t="inlineStr">
        <is>
          <t>8A/Sc2</t>
        </is>
      </c>
      <c r="K48" s="67">
        <f>IF(tblY8[[#This Row],[Preferred Last name]]="","",COUNTIFS($N$1:$ZZ$1,"*"&amp;CHAR(10)&amp;"Stanine",$N48:$ZZ48,"&gt;=1"))</f>
        <v>5</v>
      </c>
      <c r="L48" s="68">
        <f>IFERROR(AVERAGEIF($N$1:$ZZ$1,"*"&amp;CHAR(10)&amp;"Stanine",$N48:$ZZ48),"")</f>
        <v>4.8</v>
      </c>
      <c r="M48" s="69">
        <f>IF(AND(ISNUMBER(tblY8[[#This Row],[Mean Stanine]]),ISNUMBER(tblY8[[#This Row],[Avg KS2 Band]]),ISNUMBER(SlopeY8)),tblY8[[#This Row],[Mean Stanine]]-(InterceptY8+SlopeY8*tblY8[[#This Row],[Avg KS2 Band]]),"")</f>
        <v>-0.92077024753665</v>
      </c>
      <c r="N48" s="66" t="n">
        <v>17</v>
      </c>
      <c r="O48" s="67">
        <f>IF(ISNUMBER(tblY8[[#This Row],[8C01 - Periodic Table
Raw Score]]),IFERROR(VLOOKUP(ROUND(STANDARDIZE(tblY8[[#This Row],[8C01 - Periodic Table
Raw Score]],AVERAGE(tblY8[[8C01 - Periodic Table
Raw Score]]),_xlfn.STDEV.P(tblY8[[8C01 - Periodic Table
Raw Score]])),9),_Stanine,2),5),"")</f>
        <v>5</v>
      </c>
      <c r="P48" s="66" t="n">
        <v>10</v>
      </c>
      <c r="Q48" s="67">
        <f>IF(ISNUMBER(tblY8[[#This Row],[8P01 - Energy
Raw Score]]),IFERROR(VLOOKUP(ROUND(STANDARDIZE(tblY8[[#This Row],[8P01 - Energy
Raw Score]],AVERAGE(tblY8[[8P01 - Energy
Raw Score]]),_xlfn.STDEV.P(tblY8[[8P01 - Energy
Raw Score]])),9),_Stanine,2),5),"")</f>
        <v>5</v>
      </c>
      <c r="R48" s="66" t="n">
        <v>10</v>
      </c>
      <c r="S48" s="67">
        <f>IF(ISNUMBER(tblY8[[#This Row],[8B01 - Digestion
Raw Score]]),IFERROR(VLOOKUP(ROUND(STANDARDIZE(tblY8[[#This Row],[8B01 - Digestion
Raw Score]],AVERAGE(tblY8[[8B01 - Digestion
Raw Score]]),_xlfn.STDEV.P(tblY8[[8B01 - Digestion
Raw Score]])),9),_Stanine,2),5),"")</f>
        <v>4</v>
      </c>
      <c r="T48" s="66" t="n">
        <v>13</v>
      </c>
      <c r="U48" s="67">
        <f>IF(ISNUMBER(tblY8[[#This Row],[8C02 - Metals and Acids
Raw Score]]),IFERROR(VLOOKUP(ROUND(STANDARDIZE(tblY8[[#This Row],[8C02 - Metals and Acids
Raw Score]],AVERAGE(tblY8[[8C02 - Metals and Acids
Raw Score]]),_xlfn.STDEV.P(tblY8[[8C02 - Metals and Acids
Raw Score]])),9),_Stanine,2),5),"")</f>
        <v>6</v>
      </c>
      <c r="V48" s="66" t="n">
        <v>14</v>
      </c>
      <c r="W48" s="67">
        <f>IF(ISNUMBER(tblY8[[#This Row],[8P02 - Light
Raw Score]]),IFERROR(VLOOKUP(ROUND(STANDARDIZE(tblY8[[#This Row],[8P02 - Light
Raw Score]],AVERAGE(tblY8[[8P02 - Light
Raw Score]]),_xlfn.STDEV.P(tblY8[[8P02 - Light
Raw Score]])),9),_Stanine,2),5),"")</f>
        <v>4</v>
      </c>
    </row>
    <row r="49">
      <c r="A49" s="65" t="inlineStr">
        <is>
          <t>X901601371374</t>
        </is>
      </c>
      <c r="B49" s="65" t="inlineStr">
        <is>
          <t>Roberts</t>
        </is>
      </c>
      <c r="C49" s="65" t="inlineStr">
        <is>
          <t>Ethan</t>
        </is>
      </c>
      <c r="D49" s="66" t="inlineStr">
        <is>
          <t>M</t>
        </is>
      </c>
      <c r="E49" s="66" t="n"/>
      <c r="F49" s="66" t="inlineStr">
        <is>
          <t>N</t>
        </is>
      </c>
      <c r="G49" s="34" t="n">
        <v>89.2</v>
      </c>
      <c r="H49" s="34" t="n">
        <v>100</v>
      </c>
      <c r="I49" s="67">
        <f>IF(ISNUMBER(tblY8[[#This Row],[Avg KS2]]),IFERROR(VLOOKUP(ROUND(STANDARDIZE(tblY8[[#This Row],[Avg KS2]],AVERAGE(tblY8[[Avg KS2]]),_xlfn.STDEV.P(tblY8[[Avg KS2]])),9),_Stanine,2),5),"")</f>
        <v>3</v>
      </c>
      <c r="J49" s="66" t="inlineStr">
        <is>
          <t>8A/Sc2</t>
        </is>
      </c>
      <c r="K49" s="67">
        <f>IF(tblY8[[#This Row],[Preferred Last name]]="","",COUNTIFS($N$1:$ZZ$1,"*"&amp;CHAR(10)&amp;"Stanine",$N49:$ZZ49,"&gt;=1"))</f>
        <v>5</v>
      </c>
      <c r="L49" s="68">
        <f>IFERROR(AVERAGEIF($N$1:$ZZ$1,"*"&amp;CHAR(10)&amp;"Stanine",$N49:$ZZ49),"")</f>
        <v>6.8</v>
      </c>
      <c r="M49" s="69">
        <f>IF(AND(ISNUMBER(tblY8[[#This Row],[Mean Stanine]]),ISNUMBER(tblY8[[#This Row],[Avg KS2 Band]]),ISNUMBER(SlopeY8)),tblY8[[#This Row],[Mean Stanine]]-(InterceptY8+SlopeY8*tblY8[[#This Row],[Avg KS2 Band]]),"")</f>
        <v>3.41596371064648</v>
      </c>
      <c r="N49" s="66" t="n">
        <v>24</v>
      </c>
      <c r="O49" s="67">
        <f>IF(ISNUMBER(tblY8[[#This Row],[8C01 - Periodic Table
Raw Score]]),IFERROR(VLOOKUP(ROUND(STANDARDIZE(tblY8[[#This Row],[8C01 - Periodic Table
Raw Score]],AVERAGE(tblY8[[8C01 - Periodic Table
Raw Score]]),_xlfn.STDEV.P(tblY8[[8C01 - Periodic Table
Raw Score]])),9),_Stanine,2),5),"")</f>
        <v>7</v>
      </c>
      <c r="P49" s="66" t="n">
        <v>18</v>
      </c>
      <c r="Q49" s="67">
        <f>IF(ISNUMBER(tblY8[[#This Row],[8P01 - Energy
Raw Score]]),IFERROR(VLOOKUP(ROUND(STANDARDIZE(tblY8[[#This Row],[8P01 - Energy
Raw Score]],AVERAGE(tblY8[[8P01 - Energy
Raw Score]]),_xlfn.STDEV.P(tblY8[[8P01 - Energy
Raw Score]])),9),_Stanine,2),5),"")</f>
        <v>8</v>
      </c>
      <c r="R49" s="66" t="n">
        <v>17</v>
      </c>
      <c r="S49" s="67">
        <f>IF(ISNUMBER(tblY8[[#This Row],[8B01 - Digestion
Raw Score]]),IFERROR(VLOOKUP(ROUND(STANDARDIZE(tblY8[[#This Row],[8B01 - Digestion
Raw Score]],AVERAGE(tblY8[[8B01 - Digestion
Raw Score]]),_xlfn.STDEV.P(tblY8[[8B01 - Digestion
Raw Score]])),9),_Stanine,2),5),"")</f>
        <v>6</v>
      </c>
      <c r="T49" s="66" t="n">
        <v>15</v>
      </c>
      <c r="U49" s="67">
        <f>IF(ISNUMBER(tblY8[[#This Row],[8C02 - Metals and Acids
Raw Score]]),IFERROR(VLOOKUP(ROUND(STANDARDIZE(tblY8[[#This Row],[8C02 - Metals and Acids
Raw Score]],AVERAGE(tblY8[[8C02 - Metals and Acids
Raw Score]]),_xlfn.STDEV.P(tblY8[[8C02 - Metals and Acids
Raw Score]])),9),_Stanine,2),5),"")</f>
        <v>6</v>
      </c>
      <c r="V49" s="66" t="n">
        <v>20</v>
      </c>
      <c r="W49" s="67">
        <f>IF(ISNUMBER(tblY8[[#This Row],[8P02 - Light
Raw Score]]),IFERROR(VLOOKUP(ROUND(STANDARDIZE(tblY8[[#This Row],[8P02 - Light
Raw Score]],AVERAGE(tblY8[[8P02 - Light
Raw Score]]),_xlfn.STDEV.P(tblY8[[8P02 - Light
Raw Score]])),9),_Stanine,2),5),"")</f>
        <v>7</v>
      </c>
    </row>
    <row r="50">
      <c r="A50" s="65" t="inlineStr">
        <is>
          <t>X900804294470</t>
        </is>
      </c>
      <c r="B50" s="65" t="inlineStr">
        <is>
          <t>Thompson</t>
        </is>
      </c>
      <c r="C50" s="65" t="inlineStr">
        <is>
          <t>Rhys</t>
        </is>
      </c>
      <c r="D50" s="66" t="inlineStr">
        <is>
          <t>F</t>
        </is>
      </c>
      <c r="E50" s="66" t="inlineStr">
        <is>
          <t>N</t>
        </is>
      </c>
      <c r="F50" s="66" t="inlineStr">
        <is>
          <t>N</t>
        </is>
      </c>
      <c r="G50" s="34" t="n">
        <v>92.8</v>
      </c>
      <c r="H50" s="34" t="n">
        <v>107</v>
      </c>
      <c r="I50" s="67">
        <f>IF(ISNUMBER(tblY8[[#This Row],[Avg KS2]]),IFERROR(VLOOKUP(ROUND(STANDARDIZE(tblY8[[#This Row],[Avg KS2]],AVERAGE(tblY8[[Avg KS2]]),_xlfn.STDEV.P(tblY8[[Avg KS2]])),9),_Stanine,2),5),"")</f>
        <v>6</v>
      </c>
      <c r="J50" s="66" t="inlineStr">
        <is>
          <t>8A/Sc2</t>
        </is>
      </c>
      <c r="K50" s="67">
        <f>IF(tblY8[[#This Row],[Preferred Last name]]="","",COUNTIFS($N$1:$ZZ$1,"*"&amp;CHAR(10)&amp;"Stanine",$N50:$ZZ50,"&gt;=1"))</f>
        <v>5</v>
      </c>
      <c r="L50" s="68">
        <f>IFERROR(AVERAGEIF($N$1:$ZZ$1,"*"&amp;CHAR(10)&amp;"Stanine",$N50:$ZZ50),"")</f>
        <v>4.2</v>
      </c>
      <c r="M50" s="69">
        <f>IF(AND(ISNUMBER(tblY8[[#This Row],[Mean Stanine]]),ISNUMBER(tblY8[[#This Row],[Avg KS2 Band]]),ISNUMBER(SlopeY8)),tblY8[[#This Row],[Mean Stanine]]-(InterceptY8+SlopeY8*tblY8[[#This Row],[Avg KS2 Band]]),"")</f>
        <v>-1.52077024753665</v>
      </c>
      <c r="N50" s="66" t="n">
        <v>21</v>
      </c>
      <c r="O50" s="67">
        <f>IF(ISNUMBER(tblY8[[#This Row],[8C01 - Periodic Table
Raw Score]]),IFERROR(VLOOKUP(ROUND(STANDARDIZE(tblY8[[#This Row],[8C01 - Periodic Table
Raw Score]],AVERAGE(tblY8[[8C01 - Periodic Table
Raw Score]]),_xlfn.STDEV.P(tblY8[[8C01 - Periodic Table
Raw Score]])),9),_Stanine,2),5),"")</f>
        <v>6</v>
      </c>
      <c r="P50" s="66" t="n">
        <v>6</v>
      </c>
      <c r="Q50" s="67">
        <f>IF(ISNUMBER(tblY8[[#This Row],[8P01 - Energy
Raw Score]]),IFERROR(VLOOKUP(ROUND(STANDARDIZE(tblY8[[#This Row],[8P01 - Energy
Raw Score]],AVERAGE(tblY8[[8P01 - Energy
Raw Score]]),_xlfn.STDEV.P(tblY8[[8P01 - Energy
Raw Score]])),9),_Stanine,2),5),"")</f>
        <v>3</v>
      </c>
      <c r="R50" s="66" t="n">
        <v>14</v>
      </c>
      <c r="S50" s="67">
        <f>IF(ISNUMBER(tblY8[[#This Row],[8B01 - Digestion
Raw Score]]),IFERROR(VLOOKUP(ROUND(STANDARDIZE(tblY8[[#This Row],[8B01 - Digestion
Raw Score]],AVERAGE(tblY8[[8B01 - Digestion
Raw Score]]),_xlfn.STDEV.P(tblY8[[8B01 - Digestion
Raw Score]])),9),_Stanine,2),5),"")</f>
        <v>5</v>
      </c>
      <c r="T50" s="66" t="n">
        <v>9</v>
      </c>
      <c r="U50" s="67">
        <f>IF(ISNUMBER(tblY8[[#This Row],[8C02 - Metals and Acids
Raw Score]]),IFERROR(VLOOKUP(ROUND(STANDARDIZE(tblY8[[#This Row],[8C02 - Metals and Acids
Raw Score]],AVERAGE(tblY8[[8C02 - Metals and Acids
Raw Score]]),_xlfn.STDEV.P(tblY8[[8C02 - Metals and Acids
Raw Score]])),9),_Stanine,2),5),"")</f>
        <v>4</v>
      </c>
      <c r="V50" s="66" t="n">
        <v>11</v>
      </c>
      <c r="W50" s="67">
        <f>IF(ISNUMBER(tblY8[[#This Row],[8P02 - Light
Raw Score]]),IFERROR(VLOOKUP(ROUND(STANDARDIZE(tblY8[[#This Row],[8P02 - Light
Raw Score]],AVERAGE(tblY8[[8P02 - Light
Raw Score]]),_xlfn.STDEV.P(tblY8[[8P02 - Light
Raw Score]])),9),_Stanine,2),5),"")</f>
        <v>3</v>
      </c>
    </row>
    <row r="51">
      <c r="A51" s="65" t="inlineStr">
        <is>
          <t>X907109221692</t>
        </is>
      </c>
      <c r="B51" s="65" t="inlineStr">
        <is>
          <t>White</t>
        </is>
      </c>
      <c r="C51" s="65" t="inlineStr">
        <is>
          <t>Freya</t>
        </is>
      </c>
      <c r="D51" s="66" t="inlineStr">
        <is>
          <t>F</t>
        </is>
      </c>
      <c r="E51" s="66" t="inlineStr">
        <is>
          <t>K</t>
        </is>
      </c>
      <c r="F51" s="66" t="inlineStr">
        <is>
          <t>N</t>
        </is>
      </c>
      <c r="G51" s="34" t="n">
        <v>86.2</v>
      </c>
      <c r="H51" s="34" t="n">
        <v>110.5</v>
      </c>
      <c r="I51" s="67">
        <f>IF(ISNUMBER(tblY8[[#This Row],[Avg KS2]]),IFERROR(VLOOKUP(ROUND(STANDARDIZE(tblY8[[#This Row],[Avg KS2]],AVERAGE(tblY8[[Avg KS2]]),_xlfn.STDEV.P(tblY8[[Avg KS2]])),9),_Stanine,2),5),"")</f>
        <v>7</v>
      </c>
      <c r="J51" s="66" t="inlineStr">
        <is>
          <t>8A/Sc2</t>
        </is>
      </c>
      <c r="K51" s="67">
        <f>IF(tblY8[[#This Row],[Preferred Last name]]="","",COUNTIFS($N$1:$ZZ$1,"*"&amp;CHAR(10)&amp;"Stanine",$N51:$ZZ51,"&gt;=1"))</f>
        <v>5</v>
      </c>
      <c r="L51" s="68">
        <f>IFERROR(AVERAGEIF($N$1:$ZZ$1,"*"&amp;CHAR(10)&amp;"Stanine",$N51:$ZZ51),"")</f>
        <v>6</v>
      </c>
      <c r="M51" s="69">
        <f>IF(AND(ISNUMBER(tblY8[[#This Row],[Mean Stanine]]),ISNUMBER(tblY8[[#This Row],[Avg KS2 Band]]),ISNUMBER(SlopeY8)),tblY8[[#This Row],[Mean Stanine]]-(InterceptY8+SlopeY8*tblY8[[#This Row],[Avg KS2 Band]]),"")</f>
        <v>-0.499681566931026</v>
      </c>
      <c r="N51" s="66" t="n">
        <v>22</v>
      </c>
      <c r="O51" s="67">
        <f>IF(ISNUMBER(tblY8[[#This Row],[8C01 - Periodic Table
Raw Score]]),IFERROR(VLOOKUP(ROUND(STANDARDIZE(tblY8[[#This Row],[8C01 - Periodic Table
Raw Score]],AVERAGE(tblY8[[8C01 - Periodic Table
Raw Score]]),_xlfn.STDEV.P(tblY8[[8C01 - Periodic Table
Raw Score]])),9),_Stanine,2),5),"")</f>
        <v>6</v>
      </c>
      <c r="P51" s="66" t="n">
        <v>14</v>
      </c>
      <c r="Q51" s="67">
        <f>IF(ISNUMBER(tblY8[[#This Row],[8P01 - Energy
Raw Score]]),IFERROR(VLOOKUP(ROUND(STANDARDIZE(tblY8[[#This Row],[8P01 - Energy
Raw Score]],AVERAGE(tblY8[[8P01 - Energy
Raw Score]]),_xlfn.STDEV.P(tblY8[[8P01 - Energy
Raw Score]])),9),_Stanine,2),5),"")</f>
        <v>6</v>
      </c>
      <c r="R51" s="66" t="n">
        <v>18</v>
      </c>
      <c r="S51" s="67">
        <f>IF(ISNUMBER(tblY8[[#This Row],[8B01 - Digestion
Raw Score]]),IFERROR(VLOOKUP(ROUND(STANDARDIZE(tblY8[[#This Row],[8B01 - Digestion
Raw Score]],AVERAGE(tblY8[[8B01 - Digestion
Raw Score]]),_xlfn.STDEV.P(tblY8[[8B01 - Digestion
Raw Score]])),9),_Stanine,2),5),"")</f>
        <v>6</v>
      </c>
      <c r="T51" s="66" t="n">
        <v>18</v>
      </c>
      <c r="U51" s="67">
        <f>IF(ISNUMBER(tblY8[[#This Row],[8C02 - Metals and Acids
Raw Score]]),IFERROR(VLOOKUP(ROUND(STANDARDIZE(tblY8[[#This Row],[8C02 - Metals and Acids
Raw Score]],AVERAGE(tblY8[[8C02 - Metals and Acids
Raw Score]]),_xlfn.STDEV.P(tblY8[[8C02 - Metals and Acids
Raw Score]])),9),_Stanine,2),5),"")</f>
        <v>7</v>
      </c>
      <c r="V51" s="66" t="n">
        <v>16</v>
      </c>
      <c r="W51" s="67">
        <f>IF(ISNUMBER(tblY8[[#This Row],[8P02 - Light
Raw Score]]),IFERROR(VLOOKUP(ROUND(STANDARDIZE(tblY8[[#This Row],[8P02 - Light
Raw Score]],AVERAGE(tblY8[[8P02 - Light
Raw Score]]),_xlfn.STDEV.P(tblY8[[8P02 - Light
Raw Score]])),9),_Stanine,2),5),"")</f>
        <v>5</v>
      </c>
    </row>
    <row r="52">
      <c r="A52" s="65" t="inlineStr">
        <is>
          <t>X903411923764</t>
        </is>
      </c>
      <c r="B52" s="65" t="inlineStr">
        <is>
          <t>Williams</t>
        </is>
      </c>
      <c r="C52" s="65" t="inlineStr">
        <is>
          <t>Reuben</t>
        </is>
      </c>
      <c r="D52" s="66" t="inlineStr">
        <is>
          <t>F</t>
        </is>
      </c>
      <c r="E52" s="66" t="inlineStr">
        <is>
          <t>K</t>
        </is>
      </c>
      <c r="F52" s="66" t="inlineStr">
        <is>
          <t>N</t>
        </is>
      </c>
      <c r="G52" s="34" t="n">
        <v>99.5</v>
      </c>
      <c r="H52" s="34" t="n">
        <v>108</v>
      </c>
      <c r="I52" s="67">
        <f>IF(ISNUMBER(tblY8[[#This Row],[Avg KS2]]),IFERROR(VLOOKUP(ROUND(STANDARDIZE(tblY8[[#This Row],[Avg KS2]],AVERAGE(tblY8[[Avg KS2]]),_xlfn.STDEV.P(tblY8[[Avg KS2]])),9),_Stanine,2),5),"")</f>
        <v>6</v>
      </c>
      <c r="J52" s="66" t="inlineStr">
        <is>
          <t>8A/Sc2</t>
        </is>
      </c>
      <c r="K52" s="67">
        <f>IF(tblY8[[#This Row],[Preferred Last name]]="","",COUNTIFS($N$1:$ZZ$1,"*"&amp;CHAR(10)&amp;"Stanine",$N52:$ZZ52,"&gt;=1"))</f>
        <v>5</v>
      </c>
      <c r="L52" s="68">
        <f>IFERROR(AVERAGEIF($N$1:$ZZ$1,"*"&amp;CHAR(10)&amp;"Stanine",$N52:$ZZ52),"")</f>
        <v>5.6</v>
      </c>
      <c r="M52" s="69">
        <f>IF(AND(ISNUMBER(tblY8[[#This Row],[Mean Stanine]]),ISNUMBER(tblY8[[#This Row],[Avg KS2 Band]]),ISNUMBER(SlopeY8)),tblY8[[#This Row],[Mean Stanine]]-(InterceptY8+SlopeY8*tblY8[[#This Row],[Avg KS2 Band]]),"")</f>
        <v>-0.12077024753665</v>
      </c>
      <c r="N52" s="66" t="n">
        <v>19</v>
      </c>
      <c r="O52" s="67">
        <f>IF(ISNUMBER(tblY8[[#This Row],[8C01 - Periodic Table
Raw Score]]),IFERROR(VLOOKUP(ROUND(STANDARDIZE(tblY8[[#This Row],[8C01 - Periodic Table
Raw Score]],AVERAGE(tblY8[[8C01 - Periodic Table
Raw Score]]),_xlfn.STDEV.P(tblY8[[8C01 - Periodic Table
Raw Score]])),9),_Stanine,2),5),"")</f>
        <v>5</v>
      </c>
      <c r="P52" s="66" t="n">
        <v>12</v>
      </c>
      <c r="Q52" s="67">
        <f>IF(ISNUMBER(tblY8[[#This Row],[8P01 - Energy
Raw Score]]),IFERROR(VLOOKUP(ROUND(STANDARDIZE(tblY8[[#This Row],[8P01 - Energy
Raw Score]],AVERAGE(tblY8[[8P01 - Energy
Raw Score]]),_xlfn.STDEV.P(tblY8[[8P01 - Energy
Raw Score]])),9),_Stanine,2),5),"")</f>
        <v>6</v>
      </c>
      <c r="R52" s="66" t="n">
        <v>16</v>
      </c>
      <c r="S52" s="67">
        <f>IF(ISNUMBER(tblY8[[#This Row],[8B01 - Digestion
Raw Score]]),IFERROR(VLOOKUP(ROUND(STANDARDIZE(tblY8[[#This Row],[8B01 - Digestion
Raw Score]],AVERAGE(tblY8[[8B01 - Digestion
Raw Score]]),_xlfn.STDEV.P(tblY8[[8B01 - Digestion
Raw Score]])),9),_Stanine,2),5),"")</f>
        <v>6</v>
      </c>
      <c r="T52" s="66" t="n">
        <v>15</v>
      </c>
      <c r="U52" s="67">
        <f>IF(ISNUMBER(tblY8[[#This Row],[8C02 - Metals and Acids
Raw Score]]),IFERROR(VLOOKUP(ROUND(STANDARDIZE(tblY8[[#This Row],[8C02 - Metals and Acids
Raw Score]],AVERAGE(tblY8[[8C02 - Metals and Acids
Raw Score]]),_xlfn.STDEV.P(tblY8[[8C02 - Metals and Acids
Raw Score]])),9),_Stanine,2),5),"")</f>
        <v>6</v>
      </c>
      <c r="V52" s="66" t="n">
        <v>16</v>
      </c>
      <c r="W52" s="67">
        <f>IF(ISNUMBER(tblY8[[#This Row],[8P02 - Light
Raw Score]]),IFERROR(VLOOKUP(ROUND(STANDARDIZE(tblY8[[#This Row],[8P02 - Light
Raw Score]],AVERAGE(tblY8[[8P02 - Light
Raw Score]]),_xlfn.STDEV.P(tblY8[[8P02 - Light
Raw Score]])),9),_Stanine,2),5),"")</f>
        <v>5</v>
      </c>
    </row>
    <row r="53">
      <c r="A53" s="65" t="inlineStr">
        <is>
          <t>X904715173343</t>
        </is>
      </c>
      <c r="B53" s="65" t="inlineStr">
        <is>
          <t>Wilson</t>
        </is>
      </c>
      <c r="C53" s="65" t="inlineStr">
        <is>
          <t>Ivy</t>
        </is>
      </c>
      <c r="D53" s="66" t="inlineStr">
        <is>
          <t>M</t>
        </is>
      </c>
      <c r="E53" s="66" t="inlineStr">
        <is>
          <t>N</t>
        </is>
      </c>
      <c r="F53" s="66" t="inlineStr">
        <is>
          <t>Y</t>
        </is>
      </c>
      <c r="G53" s="34" t="n">
        <v>85.40000000000001</v>
      </c>
      <c r="H53" s="34" t="n">
        <v>108</v>
      </c>
      <c r="I53" s="67">
        <f>IF(ISNUMBER(tblY8[[#This Row],[Avg KS2]]),IFERROR(VLOOKUP(ROUND(STANDARDIZE(tblY8[[#This Row],[Avg KS2]],AVERAGE(tblY8[[Avg KS2]]),_xlfn.STDEV.P(tblY8[[Avg KS2]])),9),_Stanine,2),5),"")</f>
        <v>6</v>
      </c>
      <c r="J53" s="66" t="inlineStr">
        <is>
          <t>8A/Sc2</t>
        </is>
      </c>
      <c r="K53" s="67">
        <f>IF(tblY8[[#This Row],[Preferred Last name]]="","",COUNTIFS($N$1:$ZZ$1,"*"&amp;CHAR(10)&amp;"Stanine",$N53:$ZZ53,"&gt;=1"))</f>
        <v>4</v>
      </c>
      <c r="L53" s="68">
        <f>IFERROR(AVERAGEIF($N$1:$ZZ$1,"*"&amp;CHAR(10)&amp;"Stanine",$N53:$ZZ53),"")</f>
        <v>5</v>
      </c>
      <c r="M53" s="69">
        <f>IF(AND(ISNUMBER(tblY8[[#This Row],[Mean Stanine]]),ISNUMBER(tblY8[[#This Row],[Avg KS2 Band]]),ISNUMBER(SlopeY8)),tblY8[[#This Row],[Mean Stanine]]-(InterceptY8+SlopeY8*tblY8[[#This Row],[Avg KS2 Band]]),"")</f>
        <v>-0.72077024753665</v>
      </c>
      <c r="N53" s="66" t="n">
        <v>21</v>
      </c>
      <c r="O53" s="67">
        <f>IF(ISNUMBER(tblY8[[#This Row],[8C01 - Periodic Table
Raw Score]]),IFERROR(VLOOKUP(ROUND(STANDARDIZE(tblY8[[#This Row],[8C01 - Periodic Table
Raw Score]],AVERAGE(tblY8[[8C01 - Periodic Table
Raw Score]]),_xlfn.STDEV.P(tblY8[[8C01 - Periodic Table
Raw Score]])),9),_Stanine,2),5),"")</f>
        <v>6</v>
      </c>
      <c r="P53" s="66" t="inlineStr">
        <is>
          <t>A</t>
        </is>
      </c>
      <c r="Q53" s="67" t="str">
        <f>IF(ISNUMBER(tblY8[[#This Row],[8P01 - Energy
Raw Score]]),IFERROR(VLOOKUP(ROUND(STANDARDIZE(tblY8[[#This Row],[8P01 - Energy
Raw Score]],AVERAGE(tblY8[[8P01 - Energy
Raw Score]]),_xlfn.STDEV.P(tblY8[[8P01 - Energy
Raw Score]])),9),_Stanine,2),5),"")</f>
        <v/>
      </c>
      <c r="R53" s="66" t="n">
        <v>14</v>
      </c>
      <c r="S53" s="67">
        <f>IF(ISNUMBER(tblY8[[#This Row],[8B01 - Digestion
Raw Score]]),IFERROR(VLOOKUP(ROUND(STANDARDIZE(tblY8[[#This Row],[8B01 - Digestion
Raw Score]],AVERAGE(tblY8[[8B01 - Digestion
Raw Score]]),_xlfn.STDEV.P(tblY8[[8B01 - Digestion
Raw Score]])),9),_Stanine,2),5),"")</f>
        <v>5</v>
      </c>
      <c r="T53" s="66" t="n">
        <v>10</v>
      </c>
      <c r="U53" s="67">
        <f>IF(ISNUMBER(tblY8[[#This Row],[8C02 - Metals and Acids
Raw Score]]),IFERROR(VLOOKUP(ROUND(STANDARDIZE(tblY8[[#This Row],[8C02 - Metals and Acids
Raw Score]],AVERAGE(tblY8[[8C02 - Metals and Acids
Raw Score]]),_xlfn.STDEV.P(tblY8[[8C02 - Metals and Acids
Raw Score]])),9),_Stanine,2),5),"")</f>
        <v>4</v>
      </c>
      <c r="V53" s="66" t="n">
        <v>15</v>
      </c>
      <c r="W53" s="67">
        <f>IF(ISNUMBER(tblY8[[#This Row],[8P02 - Light
Raw Score]]),IFERROR(VLOOKUP(ROUND(STANDARDIZE(tblY8[[#This Row],[8P02 - Light
Raw Score]],AVERAGE(tblY8[[8P02 - Light
Raw Score]]),_xlfn.STDEV.P(tblY8[[8P02 - Light
Raw Score]])),9),_Stanine,2),5),"")</f>
        <v>5</v>
      </c>
    </row>
    <row r="54">
      <c r="A54" s="65" t="inlineStr">
        <is>
          <t>X906921399090</t>
        </is>
      </c>
      <c r="B54" s="65" t="inlineStr">
        <is>
          <t>Wright</t>
        </is>
      </c>
      <c r="C54" s="65" t="inlineStr">
        <is>
          <t>Arthur</t>
        </is>
      </c>
      <c r="D54" s="66" t="inlineStr">
        <is>
          <t>F</t>
        </is>
      </c>
      <c r="E54" s="66" t="inlineStr">
        <is>
          <t>N</t>
        </is>
      </c>
      <c r="F54" s="66" t="inlineStr">
        <is>
          <t>Y</t>
        </is>
      </c>
      <c r="G54" s="34" t="n">
        <v>98</v>
      </c>
      <c r="H54" s="34" t="n">
        <v>99.5</v>
      </c>
      <c r="I54" s="67">
        <f>IF(ISNUMBER(tblY8[[#This Row],[Avg KS2]]),IFERROR(VLOOKUP(ROUND(STANDARDIZE(tblY8[[#This Row],[Avg KS2]],AVERAGE(tblY8[[Avg KS2]]),_xlfn.STDEV.P(tblY8[[Avg KS2]])),9),_Stanine,2),5),"")</f>
        <v>3</v>
      </c>
      <c r="J54" s="66" t="inlineStr">
        <is>
          <t>8A/Sc2</t>
        </is>
      </c>
      <c r="K54" s="67">
        <f>IF(tblY8[[#This Row],[Preferred Last name]]="","",COUNTIFS($N$1:$ZZ$1,"*"&amp;CHAR(10)&amp;"Stanine",$N54:$ZZ54,"&gt;=1"))</f>
        <v>5</v>
      </c>
      <c r="L54" s="68">
        <f>IFERROR(AVERAGEIF($N$1:$ZZ$1,"*"&amp;CHAR(10)&amp;"Stanine",$N54:$ZZ54),"")</f>
        <v>3</v>
      </c>
      <c r="M54" s="69">
        <f>IF(AND(ISNUMBER(tblY8[[#This Row],[Mean Stanine]]),ISNUMBER(tblY8[[#This Row],[Avg KS2 Band]]),ISNUMBER(SlopeY8)),tblY8[[#This Row],[Mean Stanine]]-(InterceptY8+SlopeY8*tblY8[[#This Row],[Avg KS2 Band]]),"")</f>
        <v>-0.384036289353521</v>
      </c>
      <c r="N54" s="66" t="n">
        <v>16</v>
      </c>
      <c r="O54" s="67">
        <f>IF(ISNUMBER(tblY8[[#This Row],[8C01 - Periodic Table
Raw Score]]),IFERROR(VLOOKUP(ROUND(STANDARDIZE(tblY8[[#This Row],[8C01 - Periodic Table
Raw Score]],AVERAGE(tblY8[[8C01 - Periodic Table
Raw Score]]),_xlfn.STDEV.P(tblY8[[8C01 - Periodic Table
Raw Score]])),9),_Stanine,2),5),"")</f>
        <v>4</v>
      </c>
      <c r="P54" s="66" t="n">
        <v>6</v>
      </c>
      <c r="Q54" s="67">
        <f>IF(ISNUMBER(tblY8[[#This Row],[8P01 - Energy
Raw Score]]),IFERROR(VLOOKUP(ROUND(STANDARDIZE(tblY8[[#This Row],[8P01 - Energy
Raw Score]],AVERAGE(tblY8[[8P01 - Energy
Raw Score]]),_xlfn.STDEV.P(tblY8[[8P01 - Energy
Raw Score]])),9),_Stanine,2),5),"")</f>
        <v>3</v>
      </c>
      <c r="R54" s="66" t="n">
        <v>11</v>
      </c>
      <c r="S54" s="67">
        <f>IF(ISNUMBER(tblY8[[#This Row],[8B01 - Digestion
Raw Score]]),IFERROR(VLOOKUP(ROUND(STANDARDIZE(tblY8[[#This Row],[8B01 - Digestion
Raw Score]],AVERAGE(tblY8[[8B01 - Digestion
Raw Score]]),_xlfn.STDEV.P(tblY8[[8B01 - Digestion
Raw Score]])),9),_Stanine,2),5),"")</f>
        <v>4</v>
      </c>
      <c r="T54" s="66" t="n">
        <v>6</v>
      </c>
      <c r="U54" s="67">
        <f>IF(ISNUMBER(tblY8[[#This Row],[8C02 - Metals and Acids
Raw Score]]),IFERROR(VLOOKUP(ROUND(STANDARDIZE(tblY8[[#This Row],[8C02 - Metals and Acids
Raw Score]],AVERAGE(tblY8[[8C02 - Metals and Acids
Raw Score]]),_xlfn.STDEV.P(tblY8[[8C02 - Metals and Acids
Raw Score]])),9),_Stanine,2),5),"")</f>
        <v>3</v>
      </c>
      <c r="V54" s="66" t="n">
        <v>8</v>
      </c>
      <c r="W54" s="67">
        <f>IF(ISNUMBER(tblY8[[#This Row],[8P02 - Light
Raw Score]]),IFERROR(VLOOKUP(ROUND(STANDARDIZE(tblY8[[#This Row],[8P02 - Light
Raw Score]],AVERAGE(tblY8[[8P02 - Light
Raw Score]]),_xlfn.STDEV.P(tblY8[[8P02 - Light
Raw Score]])),9),_Stanine,2),5),"")</f>
        <v>1</v>
      </c>
    </row>
    <row r="55">
      <c r="A55" s="65" t="inlineStr">
        <is>
          <t>X908478030243</t>
        </is>
      </c>
      <c r="B55" s="65" t="inlineStr">
        <is>
          <t>Begum</t>
        </is>
      </c>
      <c r="C55" s="65" t="inlineStr">
        <is>
          <t>Ethan</t>
        </is>
      </c>
      <c r="D55" s="66" t="inlineStr">
        <is>
          <t>F</t>
        </is>
      </c>
      <c r="E55" s="66" t="inlineStr">
        <is>
          <t>K</t>
        </is>
      </c>
      <c r="F55" s="66" t="inlineStr">
        <is>
          <t>Y</t>
        </is>
      </c>
      <c r="G55" s="34" t="n">
        <v>97.5</v>
      </c>
      <c r="H55" s="34" t="n">
        <v>108</v>
      </c>
      <c r="I55" s="67">
        <f>IF(ISNUMBER(tblY8[[#This Row],[Avg KS2]]),IFERROR(VLOOKUP(ROUND(STANDARDIZE(tblY8[[#This Row],[Avg KS2]],AVERAGE(tblY8[[Avg KS2]]),_xlfn.STDEV.P(tblY8[[Avg KS2]])),9),_Stanine,2),5),"")</f>
        <v>6</v>
      </c>
      <c r="J55" s="66" t="inlineStr">
        <is>
          <t>8A/Sc3</t>
        </is>
      </c>
      <c r="K55" s="67">
        <f>IF(tblY8[[#This Row],[Preferred Last name]]="","",COUNTIFS($N$1:$ZZ$1,"*"&amp;CHAR(10)&amp;"Stanine",$N55:$ZZ55,"&gt;=1"))</f>
        <v>5</v>
      </c>
      <c r="L55" s="68">
        <f>IFERROR(AVERAGEIF($N$1:$ZZ$1,"*"&amp;CHAR(10)&amp;"Stanine",$N55:$ZZ55),"")</f>
        <v>6.6</v>
      </c>
      <c r="M55" s="69">
        <f>IF(AND(ISNUMBER(tblY8[[#This Row],[Mean Stanine]]),ISNUMBER(tblY8[[#This Row],[Avg KS2 Band]]),ISNUMBER(SlopeY8)),tblY8[[#This Row],[Mean Stanine]]-(InterceptY8+SlopeY8*tblY8[[#This Row],[Avg KS2 Band]]),"")</f>
        <v>0.87922975246335</v>
      </c>
      <c r="N55" s="66" t="n">
        <v>23</v>
      </c>
      <c r="O55" s="67">
        <f>IF(ISNUMBER(tblY8[[#This Row],[8C01 - Periodic Table
Raw Score]]),IFERROR(VLOOKUP(ROUND(STANDARDIZE(tblY8[[#This Row],[8C01 - Periodic Table
Raw Score]],AVERAGE(tblY8[[8C01 - Periodic Table
Raw Score]]),_xlfn.STDEV.P(tblY8[[8C01 - Periodic Table
Raw Score]])),9),_Stanine,2),5),"")</f>
        <v>7</v>
      </c>
      <c r="P55" s="66" t="n">
        <v>12</v>
      </c>
      <c r="Q55" s="67">
        <f>IF(ISNUMBER(tblY8[[#This Row],[8P01 - Energy
Raw Score]]),IFERROR(VLOOKUP(ROUND(STANDARDIZE(tblY8[[#This Row],[8P01 - Energy
Raw Score]],AVERAGE(tblY8[[8P01 - Energy
Raw Score]]),_xlfn.STDEV.P(tblY8[[8P01 - Energy
Raw Score]])),9),_Stanine,2),5),"")</f>
        <v>6</v>
      </c>
      <c r="R55" s="66" t="n">
        <v>19</v>
      </c>
      <c r="S55" s="67">
        <f>IF(ISNUMBER(tblY8[[#This Row],[8B01 - Digestion
Raw Score]]),IFERROR(VLOOKUP(ROUND(STANDARDIZE(tblY8[[#This Row],[8B01 - Digestion
Raw Score]],AVERAGE(tblY8[[8B01 - Digestion
Raw Score]]),_xlfn.STDEV.P(tblY8[[8B01 - Digestion
Raw Score]])),9),_Stanine,2),5),"")</f>
        <v>7</v>
      </c>
      <c r="T55" s="66" t="n">
        <v>16</v>
      </c>
      <c r="U55" s="67">
        <f>IF(ISNUMBER(tblY8[[#This Row],[8C02 - Metals and Acids
Raw Score]]),IFERROR(VLOOKUP(ROUND(STANDARDIZE(tblY8[[#This Row],[8C02 - Metals and Acids
Raw Score]],AVERAGE(tblY8[[8C02 - Metals and Acids
Raw Score]]),_xlfn.STDEV.P(tblY8[[8C02 - Metals and Acids
Raw Score]])),9),_Stanine,2),5),"")</f>
        <v>7</v>
      </c>
      <c r="V55" s="66" t="n">
        <v>18</v>
      </c>
      <c r="W55" s="67">
        <f>IF(ISNUMBER(tblY8[[#This Row],[8P02 - Light
Raw Score]]),IFERROR(VLOOKUP(ROUND(STANDARDIZE(tblY8[[#This Row],[8P02 - Light
Raw Score]],AVERAGE(tblY8[[8P02 - Light
Raw Score]]),_xlfn.STDEV.P(tblY8[[8P02 - Light
Raw Score]])),9),_Stanine,2),5),"")</f>
        <v>6</v>
      </c>
    </row>
    <row r="56">
      <c r="A56" s="65" t="inlineStr">
        <is>
          <t>X908666421864</t>
        </is>
      </c>
      <c r="B56" s="65" t="inlineStr">
        <is>
          <t>Brown</t>
        </is>
      </c>
      <c r="C56" s="65" t="inlineStr">
        <is>
          <t>George</t>
        </is>
      </c>
      <c r="D56" s="66" t="inlineStr">
        <is>
          <t>F</t>
        </is>
      </c>
      <c r="E56" s="66" t="inlineStr">
        <is>
          <t>N</t>
        </is>
      </c>
      <c r="F56" s="66" t="inlineStr">
        <is>
          <t>N</t>
        </is>
      </c>
      <c r="G56" s="34" t="n">
        <v>93.8</v>
      </c>
      <c r="H56" s="34" t="n">
        <v>104.5</v>
      </c>
      <c r="I56" s="67">
        <f>IF(ISNUMBER(tblY8[[#This Row],[Avg KS2]]),IFERROR(VLOOKUP(ROUND(STANDARDIZE(tblY8[[#This Row],[Avg KS2]],AVERAGE(tblY8[[Avg KS2]]),_xlfn.STDEV.P(tblY8[[Avg KS2]])),9),_Stanine,2),5),"")</f>
        <v>5</v>
      </c>
      <c r="J56" s="66" t="inlineStr">
        <is>
          <t>8A/Sc3</t>
        </is>
      </c>
      <c r="K56" s="67">
        <f>IF(tblY8[[#This Row],[Preferred Last name]]="","",COUNTIFS($N$1:$ZZ$1,"*"&amp;CHAR(10)&amp;"Stanine",$N56:$ZZ56,"&gt;=1"))</f>
        <v>5</v>
      </c>
      <c r="L56" s="68">
        <f>IFERROR(AVERAGEIF($N$1:$ZZ$1,"*"&amp;CHAR(10)&amp;"Stanine",$N56:$ZZ56),"")</f>
        <v>3.4</v>
      </c>
      <c r="M56" s="69">
        <f>IF(AND(ISNUMBER(tblY8[[#This Row],[Mean Stanine]]),ISNUMBER(tblY8[[#This Row],[Avg KS2 Band]]),ISNUMBER(SlopeY8)),tblY8[[#This Row],[Mean Stanine]]-(InterceptY8+SlopeY8*tblY8[[#This Row],[Avg KS2 Band]]),"")</f>
        <v>-1.54185892814227</v>
      </c>
      <c r="N56" s="66" t="n">
        <v>13</v>
      </c>
      <c r="O56" s="67">
        <f>IF(ISNUMBER(tblY8[[#This Row],[8C01 - Periodic Table
Raw Score]]),IFERROR(VLOOKUP(ROUND(STANDARDIZE(tblY8[[#This Row],[8C01 - Periodic Table
Raw Score]],AVERAGE(tblY8[[8C01 - Periodic Table
Raw Score]]),_xlfn.STDEV.P(tblY8[[8C01 - Periodic Table
Raw Score]])),9),_Stanine,2),5),"")</f>
        <v>3</v>
      </c>
      <c r="P56" s="66" t="n">
        <v>8</v>
      </c>
      <c r="Q56" s="67">
        <f>IF(ISNUMBER(tblY8[[#This Row],[8P01 - Energy
Raw Score]]),IFERROR(VLOOKUP(ROUND(STANDARDIZE(tblY8[[#This Row],[8P01 - Energy
Raw Score]],AVERAGE(tblY8[[8P01 - Energy
Raw Score]]),_xlfn.STDEV.P(tblY8[[8P01 - Energy
Raw Score]])),9),_Stanine,2),5),"")</f>
        <v>4</v>
      </c>
      <c r="R56" s="66" t="n">
        <v>9</v>
      </c>
      <c r="S56" s="67">
        <f>IF(ISNUMBER(tblY8[[#This Row],[8B01 - Digestion
Raw Score]]),IFERROR(VLOOKUP(ROUND(STANDARDIZE(tblY8[[#This Row],[8B01 - Digestion
Raw Score]],AVERAGE(tblY8[[8B01 - Digestion
Raw Score]]),_xlfn.STDEV.P(tblY8[[8B01 - Digestion
Raw Score]])),9),_Stanine,2),5),"")</f>
        <v>3</v>
      </c>
      <c r="T56" s="66" t="n">
        <v>9</v>
      </c>
      <c r="U56" s="67">
        <f>IF(ISNUMBER(tblY8[[#This Row],[8C02 - Metals and Acids
Raw Score]]),IFERROR(VLOOKUP(ROUND(STANDARDIZE(tblY8[[#This Row],[8C02 - Metals and Acids
Raw Score]],AVERAGE(tblY8[[8C02 - Metals and Acids
Raw Score]]),_xlfn.STDEV.P(tblY8[[8C02 - Metals and Acids
Raw Score]])),9),_Stanine,2),5),"")</f>
        <v>4</v>
      </c>
      <c r="V56" s="66" t="n">
        <v>12</v>
      </c>
      <c r="W56" s="67">
        <f>IF(ISNUMBER(tblY8[[#This Row],[8P02 - Light
Raw Score]]),IFERROR(VLOOKUP(ROUND(STANDARDIZE(tblY8[[#This Row],[8P02 - Light
Raw Score]],AVERAGE(tblY8[[8P02 - Light
Raw Score]]),_xlfn.STDEV.P(tblY8[[8P02 - Light
Raw Score]])),9),_Stanine,2),5),"")</f>
        <v>3</v>
      </c>
    </row>
    <row r="57">
      <c r="A57" s="65" t="inlineStr">
        <is>
          <t>X903772738381</t>
        </is>
      </c>
      <c r="B57" s="65" t="inlineStr">
        <is>
          <t>Clarke</t>
        </is>
      </c>
      <c r="C57" s="65" t="inlineStr">
        <is>
          <t>Sami</t>
        </is>
      </c>
      <c r="D57" s="66" t="inlineStr">
        <is>
          <t>M</t>
        </is>
      </c>
      <c r="E57" s="66" t="inlineStr">
        <is>
          <t>K</t>
        </is>
      </c>
      <c r="F57" s="66" t="inlineStr">
        <is>
          <t>N</t>
        </is>
      </c>
      <c r="G57" s="34" t="n">
        <v>90.09999999999999</v>
      </c>
      <c r="H57" s="34" t="n">
        <v>102</v>
      </c>
      <c r="I57" s="67">
        <f>IF(ISNUMBER(tblY8[[#This Row],[Avg KS2]]),IFERROR(VLOOKUP(ROUND(STANDARDIZE(tblY8[[#This Row],[Avg KS2]],AVERAGE(tblY8[[Avg KS2]]),_xlfn.STDEV.P(tblY8[[Avg KS2]])),9),_Stanine,2),5),"")</f>
        <v>4</v>
      </c>
      <c r="J57" s="66" t="inlineStr">
        <is>
          <t>8A/Sc3</t>
        </is>
      </c>
      <c r="K57" s="67">
        <f>IF(tblY8[[#This Row],[Preferred Last name]]="","",COUNTIFS($N$1:$ZZ$1,"*"&amp;CHAR(10)&amp;"Stanine",$N57:$ZZ57,"&gt;=1"))</f>
        <v>5</v>
      </c>
      <c r="L57" s="68">
        <f>IFERROR(AVERAGEIF($N$1:$ZZ$1,"*"&amp;CHAR(10)&amp;"Stanine",$N57:$ZZ57),"")</f>
        <v>4.2</v>
      </c>
      <c r="M57" s="69">
        <f>IF(AND(ISNUMBER(tblY8[[#This Row],[Mean Stanine]]),ISNUMBER(tblY8[[#This Row],[Avg KS2 Band]]),ISNUMBER(SlopeY8)),tblY8[[#This Row],[Mean Stanine]]-(InterceptY8+SlopeY8*tblY8[[#This Row],[Avg KS2 Band]]),"")</f>
        <v>0.0370523912521028</v>
      </c>
      <c r="N57" s="66" t="n">
        <v>18</v>
      </c>
      <c r="O57" s="67">
        <f>IF(ISNUMBER(tblY8[[#This Row],[8C01 - Periodic Table
Raw Score]]),IFERROR(VLOOKUP(ROUND(STANDARDIZE(tblY8[[#This Row],[8C01 - Periodic Table
Raw Score]],AVERAGE(tblY8[[8C01 - Periodic Table
Raw Score]]),_xlfn.STDEV.P(tblY8[[8C01 - Periodic Table
Raw Score]])),9),_Stanine,2),5),"")</f>
        <v>5</v>
      </c>
      <c r="P57" s="66" t="n">
        <v>7</v>
      </c>
      <c r="Q57" s="67">
        <f>IF(ISNUMBER(tblY8[[#This Row],[8P01 - Energy
Raw Score]]),IFERROR(VLOOKUP(ROUND(STANDARDIZE(tblY8[[#This Row],[8P01 - Energy
Raw Score]],AVERAGE(tblY8[[8P01 - Energy
Raw Score]]),_xlfn.STDEV.P(tblY8[[8P01 - Energy
Raw Score]])),9),_Stanine,2),5),"")</f>
        <v>4</v>
      </c>
      <c r="R57" s="66" t="n">
        <v>7</v>
      </c>
      <c r="S57" s="67">
        <f>IF(ISNUMBER(tblY8[[#This Row],[8B01 - Digestion
Raw Score]]),IFERROR(VLOOKUP(ROUND(STANDARDIZE(tblY8[[#This Row],[8B01 - Digestion
Raw Score]],AVERAGE(tblY8[[8B01 - Digestion
Raw Score]]),_xlfn.STDEV.P(tblY8[[8B01 - Digestion
Raw Score]])),9),_Stanine,2),5),"")</f>
        <v>3</v>
      </c>
      <c r="T57" s="66" t="n">
        <v>11</v>
      </c>
      <c r="U57" s="67">
        <f>IF(ISNUMBER(tblY8[[#This Row],[8C02 - Metals and Acids
Raw Score]]),IFERROR(VLOOKUP(ROUND(STANDARDIZE(tblY8[[#This Row],[8C02 - Metals and Acids
Raw Score]],AVERAGE(tblY8[[8C02 - Metals and Acids
Raw Score]]),_xlfn.STDEV.P(tblY8[[8C02 - Metals and Acids
Raw Score]])),9),_Stanine,2),5),"")</f>
        <v>5</v>
      </c>
      <c r="V57" s="66" t="n">
        <v>14</v>
      </c>
      <c r="W57" s="67">
        <f>IF(ISNUMBER(tblY8[[#This Row],[8P02 - Light
Raw Score]]),IFERROR(VLOOKUP(ROUND(STANDARDIZE(tblY8[[#This Row],[8P02 - Light
Raw Score]],AVERAGE(tblY8[[8P02 - Light
Raw Score]]),_xlfn.STDEV.P(tblY8[[8P02 - Light
Raw Score]])),9),_Stanine,2),5),"")</f>
        <v>4</v>
      </c>
    </row>
    <row r="58">
      <c r="A58" s="65" t="inlineStr">
        <is>
          <t>X909590344037</t>
        </is>
      </c>
      <c r="B58" s="65" t="inlineStr">
        <is>
          <t>Cooper</t>
        </is>
      </c>
      <c r="C58" s="65" t="inlineStr">
        <is>
          <t>Ava</t>
        </is>
      </c>
      <c r="D58" s="66" t="inlineStr">
        <is>
          <t>F</t>
        </is>
      </c>
      <c r="E58" s="66" t="inlineStr">
        <is>
          <t>N</t>
        </is>
      </c>
      <c r="F58" s="66" t="inlineStr">
        <is>
          <t>N</t>
        </is>
      </c>
      <c r="G58" s="34" t="n">
        <v>95.7</v>
      </c>
      <c r="H58" s="34" t="n">
        <v>105</v>
      </c>
      <c r="I58" s="67">
        <f>IF(ISNUMBER(tblY8[[#This Row],[Avg KS2]]),IFERROR(VLOOKUP(ROUND(STANDARDIZE(tblY8[[#This Row],[Avg KS2]],AVERAGE(tblY8[[Avg KS2]]),_xlfn.STDEV.P(tblY8[[Avg KS2]])),9),_Stanine,2),5),"")</f>
        <v>5</v>
      </c>
      <c r="J58" s="66" t="inlineStr">
        <is>
          <t>8A/Sc3</t>
        </is>
      </c>
      <c r="K58" s="67">
        <f>IF(tblY8[[#This Row],[Preferred Last name]]="","",COUNTIFS($N$1:$ZZ$1,"*"&amp;CHAR(10)&amp;"Stanine",$N58:$ZZ58,"&gt;=1"))</f>
        <v>5</v>
      </c>
      <c r="L58" s="68">
        <f>IFERROR(AVERAGEIF($N$1:$ZZ$1,"*"&amp;CHAR(10)&amp;"Stanine",$N58:$ZZ58),"")</f>
        <v>3.2</v>
      </c>
      <c r="M58" s="69">
        <f>IF(AND(ISNUMBER(tblY8[[#This Row],[Mean Stanine]]),ISNUMBER(tblY8[[#This Row],[Avg KS2 Band]]),ISNUMBER(SlopeY8)),tblY8[[#This Row],[Mean Stanine]]-(InterceptY8+SlopeY8*tblY8[[#This Row],[Avg KS2 Band]]),"")</f>
        <v>-1.74185892814227</v>
      </c>
      <c r="N58" s="66" t="n">
        <v>17</v>
      </c>
      <c r="O58" s="67">
        <f>IF(ISNUMBER(tblY8[[#This Row],[8C01 - Periodic Table
Raw Score]]),IFERROR(VLOOKUP(ROUND(STANDARDIZE(tblY8[[#This Row],[8C01 - Periodic Table
Raw Score]],AVERAGE(tblY8[[8C01 - Periodic Table
Raw Score]]),_xlfn.STDEV.P(tblY8[[8C01 - Periodic Table
Raw Score]])),9),_Stanine,2),5),"")</f>
        <v>5</v>
      </c>
      <c r="P58" s="66" t="n">
        <v>8</v>
      </c>
      <c r="Q58" s="67">
        <f>IF(ISNUMBER(tblY8[[#This Row],[8P01 - Energy
Raw Score]]),IFERROR(VLOOKUP(ROUND(STANDARDIZE(tblY8[[#This Row],[8P01 - Energy
Raw Score]],AVERAGE(tblY8[[8P01 - Energy
Raw Score]]),_xlfn.STDEV.P(tblY8[[8P01 - Energy
Raw Score]])),9),_Stanine,2),5),"")</f>
        <v>4</v>
      </c>
      <c r="R58" s="66" t="n">
        <v>5</v>
      </c>
      <c r="S58" s="67">
        <f>IF(ISNUMBER(tblY8[[#This Row],[8B01 - Digestion
Raw Score]]),IFERROR(VLOOKUP(ROUND(STANDARDIZE(tblY8[[#This Row],[8B01 - Digestion
Raw Score]],AVERAGE(tblY8[[8B01 - Digestion
Raw Score]]),_xlfn.STDEV.P(tblY8[[8B01 - Digestion
Raw Score]])),9),_Stanine,2),5),"")</f>
        <v>2</v>
      </c>
      <c r="T58" s="66" t="n">
        <v>5</v>
      </c>
      <c r="U58" s="67">
        <f>IF(ISNUMBER(tblY8[[#This Row],[8C02 - Metals and Acids
Raw Score]]),IFERROR(VLOOKUP(ROUND(STANDARDIZE(tblY8[[#This Row],[8C02 - Metals and Acids
Raw Score]],AVERAGE(tblY8[[8C02 - Metals and Acids
Raw Score]]),_xlfn.STDEV.P(tblY8[[8C02 - Metals and Acids
Raw Score]])),9),_Stanine,2),5),"")</f>
        <v>3</v>
      </c>
      <c r="V58" s="66" t="n">
        <v>10</v>
      </c>
      <c r="W58" s="67">
        <f>IF(ISNUMBER(tblY8[[#This Row],[8P02 - Light
Raw Score]]),IFERROR(VLOOKUP(ROUND(STANDARDIZE(tblY8[[#This Row],[8P02 - Light
Raw Score]],AVERAGE(tblY8[[8P02 - Light
Raw Score]]),_xlfn.STDEV.P(tblY8[[8P02 - Light
Raw Score]])),9),_Stanine,2),5),"")</f>
        <v>2</v>
      </c>
    </row>
    <row r="59">
      <c r="A59" s="65" t="inlineStr">
        <is>
          <t>X904097842862</t>
        </is>
      </c>
      <c r="B59" s="65" t="inlineStr">
        <is>
          <t>Cooper</t>
        </is>
      </c>
      <c r="C59" s="65" t="inlineStr">
        <is>
          <t>Reuben</t>
        </is>
      </c>
      <c r="D59" s="66" t="inlineStr">
        <is>
          <t>M</t>
        </is>
      </c>
      <c r="E59" s="66" t="n"/>
      <c r="F59" s="66" t="inlineStr">
        <is>
          <t>N</t>
        </is>
      </c>
      <c r="G59" s="34" t="n">
        <v>100</v>
      </c>
      <c r="H59" s="34" t="inlineStr">
        <is>
          <t>No Data</t>
        </is>
      </c>
      <c r="I59" s="67" t="str">
        <f>IF(ISNUMBER(tblY8[[#This Row],[Avg KS2]]),IFERROR(VLOOKUP(ROUND(STANDARDIZE(tblY8[[#This Row],[Avg KS2]],AVERAGE(tblY8[[Avg KS2]]),_xlfn.STDEV.P(tblY8[[Avg KS2]])),9),_Stanine,2),5),"")</f>
        <v/>
      </c>
      <c r="J59" s="66" t="inlineStr">
        <is>
          <t>8A/Sc3</t>
        </is>
      </c>
      <c r="K59" s="67">
        <f>IF(tblY8[[#This Row],[Preferred Last name]]="","",COUNTIFS($N$1:$ZZ$1,"*"&amp;CHAR(10)&amp;"Stanine",$N59:$ZZ59,"&gt;=1"))</f>
        <v>5</v>
      </c>
      <c r="L59" s="68">
        <f>IFERROR(AVERAGEIF($N$1:$ZZ$1,"*"&amp;CHAR(10)&amp;"Stanine",$N59:$ZZ59),"")</f>
        <v>2.8</v>
      </c>
      <c r="M59" s="69" t="str">
        <f>IF(AND(ISNUMBER(tblY8[[#This Row],[Mean Stanine]]),ISNUMBER(tblY8[[#This Row],[Avg KS2 Band]]),ISNUMBER(SlopeY8)),tblY8[[#This Row],[Mean Stanine]]-(InterceptY8+SlopeY8*tblY8[[#This Row],[Avg KS2 Band]]),"")</f>
        <v/>
      </c>
      <c r="N59" s="66" t="n">
        <v>9</v>
      </c>
      <c r="O59" s="67">
        <f>IF(ISNUMBER(tblY8[[#This Row],[8C01 - Periodic Table
Raw Score]]),IFERROR(VLOOKUP(ROUND(STANDARDIZE(tblY8[[#This Row],[8C01 - Periodic Table
Raw Score]],AVERAGE(tblY8[[8C01 - Periodic Table
Raw Score]]),_xlfn.STDEV.P(tblY8[[8C01 - Periodic Table
Raw Score]])),9),_Stanine,2),5),"")</f>
        <v>2</v>
      </c>
      <c r="P59" s="66" t="n">
        <v>6</v>
      </c>
      <c r="Q59" s="67">
        <f>IF(ISNUMBER(tblY8[[#This Row],[8P01 - Energy
Raw Score]]),IFERROR(VLOOKUP(ROUND(STANDARDIZE(tblY8[[#This Row],[8P01 - Energy
Raw Score]],AVERAGE(tblY8[[8P01 - Energy
Raw Score]]),_xlfn.STDEV.P(tblY8[[8P01 - Energy
Raw Score]])),9),_Stanine,2),5),"")</f>
        <v>3</v>
      </c>
      <c r="R59" s="66" t="n">
        <v>11</v>
      </c>
      <c r="S59" s="67">
        <f>IF(ISNUMBER(tblY8[[#This Row],[8B01 - Digestion
Raw Score]]),IFERROR(VLOOKUP(ROUND(STANDARDIZE(tblY8[[#This Row],[8B01 - Digestion
Raw Score]],AVERAGE(tblY8[[8B01 - Digestion
Raw Score]]),_xlfn.STDEV.P(tblY8[[8B01 - Digestion
Raw Score]])),9),_Stanine,2),5),"")</f>
        <v>4</v>
      </c>
      <c r="T59" s="66" t="n">
        <v>6</v>
      </c>
      <c r="U59" s="67">
        <f>IF(ISNUMBER(tblY8[[#This Row],[8C02 - Metals and Acids
Raw Score]]),IFERROR(VLOOKUP(ROUND(STANDARDIZE(tblY8[[#This Row],[8C02 - Metals and Acids
Raw Score]],AVERAGE(tblY8[[8C02 - Metals and Acids
Raw Score]]),_xlfn.STDEV.P(tblY8[[8C02 - Metals and Acids
Raw Score]])),9),_Stanine,2),5),"")</f>
        <v>3</v>
      </c>
      <c r="V59" s="66" t="n">
        <v>9</v>
      </c>
      <c r="W59" s="67">
        <f>IF(ISNUMBER(tblY8[[#This Row],[8P02 - Light
Raw Score]]),IFERROR(VLOOKUP(ROUND(STANDARDIZE(tblY8[[#This Row],[8P02 - Light
Raw Score]],AVERAGE(tblY8[[8P02 - Light
Raw Score]]),_xlfn.STDEV.P(tblY8[[8P02 - Light
Raw Score]])),9),_Stanine,2),5),"")</f>
        <v>2</v>
      </c>
    </row>
    <row r="60">
      <c r="A60" s="65" t="inlineStr">
        <is>
          <t>X903960377630</t>
        </is>
      </c>
      <c r="B60" s="65" t="inlineStr">
        <is>
          <t>Davies</t>
        </is>
      </c>
      <c r="C60" s="65" t="inlineStr">
        <is>
          <t>Isla</t>
        </is>
      </c>
      <c r="D60" s="66" t="inlineStr">
        <is>
          <t>F</t>
        </is>
      </c>
      <c r="E60" s="66" t="inlineStr">
        <is>
          <t>N</t>
        </is>
      </c>
      <c r="F60" s="66" t="inlineStr">
        <is>
          <t>Y</t>
        </is>
      </c>
      <c r="G60" s="34" t="n">
        <v>96.59999999999999</v>
      </c>
      <c r="H60" s="34" t="n">
        <v>110</v>
      </c>
      <c r="I60" s="67">
        <f>IF(ISNUMBER(tblY8[[#This Row],[Avg KS2]]),IFERROR(VLOOKUP(ROUND(STANDARDIZE(tblY8[[#This Row],[Avg KS2]],AVERAGE(tblY8[[Avg KS2]]),_xlfn.STDEV.P(tblY8[[Avg KS2]])),9),_Stanine,2),5),"")</f>
        <v>7</v>
      </c>
      <c r="J60" s="66" t="inlineStr">
        <is>
          <t>8A/Sc3</t>
        </is>
      </c>
      <c r="K60" s="67">
        <f>IF(tblY8[[#This Row],[Preferred Last name]]="","",COUNTIFS($N$1:$ZZ$1,"*"&amp;CHAR(10)&amp;"Stanine",$N60:$ZZ60,"&gt;=1"))</f>
        <v>5</v>
      </c>
      <c r="L60" s="68">
        <f>IFERROR(AVERAGEIF($N$1:$ZZ$1,"*"&amp;CHAR(10)&amp;"Stanine",$N60:$ZZ60),"")</f>
        <v>4.4</v>
      </c>
      <c r="M60" s="69">
        <f>IF(AND(ISNUMBER(tblY8[[#This Row],[Mean Stanine]]),ISNUMBER(tblY8[[#This Row],[Avg KS2 Band]]),ISNUMBER(SlopeY8)),tblY8[[#This Row],[Mean Stanine]]-(InterceptY8+SlopeY8*tblY8[[#This Row],[Avg KS2 Band]]),"")</f>
        <v>-2.09968156693103</v>
      </c>
      <c r="N60" s="66" t="n">
        <v>20</v>
      </c>
      <c r="O60" s="67">
        <f>IF(ISNUMBER(tblY8[[#This Row],[8C01 - Periodic Table
Raw Score]]),IFERROR(VLOOKUP(ROUND(STANDARDIZE(tblY8[[#This Row],[8C01 - Periodic Table
Raw Score]],AVERAGE(tblY8[[8C01 - Periodic Table
Raw Score]]),_xlfn.STDEV.P(tblY8[[8C01 - Periodic Table
Raw Score]])),9),_Stanine,2),5),"")</f>
        <v>6</v>
      </c>
      <c r="P60" s="66" t="n">
        <v>7</v>
      </c>
      <c r="Q60" s="67">
        <f>IF(ISNUMBER(tblY8[[#This Row],[8P01 - Energy
Raw Score]]),IFERROR(VLOOKUP(ROUND(STANDARDIZE(tblY8[[#This Row],[8P01 - Energy
Raw Score]],AVERAGE(tblY8[[8P01 - Energy
Raw Score]]),_xlfn.STDEV.P(tblY8[[8P01 - Energy
Raw Score]])),9),_Stanine,2),5),"")</f>
        <v>4</v>
      </c>
      <c r="R60" s="66" t="n">
        <v>14</v>
      </c>
      <c r="S60" s="67">
        <f>IF(ISNUMBER(tblY8[[#This Row],[8B01 - Digestion
Raw Score]]),IFERROR(VLOOKUP(ROUND(STANDARDIZE(tblY8[[#This Row],[8B01 - Digestion
Raw Score]],AVERAGE(tblY8[[8B01 - Digestion
Raw Score]]),_xlfn.STDEV.P(tblY8[[8B01 - Digestion
Raw Score]])),9),_Stanine,2),5),"")</f>
        <v>5</v>
      </c>
      <c r="T60" s="66" t="n">
        <v>10</v>
      </c>
      <c r="U60" s="67">
        <f>IF(ISNUMBER(tblY8[[#This Row],[8C02 - Metals and Acids
Raw Score]]),IFERROR(VLOOKUP(ROUND(STANDARDIZE(tblY8[[#This Row],[8C02 - Metals and Acids
Raw Score]],AVERAGE(tblY8[[8C02 - Metals and Acids
Raw Score]]),_xlfn.STDEV.P(tblY8[[8C02 - Metals and Acids
Raw Score]])),9),_Stanine,2),5),"")</f>
        <v>4</v>
      </c>
      <c r="V60" s="66" t="n">
        <v>12</v>
      </c>
      <c r="W60" s="67">
        <f>IF(ISNUMBER(tblY8[[#This Row],[8P02 - Light
Raw Score]]),IFERROR(VLOOKUP(ROUND(STANDARDIZE(tblY8[[#This Row],[8P02 - Light
Raw Score]],AVERAGE(tblY8[[8P02 - Light
Raw Score]]),_xlfn.STDEV.P(tblY8[[8P02 - Light
Raw Score]])),9),_Stanine,2),5),"")</f>
        <v>3</v>
      </c>
    </row>
    <row r="61">
      <c r="A61" s="65" t="inlineStr">
        <is>
          <t>X904744189952</t>
        </is>
      </c>
      <c r="B61" s="65" t="inlineStr">
        <is>
          <t>Green</t>
        </is>
      </c>
      <c r="C61" s="65" t="inlineStr">
        <is>
          <t>Oliver</t>
        </is>
      </c>
      <c r="D61" s="66" t="inlineStr">
        <is>
          <t>M</t>
        </is>
      </c>
      <c r="E61" s="66" t="n"/>
      <c r="F61" s="66" t="inlineStr">
        <is>
          <t>N</t>
        </is>
      </c>
      <c r="G61" s="34" t="n">
        <v>100</v>
      </c>
      <c r="H61" s="34" t="n">
        <v>97</v>
      </c>
      <c r="I61" s="67">
        <f>IF(ISNUMBER(tblY8[[#This Row],[Avg KS2]]),IFERROR(VLOOKUP(ROUND(STANDARDIZE(tblY8[[#This Row],[Avg KS2]],AVERAGE(tblY8[[Avg KS2]]),_xlfn.STDEV.P(tblY8[[Avg KS2]])),9),_Stanine,2),5),"")</f>
        <v>2</v>
      </c>
      <c r="J61" s="66" t="inlineStr">
        <is>
          <t>8A/Sc3</t>
        </is>
      </c>
      <c r="K61" s="67">
        <f>IF(tblY8[[#This Row],[Preferred Last name]]="","",COUNTIFS($N$1:$ZZ$1,"*"&amp;CHAR(10)&amp;"Stanine",$N61:$ZZ61,"&gt;=1"))</f>
        <v>5</v>
      </c>
      <c r="L61" s="68">
        <f>IFERROR(AVERAGEIF($N$1:$ZZ$1,"*"&amp;CHAR(10)&amp;"Stanine",$N61:$ZZ61),"")</f>
        <v>2</v>
      </c>
      <c r="M61" s="69">
        <f>IF(AND(ISNUMBER(tblY8[[#This Row],[Mean Stanine]]),ISNUMBER(tblY8[[#This Row],[Avg KS2 Band]]),ISNUMBER(SlopeY8)),tblY8[[#This Row],[Mean Stanine]]-(InterceptY8+SlopeY8*tblY8[[#This Row],[Avg KS2 Band]]),"")</f>
        <v>-0.605124969959145</v>
      </c>
      <c r="N61" s="66" t="n">
        <v>10</v>
      </c>
      <c r="O61" s="67">
        <f>IF(ISNUMBER(tblY8[[#This Row],[8C01 - Periodic Table
Raw Score]]),IFERROR(VLOOKUP(ROUND(STANDARDIZE(tblY8[[#This Row],[8C01 - Periodic Table
Raw Score]],AVERAGE(tblY8[[8C01 - Periodic Table
Raw Score]]),_xlfn.STDEV.P(tblY8[[8C01 - Periodic Table
Raw Score]])),9),_Stanine,2),5),"")</f>
        <v>2</v>
      </c>
      <c r="P61" s="66" t="n">
        <v>3</v>
      </c>
      <c r="Q61" s="67">
        <f>IF(ISNUMBER(tblY8[[#This Row],[8P01 - Energy
Raw Score]]),IFERROR(VLOOKUP(ROUND(STANDARDIZE(tblY8[[#This Row],[8P01 - Energy
Raw Score]],AVERAGE(tblY8[[8P01 - Energy
Raw Score]]),_xlfn.STDEV.P(tblY8[[8P01 - Energy
Raw Score]])),9),_Stanine,2),5),"")</f>
        <v>2</v>
      </c>
      <c r="R61" s="66" t="n">
        <v>6</v>
      </c>
      <c r="S61" s="67">
        <f>IF(ISNUMBER(tblY8[[#This Row],[8B01 - Digestion
Raw Score]]),IFERROR(VLOOKUP(ROUND(STANDARDIZE(tblY8[[#This Row],[8B01 - Digestion
Raw Score]],AVERAGE(tblY8[[8B01 - Digestion
Raw Score]]),_xlfn.STDEV.P(tblY8[[8B01 - Digestion
Raw Score]])),9),_Stanine,2),5),"")</f>
        <v>2</v>
      </c>
      <c r="T61" s="66" t="n">
        <v>4</v>
      </c>
      <c r="U61" s="67">
        <f>IF(ISNUMBER(tblY8[[#This Row],[8C02 - Metals and Acids
Raw Score]]),IFERROR(VLOOKUP(ROUND(STANDARDIZE(tblY8[[#This Row],[8C02 - Metals and Acids
Raw Score]],AVERAGE(tblY8[[8C02 - Metals and Acids
Raw Score]]),_xlfn.STDEV.P(tblY8[[8C02 - Metals and Acids
Raw Score]])),9),_Stanine,2),5),"")</f>
        <v>2</v>
      </c>
      <c r="V61" s="66" t="n">
        <v>10</v>
      </c>
      <c r="W61" s="67">
        <f>IF(ISNUMBER(tblY8[[#This Row],[8P02 - Light
Raw Score]]),IFERROR(VLOOKUP(ROUND(STANDARDIZE(tblY8[[#This Row],[8P02 - Light
Raw Score]],AVERAGE(tblY8[[8P02 - Light
Raw Score]]),_xlfn.STDEV.P(tblY8[[8P02 - Light
Raw Score]])),9),_Stanine,2),5),"")</f>
        <v>2</v>
      </c>
    </row>
    <row r="62">
      <c r="A62" s="65" t="inlineStr">
        <is>
          <t>X900199228588</t>
        </is>
      </c>
      <c r="B62" s="65" t="inlineStr">
        <is>
          <t>Harrison</t>
        </is>
      </c>
      <c r="C62" s="65" t="inlineStr">
        <is>
          <t>Zofia</t>
        </is>
      </c>
      <c r="D62" s="66" t="inlineStr">
        <is>
          <t>F</t>
        </is>
      </c>
      <c r="E62" s="66" t="inlineStr">
        <is>
          <t>N</t>
        </is>
      </c>
      <c r="F62" s="66" t="inlineStr">
        <is>
          <t>N</t>
        </is>
      </c>
      <c r="G62" s="34" t="n">
        <v>93.09999999999999</v>
      </c>
      <c r="H62" s="34" t="n">
        <v>100.5</v>
      </c>
      <c r="I62" s="67">
        <f>IF(ISNUMBER(tblY8[[#This Row],[Avg KS2]]),IFERROR(VLOOKUP(ROUND(STANDARDIZE(tblY8[[#This Row],[Avg KS2]],AVERAGE(tblY8[[Avg KS2]]),_xlfn.STDEV.P(tblY8[[Avg KS2]])),9),_Stanine,2),5),"")</f>
        <v>3</v>
      </c>
      <c r="J62" s="66" t="inlineStr">
        <is>
          <t>8A/Sc3</t>
        </is>
      </c>
      <c r="K62" s="67">
        <f>IF(tblY8[[#This Row],[Preferred Last name]]="","",COUNTIFS($N$1:$ZZ$1,"*"&amp;CHAR(10)&amp;"Stanine",$N62:$ZZ62,"&gt;=1"))</f>
        <v>5</v>
      </c>
      <c r="L62" s="68">
        <f>IFERROR(AVERAGEIF($N$1:$ZZ$1,"*"&amp;CHAR(10)&amp;"Stanine",$N62:$ZZ62),"")</f>
        <v>3.2</v>
      </c>
      <c r="M62" s="69">
        <f>IF(AND(ISNUMBER(tblY8[[#This Row],[Mean Stanine]]),ISNUMBER(tblY8[[#This Row],[Avg KS2 Band]]),ISNUMBER(SlopeY8)),tblY8[[#This Row],[Mean Stanine]]-(InterceptY8+SlopeY8*tblY8[[#This Row],[Avg KS2 Band]]),"")</f>
        <v>-0.184036289353521</v>
      </c>
      <c r="N62" s="66" t="n">
        <v>12</v>
      </c>
      <c r="O62" s="67">
        <f>IF(ISNUMBER(tblY8[[#This Row],[8C01 - Periodic Table
Raw Score]]),IFERROR(VLOOKUP(ROUND(STANDARDIZE(tblY8[[#This Row],[8C01 - Periodic Table
Raw Score]],AVERAGE(tblY8[[8C01 - Periodic Table
Raw Score]]),_xlfn.STDEV.P(tblY8[[8C01 - Periodic Table
Raw Score]])),9),_Stanine,2),5),"")</f>
        <v>3</v>
      </c>
      <c r="P62" s="66" t="n">
        <v>5</v>
      </c>
      <c r="Q62" s="67">
        <f>IF(ISNUMBER(tblY8[[#This Row],[8P01 - Energy
Raw Score]]),IFERROR(VLOOKUP(ROUND(STANDARDIZE(tblY8[[#This Row],[8P01 - Energy
Raw Score]],AVERAGE(tblY8[[8P01 - Energy
Raw Score]]),_xlfn.STDEV.P(tblY8[[8P01 - Energy
Raw Score]])),9),_Stanine,2),5),"")</f>
        <v>3</v>
      </c>
      <c r="R62" s="66" t="n">
        <v>8</v>
      </c>
      <c r="S62" s="67">
        <f>IF(ISNUMBER(tblY8[[#This Row],[8B01 - Digestion
Raw Score]]),IFERROR(VLOOKUP(ROUND(STANDARDIZE(tblY8[[#This Row],[8B01 - Digestion
Raw Score]],AVERAGE(tblY8[[8B01 - Digestion
Raw Score]]),_xlfn.STDEV.P(tblY8[[8B01 - Digestion
Raw Score]])),9),_Stanine,2),5),"")</f>
        <v>3</v>
      </c>
      <c r="T62" s="66" t="n">
        <v>9</v>
      </c>
      <c r="U62" s="67">
        <f>IF(ISNUMBER(tblY8[[#This Row],[8C02 - Metals and Acids
Raw Score]]),IFERROR(VLOOKUP(ROUND(STANDARDIZE(tblY8[[#This Row],[8C02 - Metals and Acids
Raw Score]],AVERAGE(tblY8[[8C02 - Metals and Acids
Raw Score]]),_xlfn.STDEV.P(tblY8[[8C02 - Metals and Acids
Raw Score]])),9),_Stanine,2),5),"")</f>
        <v>4</v>
      </c>
      <c r="V62" s="66" t="n">
        <v>12</v>
      </c>
      <c r="W62" s="67">
        <f>IF(ISNUMBER(tblY8[[#This Row],[8P02 - Light
Raw Score]]),IFERROR(VLOOKUP(ROUND(STANDARDIZE(tblY8[[#This Row],[8P02 - Light
Raw Score]],AVERAGE(tblY8[[8P02 - Light
Raw Score]]),_xlfn.STDEV.P(tblY8[[8P02 - Light
Raw Score]])),9),_Stanine,2),5),"")</f>
        <v>3</v>
      </c>
    </row>
    <row r="63">
      <c r="A63" s="65" t="inlineStr">
        <is>
          <t>X907480887302</t>
        </is>
      </c>
      <c r="B63" s="65" t="inlineStr">
        <is>
          <t>Hughes</t>
        </is>
      </c>
      <c r="C63" s="65" t="inlineStr">
        <is>
          <t>Layla</t>
        </is>
      </c>
      <c r="D63" s="66" t="inlineStr">
        <is>
          <t>F</t>
        </is>
      </c>
      <c r="E63" s="66" t="inlineStr">
        <is>
          <t>N</t>
        </is>
      </c>
      <c r="F63" s="66" t="inlineStr">
        <is>
          <t>N</t>
        </is>
      </c>
      <c r="G63" s="34" t="n">
        <v>86</v>
      </c>
      <c r="H63" s="34" t="n">
        <v>104</v>
      </c>
      <c r="I63" s="67">
        <f>IF(ISNUMBER(tblY8[[#This Row],[Avg KS2]]),IFERROR(VLOOKUP(ROUND(STANDARDIZE(tblY8[[#This Row],[Avg KS2]],AVERAGE(tblY8[[Avg KS2]]),_xlfn.STDEV.P(tblY8[[Avg KS2]])),9),_Stanine,2),5),"")</f>
        <v>5</v>
      </c>
      <c r="J63" s="66" t="inlineStr">
        <is>
          <t>8A/Sc3</t>
        </is>
      </c>
      <c r="K63" s="67">
        <f>IF(tblY8[[#This Row],[Preferred Last name]]="","",COUNTIFS($N$1:$ZZ$1,"*"&amp;CHAR(10)&amp;"Stanine",$N63:$ZZ63,"&gt;=1"))</f>
        <v>5</v>
      </c>
      <c r="L63" s="68">
        <f>IFERROR(AVERAGEIF($N$1:$ZZ$1,"*"&amp;CHAR(10)&amp;"Stanine",$N63:$ZZ63),"")</f>
        <v>6.8</v>
      </c>
      <c r="M63" s="69">
        <f>IF(AND(ISNUMBER(tblY8[[#This Row],[Mean Stanine]]),ISNUMBER(tblY8[[#This Row],[Avg KS2 Band]]),ISNUMBER(SlopeY8)),tblY8[[#This Row],[Mean Stanine]]-(InterceptY8+SlopeY8*tblY8[[#This Row],[Avg KS2 Band]]),"")</f>
        <v>1.85814107185773</v>
      </c>
      <c r="N63" s="66" t="n">
        <v>25</v>
      </c>
      <c r="O63" s="67">
        <f>IF(ISNUMBER(tblY8[[#This Row],[8C01 - Periodic Table
Raw Score]]),IFERROR(VLOOKUP(ROUND(STANDARDIZE(tblY8[[#This Row],[8C01 - Periodic Table
Raw Score]],AVERAGE(tblY8[[8C01 - Periodic Table
Raw Score]]),_xlfn.STDEV.P(tblY8[[8C01 - Periodic Table
Raw Score]])),9),_Stanine,2),5),"")</f>
        <v>7</v>
      </c>
      <c r="P63" s="66" t="n">
        <v>15</v>
      </c>
      <c r="Q63" s="67">
        <f>IF(ISNUMBER(tblY8[[#This Row],[8P01 - Energy
Raw Score]]),IFERROR(VLOOKUP(ROUND(STANDARDIZE(tblY8[[#This Row],[8P01 - Energy
Raw Score]],AVERAGE(tblY8[[8P01 - Energy
Raw Score]]),_xlfn.STDEV.P(tblY8[[8P01 - Energy
Raw Score]])),9),_Stanine,2),5),"")</f>
        <v>7</v>
      </c>
      <c r="R63" s="66" t="n">
        <v>18</v>
      </c>
      <c r="S63" s="67">
        <f>IF(ISNUMBER(tblY8[[#This Row],[8B01 - Digestion
Raw Score]]),IFERROR(VLOOKUP(ROUND(STANDARDIZE(tblY8[[#This Row],[8B01 - Digestion
Raw Score]],AVERAGE(tblY8[[8B01 - Digestion
Raw Score]]),_xlfn.STDEV.P(tblY8[[8B01 - Digestion
Raw Score]])),9),_Stanine,2),5),"")</f>
        <v>6</v>
      </c>
      <c r="T63" s="66" t="n">
        <v>19</v>
      </c>
      <c r="U63" s="67">
        <f>IF(ISNUMBER(tblY8[[#This Row],[8C02 - Metals and Acids
Raw Score]]),IFERROR(VLOOKUP(ROUND(STANDARDIZE(tblY8[[#This Row],[8C02 - Metals and Acids
Raw Score]],AVERAGE(tblY8[[8C02 - Metals and Acids
Raw Score]]),_xlfn.STDEV.P(tblY8[[8C02 - Metals and Acids
Raw Score]])),9),_Stanine,2),5),"")</f>
        <v>8</v>
      </c>
      <c r="V63" s="66" t="n">
        <v>17</v>
      </c>
      <c r="W63" s="67">
        <f>IF(ISNUMBER(tblY8[[#This Row],[8P02 - Light
Raw Score]]),IFERROR(VLOOKUP(ROUND(STANDARDIZE(tblY8[[#This Row],[8P02 - Light
Raw Score]],AVERAGE(tblY8[[8P02 - Light
Raw Score]]),_xlfn.STDEV.P(tblY8[[8P02 - Light
Raw Score]])),9),_Stanine,2),5),"")</f>
        <v>6</v>
      </c>
    </row>
    <row r="64">
      <c r="A64" s="65" t="inlineStr">
        <is>
          <t>X908477537997</t>
        </is>
      </c>
      <c r="B64" s="65" t="inlineStr">
        <is>
          <t>Hughes</t>
        </is>
      </c>
      <c r="C64" s="65" t="inlineStr">
        <is>
          <t>Sami</t>
        </is>
      </c>
      <c r="D64" s="66" t="inlineStr">
        <is>
          <t>F</t>
        </is>
      </c>
      <c r="E64" s="66" t="inlineStr">
        <is>
          <t>N</t>
        </is>
      </c>
      <c r="F64" s="66" t="inlineStr">
        <is>
          <t>N</t>
        </is>
      </c>
      <c r="G64" s="34" t="n">
        <v>88.90000000000001</v>
      </c>
      <c r="H64" s="34" t="n">
        <v>99</v>
      </c>
      <c r="I64" s="67">
        <f>IF(ISNUMBER(tblY8[[#This Row],[Avg KS2]]),IFERROR(VLOOKUP(ROUND(STANDARDIZE(tblY8[[#This Row],[Avg KS2]],AVERAGE(tblY8[[Avg KS2]]),_xlfn.STDEV.P(tblY8[[Avg KS2]])),9),_Stanine,2),5),"")</f>
        <v>3</v>
      </c>
      <c r="J64" s="66" t="inlineStr">
        <is>
          <t>8A/Sc3</t>
        </is>
      </c>
      <c r="K64" s="67">
        <f>IF(tblY8[[#This Row],[Preferred Last name]]="","",COUNTIFS($N$1:$ZZ$1,"*"&amp;CHAR(10)&amp;"Stanine",$N64:$ZZ64,"&gt;=1"))</f>
        <v>5</v>
      </c>
      <c r="L64" s="68">
        <f>IFERROR(AVERAGEIF($N$1:$ZZ$1,"*"&amp;CHAR(10)&amp;"Stanine",$N64:$ZZ64),"")</f>
        <v>2</v>
      </c>
      <c r="M64" s="69">
        <f>IF(AND(ISNUMBER(tblY8[[#This Row],[Mean Stanine]]),ISNUMBER(tblY8[[#This Row],[Avg KS2 Band]]),ISNUMBER(SlopeY8)),tblY8[[#This Row],[Mean Stanine]]-(InterceptY8+SlopeY8*tblY8[[#This Row],[Avg KS2 Band]]),"")</f>
        <v>-1.38403628935352</v>
      </c>
      <c r="N64" s="66" t="n">
        <v>7</v>
      </c>
      <c r="O64" s="67">
        <f>IF(ISNUMBER(tblY8[[#This Row],[8C01 - Periodic Table
Raw Score]]),IFERROR(VLOOKUP(ROUND(STANDARDIZE(tblY8[[#This Row],[8C01 - Periodic Table
Raw Score]],AVERAGE(tblY8[[8C01 - Periodic Table
Raw Score]]),_xlfn.STDEV.P(tblY8[[8C01 - Periodic Table
Raw Score]])),9),_Stanine,2),5),"")</f>
        <v>1</v>
      </c>
      <c r="P64" s="66" t="n">
        <v>5</v>
      </c>
      <c r="Q64" s="67">
        <f>IF(ISNUMBER(tblY8[[#This Row],[8P01 - Energy
Raw Score]]),IFERROR(VLOOKUP(ROUND(STANDARDIZE(tblY8[[#This Row],[8P01 - Energy
Raw Score]],AVERAGE(tblY8[[8P01 - Energy
Raw Score]]),_xlfn.STDEV.P(tblY8[[8P01 - Energy
Raw Score]])),9),_Stanine,2),5),"")</f>
        <v>3</v>
      </c>
      <c r="R64" s="66" t="n">
        <v>7</v>
      </c>
      <c r="S64" s="67">
        <f>IF(ISNUMBER(tblY8[[#This Row],[8B01 - Digestion
Raw Score]]),IFERROR(VLOOKUP(ROUND(STANDARDIZE(tblY8[[#This Row],[8B01 - Digestion
Raw Score]],AVERAGE(tblY8[[8B01 - Digestion
Raw Score]]),_xlfn.STDEV.P(tblY8[[8B01 - Digestion
Raw Score]])),9),_Stanine,2),5),"")</f>
        <v>3</v>
      </c>
      <c r="T64" s="66" t="n">
        <v>3</v>
      </c>
      <c r="U64" s="67">
        <f>IF(ISNUMBER(tblY8[[#This Row],[8C02 - Metals and Acids
Raw Score]]),IFERROR(VLOOKUP(ROUND(STANDARDIZE(tblY8[[#This Row],[8C02 - Metals and Acids
Raw Score]],AVERAGE(tblY8[[8C02 - Metals and Acids
Raw Score]]),_xlfn.STDEV.P(tblY8[[8C02 - Metals and Acids
Raw Score]])),9),_Stanine,2),5),"")</f>
        <v>2</v>
      </c>
      <c r="V64" s="66" t="n">
        <v>8</v>
      </c>
      <c r="W64" s="67">
        <f>IF(ISNUMBER(tblY8[[#This Row],[8P02 - Light
Raw Score]]),IFERROR(VLOOKUP(ROUND(STANDARDIZE(tblY8[[#This Row],[8P02 - Light
Raw Score]],AVERAGE(tblY8[[8P02 - Light
Raw Score]]),_xlfn.STDEV.P(tblY8[[8P02 - Light
Raw Score]])),9),_Stanine,2),5),"")</f>
        <v>1</v>
      </c>
    </row>
    <row r="65">
      <c r="A65" s="65" t="inlineStr">
        <is>
          <t>X908653911619</t>
        </is>
      </c>
      <c r="B65" s="65" t="inlineStr">
        <is>
          <t>Johnson</t>
        </is>
      </c>
      <c r="C65" s="65" t="inlineStr">
        <is>
          <t>Sami</t>
        </is>
      </c>
      <c r="D65" s="66" t="inlineStr">
        <is>
          <t>F</t>
        </is>
      </c>
      <c r="E65" s="66" t="inlineStr">
        <is>
          <t>K</t>
        </is>
      </c>
      <c r="F65" s="66" t="inlineStr">
        <is>
          <t>N</t>
        </is>
      </c>
      <c r="G65" s="34" t="n">
        <v>99.5</v>
      </c>
      <c r="H65" s="34" t="n">
        <v>107.5</v>
      </c>
      <c r="I65" s="67">
        <f>IF(ISNUMBER(tblY8[[#This Row],[Avg KS2]]),IFERROR(VLOOKUP(ROUND(STANDARDIZE(tblY8[[#This Row],[Avg KS2]],AVERAGE(tblY8[[Avg KS2]]),_xlfn.STDEV.P(tblY8[[Avg KS2]])),9),_Stanine,2),5),"")</f>
        <v>6</v>
      </c>
      <c r="J65" s="66" t="inlineStr">
        <is>
          <t>8A/Sc3</t>
        </is>
      </c>
      <c r="K65" s="67">
        <f>IF(tblY8[[#This Row],[Preferred Last name]]="","",COUNTIFS($N$1:$ZZ$1,"*"&amp;CHAR(10)&amp;"Stanine",$N65:$ZZ65,"&gt;=1"))</f>
        <v>5</v>
      </c>
      <c r="L65" s="68">
        <f>IFERROR(AVERAGEIF($N$1:$ZZ$1,"*"&amp;CHAR(10)&amp;"Stanine",$N65:$ZZ65),"")</f>
        <v>3.8</v>
      </c>
      <c r="M65" s="69">
        <f>IF(AND(ISNUMBER(tblY8[[#This Row],[Mean Stanine]]),ISNUMBER(tblY8[[#This Row],[Avg KS2 Band]]),ISNUMBER(SlopeY8)),tblY8[[#This Row],[Mean Stanine]]-(InterceptY8+SlopeY8*tblY8[[#This Row],[Avg KS2 Band]]),"")</f>
        <v>-1.92077024753665</v>
      </c>
      <c r="N65" s="66" t="n">
        <v>14</v>
      </c>
      <c r="O65" s="67">
        <f>IF(ISNUMBER(tblY8[[#This Row],[8C01 - Periodic Table
Raw Score]]),IFERROR(VLOOKUP(ROUND(STANDARDIZE(tblY8[[#This Row],[8C01 - Periodic Table
Raw Score]],AVERAGE(tblY8[[8C01 - Periodic Table
Raw Score]]),_xlfn.STDEV.P(tblY8[[8C01 - Periodic Table
Raw Score]])),9),_Stanine,2),5),"")</f>
        <v>4</v>
      </c>
      <c r="P65" s="66" t="n">
        <v>9</v>
      </c>
      <c r="Q65" s="67">
        <f>IF(ISNUMBER(tblY8[[#This Row],[8P01 - Energy
Raw Score]]),IFERROR(VLOOKUP(ROUND(STANDARDIZE(tblY8[[#This Row],[8P01 - Energy
Raw Score]],AVERAGE(tblY8[[8P01 - Energy
Raw Score]]),_xlfn.STDEV.P(tblY8[[8P01 - Energy
Raw Score]])),9),_Stanine,2),5),"")</f>
        <v>4</v>
      </c>
      <c r="R65" s="66" t="n">
        <v>9</v>
      </c>
      <c r="S65" s="67">
        <f>IF(ISNUMBER(tblY8[[#This Row],[8B01 - Digestion
Raw Score]]),IFERROR(VLOOKUP(ROUND(STANDARDIZE(tblY8[[#This Row],[8B01 - Digestion
Raw Score]],AVERAGE(tblY8[[8B01 - Digestion
Raw Score]]),_xlfn.STDEV.P(tblY8[[8B01 - Digestion
Raw Score]])),9),_Stanine,2),5),"")</f>
        <v>3</v>
      </c>
      <c r="T65" s="66" t="n">
        <v>8</v>
      </c>
      <c r="U65" s="67">
        <f>IF(ISNUMBER(tblY8[[#This Row],[8C02 - Metals and Acids
Raw Score]]),IFERROR(VLOOKUP(ROUND(STANDARDIZE(tblY8[[#This Row],[8C02 - Metals and Acids
Raw Score]],AVERAGE(tblY8[[8C02 - Metals and Acids
Raw Score]]),_xlfn.STDEV.P(tblY8[[8C02 - Metals and Acids
Raw Score]])),9),_Stanine,2),5),"")</f>
        <v>4</v>
      </c>
      <c r="V65" s="66" t="n">
        <v>13</v>
      </c>
      <c r="W65" s="67">
        <f>IF(ISNUMBER(tblY8[[#This Row],[8P02 - Light
Raw Score]]),IFERROR(VLOOKUP(ROUND(STANDARDIZE(tblY8[[#This Row],[8P02 - Light
Raw Score]],AVERAGE(tblY8[[8P02 - Light
Raw Score]]),_xlfn.STDEV.P(tblY8[[8P02 - Light
Raw Score]])),9),_Stanine,2),5),"")</f>
        <v>4</v>
      </c>
    </row>
    <row r="66">
      <c r="A66" s="65" t="inlineStr">
        <is>
          <t>X903061444339</t>
        </is>
      </c>
      <c r="B66" s="65" t="inlineStr">
        <is>
          <t>Kelly</t>
        </is>
      </c>
      <c r="C66" s="65" t="inlineStr">
        <is>
          <t>Dylan</t>
        </is>
      </c>
      <c r="D66" s="66" t="inlineStr">
        <is>
          <t>M</t>
        </is>
      </c>
      <c r="E66" s="66" t="n"/>
      <c r="F66" s="66" t="inlineStr">
        <is>
          <t>N</t>
        </is>
      </c>
      <c r="G66" s="34" t="n">
        <v>100</v>
      </c>
      <c r="H66" s="34" t="n">
        <v>101</v>
      </c>
      <c r="I66" s="67">
        <f>IF(ISNUMBER(tblY8[[#This Row],[Avg KS2]]),IFERROR(VLOOKUP(ROUND(STANDARDIZE(tblY8[[#This Row],[Avg KS2]],AVERAGE(tblY8[[Avg KS2]]),_xlfn.STDEV.P(tblY8[[Avg KS2]])),9),_Stanine,2),5),"")</f>
        <v>4</v>
      </c>
      <c r="J66" s="66" t="inlineStr">
        <is>
          <t>8A/Sc3</t>
        </is>
      </c>
      <c r="K66" s="67">
        <f>IF(tblY8[[#This Row],[Preferred Last name]]="","",COUNTIFS($N$1:$ZZ$1,"*"&amp;CHAR(10)&amp;"Stanine",$N66:$ZZ66,"&gt;=1"))</f>
        <v>5</v>
      </c>
      <c r="L66" s="68">
        <f>IFERROR(AVERAGEIF($N$1:$ZZ$1,"*"&amp;CHAR(10)&amp;"Stanine",$N66:$ZZ66),"")</f>
        <v>3.6</v>
      </c>
      <c r="M66" s="69">
        <f>IF(AND(ISNUMBER(tblY8[[#This Row],[Mean Stanine]]),ISNUMBER(tblY8[[#This Row],[Avg KS2 Band]]),ISNUMBER(SlopeY8)),tblY8[[#This Row],[Mean Stanine]]-(InterceptY8+SlopeY8*tblY8[[#This Row],[Avg KS2 Band]]),"")</f>
        <v>-0.562947608747897</v>
      </c>
      <c r="N66" s="66" t="n">
        <v>14</v>
      </c>
      <c r="O66" s="67">
        <f>IF(ISNUMBER(tblY8[[#This Row],[8C01 - Periodic Table
Raw Score]]),IFERROR(VLOOKUP(ROUND(STANDARDIZE(tblY8[[#This Row],[8C01 - Periodic Table
Raw Score]],AVERAGE(tblY8[[8C01 - Periodic Table
Raw Score]]),_xlfn.STDEV.P(tblY8[[8C01 - Periodic Table
Raw Score]])),9),_Stanine,2),5),"")</f>
        <v>4</v>
      </c>
      <c r="P66" s="66" t="n">
        <v>7</v>
      </c>
      <c r="Q66" s="67">
        <f>IF(ISNUMBER(tblY8[[#This Row],[8P01 - Energy
Raw Score]]),IFERROR(VLOOKUP(ROUND(STANDARDIZE(tblY8[[#This Row],[8P01 - Energy
Raw Score]],AVERAGE(tblY8[[8P01 - Energy
Raw Score]]),_xlfn.STDEV.P(tblY8[[8P01 - Energy
Raw Score]])),9),_Stanine,2),5),"")</f>
        <v>4</v>
      </c>
      <c r="R66" s="66" t="n">
        <v>7</v>
      </c>
      <c r="S66" s="67">
        <f>IF(ISNUMBER(tblY8[[#This Row],[8B01 - Digestion
Raw Score]]),IFERROR(VLOOKUP(ROUND(STANDARDIZE(tblY8[[#This Row],[8B01 - Digestion
Raw Score]],AVERAGE(tblY8[[8B01 - Digestion
Raw Score]]),_xlfn.STDEV.P(tblY8[[8B01 - Digestion
Raw Score]])),9),_Stanine,2),5),"")</f>
        <v>3</v>
      </c>
      <c r="T66" s="66" t="n">
        <v>9</v>
      </c>
      <c r="U66" s="67">
        <f>IF(ISNUMBER(tblY8[[#This Row],[8C02 - Metals and Acids
Raw Score]]),IFERROR(VLOOKUP(ROUND(STANDARDIZE(tblY8[[#This Row],[8C02 - Metals and Acids
Raw Score]],AVERAGE(tblY8[[8C02 - Metals and Acids
Raw Score]]),_xlfn.STDEV.P(tblY8[[8C02 - Metals and Acids
Raw Score]])),9),_Stanine,2),5),"")</f>
        <v>4</v>
      </c>
      <c r="V66" s="66" t="n">
        <v>11</v>
      </c>
      <c r="W66" s="67">
        <f>IF(ISNUMBER(tblY8[[#This Row],[8P02 - Light
Raw Score]]),IFERROR(VLOOKUP(ROUND(STANDARDIZE(tblY8[[#This Row],[8P02 - Light
Raw Score]],AVERAGE(tblY8[[8P02 - Light
Raw Score]]),_xlfn.STDEV.P(tblY8[[8P02 - Light
Raw Score]])),9),_Stanine,2),5),"")</f>
        <v>3</v>
      </c>
    </row>
    <row r="67">
      <c r="A67" s="65" t="inlineStr">
        <is>
          <t>X907136017624</t>
        </is>
      </c>
      <c r="B67" s="65" t="inlineStr">
        <is>
          <t>Lloyd</t>
        </is>
      </c>
      <c r="C67" s="65" t="inlineStr">
        <is>
          <t>Finley</t>
        </is>
      </c>
      <c r="D67" s="66" t="inlineStr">
        <is>
          <t>F</t>
        </is>
      </c>
      <c r="E67" s="66" t="inlineStr">
        <is>
          <t>N</t>
        </is>
      </c>
      <c r="F67" s="66" t="inlineStr">
        <is>
          <t>Y</t>
        </is>
      </c>
      <c r="G67" s="34" t="n">
        <v>98.8</v>
      </c>
      <c r="H67" s="34" t="n">
        <v>97</v>
      </c>
      <c r="I67" s="67">
        <f>IF(ISNUMBER(tblY8[[#This Row],[Avg KS2]]),IFERROR(VLOOKUP(ROUND(STANDARDIZE(tblY8[[#This Row],[Avg KS2]],AVERAGE(tblY8[[Avg KS2]]),_xlfn.STDEV.P(tblY8[[Avg KS2]])),9),_Stanine,2),5),"")</f>
        <v>2</v>
      </c>
      <c r="J67" s="66" t="inlineStr">
        <is>
          <t>8A/Sc3</t>
        </is>
      </c>
      <c r="K67" s="67">
        <f>IF(tblY8[[#This Row],[Preferred Last name]]="","",COUNTIFS($N$1:$ZZ$1,"*"&amp;CHAR(10)&amp;"Stanine",$N67:$ZZ67,"&gt;=1"))</f>
        <v>4</v>
      </c>
      <c r="L67" s="68">
        <f>IFERROR(AVERAGEIF($N$1:$ZZ$1,"*"&amp;CHAR(10)&amp;"Stanine",$N67:$ZZ67),"")</f>
        <v>4.5</v>
      </c>
      <c r="M67" s="69">
        <f>IF(AND(ISNUMBER(tblY8[[#This Row],[Mean Stanine]]),ISNUMBER(tblY8[[#This Row],[Avg KS2 Band]]),ISNUMBER(SlopeY8)),tblY8[[#This Row],[Mean Stanine]]-(InterceptY8+SlopeY8*tblY8[[#This Row],[Avg KS2 Band]]),"")</f>
        <v>1.89487503004086</v>
      </c>
      <c r="N67" s="66" t="n">
        <v>18</v>
      </c>
      <c r="O67" s="67">
        <f>IF(ISNUMBER(tblY8[[#This Row],[8C01 - Periodic Table
Raw Score]]),IFERROR(VLOOKUP(ROUND(STANDARDIZE(tblY8[[#This Row],[8C01 - Periodic Table
Raw Score]],AVERAGE(tblY8[[8C01 - Periodic Table
Raw Score]]),_xlfn.STDEV.P(tblY8[[8C01 - Periodic Table
Raw Score]])),9),_Stanine,2),5),"")</f>
        <v>5</v>
      </c>
      <c r="P67" s="66" t="n">
        <v>8</v>
      </c>
      <c r="Q67" s="67">
        <f>IF(ISNUMBER(tblY8[[#This Row],[8P01 - Energy
Raw Score]]),IFERROR(VLOOKUP(ROUND(STANDARDIZE(tblY8[[#This Row],[8P01 - Energy
Raw Score]],AVERAGE(tblY8[[8P01 - Energy
Raw Score]]),_xlfn.STDEV.P(tblY8[[8P01 - Energy
Raw Score]])),9),_Stanine,2),5),"")</f>
        <v>4</v>
      </c>
      <c r="R67" s="66" t="n">
        <v>10</v>
      </c>
      <c r="S67" s="67">
        <f>IF(ISNUMBER(tblY8[[#This Row],[8B01 - Digestion
Raw Score]]),IFERROR(VLOOKUP(ROUND(STANDARDIZE(tblY8[[#This Row],[8B01 - Digestion
Raw Score]],AVERAGE(tblY8[[8B01 - Digestion
Raw Score]]),_xlfn.STDEV.P(tblY8[[8B01 - Digestion
Raw Score]])),9),_Stanine,2),5),"")</f>
        <v>4</v>
      </c>
      <c r="T67" s="66" t="n">
        <v>11</v>
      </c>
      <c r="U67" s="67">
        <f>IF(ISNUMBER(tblY8[[#This Row],[8C02 - Metals and Acids
Raw Score]]),IFERROR(VLOOKUP(ROUND(STANDARDIZE(tblY8[[#This Row],[8C02 - Metals and Acids
Raw Score]],AVERAGE(tblY8[[8C02 - Metals and Acids
Raw Score]]),_xlfn.STDEV.P(tblY8[[8C02 - Metals and Acids
Raw Score]])),9),_Stanine,2),5),"")</f>
        <v>5</v>
      </c>
      <c r="V67" s="66" t="inlineStr">
        <is>
          <t>A</t>
        </is>
      </c>
      <c r="W67" s="67" t="str">
        <f>IF(ISNUMBER(tblY8[[#This Row],[8P02 - Light
Raw Score]]),IFERROR(VLOOKUP(ROUND(STANDARDIZE(tblY8[[#This Row],[8P02 - Light
Raw Score]],AVERAGE(tblY8[[8P02 - Light
Raw Score]]),_xlfn.STDEV.P(tblY8[[8P02 - Light
Raw Score]])),9),_Stanine,2),5),"")</f>
        <v/>
      </c>
    </row>
    <row r="68">
      <c r="A68" s="65" t="inlineStr">
        <is>
          <t>X907265158115</t>
        </is>
      </c>
      <c r="B68" s="65" t="inlineStr">
        <is>
          <t>Lloyd</t>
        </is>
      </c>
      <c r="C68" s="65" t="inlineStr">
        <is>
          <t>Ibrahim</t>
        </is>
      </c>
      <c r="D68" s="66" t="inlineStr">
        <is>
          <t>M</t>
        </is>
      </c>
      <c r="E68" s="66" t="n"/>
      <c r="F68" s="66" t="inlineStr">
        <is>
          <t>Y</t>
        </is>
      </c>
      <c r="G68" s="34" t="n">
        <v>91.8</v>
      </c>
      <c r="H68" s="34" t="n">
        <v>105.5</v>
      </c>
      <c r="I68" s="67">
        <f>IF(ISNUMBER(tblY8[[#This Row],[Avg KS2]]),IFERROR(VLOOKUP(ROUND(STANDARDIZE(tblY8[[#This Row],[Avg KS2]],AVERAGE(tblY8[[Avg KS2]]),_xlfn.STDEV.P(tblY8[[Avg KS2]])),9),_Stanine,2),5),"")</f>
        <v>5</v>
      </c>
      <c r="J68" s="66" t="inlineStr">
        <is>
          <t>8A/Sc3</t>
        </is>
      </c>
      <c r="K68" s="67">
        <f>IF(tblY8[[#This Row],[Preferred Last name]]="","",COUNTIFS($N$1:$ZZ$1,"*"&amp;CHAR(10)&amp;"Stanine",$N68:$ZZ68,"&gt;=1"))</f>
        <v>5</v>
      </c>
      <c r="L68" s="68">
        <f>IFERROR(AVERAGEIF($N$1:$ZZ$1,"*"&amp;CHAR(10)&amp;"Stanine",$N68:$ZZ68),"")</f>
        <v>4.8</v>
      </c>
      <c r="M68" s="69">
        <f>IF(AND(ISNUMBER(tblY8[[#This Row],[Mean Stanine]]),ISNUMBER(tblY8[[#This Row],[Avg KS2 Band]]),ISNUMBER(SlopeY8)),tblY8[[#This Row],[Mean Stanine]]-(InterceptY8+SlopeY8*tblY8[[#This Row],[Avg KS2 Band]]),"")</f>
        <v>-0.141858928142273</v>
      </c>
      <c r="N68" s="66" t="n">
        <v>14</v>
      </c>
      <c r="O68" s="67">
        <f>IF(ISNUMBER(tblY8[[#This Row],[8C01 - Periodic Table
Raw Score]]),IFERROR(VLOOKUP(ROUND(STANDARDIZE(tblY8[[#This Row],[8C01 - Periodic Table
Raw Score]],AVERAGE(tblY8[[8C01 - Periodic Table
Raw Score]]),_xlfn.STDEV.P(tblY8[[8C01 - Periodic Table
Raw Score]])),9),_Stanine,2),5),"")</f>
        <v>4</v>
      </c>
      <c r="P68" s="66" t="n">
        <v>11</v>
      </c>
      <c r="Q68" s="67">
        <f>IF(ISNUMBER(tblY8[[#This Row],[8P01 - Energy
Raw Score]]),IFERROR(VLOOKUP(ROUND(STANDARDIZE(tblY8[[#This Row],[8P01 - Energy
Raw Score]],AVERAGE(tblY8[[8P01 - Energy
Raw Score]]),_xlfn.STDEV.P(tblY8[[8P01 - Energy
Raw Score]])),9),_Stanine,2),5),"")</f>
        <v>5</v>
      </c>
      <c r="R68" s="66" t="n">
        <v>15</v>
      </c>
      <c r="S68" s="67">
        <f>IF(ISNUMBER(tblY8[[#This Row],[8B01 - Digestion
Raw Score]]),IFERROR(VLOOKUP(ROUND(STANDARDIZE(tblY8[[#This Row],[8B01 - Digestion
Raw Score]],AVERAGE(tblY8[[8B01 - Digestion
Raw Score]]),_xlfn.STDEV.P(tblY8[[8B01 - Digestion
Raw Score]])),9),_Stanine,2),5),"")</f>
        <v>5</v>
      </c>
      <c r="T68" s="66" t="n">
        <v>9</v>
      </c>
      <c r="U68" s="67">
        <f>IF(ISNUMBER(tblY8[[#This Row],[8C02 - Metals and Acids
Raw Score]]),IFERROR(VLOOKUP(ROUND(STANDARDIZE(tblY8[[#This Row],[8C02 - Metals and Acids
Raw Score]],AVERAGE(tblY8[[8C02 - Metals and Acids
Raw Score]]),_xlfn.STDEV.P(tblY8[[8C02 - Metals and Acids
Raw Score]])),9),_Stanine,2),5),"")</f>
        <v>4</v>
      </c>
      <c r="V68" s="66" t="n">
        <v>17</v>
      </c>
      <c r="W68" s="67">
        <f>IF(ISNUMBER(tblY8[[#This Row],[8P02 - Light
Raw Score]]),IFERROR(VLOOKUP(ROUND(STANDARDIZE(tblY8[[#This Row],[8P02 - Light
Raw Score]],AVERAGE(tblY8[[8P02 - Light
Raw Score]]),_xlfn.STDEV.P(tblY8[[8P02 - Light
Raw Score]])),9),_Stanine,2),5),"")</f>
        <v>6</v>
      </c>
    </row>
    <row r="69">
      <c r="A69" s="65" t="inlineStr">
        <is>
          <t>X909630456956</t>
        </is>
      </c>
      <c r="B69" s="65" t="inlineStr">
        <is>
          <t>Lloyd</t>
        </is>
      </c>
      <c r="C69" s="65" t="inlineStr">
        <is>
          <t>Sami</t>
        </is>
      </c>
      <c r="D69" s="66" t="inlineStr">
        <is>
          <t>M</t>
        </is>
      </c>
      <c r="E69" s="66" t="n"/>
      <c r="F69" s="66" t="inlineStr">
        <is>
          <t>N</t>
        </is>
      </c>
      <c r="G69" s="34" t="n">
        <v>88.40000000000001</v>
      </c>
      <c r="H69" s="34" t="n">
        <v>96.5</v>
      </c>
      <c r="I69" s="67">
        <f>IF(ISNUMBER(tblY8[[#This Row],[Avg KS2]]),IFERROR(VLOOKUP(ROUND(STANDARDIZE(tblY8[[#This Row],[Avg KS2]],AVERAGE(tblY8[[Avg KS2]]),_xlfn.STDEV.P(tblY8[[Avg KS2]])),9),_Stanine,2),5),"")</f>
        <v>2</v>
      </c>
      <c r="J69" s="66" t="inlineStr">
        <is>
          <t>8A/Sc3</t>
        </is>
      </c>
      <c r="K69" s="67">
        <f>IF(tblY8[[#This Row],[Preferred Last name]]="","",COUNTIFS($N$1:$ZZ$1,"*"&amp;CHAR(10)&amp;"Stanine",$N69:$ZZ69,"&gt;=1"))</f>
        <v>5</v>
      </c>
      <c r="L69" s="68">
        <f>IFERROR(AVERAGEIF($N$1:$ZZ$1,"*"&amp;CHAR(10)&amp;"Stanine",$N69:$ZZ69),"")</f>
        <v>3</v>
      </c>
      <c r="M69" s="69">
        <f>IF(AND(ISNUMBER(tblY8[[#This Row],[Mean Stanine]]),ISNUMBER(tblY8[[#This Row],[Avg KS2 Band]]),ISNUMBER(SlopeY8)),tblY8[[#This Row],[Mean Stanine]]-(InterceptY8+SlopeY8*tblY8[[#This Row],[Avg KS2 Band]]),"")</f>
        <v>0.394875030040855</v>
      </c>
      <c r="N69" s="66" t="n">
        <v>13</v>
      </c>
      <c r="O69" s="67">
        <f>IF(ISNUMBER(tblY8[[#This Row],[8C01 - Periodic Table
Raw Score]]),IFERROR(VLOOKUP(ROUND(STANDARDIZE(tblY8[[#This Row],[8C01 - Periodic Table
Raw Score]],AVERAGE(tblY8[[8C01 - Periodic Table
Raw Score]]),_xlfn.STDEV.P(tblY8[[8C01 - Periodic Table
Raw Score]])),9),_Stanine,2),5),"")</f>
        <v>3</v>
      </c>
      <c r="P69" s="66" t="n">
        <v>5</v>
      </c>
      <c r="Q69" s="67">
        <f>IF(ISNUMBER(tblY8[[#This Row],[8P01 - Energy
Raw Score]]),IFERROR(VLOOKUP(ROUND(STANDARDIZE(tblY8[[#This Row],[8P01 - Energy
Raw Score]],AVERAGE(tblY8[[8P01 - Energy
Raw Score]]),_xlfn.STDEV.P(tblY8[[8P01 - Energy
Raw Score]])),9),_Stanine,2),5),"")</f>
        <v>3</v>
      </c>
      <c r="R69" s="66" t="n">
        <v>7</v>
      </c>
      <c r="S69" s="67">
        <f>IF(ISNUMBER(tblY8[[#This Row],[8B01 - Digestion
Raw Score]]),IFERROR(VLOOKUP(ROUND(STANDARDIZE(tblY8[[#This Row],[8B01 - Digestion
Raw Score]],AVERAGE(tblY8[[8B01 - Digestion
Raw Score]]),_xlfn.STDEV.P(tblY8[[8B01 - Digestion
Raw Score]])),9),_Stanine,2),5),"")</f>
        <v>3</v>
      </c>
      <c r="T69" s="66" t="n">
        <v>5</v>
      </c>
      <c r="U69" s="67">
        <f>IF(ISNUMBER(tblY8[[#This Row],[8C02 - Metals and Acids
Raw Score]]),IFERROR(VLOOKUP(ROUND(STANDARDIZE(tblY8[[#This Row],[8C02 - Metals and Acids
Raw Score]],AVERAGE(tblY8[[8C02 - Metals and Acids
Raw Score]]),_xlfn.STDEV.P(tblY8[[8C02 - Metals and Acids
Raw Score]])),9),_Stanine,2),5),"")</f>
        <v>3</v>
      </c>
      <c r="V69" s="66" t="n">
        <v>11</v>
      </c>
      <c r="W69" s="67">
        <f>IF(ISNUMBER(tblY8[[#This Row],[8P02 - Light
Raw Score]]),IFERROR(VLOOKUP(ROUND(STANDARDIZE(tblY8[[#This Row],[8P02 - Light
Raw Score]],AVERAGE(tblY8[[8P02 - Light
Raw Score]]),_xlfn.STDEV.P(tblY8[[8P02 - Light
Raw Score]])),9),_Stanine,2),5),"")</f>
        <v>3</v>
      </c>
    </row>
    <row r="70">
      <c r="A70" s="65" t="inlineStr">
        <is>
          <t>X903127131664</t>
        </is>
      </c>
      <c r="B70" s="65" t="inlineStr">
        <is>
          <t>Pearson</t>
        </is>
      </c>
      <c r="C70" s="65" t="inlineStr">
        <is>
          <t>Callum</t>
        </is>
      </c>
      <c r="D70" s="66" t="inlineStr">
        <is>
          <t>F</t>
        </is>
      </c>
      <c r="E70" s="66" t="n"/>
      <c r="F70" s="66" t="inlineStr">
        <is>
          <t>N</t>
        </is>
      </c>
      <c r="G70" s="34" t="n">
        <v>83.2</v>
      </c>
      <c r="H70" s="34" t="n">
        <v>100.5</v>
      </c>
      <c r="I70" s="67">
        <f>IF(ISNUMBER(tblY8[[#This Row],[Avg KS2]]),IFERROR(VLOOKUP(ROUND(STANDARDIZE(tblY8[[#This Row],[Avg KS2]],AVERAGE(tblY8[[Avg KS2]]),_xlfn.STDEV.P(tblY8[[Avg KS2]])),9),_Stanine,2),5),"")</f>
        <v>3</v>
      </c>
      <c r="J70" s="66" t="inlineStr">
        <is>
          <t>8A/Sc3</t>
        </is>
      </c>
      <c r="K70" s="67">
        <f>IF(tblY8[[#This Row],[Preferred Last name]]="","",COUNTIFS($N$1:$ZZ$1,"*"&amp;CHAR(10)&amp;"Stanine",$N70:$ZZ70,"&gt;=1"))</f>
        <v>5</v>
      </c>
      <c r="L70" s="68">
        <f>IFERROR(AVERAGEIF($N$1:$ZZ$1,"*"&amp;CHAR(10)&amp;"Stanine",$N70:$ZZ70),"")</f>
        <v>1.8</v>
      </c>
      <c r="M70" s="69">
        <f>IF(AND(ISNUMBER(tblY8[[#This Row],[Mean Stanine]]),ISNUMBER(tblY8[[#This Row],[Avg KS2 Band]]),ISNUMBER(SlopeY8)),tblY8[[#This Row],[Mean Stanine]]-(InterceptY8+SlopeY8*tblY8[[#This Row],[Avg KS2 Band]]),"")</f>
        <v>-1.58403628935352</v>
      </c>
      <c r="N70" s="66" t="n">
        <v>8</v>
      </c>
      <c r="O70" s="67">
        <f>IF(ISNUMBER(tblY8[[#This Row],[8C01 - Periodic Table
Raw Score]]),IFERROR(VLOOKUP(ROUND(STANDARDIZE(tblY8[[#This Row],[8C01 - Periodic Table
Raw Score]],AVERAGE(tblY8[[8C01 - Periodic Table
Raw Score]]),_xlfn.STDEV.P(tblY8[[8C01 - Periodic Table
Raw Score]])),9),_Stanine,2),5),"")</f>
        <v>2</v>
      </c>
      <c r="P70" s="66" t="n">
        <v>2</v>
      </c>
      <c r="Q70" s="67">
        <f>IF(ISNUMBER(tblY8[[#This Row],[8P01 - Energy
Raw Score]]),IFERROR(VLOOKUP(ROUND(STANDARDIZE(tblY8[[#This Row],[8P01 - Energy
Raw Score]],AVERAGE(tblY8[[8P01 - Energy
Raw Score]]),_xlfn.STDEV.P(tblY8[[8P01 - Energy
Raw Score]])),9),_Stanine,2),5),"")</f>
        <v>2</v>
      </c>
      <c r="R70" s="66" t="n">
        <v>3</v>
      </c>
      <c r="S70" s="67">
        <f>IF(ISNUMBER(tblY8[[#This Row],[8B01 - Digestion
Raw Score]]),IFERROR(VLOOKUP(ROUND(STANDARDIZE(tblY8[[#This Row],[8B01 - Digestion
Raw Score]],AVERAGE(tblY8[[8B01 - Digestion
Raw Score]]),_xlfn.STDEV.P(tblY8[[8B01 - Digestion
Raw Score]])),9),_Stanine,2),5),"")</f>
        <v>2</v>
      </c>
      <c r="T70" s="66" t="n">
        <v>4</v>
      </c>
      <c r="U70" s="67">
        <f>IF(ISNUMBER(tblY8[[#This Row],[8C02 - Metals and Acids
Raw Score]]),IFERROR(VLOOKUP(ROUND(STANDARDIZE(tblY8[[#This Row],[8C02 - Metals and Acids
Raw Score]],AVERAGE(tblY8[[8C02 - Metals and Acids
Raw Score]]),_xlfn.STDEV.P(tblY8[[8C02 - Metals and Acids
Raw Score]])),9),_Stanine,2),5),"")</f>
        <v>2</v>
      </c>
      <c r="V70" s="66" t="n">
        <v>4</v>
      </c>
      <c r="W70" s="67">
        <f>IF(ISNUMBER(tblY8[[#This Row],[8P02 - Light
Raw Score]]),IFERROR(VLOOKUP(ROUND(STANDARDIZE(tblY8[[#This Row],[8P02 - Light
Raw Score]],AVERAGE(tblY8[[8P02 - Light
Raw Score]]),_xlfn.STDEV.P(tblY8[[8P02 - Light
Raw Score]])),9),_Stanine,2),5),"")</f>
        <v>1</v>
      </c>
    </row>
    <row r="71">
      <c r="A71" s="65" t="inlineStr">
        <is>
          <t>X901541503466</t>
        </is>
      </c>
      <c r="B71" s="65" t="inlineStr">
        <is>
          <t>Pearson</t>
        </is>
      </c>
      <c r="C71" s="65" t="inlineStr">
        <is>
          <t>Nia</t>
        </is>
      </c>
      <c r="D71" s="66" t="inlineStr">
        <is>
          <t>F</t>
        </is>
      </c>
      <c r="E71" s="66" t="inlineStr">
        <is>
          <t>E</t>
        </is>
      </c>
      <c r="F71" s="66" t="inlineStr">
        <is>
          <t>Y</t>
        </is>
      </c>
      <c r="G71" s="34" t="n">
        <v>100</v>
      </c>
      <c r="H71" s="34" t="n">
        <v>109.5</v>
      </c>
      <c r="I71" s="67">
        <f>IF(ISNUMBER(tblY8[[#This Row],[Avg KS2]]),IFERROR(VLOOKUP(ROUND(STANDARDIZE(tblY8[[#This Row],[Avg KS2]],AVERAGE(tblY8[[Avg KS2]]),_xlfn.STDEV.P(tblY8[[Avg KS2]])),9),_Stanine,2),5),"")</f>
        <v>7</v>
      </c>
      <c r="J71" s="66" t="inlineStr">
        <is>
          <t>8A/Sc3</t>
        </is>
      </c>
      <c r="K71" s="67">
        <f>IF(tblY8[[#This Row],[Preferred Last name]]="","",COUNTIFS($N$1:$ZZ$1,"*"&amp;CHAR(10)&amp;"Stanine",$N71:$ZZ71,"&gt;=1"))</f>
        <v>5</v>
      </c>
      <c r="L71" s="68">
        <f>IFERROR(AVERAGEIF($N$1:$ZZ$1,"*"&amp;CHAR(10)&amp;"Stanine",$N71:$ZZ71),"")</f>
        <v>6.4</v>
      </c>
      <c r="M71" s="69">
        <f>IF(AND(ISNUMBER(tblY8[[#This Row],[Mean Stanine]]),ISNUMBER(tblY8[[#This Row],[Avg KS2 Band]]),ISNUMBER(SlopeY8)),tblY8[[#This Row],[Mean Stanine]]-(InterceptY8+SlopeY8*tblY8[[#This Row],[Avg KS2 Band]]),"")</f>
        <v>-0.0996815669310252</v>
      </c>
      <c r="N71" s="66" t="n">
        <v>22</v>
      </c>
      <c r="O71" s="67">
        <f>IF(ISNUMBER(tblY8[[#This Row],[8C01 - Periodic Table
Raw Score]]),IFERROR(VLOOKUP(ROUND(STANDARDIZE(tblY8[[#This Row],[8C01 - Periodic Table
Raw Score]],AVERAGE(tblY8[[8C01 - Periodic Table
Raw Score]]),_xlfn.STDEV.P(tblY8[[8C01 - Periodic Table
Raw Score]])),9),_Stanine,2),5),"")</f>
        <v>6</v>
      </c>
      <c r="P71" s="66" t="n">
        <v>12</v>
      </c>
      <c r="Q71" s="67">
        <f>IF(ISNUMBER(tblY8[[#This Row],[8P01 - Energy
Raw Score]]),IFERROR(VLOOKUP(ROUND(STANDARDIZE(tblY8[[#This Row],[8P01 - Energy
Raw Score]],AVERAGE(tblY8[[8P01 - Energy
Raw Score]]),_xlfn.STDEV.P(tblY8[[8P01 - Energy
Raw Score]])),9),_Stanine,2),5),"")</f>
        <v>6</v>
      </c>
      <c r="R71" s="66" t="n">
        <v>20</v>
      </c>
      <c r="S71" s="67">
        <f>IF(ISNUMBER(tblY8[[#This Row],[8B01 - Digestion
Raw Score]]),IFERROR(VLOOKUP(ROUND(STANDARDIZE(tblY8[[#This Row],[8B01 - Digestion
Raw Score]],AVERAGE(tblY8[[8B01 - Digestion
Raw Score]]),_xlfn.STDEV.P(tblY8[[8B01 - Digestion
Raw Score]])),9),_Stanine,2),5),"")</f>
        <v>7</v>
      </c>
      <c r="T71" s="66" t="n">
        <v>15</v>
      </c>
      <c r="U71" s="67">
        <f>IF(ISNUMBER(tblY8[[#This Row],[8C02 - Metals and Acids
Raw Score]]),IFERROR(VLOOKUP(ROUND(STANDARDIZE(tblY8[[#This Row],[8C02 - Metals and Acids
Raw Score]],AVERAGE(tblY8[[8C02 - Metals and Acids
Raw Score]]),_xlfn.STDEV.P(tblY8[[8C02 - Metals and Acids
Raw Score]])),9),_Stanine,2),5),"")</f>
        <v>6</v>
      </c>
      <c r="V71" s="66" t="n">
        <v>19</v>
      </c>
      <c r="W71" s="67">
        <f>IF(ISNUMBER(tblY8[[#This Row],[8P02 - Light
Raw Score]]),IFERROR(VLOOKUP(ROUND(STANDARDIZE(tblY8[[#This Row],[8P02 - Light
Raw Score]],AVERAGE(tblY8[[8P02 - Light
Raw Score]]),_xlfn.STDEV.P(tblY8[[8P02 - Light
Raw Score]])),9),_Stanine,2),5),"")</f>
        <v>7</v>
      </c>
    </row>
    <row r="72">
      <c r="A72" s="65" t="inlineStr">
        <is>
          <t>X909232617192</t>
        </is>
      </c>
      <c r="B72" s="65" t="inlineStr">
        <is>
          <t>Robinson</t>
        </is>
      </c>
      <c r="C72" s="65" t="inlineStr">
        <is>
          <t>Hollie</t>
        </is>
      </c>
      <c r="D72" s="66" t="inlineStr">
        <is>
          <t>F</t>
        </is>
      </c>
      <c r="E72" s="66" t="inlineStr">
        <is>
          <t>N</t>
        </is>
      </c>
      <c r="F72" s="66" t="inlineStr">
        <is>
          <t>N</t>
        </is>
      </c>
      <c r="G72" s="34" t="n">
        <v>94.59999999999999</v>
      </c>
      <c r="H72" s="34" t="n">
        <v>99.5</v>
      </c>
      <c r="I72" s="67">
        <f>IF(ISNUMBER(tblY8[[#This Row],[Avg KS2]]),IFERROR(VLOOKUP(ROUND(STANDARDIZE(tblY8[[#This Row],[Avg KS2]],AVERAGE(tblY8[[Avg KS2]]),_xlfn.STDEV.P(tblY8[[Avg KS2]])),9),_Stanine,2),5),"")</f>
        <v>3</v>
      </c>
      <c r="J72" s="66" t="inlineStr">
        <is>
          <t>8A/Sc3</t>
        </is>
      </c>
      <c r="K72" s="67">
        <f>IF(tblY8[[#This Row],[Preferred Last name]]="","",COUNTIFS($N$1:$ZZ$1,"*"&amp;CHAR(10)&amp;"Stanine",$N72:$ZZ72,"&gt;=1"))</f>
        <v>4</v>
      </c>
      <c r="L72" s="68">
        <f>IFERROR(AVERAGEIF($N$1:$ZZ$1,"*"&amp;CHAR(10)&amp;"Stanine",$N72:$ZZ72),"")</f>
        <v>2.75</v>
      </c>
      <c r="M72" s="69">
        <f>IF(AND(ISNUMBER(tblY8[[#This Row],[Mean Stanine]]),ISNUMBER(tblY8[[#This Row],[Avg KS2 Band]]),ISNUMBER(SlopeY8)),tblY8[[#This Row],[Mean Stanine]]-(InterceptY8+SlopeY8*tblY8[[#This Row],[Avg KS2 Band]]),"")</f>
        <v>-0.634036289353521</v>
      </c>
      <c r="N72" s="66" t="n">
        <v>16</v>
      </c>
      <c r="O72" s="67">
        <f>IF(ISNUMBER(tblY8[[#This Row],[8C01 - Periodic Table
Raw Score]]),IFERROR(VLOOKUP(ROUND(STANDARDIZE(tblY8[[#This Row],[8C01 - Periodic Table
Raw Score]],AVERAGE(tblY8[[8C01 - Periodic Table
Raw Score]]),_xlfn.STDEV.P(tblY8[[8C01 - Periodic Table
Raw Score]])),9),_Stanine,2),5),"")</f>
        <v>4</v>
      </c>
      <c r="P72" s="66" t="n">
        <v>4</v>
      </c>
      <c r="Q72" s="67">
        <f>IF(ISNUMBER(tblY8[[#This Row],[8P01 - Energy
Raw Score]]),IFERROR(VLOOKUP(ROUND(STANDARDIZE(tblY8[[#This Row],[8P01 - Energy
Raw Score]],AVERAGE(tblY8[[8P01 - Energy
Raw Score]]),_xlfn.STDEV.P(tblY8[[8P01 - Energy
Raw Score]])),9),_Stanine,2),5),"")</f>
        <v>3</v>
      </c>
      <c r="R72" s="66" t="n">
        <v>4</v>
      </c>
      <c r="S72" s="67">
        <f>IF(ISNUMBER(tblY8[[#This Row],[8B01 - Digestion
Raw Score]]),IFERROR(VLOOKUP(ROUND(STANDARDIZE(tblY8[[#This Row],[8B01 - Digestion
Raw Score]],AVERAGE(tblY8[[8B01 - Digestion
Raw Score]]),_xlfn.STDEV.P(tblY8[[8B01 - Digestion
Raw Score]])),9),_Stanine,2),5),"")</f>
        <v>2</v>
      </c>
      <c r="T72" s="66" t="n">
        <v>3</v>
      </c>
      <c r="U72" s="67">
        <f>IF(ISNUMBER(tblY8[[#This Row],[8C02 - Metals and Acids
Raw Score]]),IFERROR(VLOOKUP(ROUND(STANDARDIZE(tblY8[[#This Row],[8C02 - Metals and Acids
Raw Score]],AVERAGE(tblY8[[8C02 - Metals and Acids
Raw Score]]),_xlfn.STDEV.P(tblY8[[8C02 - Metals and Acids
Raw Score]])),9),_Stanine,2),5),"")</f>
        <v>2</v>
      </c>
      <c r="V72" s="66" t="inlineStr">
        <is>
          <t>A</t>
        </is>
      </c>
      <c r="W72" s="67" t="str">
        <f>IF(ISNUMBER(tblY8[[#This Row],[8P02 - Light
Raw Score]]),IFERROR(VLOOKUP(ROUND(STANDARDIZE(tblY8[[#This Row],[8P02 - Light
Raw Score]],AVERAGE(tblY8[[8P02 - Light
Raw Score]]),_xlfn.STDEV.P(tblY8[[8P02 - Light
Raw Score]])),9),_Stanine,2),5),"")</f>
        <v/>
      </c>
    </row>
    <row r="73">
      <c r="A73" s="65" t="inlineStr">
        <is>
          <t>X903337650092</t>
        </is>
      </c>
      <c r="B73" s="65" t="inlineStr">
        <is>
          <t>Robinson</t>
        </is>
      </c>
      <c r="C73" s="65" t="inlineStr">
        <is>
          <t>Kai</t>
        </is>
      </c>
      <c r="D73" s="66" t="inlineStr">
        <is>
          <t>M</t>
        </is>
      </c>
      <c r="E73" s="66" t="inlineStr">
        <is>
          <t>N</t>
        </is>
      </c>
      <c r="F73" s="66" t="inlineStr">
        <is>
          <t>N</t>
        </is>
      </c>
      <c r="G73" s="34" t="n">
        <v>100</v>
      </c>
      <c r="H73" s="34" t="n">
        <v>107.5</v>
      </c>
      <c r="I73" s="67">
        <f>IF(ISNUMBER(tblY8[[#This Row],[Avg KS2]]),IFERROR(VLOOKUP(ROUND(STANDARDIZE(tblY8[[#This Row],[Avg KS2]],AVERAGE(tblY8[[Avg KS2]]),_xlfn.STDEV.P(tblY8[[Avg KS2]])),9),_Stanine,2),5),"")</f>
        <v>6</v>
      </c>
      <c r="J73" s="66" t="inlineStr">
        <is>
          <t>8A/Sc3</t>
        </is>
      </c>
      <c r="K73" s="67">
        <f>IF(tblY8[[#This Row],[Preferred Last name]]="","",COUNTIFS($N$1:$ZZ$1,"*"&amp;CHAR(10)&amp;"Stanine",$N73:$ZZ73,"&gt;=1"))</f>
        <v>5</v>
      </c>
      <c r="L73" s="68">
        <f>IFERROR(AVERAGEIF($N$1:$ZZ$1,"*"&amp;CHAR(10)&amp;"Stanine",$N73:$ZZ73),"")</f>
        <v>5.8</v>
      </c>
      <c r="M73" s="69">
        <f>IF(AND(ISNUMBER(tblY8[[#This Row],[Mean Stanine]]),ISNUMBER(tblY8[[#This Row],[Avg KS2 Band]]),ISNUMBER(SlopeY8)),tblY8[[#This Row],[Mean Stanine]]-(InterceptY8+SlopeY8*tblY8[[#This Row],[Avg KS2 Band]]),"")</f>
        <v>0.0792297524633501</v>
      </c>
      <c r="N73" s="66" t="n">
        <v>22</v>
      </c>
      <c r="O73" s="67">
        <f>IF(ISNUMBER(tblY8[[#This Row],[8C01 - Periodic Table
Raw Score]]),IFERROR(VLOOKUP(ROUND(STANDARDIZE(tblY8[[#This Row],[8C01 - Periodic Table
Raw Score]],AVERAGE(tblY8[[8C01 - Periodic Table
Raw Score]]),_xlfn.STDEV.P(tblY8[[8C01 - Periodic Table
Raw Score]])),9),_Stanine,2),5),"")</f>
        <v>6</v>
      </c>
      <c r="P73" s="66" t="n">
        <v>13</v>
      </c>
      <c r="Q73" s="67">
        <f>IF(ISNUMBER(tblY8[[#This Row],[8P01 - Energy
Raw Score]]),IFERROR(VLOOKUP(ROUND(STANDARDIZE(tblY8[[#This Row],[8P01 - Energy
Raw Score]],AVERAGE(tblY8[[8P01 - Energy
Raw Score]]),_xlfn.STDEV.P(tblY8[[8P01 - Energy
Raw Score]])),9),_Stanine,2),5),"")</f>
        <v>6</v>
      </c>
      <c r="R73" s="66" t="n">
        <v>18</v>
      </c>
      <c r="S73" s="67">
        <f>IF(ISNUMBER(tblY8[[#This Row],[8B01 - Digestion
Raw Score]]),IFERROR(VLOOKUP(ROUND(STANDARDIZE(tblY8[[#This Row],[8B01 - Digestion
Raw Score]],AVERAGE(tblY8[[8B01 - Digestion
Raw Score]]),_xlfn.STDEV.P(tblY8[[8B01 - Digestion
Raw Score]])),9),_Stanine,2),5),"")</f>
        <v>6</v>
      </c>
      <c r="T73" s="66" t="n">
        <v>10</v>
      </c>
      <c r="U73" s="67">
        <f>IF(ISNUMBER(tblY8[[#This Row],[8C02 - Metals and Acids
Raw Score]]),IFERROR(VLOOKUP(ROUND(STANDARDIZE(tblY8[[#This Row],[8C02 - Metals and Acids
Raw Score]],AVERAGE(tblY8[[8C02 - Metals and Acids
Raw Score]]),_xlfn.STDEV.P(tblY8[[8C02 - Metals and Acids
Raw Score]])),9),_Stanine,2),5),"")</f>
        <v>4</v>
      </c>
      <c r="V73" s="66" t="n">
        <v>19</v>
      </c>
      <c r="W73" s="67">
        <f>IF(ISNUMBER(tblY8[[#This Row],[8P02 - Light
Raw Score]]),IFERROR(VLOOKUP(ROUND(STANDARDIZE(tblY8[[#This Row],[8P02 - Light
Raw Score]],AVERAGE(tblY8[[8P02 - Light
Raw Score]]),_xlfn.STDEV.P(tblY8[[8P02 - Light
Raw Score]])),9),_Stanine,2),5),"")</f>
        <v>7</v>
      </c>
    </row>
    <row r="74">
      <c r="A74" s="65" t="inlineStr">
        <is>
          <t>X908693427249</t>
        </is>
      </c>
      <c r="B74" s="65" t="inlineStr">
        <is>
          <t>Taylor</t>
        </is>
      </c>
      <c r="C74" s="65" t="inlineStr">
        <is>
          <t>Ivy</t>
        </is>
      </c>
      <c r="D74" s="66" t="inlineStr">
        <is>
          <t>M</t>
        </is>
      </c>
      <c r="E74" s="66" t="inlineStr">
        <is>
          <t>K</t>
        </is>
      </c>
      <c r="F74" s="66" t="inlineStr">
        <is>
          <t>Y</t>
        </is>
      </c>
      <c r="G74" s="34" t="n">
        <v>93.59999999999999</v>
      </c>
      <c r="H74" s="34" t="n">
        <v>103.5</v>
      </c>
      <c r="I74" s="67">
        <f>IF(ISNUMBER(tblY8[[#This Row],[Avg KS2]]),IFERROR(VLOOKUP(ROUND(STANDARDIZE(tblY8[[#This Row],[Avg KS2]],AVERAGE(tblY8[[Avg KS2]]),_xlfn.STDEV.P(tblY8[[Avg KS2]])),9),_Stanine,2),5),"")</f>
        <v>4</v>
      </c>
      <c r="J74" s="66" t="inlineStr">
        <is>
          <t>8A/Sc3</t>
        </is>
      </c>
      <c r="K74" s="67">
        <f>IF(tblY8[[#This Row],[Preferred Last name]]="","",COUNTIFS($N$1:$ZZ$1,"*"&amp;CHAR(10)&amp;"Stanine",$N74:$ZZ74,"&gt;=1"))</f>
        <v>5</v>
      </c>
      <c r="L74" s="68">
        <f>IFERROR(AVERAGEIF($N$1:$ZZ$1,"*"&amp;CHAR(10)&amp;"Stanine",$N74:$ZZ74),"")</f>
        <v>4.4</v>
      </c>
      <c r="M74" s="69">
        <f>IF(AND(ISNUMBER(tblY8[[#This Row],[Mean Stanine]]),ISNUMBER(tblY8[[#This Row],[Avg KS2 Band]]),ISNUMBER(SlopeY8)),tblY8[[#This Row],[Mean Stanine]]-(InterceptY8+SlopeY8*tblY8[[#This Row],[Avg KS2 Band]]),"")</f>
        <v>0.237052391252103</v>
      </c>
      <c r="N74" s="66" t="n">
        <v>14</v>
      </c>
      <c r="O74" s="67">
        <f>IF(ISNUMBER(tblY8[[#This Row],[8C01 - Periodic Table
Raw Score]]),IFERROR(VLOOKUP(ROUND(STANDARDIZE(tblY8[[#This Row],[8C01 - Periodic Table
Raw Score]],AVERAGE(tblY8[[8C01 - Periodic Table
Raw Score]]),_xlfn.STDEV.P(tblY8[[8C01 - Periodic Table
Raw Score]])),9),_Stanine,2),5),"")</f>
        <v>4</v>
      </c>
      <c r="P74" s="66" t="n">
        <v>8</v>
      </c>
      <c r="Q74" s="67">
        <f>IF(ISNUMBER(tblY8[[#This Row],[8P01 - Energy
Raw Score]]),IFERROR(VLOOKUP(ROUND(STANDARDIZE(tblY8[[#This Row],[8P01 - Energy
Raw Score]],AVERAGE(tblY8[[8P01 - Energy
Raw Score]]),_xlfn.STDEV.P(tblY8[[8P01 - Energy
Raw Score]])),9),_Stanine,2),5),"")</f>
        <v>4</v>
      </c>
      <c r="R74" s="66" t="n">
        <v>15</v>
      </c>
      <c r="S74" s="67">
        <f>IF(ISNUMBER(tblY8[[#This Row],[8B01 - Digestion
Raw Score]]),IFERROR(VLOOKUP(ROUND(STANDARDIZE(tblY8[[#This Row],[8B01 - Digestion
Raw Score]],AVERAGE(tblY8[[8B01 - Digestion
Raw Score]]),_xlfn.STDEV.P(tblY8[[8B01 - Digestion
Raw Score]])),9),_Stanine,2),5),"")</f>
        <v>5</v>
      </c>
      <c r="T74" s="66" t="n">
        <v>9</v>
      </c>
      <c r="U74" s="67">
        <f>IF(ISNUMBER(tblY8[[#This Row],[8C02 - Metals and Acids
Raw Score]]),IFERROR(VLOOKUP(ROUND(STANDARDIZE(tblY8[[#This Row],[8C02 - Metals and Acids
Raw Score]],AVERAGE(tblY8[[8C02 - Metals and Acids
Raw Score]]),_xlfn.STDEV.P(tblY8[[8C02 - Metals and Acids
Raw Score]])),9),_Stanine,2),5),"")</f>
        <v>4</v>
      </c>
      <c r="V74" s="66" t="n">
        <v>16</v>
      </c>
      <c r="W74" s="67">
        <f>IF(ISNUMBER(tblY8[[#This Row],[8P02 - Light
Raw Score]]),IFERROR(VLOOKUP(ROUND(STANDARDIZE(tblY8[[#This Row],[8P02 - Light
Raw Score]],AVERAGE(tblY8[[8P02 - Light
Raw Score]]),_xlfn.STDEV.P(tblY8[[8P02 - Light
Raw Score]])),9),_Stanine,2),5),"")</f>
        <v>5</v>
      </c>
    </row>
    <row r="75">
      <c r="A75" s="65" t="inlineStr">
        <is>
          <t>X900627838527</t>
        </is>
      </c>
      <c r="B75" s="65" t="inlineStr">
        <is>
          <t>Ward</t>
        </is>
      </c>
      <c r="C75" s="65" t="inlineStr">
        <is>
          <t>Alfie</t>
        </is>
      </c>
      <c r="D75" s="66" t="inlineStr">
        <is>
          <t>F</t>
        </is>
      </c>
      <c r="E75" s="66" t="n"/>
      <c r="F75" s="66" t="inlineStr">
        <is>
          <t>N</t>
        </is>
      </c>
      <c r="G75" s="34" t="n">
        <v>98.3</v>
      </c>
      <c r="H75" s="34" t="n">
        <v>113</v>
      </c>
      <c r="I75" s="67">
        <f>IF(ISNUMBER(tblY8[[#This Row],[Avg KS2]]),IFERROR(VLOOKUP(ROUND(STANDARDIZE(tblY8[[#This Row],[Avg KS2]],AVERAGE(tblY8[[Avg KS2]]),_xlfn.STDEV.P(tblY8[[Avg KS2]])),9),_Stanine,2),5),"")</f>
        <v>8</v>
      </c>
      <c r="J75" s="66" t="inlineStr">
        <is>
          <t>8A/Sc3</t>
        </is>
      </c>
      <c r="K75" s="67">
        <f>IF(tblY8[[#This Row],[Preferred Last name]]="","",COUNTIFS($N$1:$ZZ$1,"*"&amp;CHAR(10)&amp;"Stanine",$N75:$ZZ75,"&gt;=1"))</f>
        <v>5</v>
      </c>
      <c r="L75" s="68">
        <f>IFERROR(AVERAGEIF($N$1:$ZZ$1,"*"&amp;CHAR(10)&amp;"Stanine",$N75:$ZZ75),"")</f>
        <v>7.6</v>
      </c>
      <c r="M75" s="69">
        <f>IF(AND(ISNUMBER(tblY8[[#This Row],[Mean Stanine]]),ISNUMBER(tblY8[[#This Row],[Avg KS2 Band]]),ISNUMBER(SlopeY8)),tblY8[[#This Row],[Mean Stanine]]-(InterceptY8+SlopeY8*tblY8[[#This Row],[Avg KS2 Band]]),"")</f>
        <v>0.321407113674598</v>
      </c>
      <c r="N75" s="66" t="n">
        <v>24</v>
      </c>
      <c r="O75" s="67">
        <f>IF(ISNUMBER(tblY8[[#This Row],[8C01 - Periodic Table
Raw Score]]),IFERROR(VLOOKUP(ROUND(STANDARDIZE(tblY8[[#This Row],[8C01 - Periodic Table
Raw Score]],AVERAGE(tblY8[[8C01 - Periodic Table
Raw Score]]),_xlfn.STDEV.P(tblY8[[8C01 - Periodic Table
Raw Score]])),9),_Stanine,2),5),"")</f>
        <v>7</v>
      </c>
      <c r="P75" s="66" t="n">
        <v>18</v>
      </c>
      <c r="Q75" s="67">
        <f>IF(ISNUMBER(tblY8[[#This Row],[8P01 - Energy
Raw Score]]),IFERROR(VLOOKUP(ROUND(STANDARDIZE(tblY8[[#This Row],[8P01 - Energy
Raw Score]],AVERAGE(tblY8[[8P01 - Energy
Raw Score]]),_xlfn.STDEV.P(tblY8[[8P01 - Energy
Raw Score]])),9),_Stanine,2),5),"")</f>
        <v>8</v>
      </c>
      <c r="R75" s="66" t="n">
        <v>20</v>
      </c>
      <c r="S75" s="67">
        <f>IF(ISNUMBER(tblY8[[#This Row],[8B01 - Digestion
Raw Score]]),IFERROR(VLOOKUP(ROUND(STANDARDIZE(tblY8[[#This Row],[8B01 - Digestion
Raw Score]],AVERAGE(tblY8[[8B01 - Digestion
Raw Score]]),_xlfn.STDEV.P(tblY8[[8B01 - Digestion
Raw Score]])),9),_Stanine,2),5),"")</f>
        <v>7</v>
      </c>
      <c r="T75" s="66" t="n">
        <v>19</v>
      </c>
      <c r="U75" s="67">
        <f>IF(ISNUMBER(tblY8[[#This Row],[8C02 - Metals and Acids
Raw Score]]),IFERROR(VLOOKUP(ROUND(STANDARDIZE(tblY8[[#This Row],[8C02 - Metals and Acids
Raw Score]],AVERAGE(tblY8[[8C02 - Metals and Acids
Raw Score]]),_xlfn.STDEV.P(tblY8[[8C02 - Metals and Acids
Raw Score]])),9),_Stanine,2),5),"")</f>
        <v>8</v>
      </c>
      <c r="V75" s="66" t="n">
        <v>22</v>
      </c>
      <c r="W75" s="67">
        <f>IF(ISNUMBER(tblY8[[#This Row],[8P02 - Light
Raw Score]]),IFERROR(VLOOKUP(ROUND(STANDARDIZE(tblY8[[#This Row],[8P02 - Light
Raw Score]],AVERAGE(tblY8[[8P02 - Light
Raw Score]]),_xlfn.STDEV.P(tblY8[[8P02 - Light
Raw Score]])),9),_Stanine,2),5),"")</f>
        <v>8</v>
      </c>
    </row>
    <row r="76">
      <c r="A76" s="65" t="inlineStr">
        <is>
          <t>X908584384496</t>
        </is>
      </c>
      <c r="B76" s="65" t="inlineStr">
        <is>
          <t>Wood</t>
        </is>
      </c>
      <c r="C76" s="65" t="inlineStr">
        <is>
          <t>Seren</t>
        </is>
      </c>
      <c r="D76" s="66" t="inlineStr">
        <is>
          <t>M</t>
        </is>
      </c>
      <c r="E76" s="66" t="inlineStr">
        <is>
          <t>K</t>
        </is>
      </c>
      <c r="F76" s="66" t="inlineStr">
        <is>
          <t>N</t>
        </is>
      </c>
      <c r="G76" s="34" t="n">
        <v>93.59999999999999</v>
      </c>
      <c r="H76" s="34" t="n">
        <v>104</v>
      </c>
      <c r="I76" s="67">
        <f>IF(ISNUMBER(tblY8[[#This Row],[Avg KS2]]),IFERROR(VLOOKUP(ROUND(STANDARDIZE(tblY8[[#This Row],[Avg KS2]],AVERAGE(tblY8[[Avg KS2]]),_xlfn.STDEV.P(tblY8[[Avg KS2]])),9),_Stanine,2),5),"")</f>
        <v>5</v>
      </c>
      <c r="J76" s="66" t="inlineStr">
        <is>
          <t>8A/Sc3</t>
        </is>
      </c>
      <c r="K76" s="67">
        <f>IF(tblY8[[#This Row],[Preferred Last name]]="","",COUNTIFS($N$1:$ZZ$1,"*"&amp;CHAR(10)&amp;"Stanine",$N76:$ZZ76,"&gt;=1"))</f>
        <v>5</v>
      </c>
      <c r="L76" s="68">
        <f>IFERROR(AVERAGEIF($N$1:$ZZ$1,"*"&amp;CHAR(10)&amp;"Stanine",$N76:$ZZ76),"")</f>
        <v>4</v>
      </c>
      <c r="M76" s="69">
        <f>IF(AND(ISNUMBER(tblY8[[#This Row],[Mean Stanine]]),ISNUMBER(tblY8[[#This Row],[Avg KS2 Band]]),ISNUMBER(SlopeY8)),tblY8[[#This Row],[Mean Stanine]]-(InterceptY8+SlopeY8*tblY8[[#This Row],[Avg KS2 Band]]),"")</f>
        <v>-0.941858928142273</v>
      </c>
      <c r="N76" s="66" t="n">
        <v>14</v>
      </c>
      <c r="O76" s="67">
        <f>IF(ISNUMBER(tblY8[[#This Row],[8C01 - Periodic Table
Raw Score]]),IFERROR(VLOOKUP(ROUND(STANDARDIZE(tblY8[[#This Row],[8C01 - Periodic Table
Raw Score]],AVERAGE(tblY8[[8C01 - Periodic Table
Raw Score]]),_xlfn.STDEV.P(tblY8[[8C01 - Periodic Table
Raw Score]])),9),_Stanine,2),5),"")</f>
        <v>4</v>
      </c>
      <c r="P76" s="66" t="n">
        <v>9</v>
      </c>
      <c r="Q76" s="67">
        <f>IF(ISNUMBER(tblY8[[#This Row],[8P01 - Energy
Raw Score]]),IFERROR(VLOOKUP(ROUND(STANDARDIZE(tblY8[[#This Row],[8P01 - Energy
Raw Score]],AVERAGE(tblY8[[8P01 - Energy
Raw Score]]),_xlfn.STDEV.P(tblY8[[8P01 - Energy
Raw Score]])),9),_Stanine,2),5),"")</f>
        <v>4</v>
      </c>
      <c r="R76" s="66" t="n">
        <v>8</v>
      </c>
      <c r="S76" s="67">
        <f>IF(ISNUMBER(tblY8[[#This Row],[8B01 - Digestion
Raw Score]]),IFERROR(VLOOKUP(ROUND(STANDARDIZE(tblY8[[#This Row],[8B01 - Digestion
Raw Score]],AVERAGE(tblY8[[8B01 - Digestion
Raw Score]]),_xlfn.STDEV.P(tblY8[[8B01 - Digestion
Raw Score]])),9),_Stanine,2),5),"")</f>
        <v>3</v>
      </c>
      <c r="T76" s="66" t="n">
        <v>9</v>
      </c>
      <c r="U76" s="67">
        <f>IF(ISNUMBER(tblY8[[#This Row],[8C02 - Metals and Acids
Raw Score]]),IFERROR(VLOOKUP(ROUND(STANDARDIZE(tblY8[[#This Row],[8C02 - Metals and Acids
Raw Score]],AVERAGE(tblY8[[8C02 - Metals and Acids
Raw Score]]),_xlfn.STDEV.P(tblY8[[8C02 - Metals and Acids
Raw Score]])),9),_Stanine,2),5),"")</f>
        <v>4</v>
      </c>
      <c r="V76" s="66" t="n">
        <v>15</v>
      </c>
      <c r="W76" s="67">
        <f>IF(ISNUMBER(tblY8[[#This Row],[8P02 - Light
Raw Score]]),IFERROR(VLOOKUP(ROUND(STANDARDIZE(tblY8[[#This Row],[8P02 - Light
Raw Score]],AVERAGE(tblY8[[8P02 - Light
Raw Score]]),_xlfn.STDEV.P(tblY8[[8P02 - Light
Raw Score]])),9),_Stanine,2),5),"")</f>
        <v>5</v>
      </c>
    </row>
    <row r="77">
      <c r="A77" s="65" t="inlineStr">
        <is>
          <t>X905873930311</t>
        </is>
      </c>
      <c r="B77" s="65" t="inlineStr">
        <is>
          <t>Bennett</t>
        </is>
      </c>
      <c r="C77" s="65" t="inlineStr">
        <is>
          <t>Rosie</t>
        </is>
      </c>
      <c r="D77" s="66" t="inlineStr">
        <is>
          <t>M</t>
        </is>
      </c>
      <c r="E77" s="66" t="inlineStr">
        <is>
          <t>N</t>
        </is>
      </c>
      <c r="F77" s="66" t="inlineStr">
        <is>
          <t>N</t>
        </is>
      </c>
      <c r="G77" s="34" t="n">
        <v>97.59999999999999</v>
      </c>
      <c r="H77" s="34" t="n">
        <v>98.5</v>
      </c>
      <c r="I77" s="67">
        <f>IF(ISNUMBER(tblY8[[#This Row],[Avg KS2]]),IFERROR(VLOOKUP(ROUND(STANDARDIZE(tblY8[[#This Row],[Avg KS2]],AVERAGE(tblY8[[Avg KS2]]),_xlfn.STDEV.P(tblY8[[Avg KS2]])),9),_Stanine,2),5),"")</f>
        <v>3</v>
      </c>
      <c r="J77" s="66" t="inlineStr">
        <is>
          <t>8A/Sc4</t>
        </is>
      </c>
      <c r="K77" s="67">
        <f>IF(tblY8[[#This Row],[Preferred Last name]]="","",COUNTIFS($N$1:$ZZ$1,"*"&amp;CHAR(10)&amp;"Stanine",$N77:$ZZ77,"&gt;=1"))</f>
        <v>4</v>
      </c>
      <c r="L77" s="68">
        <f>IFERROR(AVERAGEIF($N$1:$ZZ$1,"*"&amp;CHAR(10)&amp;"Stanine",$N77:$ZZ77),"")</f>
        <v>2.5</v>
      </c>
      <c r="M77" s="69">
        <f>IF(AND(ISNUMBER(tblY8[[#This Row],[Mean Stanine]]),ISNUMBER(tblY8[[#This Row],[Avg KS2 Band]]),ISNUMBER(SlopeY8)),tblY8[[#This Row],[Mean Stanine]]-(InterceptY8+SlopeY8*tblY8[[#This Row],[Avg KS2 Band]]),"")</f>
        <v>-0.884036289353521</v>
      </c>
      <c r="N77" s="66" t="n">
        <v>10</v>
      </c>
      <c r="O77" s="67">
        <f>IF(ISNUMBER(tblY8[[#This Row],[8C01 - Periodic Table
Raw Score]]),IFERROR(VLOOKUP(ROUND(STANDARDIZE(tblY8[[#This Row],[8C01 - Periodic Table
Raw Score]],AVERAGE(tblY8[[8C01 - Periodic Table
Raw Score]]),_xlfn.STDEV.P(tblY8[[8C01 - Periodic Table
Raw Score]])),9),_Stanine,2),5),"")</f>
        <v>2</v>
      </c>
      <c r="P77" s="66" t="n">
        <v>5</v>
      </c>
      <c r="Q77" s="67">
        <f>IF(ISNUMBER(tblY8[[#This Row],[8P01 - Energy
Raw Score]]),IFERROR(VLOOKUP(ROUND(STANDARDIZE(tblY8[[#This Row],[8P01 - Energy
Raw Score]],AVERAGE(tblY8[[8P01 - Energy
Raw Score]]),_xlfn.STDEV.P(tblY8[[8P01 - Energy
Raw Score]])),9),_Stanine,2),5),"")</f>
        <v>3</v>
      </c>
      <c r="R77" s="66" t="n">
        <v>6</v>
      </c>
      <c r="S77" s="67">
        <f>IF(ISNUMBER(tblY8[[#This Row],[8B01 - Digestion
Raw Score]]),IFERROR(VLOOKUP(ROUND(STANDARDIZE(tblY8[[#This Row],[8B01 - Digestion
Raw Score]],AVERAGE(tblY8[[8B01 - Digestion
Raw Score]]),_xlfn.STDEV.P(tblY8[[8B01 - Digestion
Raw Score]])),9),_Stanine,2),5),"")</f>
        <v>2</v>
      </c>
      <c r="T77" s="66" t="n">
        <v>7</v>
      </c>
      <c r="U77" s="67">
        <f>IF(ISNUMBER(tblY8[[#This Row],[8C02 - Metals and Acids
Raw Score]]),IFERROR(VLOOKUP(ROUND(STANDARDIZE(tblY8[[#This Row],[8C02 - Metals and Acids
Raw Score]],AVERAGE(tblY8[[8C02 - Metals and Acids
Raw Score]]),_xlfn.STDEV.P(tblY8[[8C02 - Metals and Acids
Raw Score]])),9),_Stanine,2),5),"")</f>
        <v>3</v>
      </c>
      <c r="V77" s="66" t="n"/>
      <c r="W77" s="67" t="str">
        <f>IF(ISNUMBER(tblY8[[#This Row],[8P02 - Light
Raw Score]]),IFERROR(VLOOKUP(ROUND(STANDARDIZE(tblY8[[#This Row],[8P02 - Light
Raw Score]],AVERAGE(tblY8[[8P02 - Light
Raw Score]]),_xlfn.STDEV.P(tblY8[[8P02 - Light
Raw Score]])),9),_Stanine,2),5),"")</f>
        <v/>
      </c>
    </row>
    <row r="78">
      <c r="A78" s="65" t="inlineStr">
        <is>
          <t>X905618076855</t>
        </is>
      </c>
      <c r="B78" s="65" t="inlineStr">
        <is>
          <t>Brown</t>
        </is>
      </c>
      <c r="C78" s="65" t="inlineStr">
        <is>
          <t>Oliver</t>
        </is>
      </c>
      <c r="D78" s="66" t="inlineStr">
        <is>
          <t>F</t>
        </is>
      </c>
      <c r="E78" s="66" t="inlineStr">
        <is>
          <t>K</t>
        </is>
      </c>
      <c r="F78" s="66" t="inlineStr">
        <is>
          <t>N</t>
        </is>
      </c>
      <c r="G78" s="34" t="n">
        <v>91.59999999999999</v>
      </c>
      <c r="H78" s="34" t="n">
        <v>105.5</v>
      </c>
      <c r="I78" s="67">
        <f>IF(ISNUMBER(tblY8[[#This Row],[Avg KS2]]),IFERROR(VLOOKUP(ROUND(STANDARDIZE(tblY8[[#This Row],[Avg KS2]],AVERAGE(tblY8[[Avg KS2]]),_xlfn.STDEV.P(tblY8[[Avg KS2]])),9),_Stanine,2),5),"")</f>
        <v>5</v>
      </c>
      <c r="J78" s="66" t="inlineStr">
        <is>
          <t>8A/Sc4</t>
        </is>
      </c>
      <c r="K78" s="67">
        <f>IF(tblY8[[#This Row],[Preferred Last name]]="","",COUNTIFS($N$1:$ZZ$1,"*"&amp;CHAR(10)&amp;"Stanine",$N78:$ZZ78,"&gt;=1"))</f>
        <v>4</v>
      </c>
      <c r="L78" s="68">
        <f>IFERROR(AVERAGEIF($N$1:$ZZ$1,"*"&amp;CHAR(10)&amp;"Stanine",$N78:$ZZ78),"")</f>
        <v>3</v>
      </c>
      <c r="M78" s="69">
        <f>IF(AND(ISNUMBER(tblY8[[#This Row],[Mean Stanine]]),ISNUMBER(tblY8[[#This Row],[Avg KS2 Band]]),ISNUMBER(SlopeY8)),tblY8[[#This Row],[Mean Stanine]]-(InterceptY8+SlopeY8*tblY8[[#This Row],[Avg KS2 Band]]),"")</f>
        <v>-1.94185892814227</v>
      </c>
      <c r="N78" s="66" t="n">
        <v>8</v>
      </c>
      <c r="O78" s="67">
        <f>IF(ISNUMBER(tblY8[[#This Row],[8C01 - Periodic Table
Raw Score]]),IFERROR(VLOOKUP(ROUND(STANDARDIZE(tblY8[[#This Row],[8C01 - Periodic Table
Raw Score]],AVERAGE(tblY8[[8C01 - Periodic Table
Raw Score]]),_xlfn.STDEV.P(tblY8[[8C01 - Periodic Table
Raw Score]])),9),_Stanine,2),5),"")</f>
        <v>2</v>
      </c>
      <c r="P78" s="66" t="n">
        <v>6</v>
      </c>
      <c r="Q78" s="67">
        <f>IF(ISNUMBER(tblY8[[#This Row],[8P01 - Energy
Raw Score]]),IFERROR(VLOOKUP(ROUND(STANDARDIZE(tblY8[[#This Row],[8P01 - Energy
Raw Score]],AVERAGE(tblY8[[8P01 - Energy
Raw Score]]),_xlfn.STDEV.P(tblY8[[8P01 - Energy
Raw Score]])),9),_Stanine,2),5),"")</f>
        <v>3</v>
      </c>
      <c r="R78" s="66" t="n">
        <v>9</v>
      </c>
      <c r="S78" s="67">
        <f>IF(ISNUMBER(tblY8[[#This Row],[8B01 - Digestion
Raw Score]]),IFERROR(VLOOKUP(ROUND(STANDARDIZE(tblY8[[#This Row],[8B01 - Digestion
Raw Score]],AVERAGE(tblY8[[8B01 - Digestion
Raw Score]]),_xlfn.STDEV.P(tblY8[[8B01 - Digestion
Raw Score]])),9),_Stanine,2),5),"")</f>
        <v>3</v>
      </c>
      <c r="T78" s="66" t="n">
        <v>8</v>
      </c>
      <c r="U78" s="67">
        <f>IF(ISNUMBER(tblY8[[#This Row],[8C02 - Metals and Acids
Raw Score]]),IFERROR(VLOOKUP(ROUND(STANDARDIZE(tblY8[[#This Row],[8C02 - Metals and Acids
Raw Score]],AVERAGE(tblY8[[8C02 - Metals and Acids
Raw Score]]),_xlfn.STDEV.P(tblY8[[8C02 - Metals and Acids
Raw Score]])),9),_Stanine,2),5),"")</f>
        <v>4</v>
      </c>
      <c r="V78" s="66" t="n"/>
      <c r="W78" s="67" t="str">
        <f>IF(ISNUMBER(tblY8[[#This Row],[8P02 - Light
Raw Score]]),IFERROR(VLOOKUP(ROUND(STANDARDIZE(tblY8[[#This Row],[8P02 - Light
Raw Score]],AVERAGE(tblY8[[8P02 - Light
Raw Score]]),_xlfn.STDEV.P(tblY8[[8P02 - Light
Raw Score]])),9),_Stanine,2),5),"")</f>
        <v/>
      </c>
    </row>
    <row r="79">
      <c r="A79" s="65" t="inlineStr">
        <is>
          <t>X905134497989</t>
        </is>
      </c>
      <c r="B79" s="65" t="inlineStr">
        <is>
          <t>Clarke</t>
        </is>
      </c>
      <c r="C79" s="65" t="inlineStr">
        <is>
          <t>George</t>
        </is>
      </c>
      <c r="D79" s="66" t="inlineStr">
        <is>
          <t>F</t>
        </is>
      </c>
      <c r="E79" s="66" t="n"/>
      <c r="F79" s="66" t="inlineStr">
        <is>
          <t>N</t>
        </is>
      </c>
      <c r="G79" s="34" t="n">
        <v>85.40000000000001</v>
      </c>
      <c r="H79" s="34" t="n">
        <v>98</v>
      </c>
      <c r="I79" s="67">
        <f>IF(ISNUMBER(tblY8[[#This Row],[Avg KS2]]),IFERROR(VLOOKUP(ROUND(STANDARDIZE(tblY8[[#This Row],[Avg KS2]],AVERAGE(tblY8[[Avg KS2]]),_xlfn.STDEV.P(tblY8[[Avg KS2]])),9),_Stanine,2),5),"")</f>
        <v>3</v>
      </c>
      <c r="J79" s="66" t="inlineStr">
        <is>
          <t>8A/Sc4</t>
        </is>
      </c>
      <c r="K79" s="67">
        <f>IF(tblY8[[#This Row],[Preferred Last name]]="","",COUNTIFS($N$1:$ZZ$1,"*"&amp;CHAR(10)&amp;"Stanine",$N79:$ZZ79,"&gt;=1"))</f>
        <v>4</v>
      </c>
      <c r="L79" s="68">
        <f>IFERROR(AVERAGEIF($N$1:$ZZ$1,"*"&amp;CHAR(10)&amp;"Stanine",$N79:$ZZ79),"")</f>
        <v>3.75</v>
      </c>
      <c r="M79" s="69">
        <f>IF(AND(ISNUMBER(tblY8[[#This Row],[Mean Stanine]]),ISNUMBER(tblY8[[#This Row],[Avg KS2 Band]]),ISNUMBER(SlopeY8)),tblY8[[#This Row],[Mean Stanine]]-(InterceptY8+SlopeY8*tblY8[[#This Row],[Avg KS2 Band]]),"")</f>
        <v>0.365963710646479</v>
      </c>
      <c r="N79" s="66" t="n">
        <v>15</v>
      </c>
      <c r="O79" s="67">
        <f>IF(ISNUMBER(tblY8[[#This Row],[8C01 - Periodic Table
Raw Score]]),IFERROR(VLOOKUP(ROUND(STANDARDIZE(tblY8[[#This Row],[8C01 - Periodic Table
Raw Score]],AVERAGE(tblY8[[8C01 - Periodic Table
Raw Score]]),_xlfn.STDEV.P(tblY8[[8C01 - Periodic Table
Raw Score]])),9),_Stanine,2),5),"")</f>
        <v>4</v>
      </c>
      <c r="P79" s="66" t="n">
        <v>6</v>
      </c>
      <c r="Q79" s="67">
        <f>IF(ISNUMBER(tblY8[[#This Row],[8P01 - Energy
Raw Score]]),IFERROR(VLOOKUP(ROUND(STANDARDIZE(tblY8[[#This Row],[8P01 - Energy
Raw Score]],AVERAGE(tblY8[[8P01 - Energy
Raw Score]]),_xlfn.STDEV.P(tblY8[[8P01 - Energy
Raw Score]])),9),_Stanine,2),5),"")</f>
        <v>3</v>
      </c>
      <c r="R79" s="66" t="n">
        <v>13</v>
      </c>
      <c r="S79" s="67">
        <f>IF(ISNUMBER(tblY8[[#This Row],[8B01 - Digestion
Raw Score]]),IFERROR(VLOOKUP(ROUND(STANDARDIZE(tblY8[[#This Row],[8B01 - Digestion
Raw Score]],AVERAGE(tblY8[[8B01 - Digestion
Raw Score]]),_xlfn.STDEV.P(tblY8[[8B01 - Digestion
Raw Score]])),9),_Stanine,2),5),"")</f>
        <v>5</v>
      </c>
      <c r="T79" s="66" t="n">
        <v>5</v>
      </c>
      <c r="U79" s="67">
        <f>IF(ISNUMBER(tblY8[[#This Row],[8C02 - Metals and Acids
Raw Score]]),IFERROR(VLOOKUP(ROUND(STANDARDIZE(tblY8[[#This Row],[8C02 - Metals and Acids
Raw Score]],AVERAGE(tblY8[[8C02 - Metals and Acids
Raw Score]]),_xlfn.STDEV.P(tblY8[[8C02 - Metals and Acids
Raw Score]])),9),_Stanine,2),5),"")</f>
        <v>3</v>
      </c>
      <c r="V79" s="66" t="n"/>
      <c r="W79" s="67" t="str">
        <f>IF(ISNUMBER(tblY8[[#This Row],[8P02 - Light
Raw Score]]),IFERROR(VLOOKUP(ROUND(STANDARDIZE(tblY8[[#This Row],[8P02 - Light
Raw Score]],AVERAGE(tblY8[[8P02 - Light
Raw Score]]),_xlfn.STDEV.P(tblY8[[8P02 - Light
Raw Score]])),9),_Stanine,2),5),"")</f>
        <v/>
      </c>
    </row>
    <row r="80">
      <c r="A80" s="65" t="inlineStr">
        <is>
          <t>X901909722274</t>
        </is>
      </c>
      <c r="B80" s="65" t="inlineStr">
        <is>
          <t>Fletcher</t>
        </is>
      </c>
      <c r="C80" s="65" t="inlineStr">
        <is>
          <t>Priya</t>
        </is>
      </c>
      <c r="D80" s="66" t="inlineStr">
        <is>
          <t>F</t>
        </is>
      </c>
      <c r="E80" s="66" t="inlineStr">
        <is>
          <t>N</t>
        </is>
      </c>
      <c r="F80" s="66" t="inlineStr">
        <is>
          <t>Y</t>
        </is>
      </c>
      <c r="G80" s="34" t="n">
        <v>97.8</v>
      </c>
      <c r="H80" s="34" t="n">
        <v>104</v>
      </c>
      <c r="I80" s="67">
        <f>IF(ISNUMBER(tblY8[[#This Row],[Avg KS2]]),IFERROR(VLOOKUP(ROUND(STANDARDIZE(tblY8[[#This Row],[Avg KS2]],AVERAGE(tblY8[[Avg KS2]]),_xlfn.STDEV.P(tblY8[[Avg KS2]])),9),_Stanine,2),5),"")</f>
        <v>5</v>
      </c>
      <c r="J80" s="66" t="inlineStr">
        <is>
          <t>8A/Sc4</t>
        </is>
      </c>
      <c r="K80" s="67">
        <f>IF(tblY8[[#This Row],[Preferred Last name]]="","",COUNTIFS($N$1:$ZZ$1,"*"&amp;CHAR(10)&amp;"Stanine",$N80:$ZZ80,"&gt;=1"))</f>
        <v>4</v>
      </c>
      <c r="L80" s="68">
        <f>IFERROR(AVERAGEIF($N$1:$ZZ$1,"*"&amp;CHAR(10)&amp;"Stanine",$N80:$ZZ80),"")</f>
        <v>2.25</v>
      </c>
      <c r="M80" s="69">
        <f>IF(AND(ISNUMBER(tblY8[[#This Row],[Mean Stanine]]),ISNUMBER(tblY8[[#This Row],[Avg KS2 Band]]),ISNUMBER(SlopeY8)),tblY8[[#This Row],[Mean Stanine]]-(InterceptY8+SlopeY8*tblY8[[#This Row],[Avg KS2 Band]]),"")</f>
        <v>-2.69185892814227</v>
      </c>
      <c r="N80" s="66" t="n">
        <v>10</v>
      </c>
      <c r="O80" s="67">
        <f>IF(ISNUMBER(tblY8[[#This Row],[8C01 - Periodic Table
Raw Score]]),IFERROR(VLOOKUP(ROUND(STANDARDIZE(tblY8[[#This Row],[8C01 - Periodic Table
Raw Score]],AVERAGE(tblY8[[8C01 - Periodic Table
Raw Score]]),_xlfn.STDEV.P(tblY8[[8C01 - Periodic Table
Raw Score]])),9),_Stanine,2),5),"")</f>
        <v>2</v>
      </c>
      <c r="P80" s="66" t="n">
        <v>4</v>
      </c>
      <c r="Q80" s="67">
        <f>IF(ISNUMBER(tblY8[[#This Row],[8P01 - Energy
Raw Score]]),IFERROR(VLOOKUP(ROUND(STANDARDIZE(tblY8[[#This Row],[8P01 - Energy
Raw Score]],AVERAGE(tblY8[[8P01 - Energy
Raw Score]]),_xlfn.STDEV.P(tblY8[[8P01 - Energy
Raw Score]])),9),_Stanine,2),5),"")</f>
        <v>3</v>
      </c>
      <c r="R80" s="66" t="n">
        <v>6</v>
      </c>
      <c r="S80" s="67">
        <f>IF(ISNUMBER(tblY8[[#This Row],[8B01 - Digestion
Raw Score]]),IFERROR(VLOOKUP(ROUND(STANDARDIZE(tblY8[[#This Row],[8B01 - Digestion
Raw Score]],AVERAGE(tblY8[[8B01 - Digestion
Raw Score]]),_xlfn.STDEV.P(tblY8[[8B01 - Digestion
Raw Score]])),9),_Stanine,2),5),"")</f>
        <v>2</v>
      </c>
      <c r="T80" s="66" t="n">
        <v>3</v>
      </c>
      <c r="U80" s="67">
        <f>IF(ISNUMBER(tblY8[[#This Row],[8C02 - Metals and Acids
Raw Score]]),IFERROR(VLOOKUP(ROUND(STANDARDIZE(tblY8[[#This Row],[8C02 - Metals and Acids
Raw Score]],AVERAGE(tblY8[[8C02 - Metals and Acids
Raw Score]]),_xlfn.STDEV.P(tblY8[[8C02 - Metals and Acids
Raw Score]])),9),_Stanine,2),5),"")</f>
        <v>2</v>
      </c>
      <c r="V80" s="66" t="n"/>
      <c r="W80" s="67" t="str">
        <f>IF(ISNUMBER(tblY8[[#This Row],[8P02 - Light
Raw Score]]),IFERROR(VLOOKUP(ROUND(STANDARDIZE(tblY8[[#This Row],[8P02 - Light
Raw Score]],AVERAGE(tblY8[[8P02 - Light
Raw Score]]),_xlfn.STDEV.P(tblY8[[8P02 - Light
Raw Score]])),9),_Stanine,2),5),"")</f>
        <v/>
      </c>
    </row>
    <row r="81">
      <c r="A81" s="65" t="inlineStr">
        <is>
          <t>X903442695647</t>
        </is>
      </c>
      <c r="B81" s="65" t="inlineStr">
        <is>
          <t>Harrison</t>
        </is>
      </c>
      <c r="C81" s="65" t="inlineStr">
        <is>
          <t>Freya</t>
        </is>
      </c>
      <c r="D81" s="66" t="inlineStr">
        <is>
          <t>M</t>
        </is>
      </c>
      <c r="E81" s="66" t="inlineStr">
        <is>
          <t>K</t>
        </is>
      </c>
      <c r="F81" s="66" t="inlineStr">
        <is>
          <t>Y</t>
        </is>
      </c>
      <c r="G81" s="34" t="n">
        <v>95.59999999999999</v>
      </c>
      <c r="H81" s="34" t="n">
        <v>98</v>
      </c>
      <c r="I81" s="67">
        <f>IF(ISNUMBER(tblY8[[#This Row],[Avg KS2]]),IFERROR(VLOOKUP(ROUND(STANDARDIZE(tblY8[[#This Row],[Avg KS2]],AVERAGE(tblY8[[Avg KS2]]),_xlfn.STDEV.P(tblY8[[Avg KS2]])),9),_Stanine,2),5),"")</f>
        <v>3</v>
      </c>
      <c r="J81" s="66" t="inlineStr">
        <is>
          <t>8A/Sc4</t>
        </is>
      </c>
      <c r="K81" s="67">
        <f>IF(tblY8[[#This Row],[Preferred Last name]]="","",COUNTIFS($N$1:$ZZ$1,"*"&amp;CHAR(10)&amp;"Stanine",$N81:$ZZ81,"&gt;=1"))</f>
        <v>3</v>
      </c>
      <c r="L81" s="68">
        <f>IFERROR(AVERAGEIF($N$1:$ZZ$1,"*"&amp;CHAR(10)&amp;"Stanine",$N81:$ZZ81),"")</f>
        <v>3</v>
      </c>
      <c r="M81" s="69">
        <f>IF(AND(ISNUMBER(tblY8[[#This Row],[Mean Stanine]]),ISNUMBER(tblY8[[#This Row],[Avg KS2 Band]]),ISNUMBER(SlopeY8)),tblY8[[#This Row],[Mean Stanine]]-(InterceptY8+SlopeY8*tblY8[[#This Row],[Avg KS2 Band]]),"")</f>
        <v>-0.384036289353521</v>
      </c>
      <c r="N81" s="66" t="n">
        <v>12</v>
      </c>
      <c r="O81" s="67">
        <f>IF(ISNUMBER(tblY8[[#This Row],[8C01 - Periodic Table
Raw Score]]),IFERROR(VLOOKUP(ROUND(STANDARDIZE(tblY8[[#This Row],[8C01 - Periodic Table
Raw Score]],AVERAGE(tblY8[[8C01 - Periodic Table
Raw Score]]),_xlfn.STDEV.P(tblY8[[8C01 - Periodic Table
Raw Score]])),9),_Stanine,2),5),"")</f>
        <v>3</v>
      </c>
      <c r="P81" s="66" t="n">
        <v>5</v>
      </c>
      <c r="Q81" s="67">
        <f>IF(ISNUMBER(tblY8[[#This Row],[8P01 - Energy
Raw Score]]),IFERROR(VLOOKUP(ROUND(STANDARDIZE(tblY8[[#This Row],[8P01 - Energy
Raw Score]],AVERAGE(tblY8[[8P01 - Energy
Raw Score]]),_xlfn.STDEV.P(tblY8[[8P01 - Energy
Raw Score]])),9),_Stanine,2),5),"")</f>
        <v>3</v>
      </c>
      <c r="R81" s="66" t="inlineStr">
        <is>
          <t>A</t>
        </is>
      </c>
      <c r="S81" s="67" t="str">
        <f>IF(ISNUMBER(tblY8[[#This Row],[8B01 - Digestion
Raw Score]]),IFERROR(VLOOKUP(ROUND(STANDARDIZE(tblY8[[#This Row],[8B01 - Digestion
Raw Score]],AVERAGE(tblY8[[8B01 - Digestion
Raw Score]]),_xlfn.STDEV.P(tblY8[[8B01 - Digestion
Raw Score]])),9),_Stanine,2),5),"")</f>
        <v/>
      </c>
      <c r="T81" s="66" t="n">
        <v>6</v>
      </c>
      <c r="U81" s="67">
        <f>IF(ISNUMBER(tblY8[[#This Row],[8C02 - Metals and Acids
Raw Score]]),IFERROR(VLOOKUP(ROUND(STANDARDIZE(tblY8[[#This Row],[8C02 - Metals and Acids
Raw Score]],AVERAGE(tblY8[[8C02 - Metals and Acids
Raw Score]]),_xlfn.STDEV.P(tblY8[[8C02 - Metals and Acids
Raw Score]])),9),_Stanine,2),5),"")</f>
        <v>3</v>
      </c>
      <c r="V81" s="66" t="n"/>
      <c r="W81" s="67" t="str">
        <f>IF(ISNUMBER(tblY8[[#This Row],[8P02 - Light
Raw Score]]),IFERROR(VLOOKUP(ROUND(STANDARDIZE(tblY8[[#This Row],[8P02 - Light
Raw Score]],AVERAGE(tblY8[[8P02 - Light
Raw Score]]),_xlfn.STDEV.P(tblY8[[8P02 - Light
Raw Score]])),9),_Stanine,2),5),"")</f>
        <v/>
      </c>
    </row>
    <row r="82">
      <c r="A82" s="65" t="inlineStr">
        <is>
          <t>X908919508008</t>
        </is>
      </c>
      <c r="B82" s="65" t="inlineStr">
        <is>
          <t>Hussain</t>
        </is>
      </c>
      <c r="C82" s="65" t="inlineStr">
        <is>
          <t>Theo</t>
        </is>
      </c>
      <c r="D82" s="66" t="inlineStr">
        <is>
          <t>M</t>
        </is>
      </c>
      <c r="E82" s="66" t="n"/>
      <c r="F82" s="66" t="inlineStr">
        <is>
          <t>Y</t>
        </is>
      </c>
      <c r="G82" s="34" t="n">
        <v>90.2</v>
      </c>
      <c r="H82" s="34" t="n">
        <v>102.5</v>
      </c>
      <c r="I82" s="67">
        <f>IF(ISNUMBER(tblY8[[#This Row],[Avg KS2]]),IFERROR(VLOOKUP(ROUND(STANDARDIZE(tblY8[[#This Row],[Avg KS2]],AVERAGE(tblY8[[Avg KS2]]),_xlfn.STDEV.P(tblY8[[Avg KS2]])),9),_Stanine,2),5),"")</f>
        <v>4</v>
      </c>
      <c r="J82" s="66" t="inlineStr">
        <is>
          <t>8A/Sc4</t>
        </is>
      </c>
      <c r="K82" s="67">
        <f>IF(tblY8[[#This Row],[Preferred Last name]]="","",COUNTIFS($N$1:$ZZ$1,"*"&amp;CHAR(10)&amp;"Stanine",$N82:$ZZ82,"&gt;=1"))</f>
        <v>4</v>
      </c>
      <c r="L82" s="68">
        <f>IFERROR(AVERAGEIF($N$1:$ZZ$1,"*"&amp;CHAR(10)&amp;"Stanine",$N82:$ZZ82),"")</f>
        <v>4.25</v>
      </c>
      <c r="M82" s="69">
        <f>IF(AND(ISNUMBER(tblY8[[#This Row],[Mean Stanine]]),ISNUMBER(tblY8[[#This Row],[Avg KS2 Band]]),ISNUMBER(SlopeY8)),tblY8[[#This Row],[Mean Stanine]]-(InterceptY8+SlopeY8*tblY8[[#This Row],[Avg KS2 Band]]),"")</f>
        <v>0.0870523912521026</v>
      </c>
      <c r="N82" s="66" t="n">
        <v>18</v>
      </c>
      <c r="O82" s="67">
        <f>IF(ISNUMBER(tblY8[[#This Row],[8C01 - Periodic Table
Raw Score]]),IFERROR(VLOOKUP(ROUND(STANDARDIZE(tblY8[[#This Row],[8C01 - Periodic Table
Raw Score]],AVERAGE(tblY8[[8C01 - Periodic Table
Raw Score]]),_xlfn.STDEV.P(tblY8[[8C01 - Periodic Table
Raw Score]])),9),_Stanine,2),5),"")</f>
        <v>5</v>
      </c>
      <c r="P82" s="66" t="n">
        <v>5</v>
      </c>
      <c r="Q82" s="67">
        <f>IF(ISNUMBER(tblY8[[#This Row],[8P01 - Energy
Raw Score]]),IFERROR(VLOOKUP(ROUND(STANDARDIZE(tblY8[[#This Row],[8P01 - Energy
Raw Score]],AVERAGE(tblY8[[8P01 - Energy
Raw Score]]),_xlfn.STDEV.P(tblY8[[8P01 - Energy
Raw Score]])),9),_Stanine,2),5),"")</f>
        <v>3</v>
      </c>
      <c r="R82" s="66" t="n">
        <v>15</v>
      </c>
      <c r="S82" s="67">
        <f>IF(ISNUMBER(tblY8[[#This Row],[8B01 - Digestion
Raw Score]]),IFERROR(VLOOKUP(ROUND(STANDARDIZE(tblY8[[#This Row],[8B01 - Digestion
Raw Score]],AVERAGE(tblY8[[8B01 - Digestion
Raw Score]]),_xlfn.STDEV.P(tblY8[[8B01 - Digestion
Raw Score]])),9),_Stanine,2),5),"")</f>
        <v>5</v>
      </c>
      <c r="T82" s="66" t="n">
        <v>9</v>
      </c>
      <c r="U82" s="67">
        <f>IF(ISNUMBER(tblY8[[#This Row],[8C02 - Metals and Acids
Raw Score]]),IFERROR(VLOOKUP(ROUND(STANDARDIZE(tblY8[[#This Row],[8C02 - Metals and Acids
Raw Score]],AVERAGE(tblY8[[8C02 - Metals and Acids
Raw Score]]),_xlfn.STDEV.P(tblY8[[8C02 - Metals and Acids
Raw Score]])),9),_Stanine,2),5),"")</f>
        <v>4</v>
      </c>
      <c r="V82" s="66" t="n"/>
      <c r="W82" s="67" t="str">
        <f>IF(ISNUMBER(tblY8[[#This Row],[8P02 - Light
Raw Score]]),IFERROR(VLOOKUP(ROUND(STANDARDIZE(tblY8[[#This Row],[8P02 - Light
Raw Score]],AVERAGE(tblY8[[8P02 - Light
Raw Score]]),_xlfn.STDEV.P(tblY8[[8P02 - Light
Raw Score]])),9),_Stanine,2),5),"")</f>
        <v/>
      </c>
    </row>
    <row r="83">
      <c r="A83" s="65" t="inlineStr">
        <is>
          <t>X904907659383</t>
        </is>
      </c>
      <c r="B83" s="65" t="inlineStr">
        <is>
          <t>Kelly</t>
        </is>
      </c>
      <c r="C83" s="65" t="inlineStr">
        <is>
          <t>Niamh</t>
        </is>
      </c>
      <c r="D83" s="66" t="inlineStr">
        <is>
          <t>F</t>
        </is>
      </c>
      <c r="E83" s="66" t="n"/>
      <c r="F83" s="66" t="inlineStr">
        <is>
          <t>N</t>
        </is>
      </c>
      <c r="G83" s="34" t="n">
        <v>92.3</v>
      </c>
      <c r="H83" s="34" t="n">
        <v>96</v>
      </c>
      <c r="I83" s="67">
        <f>IF(ISNUMBER(tblY8[[#This Row],[Avg KS2]]),IFERROR(VLOOKUP(ROUND(STANDARDIZE(tblY8[[#This Row],[Avg KS2]],AVERAGE(tblY8[[Avg KS2]]),_xlfn.STDEV.P(tblY8[[Avg KS2]])),9),_Stanine,2),5),"")</f>
        <v>2</v>
      </c>
      <c r="J83" s="66" t="inlineStr">
        <is>
          <t>8A/Sc4</t>
        </is>
      </c>
      <c r="K83" s="67">
        <f>IF(tblY8[[#This Row],[Preferred Last name]]="","",COUNTIFS($N$1:$ZZ$1,"*"&amp;CHAR(10)&amp;"Stanine",$N83:$ZZ83,"&gt;=1"))</f>
        <v>4</v>
      </c>
      <c r="L83" s="68">
        <f>IFERROR(AVERAGEIF($N$1:$ZZ$1,"*"&amp;CHAR(10)&amp;"Stanine",$N83:$ZZ83),"")</f>
        <v>3.75</v>
      </c>
      <c r="M83" s="69">
        <f>IF(AND(ISNUMBER(tblY8[[#This Row],[Mean Stanine]]),ISNUMBER(tblY8[[#This Row],[Avg KS2 Band]]),ISNUMBER(SlopeY8)),tblY8[[#This Row],[Mean Stanine]]-(InterceptY8+SlopeY8*tblY8[[#This Row],[Avg KS2 Band]]),"")</f>
        <v>1.14487503004086</v>
      </c>
      <c r="N83" s="66" t="n">
        <v>14</v>
      </c>
      <c r="O83" s="67">
        <f>IF(ISNUMBER(tblY8[[#This Row],[8C01 - Periodic Table
Raw Score]]),IFERROR(VLOOKUP(ROUND(STANDARDIZE(tblY8[[#This Row],[8C01 - Periodic Table
Raw Score]],AVERAGE(tblY8[[8C01 - Periodic Table
Raw Score]]),_xlfn.STDEV.P(tblY8[[8C01 - Periodic Table
Raw Score]])),9),_Stanine,2),5),"")</f>
        <v>4</v>
      </c>
      <c r="P83" s="66" t="n">
        <v>6</v>
      </c>
      <c r="Q83" s="67">
        <f>IF(ISNUMBER(tblY8[[#This Row],[8P01 - Energy
Raw Score]]),IFERROR(VLOOKUP(ROUND(STANDARDIZE(tblY8[[#This Row],[8P01 - Energy
Raw Score]],AVERAGE(tblY8[[8P01 - Energy
Raw Score]]),_xlfn.STDEV.P(tblY8[[8P01 - Energy
Raw Score]])),9),_Stanine,2),5),"")</f>
        <v>3</v>
      </c>
      <c r="R83" s="66" t="n">
        <v>14</v>
      </c>
      <c r="S83" s="67">
        <f>IF(ISNUMBER(tblY8[[#This Row],[8B01 - Digestion
Raw Score]]),IFERROR(VLOOKUP(ROUND(STANDARDIZE(tblY8[[#This Row],[8B01 - Digestion
Raw Score]],AVERAGE(tblY8[[8B01 - Digestion
Raw Score]]),_xlfn.STDEV.P(tblY8[[8B01 - Digestion
Raw Score]])),9),_Stanine,2),5),"")</f>
        <v>5</v>
      </c>
      <c r="T83" s="66" t="n">
        <v>6</v>
      </c>
      <c r="U83" s="67">
        <f>IF(ISNUMBER(tblY8[[#This Row],[8C02 - Metals and Acids
Raw Score]]),IFERROR(VLOOKUP(ROUND(STANDARDIZE(tblY8[[#This Row],[8C02 - Metals and Acids
Raw Score]],AVERAGE(tblY8[[8C02 - Metals and Acids
Raw Score]]),_xlfn.STDEV.P(tblY8[[8C02 - Metals and Acids
Raw Score]])),9),_Stanine,2),5),"")</f>
        <v>3</v>
      </c>
      <c r="V83" s="66" t="n"/>
      <c r="W83" s="67" t="str">
        <f>IF(ISNUMBER(tblY8[[#This Row],[8P02 - Light
Raw Score]]),IFERROR(VLOOKUP(ROUND(STANDARDIZE(tblY8[[#This Row],[8P02 - Light
Raw Score]],AVERAGE(tblY8[[8P02 - Light
Raw Score]]),_xlfn.STDEV.P(tblY8[[8P02 - Light
Raw Score]])),9),_Stanine,2),5),"")</f>
        <v/>
      </c>
    </row>
    <row r="84">
      <c r="A84" s="65" t="inlineStr">
        <is>
          <t>X901033096794</t>
        </is>
      </c>
      <c r="B84" s="65" t="inlineStr">
        <is>
          <t>Kowalski</t>
        </is>
      </c>
      <c r="C84" s="65" t="inlineStr">
        <is>
          <t>Oliver</t>
        </is>
      </c>
      <c r="D84" s="66" t="inlineStr">
        <is>
          <t>M</t>
        </is>
      </c>
      <c r="E84" s="66" t="inlineStr">
        <is>
          <t>K</t>
        </is>
      </c>
      <c r="F84" s="66" t="inlineStr">
        <is>
          <t>N</t>
        </is>
      </c>
      <c r="G84" s="34" t="n">
        <v>85.40000000000001</v>
      </c>
      <c r="H84" s="34" t="n">
        <v>103</v>
      </c>
      <c r="I84" s="67">
        <f>IF(ISNUMBER(tblY8[[#This Row],[Avg KS2]]),IFERROR(VLOOKUP(ROUND(STANDARDIZE(tblY8[[#This Row],[Avg KS2]],AVERAGE(tblY8[[Avg KS2]]),_xlfn.STDEV.P(tblY8[[Avg KS2]])),9),_Stanine,2),5),"")</f>
        <v>4</v>
      </c>
      <c r="J84" s="66" t="inlineStr">
        <is>
          <t>8A/Sc4</t>
        </is>
      </c>
      <c r="K84" s="67">
        <f>IF(tblY8[[#This Row],[Preferred Last name]]="","",COUNTIFS($N$1:$ZZ$1,"*"&amp;CHAR(10)&amp;"Stanine",$N84:$ZZ84,"&gt;=1"))</f>
        <v>4</v>
      </c>
      <c r="L84" s="68">
        <f>IFERROR(AVERAGEIF($N$1:$ZZ$1,"*"&amp;CHAR(10)&amp;"Stanine",$N84:$ZZ84),"")</f>
        <v>4.5</v>
      </c>
      <c r="M84" s="69">
        <f>IF(AND(ISNUMBER(tblY8[[#This Row],[Mean Stanine]]),ISNUMBER(tblY8[[#This Row],[Avg KS2 Band]]),ISNUMBER(SlopeY8)),tblY8[[#This Row],[Mean Stanine]]-(InterceptY8+SlopeY8*tblY8[[#This Row],[Avg KS2 Band]]),"")</f>
        <v>0.337052391252103</v>
      </c>
      <c r="N84" s="66" t="n">
        <v>20</v>
      </c>
      <c r="O84" s="67">
        <f>IF(ISNUMBER(tblY8[[#This Row],[8C01 - Periodic Table
Raw Score]]),IFERROR(VLOOKUP(ROUND(STANDARDIZE(tblY8[[#This Row],[8C01 - Periodic Table
Raw Score]],AVERAGE(tblY8[[8C01 - Periodic Table
Raw Score]]),_xlfn.STDEV.P(tblY8[[8C01 - Periodic Table
Raw Score]])),9),_Stanine,2),5),"")</f>
        <v>6</v>
      </c>
      <c r="P84" s="66" t="n">
        <v>9</v>
      </c>
      <c r="Q84" s="67">
        <f>IF(ISNUMBER(tblY8[[#This Row],[8P01 - Energy
Raw Score]]),IFERROR(VLOOKUP(ROUND(STANDARDIZE(tblY8[[#This Row],[8P01 - Energy
Raw Score]],AVERAGE(tblY8[[8P01 - Energy
Raw Score]]),_xlfn.STDEV.P(tblY8[[8P01 - Energy
Raw Score]])),9),_Stanine,2),5),"")</f>
        <v>4</v>
      </c>
      <c r="R84" s="66" t="n">
        <v>12</v>
      </c>
      <c r="S84" s="67">
        <f>IF(ISNUMBER(tblY8[[#This Row],[8B01 - Digestion
Raw Score]]),IFERROR(VLOOKUP(ROUND(STANDARDIZE(tblY8[[#This Row],[8B01 - Digestion
Raw Score]],AVERAGE(tblY8[[8B01 - Digestion
Raw Score]]),_xlfn.STDEV.P(tblY8[[8B01 - Digestion
Raw Score]])),9),_Stanine,2),5),"")</f>
        <v>4</v>
      </c>
      <c r="T84" s="66" t="n">
        <v>10</v>
      </c>
      <c r="U84" s="67">
        <f>IF(ISNUMBER(tblY8[[#This Row],[8C02 - Metals and Acids
Raw Score]]),IFERROR(VLOOKUP(ROUND(STANDARDIZE(tblY8[[#This Row],[8C02 - Metals and Acids
Raw Score]],AVERAGE(tblY8[[8C02 - Metals and Acids
Raw Score]]),_xlfn.STDEV.P(tblY8[[8C02 - Metals and Acids
Raw Score]])),9),_Stanine,2),5),"")</f>
        <v>4</v>
      </c>
      <c r="V84" s="66" t="n"/>
      <c r="W84" s="67" t="str">
        <f>IF(ISNUMBER(tblY8[[#This Row],[8P02 - Light
Raw Score]]),IFERROR(VLOOKUP(ROUND(STANDARDIZE(tblY8[[#This Row],[8P02 - Light
Raw Score]],AVERAGE(tblY8[[8P02 - Light
Raw Score]]),_xlfn.STDEV.P(tblY8[[8P02 - Light
Raw Score]])),9),_Stanine,2),5),"")</f>
        <v/>
      </c>
    </row>
    <row r="85">
      <c r="A85" s="65" t="inlineStr">
        <is>
          <t>X902087216549</t>
        </is>
      </c>
      <c r="B85" s="65" t="inlineStr">
        <is>
          <t>Lloyd</t>
        </is>
      </c>
      <c r="C85" s="65" t="inlineStr">
        <is>
          <t>Jacob</t>
        </is>
      </c>
      <c r="D85" s="66" t="inlineStr">
        <is>
          <t>M</t>
        </is>
      </c>
      <c r="E85" s="66" t="inlineStr">
        <is>
          <t>N</t>
        </is>
      </c>
      <c r="F85" s="66" t="inlineStr">
        <is>
          <t>N</t>
        </is>
      </c>
      <c r="G85" s="34" t="n">
        <v>92.40000000000001</v>
      </c>
      <c r="H85" s="34" t="n">
        <v>101</v>
      </c>
      <c r="I85" s="67">
        <f>IF(ISNUMBER(tblY8[[#This Row],[Avg KS2]]),IFERROR(VLOOKUP(ROUND(STANDARDIZE(tblY8[[#This Row],[Avg KS2]],AVERAGE(tblY8[[Avg KS2]]),_xlfn.STDEV.P(tblY8[[Avg KS2]])),9),_Stanine,2),5),"")</f>
        <v>4</v>
      </c>
      <c r="J85" s="66" t="inlineStr">
        <is>
          <t>8A/Sc4</t>
        </is>
      </c>
      <c r="K85" s="67">
        <f>IF(tblY8[[#This Row],[Preferred Last name]]="","",COUNTIFS($N$1:$ZZ$1,"*"&amp;CHAR(10)&amp;"Stanine",$N85:$ZZ85,"&gt;=1"))</f>
        <v>4</v>
      </c>
      <c r="L85" s="68">
        <f>IFERROR(AVERAGEIF($N$1:$ZZ$1,"*"&amp;CHAR(10)&amp;"Stanine",$N85:$ZZ85),"")</f>
        <v>3.75</v>
      </c>
      <c r="M85" s="69">
        <f>IF(AND(ISNUMBER(tblY8[[#This Row],[Mean Stanine]]),ISNUMBER(tblY8[[#This Row],[Avg KS2 Band]]),ISNUMBER(SlopeY8)),tblY8[[#This Row],[Mean Stanine]]-(InterceptY8+SlopeY8*tblY8[[#This Row],[Avg KS2 Band]]),"")</f>
        <v>-0.412947608747897</v>
      </c>
      <c r="N85" s="66" t="n">
        <v>14</v>
      </c>
      <c r="O85" s="67">
        <f>IF(ISNUMBER(tblY8[[#This Row],[8C01 - Periodic Table
Raw Score]]),IFERROR(VLOOKUP(ROUND(STANDARDIZE(tblY8[[#This Row],[8C01 - Periodic Table
Raw Score]],AVERAGE(tblY8[[8C01 - Periodic Table
Raw Score]]),_xlfn.STDEV.P(tblY8[[8C01 - Periodic Table
Raw Score]])),9),_Stanine,2),5),"")</f>
        <v>4</v>
      </c>
      <c r="P85" s="66" t="n">
        <v>8</v>
      </c>
      <c r="Q85" s="67">
        <f>IF(ISNUMBER(tblY8[[#This Row],[8P01 - Energy
Raw Score]]),IFERROR(VLOOKUP(ROUND(STANDARDIZE(tblY8[[#This Row],[8P01 - Energy
Raw Score]],AVERAGE(tblY8[[8P01 - Energy
Raw Score]]),_xlfn.STDEV.P(tblY8[[8P01 - Energy
Raw Score]])),9),_Stanine,2),5),"")</f>
        <v>4</v>
      </c>
      <c r="R85" s="66" t="n">
        <v>9</v>
      </c>
      <c r="S85" s="67">
        <f>IF(ISNUMBER(tblY8[[#This Row],[8B01 - Digestion
Raw Score]]),IFERROR(VLOOKUP(ROUND(STANDARDIZE(tblY8[[#This Row],[8B01 - Digestion
Raw Score]],AVERAGE(tblY8[[8B01 - Digestion
Raw Score]]),_xlfn.STDEV.P(tblY8[[8B01 - Digestion
Raw Score]])),9),_Stanine,2),5),"")</f>
        <v>3</v>
      </c>
      <c r="T85" s="66" t="n">
        <v>10</v>
      </c>
      <c r="U85" s="67">
        <f>IF(ISNUMBER(tblY8[[#This Row],[8C02 - Metals and Acids
Raw Score]]),IFERROR(VLOOKUP(ROUND(STANDARDIZE(tblY8[[#This Row],[8C02 - Metals and Acids
Raw Score]],AVERAGE(tblY8[[8C02 - Metals and Acids
Raw Score]]),_xlfn.STDEV.P(tblY8[[8C02 - Metals and Acids
Raw Score]])),9),_Stanine,2),5),"")</f>
        <v>4</v>
      </c>
      <c r="V85" s="66" t="n"/>
      <c r="W85" s="67" t="str">
        <f>IF(ISNUMBER(tblY8[[#This Row],[8P02 - Light
Raw Score]]),IFERROR(VLOOKUP(ROUND(STANDARDIZE(tblY8[[#This Row],[8P02 - Light
Raw Score]],AVERAGE(tblY8[[8P02 - Light
Raw Score]]),_xlfn.STDEV.P(tblY8[[8P02 - Light
Raw Score]])),9),_Stanine,2),5),"")</f>
        <v/>
      </c>
    </row>
    <row r="86">
      <c r="A86" s="65" t="inlineStr">
        <is>
          <t>X909997091897</t>
        </is>
      </c>
      <c r="B86" s="65" t="inlineStr">
        <is>
          <t>Lloyd</t>
        </is>
      </c>
      <c r="C86" s="65" t="inlineStr">
        <is>
          <t>Zara</t>
        </is>
      </c>
      <c r="D86" s="66" t="inlineStr">
        <is>
          <t>M</t>
        </is>
      </c>
      <c r="E86" s="66" t="inlineStr">
        <is>
          <t>K</t>
        </is>
      </c>
      <c r="F86" s="66" t="inlineStr">
        <is>
          <t>N</t>
        </is>
      </c>
      <c r="G86" s="34" t="n">
        <v>89.5</v>
      </c>
      <c r="H86" s="34" t="n">
        <v>89.5</v>
      </c>
      <c r="I86" s="67">
        <f>IF(ISNUMBER(tblY8[[#This Row],[Avg KS2]]),IFERROR(VLOOKUP(ROUND(STANDARDIZE(tblY8[[#This Row],[Avg KS2]],AVERAGE(tblY8[[Avg KS2]]),_xlfn.STDEV.P(tblY8[[Avg KS2]])),9),_Stanine,2),5),"")</f>
        <v>1</v>
      </c>
      <c r="J86" s="66" t="inlineStr">
        <is>
          <t>8A/Sc4</t>
        </is>
      </c>
      <c r="K86" s="67">
        <f>IF(tblY8[[#This Row],[Preferred Last name]]="","",COUNTIFS($N$1:$ZZ$1,"*"&amp;CHAR(10)&amp;"Stanine",$N86:$ZZ86,"&gt;=1"))</f>
        <v>4</v>
      </c>
      <c r="L86" s="68">
        <f>IFERROR(AVERAGEIF($N$1:$ZZ$1,"*"&amp;CHAR(10)&amp;"Stanine",$N86:$ZZ86),"")</f>
        <v>1.25</v>
      </c>
      <c r="M86" s="69">
        <f>IF(AND(ISNUMBER(tblY8[[#This Row],[Mean Stanine]]),ISNUMBER(tblY8[[#This Row],[Avg KS2 Band]]),ISNUMBER(SlopeY8)),tblY8[[#This Row],[Mean Stanine]]-(InterceptY8+SlopeY8*tblY8[[#This Row],[Avg KS2 Band]]),"")</f>
        <v>-0.576213650564769</v>
      </c>
      <c r="N86" s="66" t="n">
        <v>4</v>
      </c>
      <c r="O86" s="67">
        <f>IF(ISNUMBER(tblY8[[#This Row],[8C01 - Periodic Table
Raw Score]]),IFERROR(VLOOKUP(ROUND(STANDARDIZE(tblY8[[#This Row],[8C01 - Periodic Table
Raw Score]],AVERAGE(tblY8[[8C01 - Periodic Table
Raw Score]]),_xlfn.STDEV.P(tblY8[[8C01 - Periodic Table
Raw Score]])),9),_Stanine,2),5),"")</f>
        <v>1</v>
      </c>
      <c r="P86" s="66" t="n">
        <v>2</v>
      </c>
      <c r="Q86" s="67">
        <f>IF(ISNUMBER(tblY8[[#This Row],[8P01 - Energy
Raw Score]]),IFERROR(VLOOKUP(ROUND(STANDARDIZE(tblY8[[#This Row],[8P01 - Energy
Raw Score]],AVERAGE(tblY8[[8P01 - Energy
Raw Score]]),_xlfn.STDEV.P(tblY8[[8P01 - Energy
Raw Score]])),9),_Stanine,2),5),"")</f>
        <v>2</v>
      </c>
      <c r="R86" s="66" t="n">
        <v>2</v>
      </c>
      <c r="S86" s="67">
        <f>IF(ISNUMBER(tblY8[[#This Row],[8B01 - Digestion
Raw Score]]),IFERROR(VLOOKUP(ROUND(STANDARDIZE(tblY8[[#This Row],[8B01 - Digestion
Raw Score]],AVERAGE(tblY8[[8B01 - Digestion
Raw Score]]),_xlfn.STDEV.P(tblY8[[8B01 - Digestion
Raw Score]])),9),_Stanine,2),5),"")</f>
        <v>1</v>
      </c>
      <c r="T86" s="66" t="n">
        <v>2</v>
      </c>
      <c r="U86" s="67">
        <f>IF(ISNUMBER(tblY8[[#This Row],[8C02 - Metals and Acids
Raw Score]]),IFERROR(VLOOKUP(ROUND(STANDARDIZE(tblY8[[#This Row],[8C02 - Metals and Acids
Raw Score]],AVERAGE(tblY8[[8C02 - Metals and Acids
Raw Score]]),_xlfn.STDEV.P(tblY8[[8C02 - Metals and Acids
Raw Score]])),9),_Stanine,2),5),"")</f>
        <v>1</v>
      </c>
      <c r="V86" s="66" t="n"/>
      <c r="W86" s="67" t="str">
        <f>IF(ISNUMBER(tblY8[[#This Row],[8P02 - Light
Raw Score]]),IFERROR(VLOOKUP(ROUND(STANDARDIZE(tblY8[[#This Row],[8P02 - Light
Raw Score]],AVERAGE(tblY8[[8P02 - Light
Raw Score]]),_xlfn.STDEV.P(tblY8[[8P02 - Light
Raw Score]])),9),_Stanine,2),5),"")</f>
        <v/>
      </c>
    </row>
    <row r="87">
      <c r="A87" s="65" t="inlineStr">
        <is>
          <t>X904361657829</t>
        </is>
      </c>
      <c r="B87" s="65" t="inlineStr">
        <is>
          <t>Okafor</t>
        </is>
      </c>
      <c r="C87" s="65" t="inlineStr">
        <is>
          <t>Hollie</t>
        </is>
      </c>
      <c r="D87" s="66" t="inlineStr">
        <is>
          <t>F</t>
        </is>
      </c>
      <c r="E87" s="66" t="n"/>
      <c r="F87" s="66" t="inlineStr">
        <is>
          <t>N</t>
        </is>
      </c>
      <c r="G87" s="34" t="n">
        <v>92.3</v>
      </c>
      <c r="H87" s="34" t="n">
        <v>103</v>
      </c>
      <c r="I87" s="67">
        <f>IF(ISNUMBER(tblY8[[#This Row],[Avg KS2]]),IFERROR(VLOOKUP(ROUND(STANDARDIZE(tblY8[[#This Row],[Avg KS2]],AVERAGE(tblY8[[Avg KS2]]),_xlfn.STDEV.P(tblY8[[Avg KS2]])),9),_Stanine,2),5),"")</f>
        <v>4</v>
      </c>
      <c r="J87" s="66" t="inlineStr">
        <is>
          <t>8A/Sc4</t>
        </is>
      </c>
      <c r="K87" s="67">
        <f>IF(tblY8[[#This Row],[Preferred Last name]]="","",COUNTIFS($N$1:$ZZ$1,"*"&amp;CHAR(10)&amp;"Stanine",$N87:$ZZ87,"&gt;=1"))</f>
        <v>4</v>
      </c>
      <c r="L87" s="68">
        <f>IFERROR(AVERAGEIF($N$1:$ZZ$1,"*"&amp;CHAR(10)&amp;"Stanine",$N87:$ZZ87),"")</f>
        <v>6.25</v>
      </c>
      <c r="M87" s="69">
        <f>IF(AND(ISNUMBER(tblY8[[#This Row],[Mean Stanine]]),ISNUMBER(tblY8[[#This Row],[Avg KS2 Band]]),ISNUMBER(SlopeY8)),tblY8[[#This Row],[Mean Stanine]]-(InterceptY8+SlopeY8*tblY8[[#This Row],[Avg KS2 Band]]),"")</f>
        <v>2.0870523912521</v>
      </c>
      <c r="N87" s="66" t="n">
        <v>22</v>
      </c>
      <c r="O87" s="67">
        <f>IF(ISNUMBER(tblY8[[#This Row],[8C01 - Periodic Table
Raw Score]]),IFERROR(VLOOKUP(ROUND(STANDARDIZE(tblY8[[#This Row],[8C01 - Periodic Table
Raw Score]],AVERAGE(tblY8[[8C01 - Periodic Table
Raw Score]]),_xlfn.STDEV.P(tblY8[[8C01 - Periodic Table
Raw Score]])),9),_Stanine,2),5),"")</f>
        <v>6</v>
      </c>
      <c r="P87" s="66" t="n">
        <v>15</v>
      </c>
      <c r="Q87" s="67">
        <f>IF(ISNUMBER(tblY8[[#This Row],[8P01 - Energy
Raw Score]]),IFERROR(VLOOKUP(ROUND(STANDARDIZE(tblY8[[#This Row],[8P01 - Energy
Raw Score]],AVERAGE(tblY8[[8P01 - Energy
Raw Score]]),_xlfn.STDEV.P(tblY8[[8P01 - Energy
Raw Score]])),9),_Stanine,2),5),"")</f>
        <v>7</v>
      </c>
      <c r="R87" s="66" t="n">
        <v>18</v>
      </c>
      <c r="S87" s="67">
        <f>IF(ISNUMBER(tblY8[[#This Row],[8B01 - Digestion
Raw Score]]),IFERROR(VLOOKUP(ROUND(STANDARDIZE(tblY8[[#This Row],[8B01 - Digestion
Raw Score]],AVERAGE(tblY8[[8B01 - Digestion
Raw Score]]),_xlfn.STDEV.P(tblY8[[8B01 - Digestion
Raw Score]])),9),_Stanine,2),5),"")</f>
        <v>6</v>
      </c>
      <c r="T87" s="66" t="n">
        <v>14</v>
      </c>
      <c r="U87" s="67">
        <f>IF(ISNUMBER(tblY8[[#This Row],[8C02 - Metals and Acids
Raw Score]]),IFERROR(VLOOKUP(ROUND(STANDARDIZE(tblY8[[#This Row],[8C02 - Metals and Acids
Raw Score]],AVERAGE(tblY8[[8C02 - Metals and Acids
Raw Score]]),_xlfn.STDEV.P(tblY8[[8C02 - Metals and Acids
Raw Score]])),9),_Stanine,2),5),"")</f>
        <v>6</v>
      </c>
      <c r="V87" s="66" t="n"/>
      <c r="W87" s="67" t="str">
        <f>IF(ISNUMBER(tblY8[[#This Row],[8P02 - Light
Raw Score]]),IFERROR(VLOOKUP(ROUND(STANDARDIZE(tblY8[[#This Row],[8P02 - Light
Raw Score]],AVERAGE(tblY8[[8P02 - Light
Raw Score]]),_xlfn.STDEV.P(tblY8[[8P02 - Light
Raw Score]])),9),_Stanine,2),5),"")</f>
        <v/>
      </c>
    </row>
    <row r="88">
      <c r="A88" s="65" t="inlineStr">
        <is>
          <t>X902080559922</t>
        </is>
      </c>
      <c r="B88" s="65" t="inlineStr">
        <is>
          <t>Patel</t>
        </is>
      </c>
      <c r="C88" s="65" t="inlineStr">
        <is>
          <t>Lewis</t>
        </is>
      </c>
      <c r="D88" s="66" t="inlineStr">
        <is>
          <t>F</t>
        </is>
      </c>
      <c r="E88" s="66" t="inlineStr">
        <is>
          <t>N</t>
        </is>
      </c>
      <c r="F88" s="66" t="inlineStr">
        <is>
          <t>N</t>
        </is>
      </c>
      <c r="G88" s="34" t="n">
        <v>90.8</v>
      </c>
      <c r="H88" s="34" t="n">
        <v>112</v>
      </c>
      <c r="I88" s="67">
        <f>IF(ISNUMBER(tblY8[[#This Row],[Avg KS2]]),IFERROR(VLOOKUP(ROUND(STANDARDIZE(tblY8[[#This Row],[Avg KS2]],AVERAGE(tblY8[[Avg KS2]]),_xlfn.STDEV.P(tblY8[[Avg KS2]])),9),_Stanine,2),5),"")</f>
        <v>7</v>
      </c>
      <c r="J88" s="66" t="inlineStr">
        <is>
          <t>8A/Sc4</t>
        </is>
      </c>
      <c r="K88" s="67">
        <f>IF(tblY8[[#This Row],[Preferred Last name]]="","",COUNTIFS($N$1:$ZZ$1,"*"&amp;CHAR(10)&amp;"Stanine",$N88:$ZZ88,"&gt;=1"))</f>
        <v>4</v>
      </c>
      <c r="L88" s="68">
        <f>IFERROR(AVERAGEIF($N$1:$ZZ$1,"*"&amp;CHAR(10)&amp;"Stanine",$N88:$ZZ88),"")</f>
        <v>5.25</v>
      </c>
      <c r="M88" s="69">
        <f>IF(AND(ISNUMBER(tblY8[[#This Row],[Mean Stanine]]),ISNUMBER(tblY8[[#This Row],[Avg KS2 Band]]),ISNUMBER(SlopeY8)),tblY8[[#This Row],[Mean Stanine]]-(InterceptY8+SlopeY8*tblY8[[#This Row],[Avg KS2 Band]]),"")</f>
        <v>-1.24968156693103</v>
      </c>
      <c r="N88" s="66" t="n">
        <v>23</v>
      </c>
      <c r="O88" s="67">
        <f>IF(ISNUMBER(tblY8[[#This Row],[8C01 - Periodic Table
Raw Score]]),IFERROR(VLOOKUP(ROUND(STANDARDIZE(tblY8[[#This Row],[8C01 - Periodic Table
Raw Score]],AVERAGE(tblY8[[8C01 - Periodic Table
Raw Score]]),_xlfn.STDEV.P(tblY8[[8C01 - Periodic Table
Raw Score]])),9),_Stanine,2),5),"")</f>
        <v>7</v>
      </c>
      <c r="P88" s="66" t="n">
        <v>11</v>
      </c>
      <c r="Q88" s="67">
        <f>IF(ISNUMBER(tblY8[[#This Row],[8P01 - Energy
Raw Score]]),IFERROR(VLOOKUP(ROUND(STANDARDIZE(tblY8[[#This Row],[8P01 - Energy
Raw Score]],AVERAGE(tblY8[[8P01 - Energy
Raw Score]]),_xlfn.STDEV.P(tblY8[[8P01 - Energy
Raw Score]])),9),_Stanine,2),5),"")</f>
        <v>5</v>
      </c>
      <c r="R88" s="66" t="n">
        <v>12</v>
      </c>
      <c r="S88" s="67">
        <f>IF(ISNUMBER(tblY8[[#This Row],[8B01 - Digestion
Raw Score]]),IFERROR(VLOOKUP(ROUND(STANDARDIZE(tblY8[[#This Row],[8B01 - Digestion
Raw Score]],AVERAGE(tblY8[[8B01 - Digestion
Raw Score]]),_xlfn.STDEV.P(tblY8[[8B01 - Digestion
Raw Score]])),9),_Stanine,2),5),"")</f>
        <v>4</v>
      </c>
      <c r="T88" s="66" t="n">
        <v>12</v>
      </c>
      <c r="U88" s="67">
        <f>IF(ISNUMBER(tblY8[[#This Row],[8C02 - Metals and Acids
Raw Score]]),IFERROR(VLOOKUP(ROUND(STANDARDIZE(tblY8[[#This Row],[8C02 - Metals and Acids
Raw Score]],AVERAGE(tblY8[[8C02 - Metals and Acids
Raw Score]]),_xlfn.STDEV.P(tblY8[[8C02 - Metals and Acids
Raw Score]])),9),_Stanine,2),5),"")</f>
        <v>5</v>
      </c>
      <c r="V88" s="66" t="n"/>
      <c r="W88" s="67" t="str">
        <f>IF(ISNUMBER(tblY8[[#This Row],[8P02 - Light
Raw Score]]),IFERROR(VLOOKUP(ROUND(STANDARDIZE(tblY8[[#This Row],[8P02 - Light
Raw Score]],AVERAGE(tblY8[[8P02 - Light
Raw Score]]),_xlfn.STDEV.P(tblY8[[8P02 - Light
Raw Score]])),9),_Stanine,2),5),"")</f>
        <v/>
      </c>
    </row>
    <row r="89">
      <c r="A89" s="65" t="inlineStr">
        <is>
          <t>X908110105831</t>
        </is>
      </c>
      <c r="B89" s="65" t="inlineStr">
        <is>
          <t>Shaw</t>
        </is>
      </c>
      <c r="C89" s="65" t="inlineStr">
        <is>
          <t>Rhys</t>
        </is>
      </c>
      <c r="D89" s="66" t="inlineStr">
        <is>
          <t>F</t>
        </is>
      </c>
      <c r="E89" s="66" t="inlineStr">
        <is>
          <t>N</t>
        </is>
      </c>
      <c r="F89" s="66" t="inlineStr">
        <is>
          <t>Y</t>
        </is>
      </c>
      <c r="G89" s="34" t="n">
        <v>90.09999999999999</v>
      </c>
      <c r="H89" s="34" t="n">
        <v>90</v>
      </c>
      <c r="I89" s="67">
        <f>IF(ISNUMBER(tblY8[[#This Row],[Avg KS2]]),IFERROR(VLOOKUP(ROUND(STANDARDIZE(tblY8[[#This Row],[Avg KS2]],AVERAGE(tblY8[[Avg KS2]]),_xlfn.STDEV.P(tblY8[[Avg KS2]])),9),_Stanine,2),5),"")</f>
        <v>1</v>
      </c>
      <c r="J89" s="66" t="inlineStr">
        <is>
          <t>8A/Sc4</t>
        </is>
      </c>
      <c r="K89" s="67">
        <f>IF(tblY8[[#This Row],[Preferred Last name]]="","",COUNTIFS($N$1:$ZZ$1,"*"&amp;CHAR(10)&amp;"Stanine",$N89:$ZZ89,"&gt;=1"))</f>
        <v>4</v>
      </c>
      <c r="L89" s="68">
        <f>IFERROR(AVERAGEIF($N$1:$ZZ$1,"*"&amp;CHAR(10)&amp;"Stanine",$N89:$ZZ89),"")</f>
        <v>1</v>
      </c>
      <c r="M89" s="69">
        <f>IF(AND(ISNUMBER(tblY8[[#This Row],[Mean Stanine]]),ISNUMBER(tblY8[[#This Row],[Avg KS2 Band]]),ISNUMBER(SlopeY8)),tblY8[[#This Row],[Mean Stanine]]-(InterceptY8+SlopeY8*tblY8[[#This Row],[Avg KS2 Band]]),"")</f>
        <v>-0.826213650564769</v>
      </c>
      <c r="N89" s="66" t="n">
        <v>4</v>
      </c>
      <c r="O89" s="67">
        <f>IF(ISNUMBER(tblY8[[#This Row],[8C01 - Periodic Table
Raw Score]]),IFERROR(VLOOKUP(ROUND(STANDARDIZE(tblY8[[#This Row],[8C01 - Periodic Table
Raw Score]],AVERAGE(tblY8[[8C01 - Periodic Table
Raw Score]]),_xlfn.STDEV.P(tblY8[[8C01 - Periodic Table
Raw Score]])),9),_Stanine,2),5),"")</f>
        <v>1</v>
      </c>
      <c r="P89" s="66" t="n">
        <v>1</v>
      </c>
      <c r="Q89" s="67">
        <f>IF(ISNUMBER(tblY8[[#This Row],[8P01 - Energy
Raw Score]]),IFERROR(VLOOKUP(ROUND(STANDARDIZE(tblY8[[#This Row],[8P01 - Energy
Raw Score]],AVERAGE(tblY8[[8P01 - Energy
Raw Score]]),_xlfn.STDEV.P(tblY8[[8P01 - Energy
Raw Score]])),9),_Stanine,2),5),"")</f>
        <v>1</v>
      </c>
      <c r="R89" s="66" t="n">
        <v>2</v>
      </c>
      <c r="S89" s="67">
        <f>IF(ISNUMBER(tblY8[[#This Row],[8B01 - Digestion
Raw Score]]),IFERROR(VLOOKUP(ROUND(STANDARDIZE(tblY8[[#This Row],[8B01 - Digestion
Raw Score]],AVERAGE(tblY8[[8B01 - Digestion
Raw Score]]),_xlfn.STDEV.P(tblY8[[8B01 - Digestion
Raw Score]])),9),_Stanine,2),5),"")</f>
        <v>1</v>
      </c>
      <c r="T89" s="66" t="n">
        <v>2</v>
      </c>
      <c r="U89" s="67">
        <f>IF(ISNUMBER(tblY8[[#This Row],[8C02 - Metals and Acids
Raw Score]]),IFERROR(VLOOKUP(ROUND(STANDARDIZE(tblY8[[#This Row],[8C02 - Metals and Acids
Raw Score]],AVERAGE(tblY8[[8C02 - Metals and Acids
Raw Score]]),_xlfn.STDEV.P(tblY8[[8C02 - Metals and Acids
Raw Score]])),9),_Stanine,2),5),"")</f>
        <v>1</v>
      </c>
      <c r="V89" s="66" t="n"/>
      <c r="W89" s="67" t="str">
        <f>IF(ISNUMBER(tblY8[[#This Row],[8P02 - Light
Raw Score]]),IFERROR(VLOOKUP(ROUND(STANDARDIZE(tblY8[[#This Row],[8P02 - Light
Raw Score]],AVERAGE(tblY8[[8P02 - Light
Raw Score]]),_xlfn.STDEV.P(tblY8[[8P02 - Light
Raw Score]])),9),_Stanine,2),5),"")</f>
        <v/>
      </c>
    </row>
    <row r="90">
      <c r="A90" s="65" t="inlineStr">
        <is>
          <t>X901240175943</t>
        </is>
      </c>
      <c r="B90" s="65" t="inlineStr">
        <is>
          <t>Thompson</t>
        </is>
      </c>
      <c r="C90" s="65" t="inlineStr">
        <is>
          <t>Ava</t>
        </is>
      </c>
      <c r="D90" s="66" t="inlineStr">
        <is>
          <t>F</t>
        </is>
      </c>
      <c r="E90" s="66" t="n"/>
      <c r="F90" s="66" t="inlineStr">
        <is>
          <t>Y</t>
        </is>
      </c>
      <c r="G90" s="34" t="n">
        <v>84.59999999999999</v>
      </c>
      <c r="H90" s="34" t="n">
        <v>96.5</v>
      </c>
      <c r="I90" s="67">
        <f>IF(ISNUMBER(tblY8[[#This Row],[Avg KS2]]),IFERROR(VLOOKUP(ROUND(STANDARDIZE(tblY8[[#This Row],[Avg KS2]],AVERAGE(tblY8[[Avg KS2]]),_xlfn.STDEV.P(tblY8[[Avg KS2]])),9),_Stanine,2),5),"")</f>
        <v>2</v>
      </c>
      <c r="J90" s="66" t="inlineStr">
        <is>
          <t>8A/Sc4</t>
        </is>
      </c>
      <c r="K90" s="67">
        <f>IF(tblY8[[#This Row],[Preferred Last name]]="","",COUNTIFS($N$1:$ZZ$1,"*"&amp;CHAR(10)&amp;"Stanine",$N90:$ZZ90,"&gt;=1"))</f>
        <v>4</v>
      </c>
      <c r="L90" s="68">
        <f>IFERROR(AVERAGEIF($N$1:$ZZ$1,"*"&amp;CHAR(10)&amp;"Stanine",$N90:$ZZ90),"")</f>
        <v>3</v>
      </c>
      <c r="M90" s="69">
        <f>IF(AND(ISNUMBER(tblY8[[#This Row],[Mean Stanine]]),ISNUMBER(tblY8[[#This Row],[Avg KS2 Band]]),ISNUMBER(SlopeY8)),tblY8[[#This Row],[Mean Stanine]]-(InterceptY8+SlopeY8*tblY8[[#This Row],[Avg KS2 Band]]),"")</f>
        <v>0.394875030040855</v>
      </c>
      <c r="N90" s="66" t="n">
        <v>12</v>
      </c>
      <c r="O90" s="67">
        <f>IF(ISNUMBER(tblY8[[#This Row],[8C01 - Periodic Table
Raw Score]]),IFERROR(VLOOKUP(ROUND(STANDARDIZE(tblY8[[#This Row],[8C01 - Periodic Table
Raw Score]],AVERAGE(tblY8[[8C01 - Periodic Table
Raw Score]]),_xlfn.STDEV.P(tblY8[[8C01 - Periodic Table
Raw Score]])),9),_Stanine,2),5),"")</f>
        <v>3</v>
      </c>
      <c r="P90" s="66" t="n">
        <v>5</v>
      </c>
      <c r="Q90" s="67">
        <f>IF(ISNUMBER(tblY8[[#This Row],[8P01 - Energy
Raw Score]]),IFERROR(VLOOKUP(ROUND(STANDARDIZE(tblY8[[#This Row],[8P01 - Energy
Raw Score]],AVERAGE(tblY8[[8P01 - Energy
Raw Score]]),_xlfn.STDEV.P(tblY8[[8P01 - Energy
Raw Score]])),9),_Stanine,2),5),"")</f>
        <v>3</v>
      </c>
      <c r="R90" s="66" t="n">
        <v>9</v>
      </c>
      <c r="S90" s="67">
        <f>IF(ISNUMBER(tblY8[[#This Row],[8B01 - Digestion
Raw Score]]),IFERROR(VLOOKUP(ROUND(STANDARDIZE(tblY8[[#This Row],[8B01 - Digestion
Raw Score]],AVERAGE(tblY8[[8B01 - Digestion
Raw Score]]),_xlfn.STDEV.P(tblY8[[8B01 - Digestion
Raw Score]])),9),_Stanine,2),5),"")</f>
        <v>3</v>
      </c>
      <c r="T90" s="66" t="n">
        <v>5</v>
      </c>
      <c r="U90" s="67">
        <f>IF(ISNUMBER(tblY8[[#This Row],[8C02 - Metals and Acids
Raw Score]]),IFERROR(VLOOKUP(ROUND(STANDARDIZE(tblY8[[#This Row],[8C02 - Metals and Acids
Raw Score]],AVERAGE(tblY8[[8C02 - Metals and Acids
Raw Score]]),_xlfn.STDEV.P(tblY8[[8C02 - Metals and Acids
Raw Score]])),9),_Stanine,2),5),"")</f>
        <v>3</v>
      </c>
      <c r="V90" s="66" t="n"/>
      <c r="W90" s="67" t="str">
        <f>IF(ISNUMBER(tblY8[[#This Row],[8P02 - Light
Raw Score]]),IFERROR(VLOOKUP(ROUND(STANDARDIZE(tblY8[[#This Row],[8P02 - Light
Raw Score]],AVERAGE(tblY8[[8P02 - Light
Raw Score]]),_xlfn.STDEV.P(tblY8[[8P02 - Light
Raw Score]])),9),_Stanine,2),5),"")</f>
        <v/>
      </c>
    </row>
    <row r="91">
      <c r="A91" s="65" t="inlineStr">
        <is>
          <t>X905145649490</t>
        </is>
      </c>
      <c r="B91" s="65" t="inlineStr">
        <is>
          <t>Turner</t>
        </is>
      </c>
      <c r="C91" s="65" t="inlineStr">
        <is>
          <t>Callum</t>
        </is>
      </c>
      <c r="D91" s="66" t="inlineStr">
        <is>
          <t>M</t>
        </is>
      </c>
      <c r="E91" s="66" t="n"/>
      <c r="F91" s="66" t="inlineStr">
        <is>
          <t>N</t>
        </is>
      </c>
      <c r="G91" s="34" t="n">
        <v>94.59999999999999</v>
      </c>
      <c r="H91" s="34" t="n">
        <v>103.5</v>
      </c>
      <c r="I91" s="67">
        <f>IF(ISNUMBER(tblY8[[#This Row],[Avg KS2]]),IFERROR(VLOOKUP(ROUND(STANDARDIZE(tblY8[[#This Row],[Avg KS2]],AVERAGE(tblY8[[Avg KS2]]),_xlfn.STDEV.P(tblY8[[Avg KS2]])),9),_Stanine,2),5),"")</f>
        <v>4</v>
      </c>
      <c r="J91" s="66" t="inlineStr">
        <is>
          <t>8A/Sc4</t>
        </is>
      </c>
      <c r="K91" s="67">
        <f>IF(tblY8[[#This Row],[Preferred Last name]]="","",COUNTIFS($N$1:$ZZ$1,"*"&amp;CHAR(10)&amp;"Stanine",$N91:$ZZ91,"&gt;=1"))</f>
        <v>4</v>
      </c>
      <c r="L91" s="68">
        <f>IFERROR(AVERAGEIF($N$1:$ZZ$1,"*"&amp;CHAR(10)&amp;"Stanine",$N91:$ZZ91),"")</f>
        <v>5.5</v>
      </c>
      <c r="M91" s="69">
        <f>IF(AND(ISNUMBER(tblY8[[#This Row],[Mean Stanine]]),ISNUMBER(tblY8[[#This Row],[Avg KS2 Band]]),ISNUMBER(SlopeY8)),tblY8[[#This Row],[Mean Stanine]]-(InterceptY8+SlopeY8*tblY8[[#This Row],[Avg KS2 Band]]),"")</f>
        <v>1.3370523912521</v>
      </c>
      <c r="N91" s="66" t="n">
        <v>18</v>
      </c>
      <c r="O91" s="67">
        <f>IF(ISNUMBER(tblY8[[#This Row],[8C01 - Periodic Table
Raw Score]]),IFERROR(VLOOKUP(ROUND(STANDARDIZE(tblY8[[#This Row],[8C01 - Periodic Table
Raw Score]],AVERAGE(tblY8[[8C01 - Periodic Table
Raw Score]]),_xlfn.STDEV.P(tblY8[[8C01 - Periodic Table
Raw Score]])),9),_Stanine,2),5),"")</f>
        <v>5</v>
      </c>
      <c r="P91" s="66" t="n">
        <v>12</v>
      </c>
      <c r="Q91" s="67">
        <f>IF(ISNUMBER(tblY8[[#This Row],[8P01 - Energy
Raw Score]]),IFERROR(VLOOKUP(ROUND(STANDARDIZE(tblY8[[#This Row],[8P01 - Energy
Raw Score]],AVERAGE(tblY8[[8P01 - Energy
Raw Score]]),_xlfn.STDEV.P(tblY8[[8P01 - Energy
Raw Score]])),9),_Stanine,2),5),"")</f>
        <v>6</v>
      </c>
      <c r="R91" s="66" t="n">
        <v>16</v>
      </c>
      <c r="S91" s="67">
        <f>IF(ISNUMBER(tblY8[[#This Row],[8B01 - Digestion
Raw Score]]),IFERROR(VLOOKUP(ROUND(STANDARDIZE(tblY8[[#This Row],[8B01 - Digestion
Raw Score]],AVERAGE(tblY8[[8B01 - Digestion
Raw Score]]),_xlfn.STDEV.P(tblY8[[8B01 - Digestion
Raw Score]])),9),_Stanine,2),5),"")</f>
        <v>6</v>
      </c>
      <c r="T91" s="66" t="n">
        <v>11</v>
      </c>
      <c r="U91" s="67">
        <f>IF(ISNUMBER(tblY8[[#This Row],[8C02 - Metals and Acids
Raw Score]]),IFERROR(VLOOKUP(ROUND(STANDARDIZE(tblY8[[#This Row],[8C02 - Metals and Acids
Raw Score]],AVERAGE(tblY8[[8C02 - Metals and Acids
Raw Score]]),_xlfn.STDEV.P(tblY8[[8C02 - Metals and Acids
Raw Score]])),9),_Stanine,2),5),"")</f>
        <v>5</v>
      </c>
      <c r="V91" s="66" t="n"/>
      <c r="W91" s="67" t="str">
        <f>IF(ISNUMBER(tblY8[[#This Row],[8P02 - Light
Raw Score]]),IFERROR(VLOOKUP(ROUND(STANDARDIZE(tblY8[[#This Row],[8P02 - Light
Raw Score]],AVERAGE(tblY8[[8P02 - Light
Raw Score]]),_xlfn.STDEV.P(tblY8[[8P02 - Light
Raw Score]])),9),_Stanine,2),5),"")</f>
        <v/>
      </c>
    </row>
    <row r="92">
      <c r="A92" s="65" t="inlineStr">
        <is>
          <t>X900481937924</t>
        </is>
      </c>
      <c r="B92" s="65" t="inlineStr">
        <is>
          <t>Walker</t>
        </is>
      </c>
      <c r="C92" s="65" t="inlineStr">
        <is>
          <t>Jack</t>
        </is>
      </c>
      <c r="D92" s="66" t="inlineStr">
        <is>
          <t>M</t>
        </is>
      </c>
      <c r="E92" s="66" t="inlineStr">
        <is>
          <t>N</t>
        </is>
      </c>
      <c r="F92" s="66" t="inlineStr">
        <is>
          <t>N</t>
        </is>
      </c>
      <c r="G92" s="34" t="n">
        <v>100</v>
      </c>
      <c r="H92" s="34" t="n">
        <v>96</v>
      </c>
      <c r="I92" s="67">
        <f>IF(ISNUMBER(tblY8[[#This Row],[Avg KS2]]),IFERROR(VLOOKUP(ROUND(STANDARDIZE(tblY8[[#This Row],[Avg KS2]],AVERAGE(tblY8[[Avg KS2]]),_xlfn.STDEV.P(tblY8[[Avg KS2]])),9),_Stanine,2),5),"")</f>
        <v>2</v>
      </c>
      <c r="J92" s="66" t="inlineStr">
        <is>
          <t>8A/Sc4</t>
        </is>
      </c>
      <c r="K92" s="67">
        <f>IF(tblY8[[#This Row],[Preferred Last name]]="","",COUNTIFS($N$1:$ZZ$1,"*"&amp;CHAR(10)&amp;"Stanine",$N92:$ZZ92,"&gt;=1"))</f>
        <v>4</v>
      </c>
      <c r="L92" s="68">
        <f>IFERROR(AVERAGEIF($N$1:$ZZ$1,"*"&amp;CHAR(10)&amp;"Stanine",$N92:$ZZ92),"")</f>
        <v>2.75</v>
      </c>
      <c r="M92" s="69">
        <f>IF(AND(ISNUMBER(tblY8[[#This Row],[Mean Stanine]]),ISNUMBER(tblY8[[#This Row],[Avg KS2 Band]]),ISNUMBER(SlopeY8)),tblY8[[#This Row],[Mean Stanine]]-(InterceptY8+SlopeY8*tblY8[[#This Row],[Avg KS2 Band]]),"")</f>
        <v>0.144875030040855</v>
      </c>
      <c r="N92" s="66" t="n">
        <v>8</v>
      </c>
      <c r="O92" s="67">
        <f>IF(ISNUMBER(tblY8[[#This Row],[8C01 - Periodic Table
Raw Score]]),IFERROR(VLOOKUP(ROUND(STANDARDIZE(tblY8[[#This Row],[8C01 - Periodic Table
Raw Score]],AVERAGE(tblY8[[8C01 - Periodic Table
Raw Score]]),_xlfn.STDEV.P(tblY8[[8C01 - Periodic Table
Raw Score]])),9),_Stanine,2),5),"")</f>
        <v>2</v>
      </c>
      <c r="P92" s="66" t="n">
        <v>7</v>
      </c>
      <c r="Q92" s="67">
        <f>IF(ISNUMBER(tblY8[[#This Row],[8P01 - Energy
Raw Score]]),IFERROR(VLOOKUP(ROUND(STANDARDIZE(tblY8[[#This Row],[8P01 - Energy
Raw Score]],AVERAGE(tblY8[[8P01 - Energy
Raw Score]]),_xlfn.STDEV.P(tblY8[[8P01 - Energy
Raw Score]])),9),_Stanine,2),5),"")</f>
        <v>4</v>
      </c>
      <c r="R92" s="66" t="n">
        <v>6</v>
      </c>
      <c r="S92" s="67">
        <f>IF(ISNUMBER(tblY8[[#This Row],[8B01 - Digestion
Raw Score]]),IFERROR(VLOOKUP(ROUND(STANDARDIZE(tblY8[[#This Row],[8B01 - Digestion
Raw Score]],AVERAGE(tblY8[[8B01 - Digestion
Raw Score]]),_xlfn.STDEV.P(tblY8[[8B01 - Digestion
Raw Score]])),9),_Stanine,2),5),"")</f>
        <v>2</v>
      </c>
      <c r="T92" s="66" t="n">
        <v>7</v>
      </c>
      <c r="U92" s="67">
        <f>IF(ISNUMBER(tblY8[[#This Row],[8C02 - Metals and Acids
Raw Score]]),IFERROR(VLOOKUP(ROUND(STANDARDIZE(tblY8[[#This Row],[8C02 - Metals and Acids
Raw Score]],AVERAGE(tblY8[[8C02 - Metals and Acids
Raw Score]]),_xlfn.STDEV.P(tblY8[[8C02 - Metals and Acids
Raw Score]])),9),_Stanine,2),5),"")</f>
        <v>3</v>
      </c>
      <c r="V92" s="66" t="n"/>
      <c r="W92" s="67" t="str">
        <f>IF(ISNUMBER(tblY8[[#This Row],[8P02 - Light
Raw Score]]),IFERROR(VLOOKUP(ROUND(STANDARDIZE(tblY8[[#This Row],[8P02 - Light
Raw Score]],AVERAGE(tblY8[[8P02 - Light
Raw Score]]),_xlfn.STDEV.P(tblY8[[8P02 - Light
Raw Score]])),9),_Stanine,2),5),"")</f>
        <v/>
      </c>
    </row>
    <row r="93">
      <c r="A93" s="65" t="inlineStr">
        <is>
          <t>X909788816754</t>
        </is>
      </c>
      <c r="B93" s="65" t="inlineStr">
        <is>
          <t>Clarke</t>
        </is>
      </c>
      <c r="C93" s="65" t="inlineStr">
        <is>
          <t>Amara</t>
        </is>
      </c>
      <c r="D93" s="66" t="inlineStr">
        <is>
          <t>M</t>
        </is>
      </c>
      <c r="E93" s="66" t="inlineStr">
        <is>
          <t>K</t>
        </is>
      </c>
      <c r="F93" s="66" t="inlineStr">
        <is>
          <t>Y</t>
        </is>
      </c>
      <c r="G93" s="34" t="n">
        <v>100</v>
      </c>
      <c r="H93" s="34" t="n">
        <v>101</v>
      </c>
      <c r="I93" s="67">
        <f>IF(ISNUMBER(tblY8[[#This Row],[Avg KS2]]),IFERROR(VLOOKUP(ROUND(STANDARDIZE(tblY8[[#This Row],[Avg KS2]],AVERAGE(tblY8[[Avg KS2]]),_xlfn.STDEV.P(tblY8[[Avg KS2]])),9),_Stanine,2),5),"")</f>
        <v>4</v>
      </c>
      <c r="J93" s="66" t="inlineStr">
        <is>
          <t>Science Support</t>
        </is>
      </c>
      <c r="K93" s="67">
        <f>IF(tblY8[[#This Row],[Preferred Last name]]="","",COUNTIFS($N$1:$ZZ$1,"*"&amp;CHAR(10)&amp;"Stanine",$N93:$ZZ93,"&gt;=1"))</f>
        <v>4</v>
      </c>
      <c r="L93" s="68">
        <f>IFERROR(AVERAGEIF($N$1:$ZZ$1,"*"&amp;CHAR(10)&amp;"Stanine",$N93:$ZZ93),"")</f>
        <v>2</v>
      </c>
      <c r="M93" s="69">
        <f>IF(AND(ISNUMBER(tblY8[[#This Row],[Mean Stanine]]),ISNUMBER(tblY8[[#This Row],[Avg KS2 Band]]),ISNUMBER(SlopeY8)),tblY8[[#This Row],[Mean Stanine]]-(InterceptY8+SlopeY8*tblY8[[#This Row],[Avg KS2 Band]]),"")</f>
        <v>-2.1629476087479</v>
      </c>
      <c r="N93" s="66" t="n">
        <v>10</v>
      </c>
      <c r="O93" s="67">
        <f>IF(ISNUMBER(tblY8[[#This Row],[8C01 - Periodic Table
Raw Score]]),IFERROR(VLOOKUP(ROUND(STANDARDIZE(tblY8[[#This Row],[8C01 - Periodic Table
Raw Score]],AVERAGE(tblY8[[8C01 - Periodic Table
Raw Score]]),_xlfn.STDEV.P(tblY8[[8C01 - Periodic Table
Raw Score]])),9),_Stanine,2),5),"")</f>
        <v>2</v>
      </c>
      <c r="P93" s="66" t="n">
        <v>3</v>
      </c>
      <c r="Q93" s="67">
        <f>IF(ISNUMBER(tblY8[[#This Row],[8P01 - Energy
Raw Score]]),IFERROR(VLOOKUP(ROUND(STANDARDIZE(tblY8[[#This Row],[8P01 - Energy
Raw Score]],AVERAGE(tblY8[[8P01 - Energy
Raw Score]]),_xlfn.STDEV.P(tblY8[[8P01 - Energy
Raw Score]])),9),_Stanine,2),5),"")</f>
        <v>2</v>
      </c>
      <c r="R93" s="66" t="n">
        <v>3</v>
      </c>
      <c r="S93" s="67">
        <f>IF(ISNUMBER(tblY8[[#This Row],[8B01 - Digestion
Raw Score]]),IFERROR(VLOOKUP(ROUND(STANDARDIZE(tblY8[[#This Row],[8B01 - Digestion
Raw Score]],AVERAGE(tblY8[[8B01 - Digestion
Raw Score]]),_xlfn.STDEV.P(tblY8[[8B01 - Digestion
Raw Score]])),9),_Stanine,2),5),"")</f>
        <v>2</v>
      </c>
      <c r="T93" s="66" t="n">
        <v>4</v>
      </c>
      <c r="U93" s="67">
        <f>IF(ISNUMBER(tblY8[[#This Row],[8C02 - Metals and Acids
Raw Score]]),IFERROR(VLOOKUP(ROUND(STANDARDIZE(tblY8[[#This Row],[8C02 - Metals and Acids
Raw Score]],AVERAGE(tblY8[[8C02 - Metals and Acids
Raw Score]]),_xlfn.STDEV.P(tblY8[[8C02 - Metals and Acids
Raw Score]])),9),_Stanine,2),5),"")</f>
        <v>2</v>
      </c>
      <c r="V93" s="66" t="n"/>
      <c r="W93" s="67" t="str">
        <f>IF(ISNUMBER(tblY8[[#This Row],[8P02 - Light
Raw Score]]),IFERROR(VLOOKUP(ROUND(STANDARDIZE(tblY8[[#This Row],[8P02 - Light
Raw Score]],AVERAGE(tblY8[[8P02 - Light
Raw Score]]),_xlfn.STDEV.P(tblY8[[8P02 - Light
Raw Score]])),9),_Stanine,2),5),"")</f>
        <v/>
      </c>
    </row>
    <row r="94">
      <c r="A94" s="65" t="inlineStr">
        <is>
          <t>X902450462357</t>
        </is>
      </c>
      <c r="B94" s="65" t="inlineStr">
        <is>
          <t>Roberts</t>
        </is>
      </c>
      <c r="C94" s="65" t="inlineStr">
        <is>
          <t>Dylan</t>
        </is>
      </c>
      <c r="D94" s="66" t="inlineStr">
        <is>
          <t>M</t>
        </is>
      </c>
      <c r="E94" s="66" t="inlineStr">
        <is>
          <t>N</t>
        </is>
      </c>
      <c r="F94" s="66" t="inlineStr">
        <is>
          <t>N</t>
        </is>
      </c>
      <c r="G94" s="34" t="n">
        <v>90.90000000000001</v>
      </c>
      <c r="H94" s="34" t="n">
        <v>95</v>
      </c>
      <c r="I94" s="67">
        <f>IF(ISNUMBER(tblY8[[#This Row],[Avg KS2]]),IFERROR(VLOOKUP(ROUND(STANDARDIZE(tblY8[[#This Row],[Avg KS2]],AVERAGE(tblY8[[Avg KS2]]),_xlfn.STDEV.P(tblY8[[Avg KS2]])),9),_Stanine,2),5),"")</f>
        <v>1</v>
      </c>
      <c r="J94" s="66" t="inlineStr">
        <is>
          <t>Science Support</t>
        </is>
      </c>
      <c r="K94" s="67">
        <f>IF(tblY8[[#This Row],[Preferred Last name]]="","",COUNTIFS($N$1:$ZZ$1,"*"&amp;CHAR(10)&amp;"Stanine",$N94:$ZZ94,"&gt;=1"))</f>
        <v>4</v>
      </c>
      <c r="L94" s="68">
        <f>IFERROR(AVERAGEIF($N$1:$ZZ$1,"*"&amp;CHAR(10)&amp;"Stanine",$N94:$ZZ94),"")</f>
        <v>1</v>
      </c>
      <c r="M94" s="69">
        <f>IF(AND(ISNUMBER(tblY8[[#This Row],[Mean Stanine]]),ISNUMBER(tblY8[[#This Row],[Avg KS2 Band]]),ISNUMBER(SlopeY8)),tblY8[[#This Row],[Mean Stanine]]-(InterceptY8+SlopeY8*tblY8[[#This Row],[Avg KS2 Band]]),"")</f>
        <v>-0.826213650564769</v>
      </c>
      <c r="N94" s="66" t="n">
        <v>4</v>
      </c>
      <c r="O94" s="67">
        <f>IF(ISNUMBER(tblY8[[#This Row],[8C01 - Periodic Table
Raw Score]]),IFERROR(VLOOKUP(ROUND(STANDARDIZE(tblY8[[#This Row],[8C01 - Periodic Table
Raw Score]],AVERAGE(tblY8[[8C01 - Periodic Table
Raw Score]]),_xlfn.STDEV.P(tblY8[[8C01 - Periodic Table
Raw Score]])),9),_Stanine,2),5),"")</f>
        <v>1</v>
      </c>
      <c r="P94" s="66" t="n">
        <v>1</v>
      </c>
      <c r="Q94" s="67">
        <f>IF(ISNUMBER(tblY8[[#This Row],[8P01 - Energy
Raw Score]]),IFERROR(VLOOKUP(ROUND(STANDARDIZE(tblY8[[#This Row],[8P01 - Energy
Raw Score]],AVERAGE(tblY8[[8P01 - Energy
Raw Score]]),_xlfn.STDEV.P(tblY8[[8P01 - Energy
Raw Score]])),9),_Stanine,2),5),"")</f>
        <v>1</v>
      </c>
      <c r="R94" s="66" t="n">
        <v>1</v>
      </c>
      <c r="S94" s="67">
        <f>IF(ISNUMBER(tblY8[[#This Row],[8B01 - Digestion
Raw Score]]),IFERROR(VLOOKUP(ROUND(STANDARDIZE(tblY8[[#This Row],[8B01 - Digestion
Raw Score]],AVERAGE(tblY8[[8B01 - Digestion
Raw Score]]),_xlfn.STDEV.P(tblY8[[8B01 - Digestion
Raw Score]])),9),_Stanine,2),5),"")</f>
        <v>1</v>
      </c>
      <c r="T94" s="66" t="n">
        <v>1</v>
      </c>
      <c r="U94" s="67">
        <f>IF(ISNUMBER(tblY8[[#This Row],[8C02 - Metals and Acids
Raw Score]]),IFERROR(VLOOKUP(ROUND(STANDARDIZE(tblY8[[#This Row],[8C02 - Metals and Acids
Raw Score]],AVERAGE(tblY8[[8C02 - Metals and Acids
Raw Score]]),_xlfn.STDEV.P(tblY8[[8C02 - Metals and Acids
Raw Score]])),9),_Stanine,2),5),"")</f>
        <v>1</v>
      </c>
      <c r="V94" s="66" t="n"/>
      <c r="W94" s="67" t="str">
        <f>IF(ISNUMBER(tblY8[[#This Row],[8P02 - Light
Raw Score]]),IFERROR(VLOOKUP(ROUND(STANDARDIZE(tblY8[[#This Row],[8P02 - Light
Raw Score]],AVERAGE(tblY8[[8P02 - Light
Raw Score]]),_xlfn.STDEV.P(tblY8[[8P02 - Light
Raw Score]])),9),_Stanine,2),5),"")</f>
        <v/>
      </c>
    </row>
  </sheetData>
  <conditionalFormatting sqref="I2:I94">
    <cfRule type="iconSet" priority="1">
      <iconSet iconSet="3TrafficLights1">
        <cfvo type="percent" val="0"/>
        <cfvo type="num" val="4"/>
        <cfvo type="num" val="7"/>
      </iconSet>
    </cfRule>
  </conditionalFormatting>
  <conditionalFormatting sqref="L2:L94">
    <cfRule type="iconSet" priority="2">
      <iconSet iconSet="3TrafficLights1">
        <cfvo type="percent" val="0"/>
        <cfvo type="num" val="3.5"/>
        <cfvo type="num" val="6.5"/>
      </iconSet>
    </cfRule>
  </conditionalFormatting>
  <conditionalFormatting sqref="M2:M94">
    <cfRule type="iconSet" priority="3">
      <iconSet iconSet="3Arrows">
        <cfvo type="percent" val="0"/>
        <cfvo type="num" val="-0.99"/>
        <cfvo type="num" val="1"/>
      </iconSet>
    </cfRule>
  </conditionalFormatting>
  <conditionalFormatting sqref="O2:O94">
    <cfRule type="iconSet" priority="4">
      <iconSet iconSet="3TrafficLights1">
        <cfvo type="percent" val="0"/>
        <cfvo type="num" val="4"/>
        <cfvo type="num" val="7"/>
      </iconSet>
    </cfRule>
  </conditionalFormatting>
  <conditionalFormatting sqref="Q2:Q94">
    <cfRule type="iconSet" priority="5">
      <iconSet iconSet="3TrafficLights1">
        <cfvo type="percent" val="0"/>
        <cfvo type="num" val="4"/>
        <cfvo type="num" val="7"/>
      </iconSet>
    </cfRule>
  </conditionalFormatting>
  <conditionalFormatting sqref="S2:S94">
    <cfRule type="iconSet" priority="6">
      <iconSet iconSet="3TrafficLights1">
        <cfvo type="percent" val="0"/>
        <cfvo type="num" val="4"/>
        <cfvo type="num" val="7"/>
      </iconSet>
    </cfRule>
  </conditionalFormatting>
  <conditionalFormatting sqref="U2:U94">
    <cfRule type="iconSet" priority="7">
      <iconSet iconSet="3TrafficLights1">
        <cfvo type="percent" val="0"/>
        <cfvo type="num" val="4"/>
        <cfvo type="num" val="7"/>
      </iconSet>
    </cfRule>
  </conditionalFormatting>
  <conditionalFormatting sqref="W2:W94">
    <cfRule type="iconSet" priority="8">
      <iconSet iconSet="3TrafficLights1">
        <cfvo type="percent" val="0"/>
        <cfvo type="num" val="4"/>
        <cfvo type="num" val="7"/>
      </iconSet>
    </cfRule>
  </conditionalFormatting>
  <dataValidations count="5">
    <dataValidation sqref="N2:N94"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94"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94"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94" showDropDown="0" showInputMessage="0" showErrorMessage="1" allowBlank="1" errorTitle="Score out of range" error="Type a mark from 0 to 26, or A for absent. Leave the cell blank if the student has not sat the test yet." type="custom">
      <formula1>OR(UPPER(T2)="A",AND(ISNUMBER(T2),T2&gt;=0,T2&lt;=26))</formula1>
    </dataValidation>
    <dataValidation sqref="V2:V94" showDropDown="0" showInputMessage="0" showErrorMessage="1" allowBlank="1" errorTitle="Score out of range" error="Type a mark from 0 to 24, or A for absent. Leave the cell blank if the student has not sat the test yet." type="custom">
      <formula1>OR(UPPER(V2)="A",AND(ISNUMBER(V2),V2&gt;=0,V2&lt;=24))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8</t>
        </is>
      </c>
      <c r="B5" s="10" t="inlineStr">
        <is>
          <t>8C01</t>
        </is>
      </c>
      <c r="C5" s="70" t="inlineStr">
        <is>
          <t>Periodic Table</t>
        </is>
      </c>
      <c r="D5" s="70" t="inlineStr">
        <is>
          <t>8C01 - Periodic Table</t>
        </is>
      </c>
      <c r="E5" s="9" t="n">
        <v>30</v>
      </c>
      <c r="F5" s="71" t="n">
        <v>46288</v>
      </c>
      <c r="G5" s="72">
        <f>IF(tblAssessments[[#This Row],[Year Index]]=0,"",COUNTA(CHOOSE(tblAssessments[[#This Row],[Year Index]],tblY8[Preferred Last name])))</f>
        <v>93</v>
      </c>
      <c r="H5" s="72">
        <f>IF(tblAssessments[[#This Row],[Raw Col]]=0,"",COUNT(INDEX(CHOOSE(tblAssessments[[#This Row],[Year Index]],tblY8[#Data]),0,tblAssessments[[#This Row],[Raw Col]])))</f>
        <v>85</v>
      </c>
      <c r="I5" s="72">
        <f>IF(tblAssessments[[#This Row],[Raw Col]]=0,"",COUNTIF(INDEX(CHOOSE(tblAssessments[[#This Row],[Year Index]],tblY8[#Data]),0,tblAssessments[[#This Row],[Raw Col]]),"A"))</f>
        <v>8</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Index]],tblY8[#Data]),0,tblAssessments[[#This Row],[Raw Col]])))</f>
        <v>17.7058823529412</v>
      </c>
      <c r="M5" s="73">
        <f>IF(OR(tblAssessments[[#This Row],[Year Mean]]="",N(tblAssessments[[#This Row],[Max Marks]])=0),"",tblAssessments[[#This Row],[Year Mean]]/tblAssessments[[#This Row],[Max Marks]])</f>
        <v>0.590196078431373</v>
      </c>
      <c r="N5" s="74">
        <f>IF(N(tblAssessments[[#This Row],[Sat]])=0,"",_xlfn.STDEV.P(INDEX(CHOOSE(tblAssessments[[#This Row],[Year Index]],tblY8[#Data]),0,tblAssessments[[#This Row],[Raw Col]])))</f>
        <v>6.10076857146948</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Index]],tblY8[#Headers]),0),0))</f>
        <v>14</v>
      </c>
      <c r="R5" s="72" t="str">
        <f>tblAssessments[[#This Row],[Year Group]]&amp;"|"&amp;COUNTIF(INDEX(tblAssessments[Year Group],1):tblAssessments[[#This Row],[Year Group]],tblAssessments[[#This Row],[Year Group]])</f>
        <v>Year 8|1</v>
      </c>
      <c r="S5" s="72" t="str">
        <f>tblAssessments[[#This Row],[Year Group]]&amp;"|"&amp;tblAssessments[[#This Row],[Test Name]]</f>
        <v>Year 8|8C01 - Periodic Table</v>
      </c>
      <c r="T5"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5" s="76" t="n">
        <v>-99</v>
      </c>
      <c r="W5" s="16" t="n">
        <v>1</v>
      </c>
      <c r="X5" s="70" t="inlineStr">
        <is>
          <t>Very low</t>
        </is>
      </c>
    </row>
    <row r="6">
      <c r="A6" s="10" t="inlineStr">
        <is>
          <t>Year 8</t>
        </is>
      </c>
      <c r="B6" s="10" t="inlineStr">
        <is>
          <t>8P01</t>
        </is>
      </c>
      <c r="C6" s="70" t="inlineStr">
        <is>
          <t>Energy</t>
        </is>
      </c>
      <c r="D6" s="70" t="inlineStr">
        <is>
          <t>8P01 - Energy</t>
        </is>
      </c>
      <c r="E6" s="9" t="n">
        <v>25</v>
      </c>
      <c r="F6" s="71" t="n">
        <v>46302</v>
      </c>
      <c r="G6" s="72">
        <f>IF(tblAssessments[[#This Row],[Year Index]]=0,"",COUNTA(CHOOSE(tblAssessments[[#This Row],[Year Index]],tblY8[Preferred Last name])))</f>
        <v>93</v>
      </c>
      <c r="H6" s="72">
        <f>IF(tblAssessments[[#This Row],[Raw Col]]=0,"",COUNT(INDEX(CHOOSE(tblAssessments[[#This Row],[Year Index]],tblY8[#Data]),0,tblAssessments[[#This Row],[Raw Col]])))</f>
        <v>89</v>
      </c>
      <c r="I6" s="72">
        <f>IF(tblAssessments[[#This Row],[Raw Col]]=0,"",COUNTIF(INDEX(CHOOSE(tblAssessments[[#This Row],[Year Index]],tblY8[#Data]),0,tblAssessments[[#This Row],[Raw Col]]),"A"))</f>
        <v>4</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Index]],tblY8[#Data]),0,tblAssessments[[#This Row],[Raw Col]])))</f>
        <v>10.4269662921348</v>
      </c>
      <c r="M6" s="73">
        <f>IF(OR(tblAssessments[[#This Row],[Year Mean]]="",N(tblAssessments[[#This Row],[Max Marks]])=0),"",tblAssessments[[#This Row],[Year Mean]]/tblAssessments[[#This Row],[Max Marks]])</f>
        <v>0.417078651685393</v>
      </c>
      <c r="N6" s="74">
        <f>IF(N(tblAssessments[[#This Row],[Sat]])=0,"",_xlfn.STDEV.P(INDEX(CHOOSE(tblAssessments[[#This Row],[Year Index]],tblY8[#Data]),0,tblAssessments[[#This Row],[Raw Col]])))</f>
        <v>5.22932019224498</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Index]],tblY8[#Headers]),0),0))</f>
        <v>16</v>
      </c>
      <c r="R6" s="72" t="str">
        <f>tblAssessments[[#This Row],[Year Group]]&amp;"|"&amp;COUNTIF(INDEX(tblAssessments[Year Group],1):tblAssessments[[#This Row],[Year Group]],tblAssessments[[#This Row],[Year Group]])</f>
        <v>Year 8|2</v>
      </c>
      <c r="S6" s="72" t="str">
        <f>tblAssessments[[#This Row],[Year Group]]&amp;"|"&amp;tblAssessments[[#This Row],[Test Name]]</f>
        <v>Year 8|8P01 - Energy</v>
      </c>
      <c r="T6"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6" s="76" t="n">
        <v>-1.75</v>
      </c>
      <c r="W6" s="16" t="n">
        <v>2</v>
      </c>
      <c r="X6" s="70" t="inlineStr">
        <is>
          <t>Low</t>
        </is>
      </c>
    </row>
    <row r="7">
      <c r="A7" s="10" t="inlineStr">
        <is>
          <t>Year 8</t>
        </is>
      </c>
      <c r="B7" s="10" t="inlineStr">
        <is>
          <t>8B01</t>
        </is>
      </c>
      <c r="C7" s="70" t="inlineStr">
        <is>
          <t>Digestion</t>
        </is>
      </c>
      <c r="D7" s="70" t="inlineStr">
        <is>
          <t>8B01 - Digestion</t>
        </is>
      </c>
      <c r="E7" s="9" t="n">
        <v>30</v>
      </c>
      <c r="F7" s="71" t="n">
        <v>46316</v>
      </c>
      <c r="G7" s="72">
        <f>IF(tblAssessments[[#This Row],[Year Index]]=0,"",COUNTA(CHOOSE(tblAssessments[[#This Row],[Year Index]],tblY8[Preferred Last name])))</f>
        <v>93</v>
      </c>
      <c r="H7" s="72">
        <f>IF(tblAssessments[[#This Row],[Raw Col]]=0,"",COUNT(INDEX(CHOOSE(tblAssessments[[#This Row],[Year Index]],tblY8[#Data]),0,tblAssessments[[#This Row],[Raw Col]])))</f>
        <v>92</v>
      </c>
      <c r="I7" s="72">
        <f>IF(tblAssessments[[#This Row],[Raw Col]]=0,"",COUNTIF(INDEX(CHOOSE(tblAssessments[[#This Row],[Year Index]],tblY8[#Data]),0,tblAssessments[[#This Row],[Raw Col]]),"A"))</f>
        <v>1</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Index]],tblY8[#Data]),0,tblAssessments[[#This Row],[Raw Col]])))</f>
        <v>13.8804347826087</v>
      </c>
      <c r="M7" s="73">
        <f>IF(OR(tblAssessments[[#This Row],[Year Mean]]="",N(tblAssessments[[#This Row],[Max Marks]])=0),"",tblAssessments[[#This Row],[Year Mean]]/tblAssessments[[#This Row],[Max Marks]])</f>
        <v>0.46268115942029</v>
      </c>
      <c r="N7" s="74">
        <f>IF(N(tblAssessments[[#This Row],[Sat]])=0,"",_xlfn.STDEV.P(INDEX(CHOOSE(tblAssessments[[#This Row],[Year Index]],tblY8[#Data]),0,tblAssessments[[#This Row],[Raw Col]])))</f>
        <v>6.28808810250597</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Index]],tblY8[#Headers]),0),0))</f>
        <v>18</v>
      </c>
      <c r="R7" s="72" t="str">
        <f>tblAssessments[[#This Row],[Year Group]]&amp;"|"&amp;COUNTIF(INDEX(tblAssessments[Year Group],1):tblAssessments[[#This Row],[Year Group]],tblAssessments[[#This Row],[Year Group]])</f>
        <v>Year 8|3</v>
      </c>
      <c r="S7" s="72" t="str">
        <f>tblAssessments[[#This Row],[Year Group]]&amp;"|"&amp;tblAssessments[[#This Row],[Test Name]]</f>
        <v>Year 8|8B01 - Digestion</v>
      </c>
      <c r="T7"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7" s="76" t="n">
        <v>-1.25</v>
      </c>
      <c r="W7" s="16" t="n">
        <v>3</v>
      </c>
      <c r="X7" s="70" t="inlineStr">
        <is>
          <t>Below average</t>
        </is>
      </c>
    </row>
    <row r="8">
      <c r="A8" s="10" t="inlineStr">
        <is>
          <t>Year 8</t>
        </is>
      </c>
      <c r="B8" s="10" t="inlineStr">
        <is>
          <t>8C02</t>
        </is>
      </c>
      <c r="C8" s="70" t="inlineStr">
        <is>
          <t>Metals and Acids</t>
        </is>
      </c>
      <c r="D8" s="70" t="inlineStr">
        <is>
          <t>8C02 - Metals and Acids</t>
        </is>
      </c>
      <c r="E8" s="9" t="n">
        <v>26</v>
      </c>
      <c r="F8" s="71" t="n">
        <v>46330</v>
      </c>
      <c r="G8" s="72">
        <f>IF(tblAssessments[[#This Row],[Year Index]]=0,"",COUNTA(CHOOSE(tblAssessments[[#This Row],[Year Index]],tblY8[Preferred Last name])))</f>
        <v>93</v>
      </c>
      <c r="H8" s="72">
        <f>IF(tblAssessments[[#This Row],[Raw Col]]=0,"",COUNT(INDEX(CHOOSE(tblAssessments[[#This Row],[Year Index]],tblY8[#Data]),0,tblAssessments[[#This Row],[Raw Col]])))</f>
        <v>91</v>
      </c>
      <c r="I8" s="72">
        <f>IF(tblAssessments[[#This Row],[Raw Col]]=0,"",COUNTIF(INDEX(CHOOSE(tblAssessments[[#This Row],[Year Index]],tblY8[#Data]),0,tblAssessments[[#This Row],[Raw Col]]),"A"))</f>
        <v>2</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Index]],tblY8[#Data]),0,tblAssessments[[#This Row],[Raw Col]])))</f>
        <v>11.4285714285714</v>
      </c>
      <c r="M8" s="73">
        <f>IF(OR(tblAssessments[[#This Row],[Year Mean]]="",N(tblAssessments[[#This Row],[Max Marks]])=0),"",tblAssessments[[#This Row],[Year Mean]]/tblAssessments[[#This Row],[Max Marks]])</f>
        <v>0.43956043956044</v>
      </c>
      <c r="N8" s="74">
        <f>IF(N(tblAssessments[[#This Row],[Sat]])=0,"",_xlfn.STDEV.P(INDEX(CHOOSE(tblAssessments[[#This Row],[Year Index]],tblY8[#Data]),0,tblAssessments[[#This Row],[Raw Col]])))</f>
        <v>5.33934773384539</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Index]],tblY8[#Headers]),0),0))</f>
        <v>20</v>
      </c>
      <c r="R8" s="72" t="str">
        <f>tblAssessments[[#This Row],[Year Group]]&amp;"|"&amp;COUNTIF(INDEX(tblAssessments[Year Group],1):tblAssessments[[#This Row],[Year Group]],tblAssessments[[#This Row],[Year Group]])</f>
        <v>Year 8|4</v>
      </c>
      <c r="S8" s="72" t="str">
        <f>tblAssessments[[#This Row],[Year Group]]&amp;"|"&amp;tblAssessments[[#This Row],[Test Name]]</f>
        <v>Year 8|8C02 - Metals and Acids</v>
      </c>
      <c r="T8"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8" s="76" t="n">
        <v>-0.75</v>
      </c>
      <c r="W8" s="16" t="n">
        <v>4</v>
      </c>
      <c r="X8" s="70" t="inlineStr">
        <is>
          <t>Slightly below average</t>
        </is>
      </c>
    </row>
    <row r="9">
      <c r="A9" s="10" t="inlineStr">
        <is>
          <t>Year 8</t>
        </is>
      </c>
      <c r="B9" s="10" t="inlineStr">
        <is>
          <t>8P02</t>
        </is>
      </c>
      <c r="C9" s="70" t="inlineStr">
        <is>
          <t>Light</t>
        </is>
      </c>
      <c r="D9" s="70" t="inlineStr">
        <is>
          <t>8P02 - Light</t>
        </is>
      </c>
      <c r="E9" s="9" t="n">
        <v>24</v>
      </c>
      <c r="F9" s="71" t="n">
        <v>46344</v>
      </c>
      <c r="G9" s="72">
        <f>IF(tblAssessments[[#This Row],[Year Index]]=0,"",COUNTA(CHOOSE(tblAssessments[[#This Row],[Year Index]],tblY8[Preferred Last name])))</f>
        <v>93</v>
      </c>
      <c r="H9" s="72">
        <f>IF(tblAssessments[[#This Row],[Raw Col]]=0,"",COUNT(INDEX(CHOOSE(tblAssessments[[#This Row],[Year Index]],tblY8[#Data]),0,tblAssessments[[#This Row],[Raw Col]])))</f>
        <v>71</v>
      </c>
      <c r="I9" s="72">
        <f>IF(tblAssessments[[#This Row],[Raw Col]]=0,"",COUNTIF(INDEX(CHOOSE(tblAssessments[[#This Row],[Year Index]],tblY8[#Data]),0,tblAssessments[[#This Row],[Raw Col]]),"A"))</f>
        <v>4</v>
      </c>
      <c r="J9" s="72">
        <f>IF(tblAssessments[[#This Row],[Raw Col]]=0,"",tblAssessments[[#This Row],[Students]]-tblAssessments[[#This Row],[Sat]]-tblAssessments[[#This Row],[Absent]])</f>
        <v>18</v>
      </c>
      <c r="K9" s="73">
        <f>IF(OR(tblAssessments[[#This Row],[Raw Col]]=0,N(tblAssessments[[#This Row],[Students]])=0),"",(tblAssessments[[#This Row],[Sat]]+tblAssessments[[#This Row],[Absent]])/tblAssessments[[#This Row],[Students]])</f>
        <v>0.806451612903226</v>
      </c>
      <c r="L9" s="74">
        <f>IF(N(tblAssessments[[#This Row],[Sat]])=0,"",AVERAGE(INDEX(CHOOSE(tblAssessments[[#This Row],[Year Index]],tblY8[#Data]),0,tblAssessments[[#This Row],[Raw Col]])))</f>
        <v>15.5774647887324</v>
      </c>
      <c r="M9" s="73">
        <f>IF(OR(tblAssessments[[#This Row],[Year Mean]]="",N(tblAssessments[[#This Row],[Max Marks]])=0),"",tblAssessments[[#This Row],[Year Mean]]/tblAssessments[[#This Row],[Max Marks]])</f>
        <v>0.64906103286385</v>
      </c>
      <c r="N9" s="74">
        <f>IF(N(tblAssessments[[#This Row],[Sat]])=0,"",_xlfn.STDEV.P(INDEX(CHOOSE(tblAssessments[[#This Row],[Year Index]],tblY8[#Data]),0,tblAssessments[[#This Row],[Raw Col]])))</f>
        <v>4.21486962634315</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Index]],tblY8[#Headers]),0),0))</f>
        <v>22</v>
      </c>
      <c r="R9" s="72" t="str">
        <f>tblAssessments[[#This Row],[Year Group]]&amp;"|"&amp;COUNTIF(INDEX(tblAssessments[Year Group],1):tblAssessments[[#This Row],[Year Group]],tblAssessments[[#This Row],[Year Group]])</f>
        <v>Year 8|5</v>
      </c>
      <c r="S9" s="72" t="str">
        <f>tblAssessments[[#This Row],[Year Group]]&amp;"|"&amp;tblAssessments[[#This Row],[Test Name]]</f>
        <v>Year 8|8P02 - Light</v>
      </c>
      <c r="T9"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29"/>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8</t>
        </is>
      </c>
      <c r="C15" s="9" t="n">
        <v>2030</v>
      </c>
      <c r="D15" s="12" t="inlineStr">
        <is>
          <t>Year 8</t>
        </is>
      </c>
      <c r="E15" s="79">
        <f>IF(ISNUMBER(SlopeY8),SlopeY8,"too few results")</f>
        <v>0.778911319394376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8</t>
        </is>
      </c>
      <c r="C25" s="12" t="inlineStr">
        <is>
          <t>8A/Sc1</t>
        </is>
      </c>
      <c r="D25" s="80" t="inlineStr">
        <is>
          <t>Mr Owen</t>
        </is>
      </c>
      <c r="E25" s="81" t="str">
        <f>tblTeachers[[#This Row],[Year Group]]&amp;"|"&amp;tblTeachers[[#This Row],[Class]]</f>
        <v>Year 8|8A/Sc1</v>
      </c>
    </row>
    <row r="26">
      <c r="B26" s="12" t="inlineStr">
        <is>
          <t>Year 8</t>
        </is>
      </c>
      <c r="C26" s="12" t="inlineStr">
        <is>
          <t>8A/Sc2</t>
        </is>
      </c>
      <c r="D26" s="80" t="inlineStr">
        <is>
          <t>Mr Hughes</t>
        </is>
      </c>
      <c r="E26" s="81" t="str">
        <f>tblTeachers[[#This Row],[Year Group]]&amp;"|"&amp;tblTeachers[[#This Row],[Class]]</f>
        <v>Year 8|8A/Sc2</v>
      </c>
    </row>
    <row r="27">
      <c r="B27" s="12" t="inlineStr">
        <is>
          <t>Year 8</t>
        </is>
      </c>
      <c r="C27" s="12" t="inlineStr">
        <is>
          <t>8A/Sc3</t>
        </is>
      </c>
      <c r="D27" s="80" t="inlineStr">
        <is>
          <t>Mr Owen</t>
        </is>
      </c>
      <c r="E27" s="81" t="str">
        <f>tblTeachers[[#This Row],[Year Group]]&amp;"|"&amp;tblTeachers[[#This Row],[Class]]</f>
        <v>Year 8|8A/Sc3</v>
      </c>
    </row>
    <row r="28">
      <c r="B28" s="12" t="inlineStr">
        <is>
          <t>Year 8</t>
        </is>
      </c>
      <c r="C28" s="12" t="inlineStr">
        <is>
          <t>8A/Sc4</t>
        </is>
      </c>
      <c r="D28" s="80" t="inlineStr">
        <is>
          <t>Ms Adeyemi</t>
        </is>
      </c>
      <c r="E28" s="81" t="str">
        <f>tblTeachers[[#This Row],[Year Group]]&amp;"|"&amp;tblTeachers[[#This Row],[Class]]</f>
        <v>Year 8|8A/Sc4</v>
      </c>
    </row>
    <row r="29">
      <c r="B29" s="12" t="inlineStr">
        <is>
          <t>Year 8</t>
        </is>
      </c>
      <c r="C29" s="12" t="inlineStr">
        <is>
          <t>Science Support</t>
        </is>
      </c>
      <c r="D29" s="80" t="inlineStr">
        <is>
          <t>Mrs Evans</t>
        </is>
      </c>
      <c r="E29" s="81" t="str">
        <f>tblTeachers[[#This Row],[Year Group]]&amp;"|"&amp;tblTeachers[[#This Row],[Class]]</f>
        <v>Year 8|Science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8</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8</t>
        </is>
      </c>
      <c r="C3" s="31" t="inlineStr">
        <is>
          <t>tblY8</t>
        </is>
      </c>
      <c r="E3" s="31" t="inlineStr">
        <is>
          <t>Mean %</t>
        </is>
      </c>
      <c r="S3" t="str">
        <f>IFERROR(INDEX(H$10:H$609,MATCH(SMALL(I$10:I$609,1),I$10:I$609,0)),"")</f>
        <v>8A/Sc1</v>
      </c>
      <c r="Y3" t="str">
        <f>IFERROR(INDEX($S3:$S3,dYear),"")</f>
        <v>8A/Sc1</v>
      </c>
      <c r="AA3" t="str">
        <f>IFERROR(INDEX(tblAssessments[Test Name],MATCH(SelYear&amp;"|"&amp;1,tblAssessments[Seq Key],0))&amp;"","")</f>
        <v>8C01 - Periodic Table</v>
      </c>
      <c r="AB3">
        <f>IF(AA3="","",IFERROR(INDEX(tblAssessments[Max Marks],MATCH(SelYear&amp;"|"&amp;1,tblAssessments[Seq Key],0)),""))</f>
        <v>30</v>
      </c>
      <c r="AC3" s="84">
        <f>IF(AA3="","",IFERROR(IF(INDEX(tblAssessments[Date],MATCH(SelYear&amp;"|"&amp;1,tblAssessments[Seq Key],0))="","",INDEX(tblAssessments[Date],MATCH(SelYear&amp;"|"&amp;1,tblAssessments[Seq Key],0))),""))</f>
        <v>46288.0</v>
      </c>
      <c r="AD3" t="str">
        <f>IF(AA3="","",IFERROR(INDEX(tblAssessments[Code],MATCH(SelYear&amp;"|"&amp;1,tblAssessments[Seq Key],0))&amp;"",""))</f>
        <v>8C01</v>
      </c>
      <c r="AF3" t="str">
        <f>IF(COUNTIF(tblAssessments[Year Group],"Year 8")=0,"",IFERROR(INDEX(tblAssessments[Test Name],MATCH("Year 8|"&amp;COUNTIF(tblAssessments[Year Group],"Year 8"),tblAssessments[Seq Key],0)),""))</f>
        <v>8P02 - Light</v>
      </c>
      <c r="AG3">
        <f>IF(AF3="","",IFERROR(INDEX(tblAssessments[Max Marks],MATCH("Year 8|"&amp;COUNTIF(tblAssessments[Year Group],"Year 8"),tblAssessments[Seq Key],0)),""))</f>
        <v>24</v>
      </c>
      <c r="AH3" s="84">
        <f>IF(AF3="","",IFERROR(IF(INDEX(tblAssessments[Date],MATCH("Year 8|"&amp;COUNTIF(tblAssessments[Year Group],"Year 8"),tblAssessments[Seq Key],0))="","",INDEX(tblAssessments[Date],MATCH("Year 8|"&amp;COUNTIF(tblAssessments[Year Group],"Year 8"),tblAssessments[Seq Key],0))),""))</f>
        <v>46344.0</v>
      </c>
      <c r="AI3">
        <f>COUNTIF(tblAssessments[Year Group],"Year 8")</f>
        <v>5</v>
      </c>
      <c r="AK3" t="str">
        <f>IF(AA3="","",IF(AD3&lt;&gt;"",AD3,LEFT(AA3,14)))</f>
        <v>8C01</v>
      </c>
      <c r="AL3">
        <f>IF(AA3="",NA(),IFERROR(AVERAGE(INDEX(dData,0,MATCH(AA3&amp;CHAR(10)&amp;"Stanine",dHdr,0))),NA()))</f>
        <v>4.92941176470588</v>
      </c>
      <c r="AM3">
        <f>IF(OR(AA3="",SelClass=""),NA(),IFERROR(SUMPRODUCT(((dClass)&amp;""=(SelClass)&amp;"")*ISNUMBER(INDEX(dData,0,MATCH(AA3&amp;CHAR(10)&amp;"Stanine",dHdr,0))),INDEX(dData,0,MATCH(AA3&amp;CHAR(10)&amp;"Stanine",dHdr,0)))/SUMPRODUCT(((dClass)&amp;""=(SelClass)&amp;"")*ISNUMBER(INDEX(dData,0,MATCH(AA3&amp;CHAR(10)&amp;"Stanine",dHdr,0)))),NA()))</f>
        <v>6.57142857142857</v>
      </c>
      <c r="AO3" t="inlineStr">
        <is>
          <t>Whole year</t>
        </is>
      </c>
      <c r="AP3" s="85">
        <f>IFERROR(AVERAGE(dRaw)/dMax,NA())</f>
        <v>0.64906103286385</v>
      </c>
      <c r="AR3" t="n">
        <v>1</v>
      </c>
      <c r="AS3" s="85">
        <f>IFERROR(COUNTIF(dStn,AR3)/COUNT(dStn),0)</f>
        <v>0.0704225352112676</v>
      </c>
      <c r="AT3" s="85" t="n">
        <v>0.04</v>
      </c>
      <c r="BL3">
        <f>IFERROR(MATCH(SMALL($BJ$70:$BJ$669,1),$BJ$70:$BJ$669,0),"")</f>
        <v>79</v>
      </c>
      <c r="BN3" s="31" t="inlineStr">
        <is>
          <t>Year 8</t>
        </is>
      </c>
      <c r="BO3">
        <f>SUMPRODUCT(ISNUMBER(tblY8[[Avg KS2 Band]])*ISNUMBER(tblY8[[Mean Stanine]]))</f>
        <v>92</v>
      </c>
      <c r="BP3">
        <f>SUMPRODUCT(ISNUMBER(tblY8[[Avg KS2 Band]])*ISNUMBER(tblY8[[Mean Stanine]]),tblY8[[Avg KS2 Band]])</f>
        <v>464</v>
      </c>
      <c r="BQ3">
        <f>SUMPRODUCT(ISNUMBER(tblY8[[Avg KS2 Band]])*ISNUMBER(tblY8[[Mean Stanine]]),tblY8[[Mean Stanine]])</f>
        <v>457.766666666667</v>
      </c>
      <c r="BR3">
        <f>SUMPRODUCT(ISNUMBER(tblY8[[Avg KS2 Band]])*ISNUMBER(tblY8[[Mean Stanine]]),tblY8[[Avg KS2 Band]],tblY8[[Avg KS2 Band]])</f>
        <v>2702</v>
      </c>
      <c r="BS3">
        <f>SUMPRODUCT(ISNUMBER(tblY8[[Avg KS2 Band]])*ISNUMBER(tblY8[[Mean Stanine]]),tblY8[[Avg KS2 Band]],tblY8[[Mean Stanine]])</f>
        <v>2590.56666666667</v>
      </c>
      <c r="BT3">
        <f>IF(BO3&lt;10,"",IFERROR(MAX(0,MIN(1,(BO3*BS3-BP3*BQ3)/(BO3*BR3-BP3^2))),""))</f>
        <v>0.778911319394376</v>
      </c>
      <c r="BU3">
        <f>IF(BT3="","",(BQ3-BT3*BP3)/BO3)</f>
        <v>1.04730233117039</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t="str">
        <f>IF(OR($AA3="",$Y$8=""),"",IFERROR((SUMPRODUCT(((dClass)&amp;""=($Y$8)&amp;"")*ISNUMBER(INDEX(dData,0,MATCH($AA3&amp;CHAR(10)&amp;"Raw Score",dHdr,0)))*((INDEX(dData,0,MATCH($AA3&amp;CHAR(10)&amp;"Raw Score",dHdr,0)))&gt;=0))+SUMPRODUCT(((dClass)&amp;""=($Y$8)&amp;"")*((INDEX(dData,0,MATCH($AA3&amp;CHAR(10)&amp;"Raw Score",dHdr,0)))&amp;""="A")))/SUMPRODUCT(--((dClass)&amp;""=($Y$8)&amp;"")),""))</f>
        <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8A/Sc2</v>
      </c>
      <c r="Y4" t="str">
        <f>IFERROR(INDEX($S4:$S4,dYear),"")</f>
        <v>8A/Sc2</v>
      </c>
      <c r="AA4" t="str">
        <f>IFERROR(INDEX(tblAssessments[Test Name],MATCH(SelYear&amp;"|"&amp;2,tblAssessments[Seq Key],0))&amp;"","")</f>
        <v>8P01 - Energy</v>
      </c>
      <c r="AB4">
        <f>IF(AA4="","",IFERROR(INDEX(tblAssessments[Max Marks],MATCH(SelYear&amp;"|"&amp;2,tblAssessments[Seq Key],0)),""))</f>
        <v>25</v>
      </c>
      <c r="AC4" s="84">
        <f>IF(AA4="","",IFERROR(IF(INDEX(tblAssessments[Date],MATCH(SelYear&amp;"|"&amp;2,tblAssessments[Seq Key],0))="","",INDEX(tblAssessments[Date],MATCH(SelYear&amp;"|"&amp;2,tblAssessments[Seq Key],0))),""))</f>
        <v>46302.0</v>
      </c>
      <c r="AD4" t="str">
        <f>IF(AA4="","",IFERROR(INDEX(tblAssessments[Code],MATCH(SelYear&amp;"|"&amp;2,tblAssessments[Seq Key],0))&amp;"",""))</f>
        <v>8P01</v>
      </c>
      <c r="AK4" t="str">
        <f>IF(AA4="","",IF(AD4&lt;&gt;"",AD4,LEFT(AA4,14)))</f>
        <v>8P01</v>
      </c>
      <c r="AL4">
        <f>IF(AA4="",NA(),IFERROR(AVERAGE(INDEX(dData,0,MATCH(AA4&amp;CHAR(10)&amp;"Stanine",dHdr,0))),NA()))</f>
        <v>5.02247191011236</v>
      </c>
      <c r="AM4">
        <f>IF(OR(AA4="",SelClass=""),NA(),IFERROR(SUMPRODUCT(((dClass)&amp;""=(SelClass)&amp;"")*ISNUMBER(INDEX(dData,0,MATCH(AA4&amp;CHAR(10)&amp;"Stanine",dHdr,0))),INDEX(dData,0,MATCH(AA4&amp;CHAR(10)&amp;"Stanine",dHdr,0)))/SUMPRODUCT(((dClass)&amp;""=(SelClass)&amp;"")*ISNUMBER(INDEX(dData,0,MATCH(AA4&amp;CHAR(10)&amp;"Stanine",dHdr,0)))),NA()))</f>
        <v>6.59259259259259</v>
      </c>
      <c r="AO4" t="str">
        <f>Y3</f>
        <v>8A/Sc1</v>
      </c>
      <c r="AP4" s="85">
        <f>IF(AO4="",NA(),IFERROR(SUMPRODUCT(((dClass)&amp;""=(AO4)&amp;"")*ISNUMBER(dRaw),dRaw)/SUMPRODUCT(((dClass)&amp;""=(AO4)&amp;"")*ISNUMBER(dRaw))/dMax,NA()))</f>
        <v>0.752976190476191</v>
      </c>
      <c r="AR4" t="n">
        <v>2</v>
      </c>
      <c r="AS4" s="85">
        <f>IFERROR(COUNTIF(dStn,AR4)/COUNT(dStn),0)</f>
        <v>0.0563380281690141</v>
      </c>
      <c r="AT4" s="85" t="n">
        <v>0.07000000000000001</v>
      </c>
      <c r="BL4">
        <f>IFERROR(MATCH(SMALL($BJ$70:$BJ$669,2),$BJ$70:$BJ$669,0),"")</f>
        <v>92</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t="str">
        <f>IF(OR($AA4="",$Y$8=""),"",IFERROR((SUMPRODUCT(((dClass)&amp;""=($Y$8)&amp;"")*ISNUMBER(INDEX(dData,0,MATCH($AA4&amp;CHAR(10)&amp;"Raw Score",dHdr,0)))*((INDEX(dData,0,MATCH($AA4&amp;CHAR(10)&amp;"Raw Score",dHdr,0)))&gt;=0))+SUMPRODUCT(((dClass)&amp;""=($Y$8)&amp;"")*((INDEX(dData,0,MATCH($AA4&amp;CHAR(10)&amp;"Raw Score",dHdr,0)))&amp;""="A")))/SUMPRODUCT(--((dClass)&amp;""=($Y$8)&amp;"")),""))</f>
        <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8A/Sc3</v>
      </c>
      <c r="Y5" t="str">
        <f>IFERROR(INDEX($S5:$S5,dYear),"")</f>
        <v>8A/Sc3</v>
      </c>
      <c r="AA5" t="str">
        <f>IFERROR(INDEX(tblAssessments[Test Name],MATCH(SelYear&amp;"|"&amp;3,tblAssessments[Seq Key],0))&amp;"","")</f>
        <v>8B01 - Digestion</v>
      </c>
      <c r="AB5">
        <f>IF(AA5="","",IFERROR(INDEX(tblAssessments[Max Marks],MATCH(SelYear&amp;"|"&amp;3,tblAssessments[Seq Key],0)),""))</f>
        <v>30</v>
      </c>
      <c r="AC5" s="84">
        <f>IF(AA5="","",IFERROR(IF(INDEX(tblAssessments[Date],MATCH(SelYear&amp;"|"&amp;3,tblAssessments[Seq Key],0))="","",INDEX(tblAssessments[Date],MATCH(SelYear&amp;"|"&amp;3,tblAssessments[Seq Key],0))),""))</f>
        <v>46316.0</v>
      </c>
      <c r="AD5" t="str">
        <f>IF(AA5="","",IFERROR(INDEX(tblAssessments[Code],MATCH(SelYear&amp;"|"&amp;3,tblAssessments[Seq Key],0))&amp;"",""))</f>
        <v>8B01</v>
      </c>
      <c r="AK5" t="str">
        <f>IF(AA5="","",IF(AD5&lt;&gt;"",AD5,LEFT(AA5,14)))</f>
        <v>8B01</v>
      </c>
      <c r="AL5">
        <f>IF(AA5="",NA(),IFERROR(AVERAGE(INDEX(dData,0,MATCH(AA5&amp;CHAR(10)&amp;"Stanine",dHdr,0))),NA()))</f>
        <v>4.94565217391304</v>
      </c>
      <c r="AM5">
        <f>IF(OR(AA5="",SelClass=""),NA(),IFERROR(SUMPRODUCT(((dClass)&amp;""=(SelClass)&amp;"")*ISNUMBER(INDEX(dData,0,MATCH(AA5&amp;CHAR(10)&amp;"Stanine",dHdr,0))),INDEX(dData,0,MATCH(AA5&amp;CHAR(10)&amp;"Stanine",dHdr,0)))/SUMPRODUCT(((dClass)&amp;""=(SelClass)&amp;"")*ISNUMBER(INDEX(dData,0,MATCH(AA5&amp;CHAR(10)&amp;"Stanine",dHdr,0)))),NA()))</f>
        <v>6.42857142857143</v>
      </c>
      <c r="AO5" t="str">
        <f>Y4</f>
        <v>8A/Sc2</v>
      </c>
      <c r="AP5" s="85">
        <f>IF(AO5="",NA(),IFERROR(SUMPRODUCT(((dClass)&amp;""=(AO5)&amp;"")*ISNUMBER(dRaw),dRaw)/SUMPRODUCT(((dClass)&amp;""=(AO5)&amp;"")*ISNUMBER(dRaw))/dMax,NA()))</f>
        <v>0.59963768115942</v>
      </c>
      <c r="AR5" t="n">
        <v>3</v>
      </c>
      <c r="AS5" s="85">
        <f>IFERROR(COUNTIF(dStn,AR5)/COUNT(dStn),0)</f>
        <v>0.112676056338028</v>
      </c>
      <c r="AT5" s="85" t="n">
        <v>0.12</v>
      </c>
      <c r="BL5">
        <f>IFERROR(MATCH(SMALL($BJ$70:$BJ$669,3),$BJ$70:$BJ$669,0),"")</f>
        <v>59</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t="str">
        <f>IF(OR($AA5="",$Y$8=""),"",IFERROR((SUMPRODUCT(((dClass)&amp;""=($Y$8)&amp;"")*ISNUMBER(INDEX(dData,0,MATCH($AA5&amp;CHAR(10)&amp;"Raw Score",dHdr,0)))*((INDEX(dData,0,MATCH($AA5&amp;CHAR(10)&amp;"Raw Score",dHdr,0)))&gt;=0))+SUMPRODUCT(((dClass)&amp;""=($Y$8)&amp;"")*((INDEX(dData,0,MATCH($AA5&amp;CHAR(10)&amp;"Raw Score",dHdr,0)))&amp;""="A")))/SUMPRODUCT(--((dClass)&amp;""=($Y$8)&amp;"")),""))</f>
        <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8A/Sc4</v>
      </c>
      <c r="Y6" t="str">
        <f>IFERROR(INDEX($S6:$S6,dYear),"")</f>
        <v>8A/Sc4</v>
      </c>
      <c r="AA6" t="str">
        <f>IFERROR(INDEX(tblAssessments[Test Name],MATCH(SelYear&amp;"|"&amp;4,tblAssessments[Seq Key],0))&amp;"","")</f>
        <v>8C02 - Metals and Acids</v>
      </c>
      <c r="AB6">
        <f>IF(AA6="","",IFERROR(INDEX(tblAssessments[Max Marks],MATCH(SelYear&amp;"|"&amp;4,tblAssessments[Seq Key],0)),""))</f>
        <v>26</v>
      </c>
      <c r="AC6" s="84">
        <f>IF(AA6="","",IFERROR(IF(INDEX(tblAssessments[Date],MATCH(SelYear&amp;"|"&amp;4,tblAssessments[Seq Key],0))="","",INDEX(tblAssessments[Date],MATCH(SelYear&amp;"|"&amp;4,tblAssessments[Seq Key],0))),""))</f>
        <v>46330.0</v>
      </c>
      <c r="AD6" t="str">
        <f>IF(AA6="","",IFERROR(INDEX(tblAssessments[Code],MATCH(SelYear&amp;"|"&amp;4,tblAssessments[Seq Key],0))&amp;"",""))</f>
        <v>8C02</v>
      </c>
      <c r="AK6" t="str">
        <f>IF(AA6="","",IF(AD6&lt;&gt;"",AD6,LEFT(AA6,14)))</f>
        <v>8C02</v>
      </c>
      <c r="AL6">
        <f>IF(AA6="",NA(),IFERROR(AVERAGE(INDEX(dData,0,MATCH(AA6&amp;CHAR(10)&amp;"Stanine",dHdr,0))),NA()))</f>
        <v>4.98901098901099</v>
      </c>
      <c r="AM6">
        <f>IF(OR(AA6="",SelClass=""),NA(),IFERROR(SUMPRODUCT(((dClass)&amp;""=(SelClass)&amp;"")*ISNUMBER(INDEX(dData,0,MATCH(AA6&amp;CHAR(10)&amp;"Stanine",dHdr,0))),INDEX(dData,0,MATCH(AA6&amp;CHAR(10)&amp;"Stanine",dHdr,0)))/SUMPRODUCT(((dClass)&amp;""=(SelClass)&amp;"")*ISNUMBER(INDEX(dData,0,MATCH(AA6&amp;CHAR(10)&amp;"Stanine",dHdr,0)))),NA()))</f>
        <v>6.80769230769231</v>
      </c>
      <c r="AO6" t="str">
        <f>Y5</f>
        <v>8A/Sc3</v>
      </c>
      <c r="AP6" s="85">
        <f>IF(AO6="",NA(),IFERROR(SUMPRODUCT(((dClass)&amp;""=(AO6)&amp;"")*ISNUMBER(dRaw),dRaw)/SUMPRODUCT(((dClass)&amp;""=(AO6)&amp;"")*ISNUMBER(dRaw))/dMax,NA()))</f>
        <v>0.560416666666667</v>
      </c>
      <c r="AR6" t="n">
        <v>4</v>
      </c>
      <c r="AS6" s="85">
        <f>IFERROR(COUNTIF(dStn,AR6)/COUNT(dStn),0)</f>
        <v>0.140845070422535</v>
      </c>
      <c r="AT6" s="85" t="n">
        <v>0.17</v>
      </c>
      <c r="BL6">
        <f>IFERROR(MATCH(SMALL($BJ$70:$BJ$669,4),$BJ$70:$BJ$669,0),"")</f>
        <v>77</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t="str">
        <f>IF(OR($AA6="",$Y$8=""),"",IFERROR((SUMPRODUCT(((dClass)&amp;""=($Y$8)&amp;"")*ISNUMBER(INDEX(dData,0,MATCH($AA6&amp;CHAR(10)&amp;"Raw Score",dHdr,0)))*((INDEX(dData,0,MATCH($AA6&amp;CHAR(10)&amp;"Raw Score",dHdr,0)))&gt;=0))+SUMPRODUCT(((dClass)&amp;""=($Y$8)&amp;"")*((INDEX(dData,0,MATCH($AA6&amp;CHAR(10)&amp;"Raw Score",dHdr,0)))&amp;""="A")))/SUMPRODUCT(--((dClass)&amp;""=($Y$8)&amp;"")),""))</f>
        <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Science Support</v>
      </c>
      <c r="Y7" t="str">
        <f>IFERROR(INDEX($S7:$S7,dYear),"")</f>
        <v>Science Support</v>
      </c>
      <c r="AA7" t="str">
        <f>IFERROR(INDEX(tblAssessments[Test Name],MATCH(SelYear&amp;"|"&amp;5,tblAssessments[Seq Key],0))&amp;"","")</f>
        <v>8P02 - Light</v>
      </c>
      <c r="AB7">
        <f>IF(AA7="","",IFERROR(INDEX(tblAssessments[Max Marks],MATCH(SelYear&amp;"|"&amp;5,tblAssessments[Seq Key],0)),""))</f>
        <v>24</v>
      </c>
      <c r="AC7" s="84">
        <f>IF(AA7="","",IFERROR(IF(INDEX(tblAssessments[Date],MATCH(SelYear&amp;"|"&amp;5,tblAssessments[Seq Key],0))="","",INDEX(tblAssessments[Date],MATCH(SelYear&amp;"|"&amp;5,tblAssessments[Seq Key],0))),""))</f>
        <v>46344.0</v>
      </c>
      <c r="AD7" t="str">
        <f>IF(AA7="","",IFERROR(INDEX(tblAssessments[Code],MATCH(SelYear&amp;"|"&amp;5,tblAssessments[Seq Key],0))&amp;"",""))</f>
        <v>8P02</v>
      </c>
      <c r="AK7" t="str">
        <f>IF(AA7="","",IF(AD7&lt;&gt;"",AD7,LEFT(AA7,14)))</f>
        <v>8P02</v>
      </c>
      <c r="AL7">
        <f>IF(AA7="",NA(),IFERROR(AVERAGE(INDEX(dData,0,MATCH(AA7&amp;CHAR(10)&amp;"Stanine",dHdr,0))),NA()))</f>
        <v>5.05633802816901</v>
      </c>
      <c r="AM7">
        <f>IF(OR(AA7="",SelClass=""),NA(),IFERROR(SUMPRODUCT(((dClass)&amp;""=(SelClass)&amp;"")*ISNUMBER(INDEX(dData,0,MATCH(AA7&amp;CHAR(10)&amp;"Stanine",dHdr,0))),INDEX(dData,0,MATCH(AA7&amp;CHAR(10)&amp;"Stanine",dHdr,0)))/SUMPRODUCT(((dClass)&amp;""=(SelClass)&amp;"")*ISNUMBER(INDEX(dData,0,MATCH(AA7&amp;CHAR(10)&amp;"Stanine",dHdr,0)))),NA()))</f>
        <v>6.28571428571429</v>
      </c>
      <c r="AO7" t="str">
        <f>Y6</f>
        <v>8A/Sc4</v>
      </c>
      <c r="AP7" s="85" t="e">
        <f>IF(AO7="",NA(),IFERROR(SUMPRODUCT(((dClass)&amp;""=(AO7)&amp;"")*ISNUMBER(dRaw),dRaw)/SUMPRODUCT(((dClass)&amp;""=(AO7)&amp;"")*ISNUMBER(dRaw))/dMax,NA()))</f>
        <v>#N/A</v>
      </c>
      <c r="AR7" t="n">
        <v>5</v>
      </c>
      <c r="AS7" s="85">
        <f>IFERROR(COUNTIF(dStn,AR7)/COUNT(dStn),0)</f>
        <v>0.169014084507042</v>
      </c>
      <c r="AT7" s="85" t="n">
        <v>0.2</v>
      </c>
      <c r="BL7">
        <f>IFERROR(MATCH(SMALL($BJ$70:$BJ$669,5),$BJ$70:$BJ$669,0),"")</f>
        <v>64</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0</v>
      </c>
      <c r="CA7">
        <f>IF(OR($AA7="",$Y$7=""),"",IFERROR((SUMPRODUCT(((dClass)&amp;""=($Y$7)&amp;"")*ISNUMBER(INDEX(dData,0,MATCH($AA7&amp;CHAR(10)&amp;"Raw Score",dHdr,0)))*((INDEX(dData,0,MATCH($AA7&amp;CHAR(10)&amp;"Raw Score",dHdr,0)))&gt;=0))+SUMPRODUCT(((dClass)&amp;""=($Y$7)&amp;"")*((INDEX(dData,0,MATCH($AA7&amp;CHAR(10)&amp;"Raw Score",dHdr,0)))&amp;""="A")))/SUMPRODUCT(--((dClass)&amp;""=($Y$7)&amp;"")),""))</f>
        <v>0</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Y8" t="str">
        <f>IFERROR(INDEX($S8:$S8,dYear),"")</f>
        <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Science Support</v>
      </c>
      <c r="AP8" s="85" t="e">
        <f>IF(AO8="",NA(),IFERROR(SUMPRODUCT(((dClass)&amp;""=(AO8)&amp;"")*ISNUMBER(dRaw),dRaw)/SUMPRODUCT(((dClass)&amp;""=(AO8)&amp;"")*ISNUMBER(dRaw))/dMax,NA()))</f>
        <v>#N/A</v>
      </c>
      <c r="AR8" t="n">
        <v>6</v>
      </c>
      <c r="AS8" s="85">
        <f>IFERROR(COUNTIF(dStn,AR8)/COUNT(dStn),0)</f>
        <v>0.154929577464789</v>
      </c>
      <c r="AT8" s="85" t="n">
        <v>0.17</v>
      </c>
      <c r="BL8">
        <f>IFERROR(MATCH(SMALL($BJ$70:$BJ$669,6),$BJ$70:$BJ$669,0),"")</f>
        <v>57</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8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
      </c>
      <c r="AP9" s="85" t="e">
        <f>IF(AO9="",NA(),IFERROR(SUMPRODUCT(((dClass)&amp;""=(AO9)&amp;"")*ISNUMBER(dRaw),dRaw)/SUMPRODUCT(((dClass)&amp;""=(AO9)&amp;"")*ISNUMBER(dRaw))/dMax,NA()))</f>
        <v>#N/A</v>
      </c>
      <c r="AR9" t="n">
        <v>7</v>
      </c>
      <c r="AS9" s="85">
        <f>IFERROR(COUNTIF(dStn,AR9)/COUNT(dStn),0)</f>
        <v>0.183098591549296</v>
      </c>
      <c r="AT9" s="85" t="n">
        <v>0.12</v>
      </c>
      <c r="BL9">
        <f>IFERROR(MATCH(SMALL($BJ$70:$BJ$669,7),$BJ$70:$BJ$669,0),"")</f>
        <v>35</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IFERROR(INDEX(tblY8[Class],ROWS(H$10:H10))&amp;"","")</f>
        <v>8A/Sc1</v>
      </c>
      <c r="I10">
        <f>IF(H10="","",IF(SUMPRODUCT(--(H$10:H10=H10))=1,SUMPRODUCT(--(H$10:H$609&lt;H10))+1,""))</f>
        <v>508</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0.0985915492957746</v>
      </c>
      <c r="AT10" s="85" t="n">
        <v>0.07000000000000001</v>
      </c>
      <c r="BL10">
        <f>IFERROR(MATCH(SMALL($BJ$70:$BJ$669,8),$BJ$70:$BJ$669,0),"")</f>
        <v>69</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IFERROR(INDEX(tblY8[Class],ROWS(H$10:H11))&amp;"","")</f>
        <v>8A/Sc1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0.0140845070422535</v>
      </c>
      <c r="AT11" s="85" t="n">
        <v>0.04</v>
      </c>
      <c r="BL11">
        <f>IFERROR(MATCH(SMALL($BJ$70:$BJ$669,9),$BJ$70:$BJ$669,0),"")</f>
        <v>55</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IFERROR(INDEX(tblY8[Class],ROWS(H$10:H12))&amp;"","")</f>
        <v>8A/Sc1</v>
      </c>
      <c r="I12" t="str">
        <f>IF(H12="","",IF(SUMPRODUCT(--(H$10:H12=H12))=1,SUMPRODUCT(--(H$10:H$609&lt;H12))+1,""))</f>
        <v/>
      </c>
      <c r="S12">
        <f>COUNT(I$10:I$609)</f>
        <v>5</v>
      </c>
      <c r="Y12">
        <f>IFERROR(INDEX($S$12:$S$12,dYear),0)</f>
        <v>5</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49</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IFERROR(INDEX(tblY8[Class],ROWS(H$10:H13))&amp;"","")</f>
        <v>8A/Sc1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58</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IFERROR(INDEX(tblY8[Class],ROWS(H$10:H14))&amp;"","")</f>
        <v>8A/Sc1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IFERROR(INDEX(tblY8[Class],ROWS(H$10:H15))&amp;"","")</f>
        <v>8A/Sc1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IFERROR(INDEX(tblY8[Class],ROWS(H$10:H16))&amp;"","")</f>
        <v>8A/Sc1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IFERROR(INDEX(tblY8[Class],ROWS(H$10:H17))&amp;"","")</f>
        <v>8A/Sc1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IFERROR(INDEX(tblY8[Class],ROWS(H$10:H18))&amp;"","")</f>
        <v>8A/Sc1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IFERROR(INDEX(tblY8[Class],ROWS(H$10:H19))&amp;"","")</f>
        <v>8A/Sc1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IFERROR(INDEX(tblY8[Class],ROWS(H$10:H20))&amp;"","")</f>
        <v>8A/Sc1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IFERROR(INDEX(tblY8[Class],ROWS(H$10:H21))&amp;"","")</f>
        <v>8A/Sc1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IFERROR(INDEX(tblY8[Class],ROWS(H$10:H22))&amp;"","")</f>
        <v>8A/Sc1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IFERROR(INDEX(tblY8[Class],ROWS(H$10:H23))&amp;"","")</f>
        <v>8A/Sc1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IFERROR(INDEX(tblY8[Class],ROWS(H$10:H24))&amp;"","")</f>
        <v>8A/Sc1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IFERROR(INDEX(tblY8[Class],ROWS(H$10:H25))&amp;"","")</f>
        <v>8A/Sc1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IFERROR(INDEX(tblY8[Class],ROWS(H$10:H26))&amp;"","")</f>
        <v>8A/Sc1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IFERROR(INDEX(tblY8[Class],ROWS(H$10:H27))&amp;"","")</f>
        <v>8A/Sc1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IFERROR(INDEX(tblY8[Class],ROWS(H$10:H28))&amp;"","")</f>
        <v>8A/Sc1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IFERROR(INDEX(tblY8[Class],ROWS(H$10:H29))&amp;"","")</f>
        <v>8A/Sc1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IFERROR(INDEX(tblY8[Class],ROWS(H$10:H30))&amp;"","")</f>
        <v>8A/Sc1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IFERROR(INDEX(tblY8[Class],ROWS(H$10:H31))&amp;"","")</f>
        <v>8A/Sc1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IFERROR(INDEX(tblY8[Class],ROWS(H$10:H32))&amp;"","")</f>
        <v>8A/Sc1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IFERROR(INDEX(tblY8[Class],ROWS(H$10:H33))&amp;"","")</f>
        <v>8A/Sc1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IFERROR(INDEX(tblY8[Class],ROWS(H$10:H34))&amp;"","")</f>
        <v>8A/Sc1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IFERROR(INDEX(tblY8[Class],ROWS(H$10:H35))&amp;"","")</f>
        <v>8A/Sc1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IFERROR(INDEX(tblY8[Class],ROWS(H$10:H36))&amp;"","")</f>
        <v>8A/Sc1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IFERROR(INDEX(tblY8[Class],ROWS(H$10:H37))&amp;"","")</f>
        <v>8A/Sc1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IFERROR(INDEX(tblY8[Class],ROWS(H$10:H38))&amp;"","")</f>
        <v>8A/Sc2</v>
      </c>
      <c r="I38">
        <f>IF(H38="","",IF(SUMPRODUCT(--(H$10:H38=H38))=1,SUMPRODUCT(--(H$10:H$609&lt;H38))+1,""))</f>
        <v>536</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IFERROR(INDEX(tblY8[Class],ROWS(H$10:H39))&amp;"","")</f>
        <v>8A/Sc2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IFERROR(INDEX(tblY8[Class],ROWS(H$10:H40))&amp;"","")</f>
        <v>8A/Sc2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IFERROR(INDEX(tblY8[Class],ROWS(H$10:H41))&amp;"","")</f>
        <v>8A/Sc2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IFERROR(INDEX(tblY8[Class],ROWS(H$10:H42))&amp;"","")</f>
        <v>8A/Sc2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IFERROR(INDEX(tblY8[Class],ROWS(H$10:H43))&amp;"","")</f>
        <v>8A/Sc2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IFERROR(INDEX(tblY8[Class],ROWS(H$10:H44))&amp;"","")</f>
        <v>8A/Sc2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IFERROR(INDEX(tblY8[Class],ROWS(H$10:H45))&amp;"","")</f>
        <v>8A/Sc2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IFERROR(INDEX(tblY8[Class],ROWS(H$10:H46))&amp;"","")</f>
        <v>8A/Sc2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IFERROR(INDEX(tblY8[Class],ROWS(H$10:H47))&amp;"","")</f>
        <v>8A/Sc2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IFERROR(INDEX(tblY8[Class],ROWS(H$10:H48))&amp;"","")</f>
        <v>8A/Sc2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IFERROR(INDEX(tblY8[Class],ROWS(H$10:H49))&amp;"","")</f>
        <v>8A/Sc2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IFERROR(INDEX(tblY8[Class],ROWS(H$10:H50))&amp;"","")</f>
        <v>8A/Sc2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IFERROR(INDEX(tblY8[Class],ROWS(H$10:H51))&amp;"","")</f>
        <v>8A/Sc2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IFERROR(INDEX(tblY8[Class],ROWS(H$10:H52))&amp;"","")</f>
        <v>8A/Sc2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IFERROR(INDEX(tblY8[Class],ROWS(H$10:H53))&amp;"","")</f>
        <v>8A/Sc2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IFERROR(INDEX(tblY8[Class],ROWS(H$10:H54))&amp;"","")</f>
        <v>8A/Sc2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IFERROR(INDEX(tblY8[Class],ROWS(H$10:H55))&amp;"","")</f>
        <v>8A/Sc2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IFERROR(INDEX(tblY8[Class],ROWS(H$10:H56))&amp;"","")</f>
        <v>8A/Sc2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IFERROR(INDEX(tblY8[Class],ROWS(H$10:H57))&amp;"","")</f>
        <v>8A/Sc2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IFERROR(INDEX(tblY8[Class],ROWS(H$10:H58))&amp;"","")</f>
        <v>8A/Sc2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IFERROR(INDEX(tblY8[Class],ROWS(H$10:H59))&amp;"","")</f>
        <v>8A/Sc2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IFERROR(INDEX(tblY8[Class],ROWS(H$10:H60))&amp;"","")</f>
        <v>8A/Sc2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IFERROR(INDEX(tblY8[Class],ROWS(H$10:H61))&amp;"","")</f>
        <v>8A/Sc2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IFERROR(INDEX(tblY8[Class],ROWS(H$10:H62))&amp;"","")</f>
        <v>8A/Sc2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IFERROR(INDEX(tblY8[Class],ROWS(H$10:H63))&amp;"","")</f>
        <v>8A/Sc3</v>
      </c>
      <c r="I63">
        <f>IF(H63="","",IF(SUMPRODUCT(--(H$10:H63=H63))=1,SUMPRODUCT(--(H$10:H$609&lt;H63))+1,""))</f>
        <v>561</v>
      </c>
    </row>
    <row r="64">
      <c r="H64" t="str">
        <f>IFERROR(INDEX(tblY8[Class],ROWS(H$10:H64))&amp;"","")</f>
        <v>8A/Sc3</v>
      </c>
      <c r="I64" t="str">
        <f>IF(H64="","",IF(SUMPRODUCT(--(H$10:H64=H64))=1,SUMPRODUCT(--(H$10:H$609&lt;H64))+1,""))</f>
        <v/>
      </c>
      <c r="AA64">
        <f>COUNTIF(tblAssessments[Year Group],SelYear)</f>
        <v>5</v>
      </c>
    </row>
    <row r="65">
      <c r="H65" t="str">
        <f>IFERROR(INDEX(tblY8[Class],ROWS(H$10:H65))&amp;"","")</f>
        <v>8A/Sc3</v>
      </c>
      <c r="I65" t="str">
        <f>IF(H65="","",IF(SUMPRODUCT(--(H$10:H65=H65))=1,SUMPRODUCT(--(H$10:H$609&lt;H65))+1,""))</f>
        <v/>
      </c>
    </row>
    <row r="66">
      <c r="H66" t="str">
        <f>IFERROR(INDEX(tblY8[Class],ROWS(H$10:H66))&amp;"","")</f>
        <v>8A/Sc3</v>
      </c>
      <c r="I66" t="str">
        <f>IF(H66="","",IF(SUMPRODUCT(--(H$10:H66=H66))=1,SUMPRODUCT(--(H$10:H$609&lt;H66))+1,""))</f>
        <v/>
      </c>
    </row>
    <row r="67">
      <c r="H67" t="str">
        <f>IFERROR(INDEX(tblY8[Class],ROWS(H$10:H67))&amp;"","")</f>
        <v>8A/Sc3</v>
      </c>
      <c r="I67" t="str">
        <f>IF(H67="","",IF(SUMPRODUCT(--(H$10:H67=H67))=1,SUMPRODUCT(--(H$10:H$609&lt;H67))+1,""))</f>
        <v/>
      </c>
      <c r="BA67">
        <f>COUNT(BJ70:BJ669)</f>
        <v>11</v>
      </c>
    </row>
    <row r="68">
      <c r="H68" t="str">
        <f>IFERROR(INDEX(tblY8[Class],ROWS(H$10:H68))&amp;"","")</f>
        <v>8A/Sc3</v>
      </c>
      <c r="I68" t="str">
        <f>IF(H68="","",IF(SUMPRODUCT(--(H$10:H68=H68))=1,SUMPRODUCT(--(H$10:H$609&lt;H68))+1,""))</f>
        <v/>
      </c>
    </row>
    <row r="69">
      <c r="H69" t="str">
        <f>IFERROR(INDEX(tblY8[Class],ROWS(H$10:H69))&amp;"","")</f>
        <v>8A/Sc3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IFERROR(INDEX(tblY8[Class],ROWS(H$10:H70))&amp;"","")</f>
        <v>8A/Sc3</v>
      </c>
      <c r="I70" t="str">
        <f>IF(H70="","",IF(SUMPRODUCT(--(H$10:H70=H70))=1,SUMPRODUCT(--(H$10:H$609&lt;H70))+1,""))</f>
        <v/>
      </c>
      <c r="BA70" t="str">
        <f>IFERROR(INDEX(wLast,1)&amp;"","")</f>
        <v>Adeyemi</v>
      </c>
      <c r="BB70" t="str">
        <f>IF(BA70="","",IFERROR(INDEX(wFirst,1)&amp;"",""))</f>
        <v>Hannah</v>
      </c>
      <c r="BC70" t="str">
        <f>IF(BA70="","",IFERROR(INDEX(wClass,1)&amp;"",""))</f>
        <v>8A/Sc1</v>
      </c>
      <c r="BD70">
        <f>IF(BA70="","",IFERROR(INDEX(wKsBand,1)+0,""))</f>
        <v>8</v>
      </c>
      <c r="BE70">
        <f>IF(BA70="","",IFERROR(INDEX(wTests,1)+0,0))</f>
        <v>5</v>
      </c>
      <c r="BF70">
        <f>IF(BA70="","",IFERROR(INDEX(wMean,1)+0,""))</f>
        <v>8.4</v>
      </c>
      <c r="BG70">
        <f>IF(BA70="","",IFERROR(INDEX(wVs,1)+0,""))</f>
        <v>1.1214071136746</v>
      </c>
      <c r="BH70">
        <f>IF(OR(BA70="",wLatest=""),"",IFERROR(INDEX(wData,1,MATCH(wLatest&amp;CHAR(10)&amp;"Stanine",wHdr,0))+0,""))</f>
        <v>8</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IFERROR(INDEX(tblY8[Class],ROWS(H$10:H71))&amp;"","")</f>
        <v>8A/Sc3</v>
      </c>
      <c r="I71" t="str">
        <f>IF(H71="","",IF(SUMPRODUCT(--(H$10:H71=H71))=1,SUMPRODUCT(--(H$10:H$609&lt;H71))+1,""))</f>
        <v/>
      </c>
      <c r="BA71" t="str">
        <f>IFERROR(INDEX(wLast,2)&amp;"","")</f>
        <v>Ahmed</v>
      </c>
      <c r="BB71" t="str">
        <f>IF(BA71="","",IFERROR(INDEX(wFirst,2)&amp;"",""))</f>
        <v>Evie</v>
      </c>
      <c r="BC71" t="str">
        <f>IF(BA71="","",IFERROR(INDEX(wClass,2)&amp;"",""))</f>
        <v>8A/Sc1</v>
      </c>
      <c r="BD71">
        <f>IF(BA71="","",IFERROR(INDEX(wKsBand,2)+0,""))</f>
        <v>9</v>
      </c>
      <c r="BE71">
        <f>IF(BA71="","",IFERROR(INDEX(wTests,2)+0,0))</f>
        <v>5</v>
      </c>
      <c r="BF71">
        <f>IF(BA71="","",IFERROR(INDEX(wMean,2)+0,""))</f>
        <v>7.8</v>
      </c>
      <c r="BG71">
        <f>IF(BA71="","",IFERROR(INDEX(wVs,2)+0,""))</f>
        <v>-0.257504205719779</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IFERROR(INDEX(tblY8[Class],ROWS(H$10:H72))&amp;"","")</f>
        <v>8A/Sc3</v>
      </c>
      <c r="I72" t="str">
        <f>IF(H72="","",IF(SUMPRODUCT(--(H$10:H72=H72))=1,SUMPRODUCT(--(H$10:H$609&lt;H72))+1,""))</f>
        <v/>
      </c>
      <c r="BA72" t="str">
        <f>IFERROR(INDEX(wLast,3)&amp;"","")</f>
        <v>Bennett</v>
      </c>
      <c r="BB72" t="str">
        <f>IF(BA72="","",IFERROR(INDEX(wFirst,3)&amp;"",""))</f>
        <v>Lily</v>
      </c>
      <c r="BC72" t="str">
        <f>IF(BA72="","",IFERROR(INDEX(wClass,3)&amp;"",""))</f>
        <v>8A/Sc1</v>
      </c>
      <c r="BD72">
        <f>IF(BA72="","",IFERROR(INDEX(wKsBand,3)+0,""))</f>
        <v>4</v>
      </c>
      <c r="BE72">
        <f>IF(BA72="","",IFERROR(INDEX(wTests,3)+0,0))</f>
        <v>5</v>
      </c>
      <c r="BF72">
        <f>IF(BA72="","",IFERROR(INDEX(wMean,3)+0,""))</f>
        <v>6</v>
      </c>
      <c r="BG72">
        <f>IF(BA72="","",IFERROR(INDEX(wVs,3)+0,""))</f>
        <v>1.8370523912521</v>
      </c>
      <c r="BH72">
        <f>IF(OR(BA72="",wLatest=""),"",IFERROR(INDEX(wData,3,MATCH(wLatest&amp;CHAR(10)&amp;"Stanine",wHdr,0))+0,""))</f>
        <v>7</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IFERROR(INDEX(tblY8[Class],ROWS(H$10:H73))&amp;"","")</f>
        <v>8A/Sc3</v>
      </c>
      <c r="I73" t="str">
        <f>IF(H73="","",IF(SUMPRODUCT(--(H$10:H73=H73))=1,SUMPRODUCT(--(H$10:H$609&lt;H73))+1,""))</f>
        <v/>
      </c>
      <c r="BA73" t="str">
        <f>IFERROR(INDEX(wLast,4)&amp;"","")</f>
        <v>Bennett</v>
      </c>
      <c r="BB73" t="str">
        <f>IF(BA73="","",IFERROR(INDEX(wFirst,4)&amp;"",""))</f>
        <v>Seren</v>
      </c>
      <c r="BC73" t="str">
        <f>IF(BA73="","",IFERROR(INDEX(wClass,4)&amp;"",""))</f>
        <v>8A/Sc1</v>
      </c>
      <c r="BD73">
        <f>IF(BA73="","",IFERROR(INDEX(wKsBand,4)+0,""))</f>
        <v>6</v>
      </c>
      <c r="BE73">
        <f>IF(BA73="","",IFERROR(INDEX(wTests,4)+0,0))</f>
        <v>5</v>
      </c>
      <c r="BF73">
        <f>IF(BA73="","",IFERROR(INDEX(wMean,4)+0,""))</f>
        <v>6</v>
      </c>
      <c r="BG73">
        <f>IF(BA73="","",IFERROR(INDEX(wVs,4)+0,""))</f>
        <v>0.27922975246335</v>
      </c>
      <c r="BH73">
        <f>IF(OR(BA73="",wLatest=""),"",IFERROR(INDEX(wData,4,MATCH(wLatest&amp;CHAR(10)&amp;"Stanine",wHdr,0))+0,""))</f>
        <v>5</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IFERROR(INDEX(tblY8[Class],ROWS(H$10:H74))&amp;"","")</f>
        <v>8A/Sc3</v>
      </c>
      <c r="I74" t="str">
        <f>IF(H74="","",IF(SUMPRODUCT(--(H$10:H74=H74))=1,SUMPRODUCT(--(H$10:H$609&lt;H74))+1,""))</f>
        <v/>
      </c>
      <c r="BA74" t="str">
        <f>IFERROR(INDEX(wLast,5)&amp;"","")</f>
        <v>Bennett</v>
      </c>
      <c r="BB74" t="str">
        <f>IF(BA74="","",IFERROR(INDEX(wFirst,5)&amp;"",""))</f>
        <v>Seren</v>
      </c>
      <c r="BC74" t="str">
        <f>IF(BA74="","",IFERROR(INDEX(wClass,5)&amp;"",""))</f>
        <v>8A/Sc1</v>
      </c>
      <c r="BD74">
        <f>IF(BA74="","",IFERROR(INDEX(wKsBand,5)+0,""))</f>
        <v>6</v>
      </c>
      <c r="BE74">
        <f>IF(BA74="","",IFERROR(INDEX(wTests,5)+0,0))</f>
        <v>4</v>
      </c>
      <c r="BF74">
        <f>IF(BA74="","",IFERROR(INDEX(wMean,5)+0,""))</f>
        <v>6</v>
      </c>
      <c r="BG74">
        <f>IF(BA74="","",IFERROR(INDEX(wVs,5)+0,""))</f>
        <v>0.27922975246335</v>
      </c>
      <c r="BH74">
        <f>IF(OR(BA74="",wLatest=""),"",IFERROR(INDEX(wData,5,MATCH(wLatest&amp;CHAR(10)&amp;"Stanine",wHdr,0))+0,""))</f>
        <v>6</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IFERROR(INDEX(tblY8[Class],ROWS(H$10:H75))&amp;"","")</f>
        <v>8A/Sc3</v>
      </c>
      <c r="I75" t="str">
        <f>IF(H75="","",IF(SUMPRODUCT(--(H$10:H75=H75))=1,SUMPRODUCT(--(H$10:H$609&lt;H75))+1,""))</f>
        <v/>
      </c>
      <c r="BA75" t="str">
        <f>IFERROR(INDEX(wLast,6)&amp;"","")</f>
        <v>Brown</v>
      </c>
      <c r="BB75" t="str">
        <f>IF(BA75="","",IFERROR(INDEX(wFirst,6)&amp;"",""))</f>
        <v>Megan</v>
      </c>
      <c r="BC75" t="str">
        <f>IF(BA75="","",IFERROR(INDEX(wClass,6)&amp;"",""))</f>
        <v>8A/Sc1</v>
      </c>
      <c r="BD75">
        <f>IF(BA75="","",IFERROR(INDEX(wKsBand,6)+0,""))</f>
        <v>9</v>
      </c>
      <c r="BE75">
        <f>IF(BA75="","",IFERROR(INDEX(wTests,6)+0,0))</f>
        <v>5</v>
      </c>
      <c r="BF75">
        <f>IF(BA75="","",IFERROR(INDEX(wMean,6)+0,""))</f>
        <v>8.4</v>
      </c>
      <c r="BG75">
        <f>IF(BA75="","",IFERROR(INDEX(wVs,6)+0,""))</f>
        <v>0.342495794280222</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IFERROR(INDEX(tblY8[Class],ROWS(H$10:H76))&amp;"","")</f>
        <v>8A/Sc3</v>
      </c>
      <c r="I76" t="str">
        <f>IF(H76="","",IF(SUMPRODUCT(--(H$10:H76=H76))=1,SUMPRODUCT(--(H$10:H$609&lt;H76))+1,""))</f>
        <v/>
      </c>
      <c r="BA76" t="str">
        <f>IFERROR(INDEX(wLast,7)&amp;"","")</f>
        <v>Edwards</v>
      </c>
      <c r="BB76" t="str">
        <f>IF(BA76="","",IFERROR(INDEX(wFirst,7)&amp;"",""))</f>
        <v>Theo</v>
      </c>
      <c r="BC76" t="str">
        <f>IF(BA76="","",IFERROR(INDEX(wClass,7)&amp;"",""))</f>
        <v>8A/Sc1</v>
      </c>
      <c r="BD76">
        <f>IF(BA76="","",IFERROR(INDEX(wKsBand,7)+0,""))</f>
        <v>9</v>
      </c>
      <c r="BE76">
        <f>IF(BA76="","",IFERROR(INDEX(wTests,7)+0,0))</f>
        <v>5</v>
      </c>
      <c r="BF76">
        <f>IF(BA76="","",IFERROR(INDEX(wMean,7)+0,""))</f>
        <v>8.8</v>
      </c>
      <c r="BG76">
        <f>IF(BA76="","",IFERROR(INDEX(wVs,7)+0,""))</f>
        <v>0.742495794280222</v>
      </c>
      <c r="BH76">
        <f>IF(OR(BA76="",wLatest=""),"",IFERROR(INDEX(wData,7,MATCH(wLatest&amp;CHAR(10)&amp;"Stanine",wHdr,0))+0,""))</f>
        <v>9</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IFERROR(INDEX(tblY8[Class],ROWS(H$10:H77))&amp;"","")</f>
        <v>8A/Sc3</v>
      </c>
      <c r="I77" t="str">
        <f>IF(H77="","",IF(SUMPRODUCT(--(H$10:H77=H77))=1,SUMPRODUCT(--(H$10:H$609&lt;H77))+1,""))</f>
        <v/>
      </c>
      <c r="BA77" t="str">
        <f>IFERROR(INDEX(wLast,8)&amp;"","")</f>
        <v>Green</v>
      </c>
      <c r="BB77" t="str">
        <f>IF(BA77="","",IFERROR(INDEX(wFirst,8)&amp;"",""))</f>
        <v>Kai</v>
      </c>
      <c r="BC77" t="str">
        <f>IF(BA77="","",IFERROR(INDEX(wClass,8)&amp;"",""))</f>
        <v>8A/Sc1</v>
      </c>
      <c r="BD77">
        <f>IF(BA77="","",IFERROR(INDEX(wKsBand,8)+0,""))</f>
        <v>9</v>
      </c>
      <c r="BE77">
        <f>IF(BA77="","",IFERROR(INDEX(wTests,8)+0,0))</f>
        <v>5</v>
      </c>
      <c r="BF77">
        <f>IF(BA77="","",IFERROR(INDEX(wMean,8)+0,""))</f>
        <v>6.6</v>
      </c>
      <c r="BG77">
        <f>IF(BA77="","",IFERROR(INDEX(wVs,8)+0,""))</f>
        <v>-1.45750420571978</v>
      </c>
      <c r="BH77">
        <f>IF(OR(BA77="",wLatest=""),"",IFERROR(INDEX(wData,8,MATCH(wLatest&amp;CHAR(10)&amp;"Stanine",wHdr,0))+0,""))</f>
        <v>6</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IFERROR(INDEX(tblY8[Class],ROWS(H$10:H78))&amp;"","")</f>
        <v>8A/Sc3</v>
      </c>
      <c r="I78" t="str">
        <f>IF(H78="","",IF(SUMPRODUCT(--(H$10:H78=H78))=1,SUMPRODUCT(--(H$10:H$609&lt;H78))+1,""))</f>
        <v/>
      </c>
      <c r="BA78" t="str">
        <f>IFERROR(INDEX(wLast,9)&amp;"","")</f>
        <v>Griffiths</v>
      </c>
      <c r="BB78" t="str">
        <f>IF(BA78="","",IFERROR(INDEX(wFirst,9)&amp;"",""))</f>
        <v>Megan</v>
      </c>
      <c r="BC78" t="str">
        <f>IF(BA78="","",IFERROR(INDEX(wClass,9)&amp;"",""))</f>
        <v>8A/Sc1</v>
      </c>
      <c r="BD78">
        <f>IF(BA78="","",IFERROR(INDEX(wKsBand,9)+0,""))</f>
        <v>3</v>
      </c>
      <c r="BE78">
        <f>IF(BA78="","",IFERROR(INDEX(wTests,9)+0,0))</f>
        <v>5</v>
      </c>
      <c r="BF78">
        <f>IF(BA78="","",IFERROR(INDEX(wMean,9)+0,""))</f>
        <v>3</v>
      </c>
      <c r="BG78">
        <f>IF(BA78="","",IFERROR(INDEX(wVs,9)+0,""))</f>
        <v>-0.384036289353521</v>
      </c>
      <c r="BH78">
        <f>IF(OR(BA78="",wLatest=""),"",IFERROR(INDEX(wData,9,MATCH(wLatest&amp;CHAR(10)&amp;"Stanine",wHdr,0))+0,""))</f>
        <v>1</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IFERROR(INDEX(tblY8[Class],ROWS(H$10:H79))&amp;"","")</f>
        <v>8A/Sc3</v>
      </c>
      <c r="I79" t="str">
        <f>IF(H79="","",IF(SUMPRODUCT(--(H$10:H79=H79))=1,SUMPRODUCT(--(H$10:H$609&lt;H79))+1,""))</f>
        <v/>
      </c>
      <c r="BA79" t="str">
        <f>IFERROR(INDEX(wLast,10)&amp;"","")</f>
        <v>Harrison</v>
      </c>
      <c r="BB79" t="str">
        <f>IF(BA79="","",IFERROR(INDEX(wFirst,10)&amp;"",""))</f>
        <v>Evie</v>
      </c>
      <c r="BC79" t="str">
        <f>IF(BA79="","",IFERROR(INDEX(wClass,10)&amp;"",""))</f>
        <v>8A/Sc1</v>
      </c>
      <c r="BD79">
        <f>IF(BA79="","",IFERROR(INDEX(wKsBand,10)+0,""))</f>
        <v>8</v>
      </c>
      <c r="BE79">
        <f>IF(BA79="","",IFERROR(INDEX(wTests,10)+0,0))</f>
        <v>5</v>
      </c>
      <c r="BF79">
        <f>IF(BA79="","",IFERROR(INDEX(wMean,10)+0,""))</f>
        <v>7.6</v>
      </c>
      <c r="BG79">
        <f>IF(BA79="","",IFERROR(INDEX(wVs,10)+0,""))</f>
        <v>0.321407113674598</v>
      </c>
      <c r="BH79">
        <f>IF(OR(BA79="",wLatest=""),"",IFERROR(INDEX(wData,10,MATCH(wLatest&amp;CHAR(10)&amp;"Stanine",wHdr,0))+0,""))</f>
        <v>7</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IFERROR(INDEX(tblY8[Class],ROWS(H$10:H80))&amp;"","")</f>
        <v>8A/Sc3</v>
      </c>
      <c r="I80" t="str">
        <f>IF(H80="","",IF(SUMPRODUCT(--(H$10:H80=H80))=1,SUMPRODUCT(--(H$10:H$609&lt;H80))+1,""))</f>
        <v/>
      </c>
      <c r="BA80" t="str">
        <f>IFERROR(INDEX(wLast,11)&amp;"","")</f>
        <v>Hughes</v>
      </c>
      <c r="BB80" t="str">
        <f>IF(BA80="","",IFERROR(INDEX(wFirst,11)&amp;"",""))</f>
        <v>Sophie</v>
      </c>
      <c r="BC80" t="str">
        <f>IF(BA80="","",IFERROR(INDEX(wClass,11)&amp;"",""))</f>
        <v>8A/Sc1</v>
      </c>
      <c r="BD80">
        <f>IF(BA80="","",IFERROR(INDEX(wKsBand,11)+0,""))</f>
        <v>7</v>
      </c>
      <c r="BE80">
        <f>IF(BA80="","",IFERROR(INDEX(wTests,11)+0,0))</f>
        <v>5</v>
      </c>
      <c r="BF80">
        <f>IF(BA80="","",IFERROR(INDEX(wMean,11)+0,""))</f>
        <v>7.4</v>
      </c>
      <c r="BG80">
        <f>IF(BA80="","",IFERROR(INDEX(wVs,11)+0,""))</f>
        <v>0.900318433068975</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IFERROR(INDEX(tblY8[Class],ROWS(H$10:H81))&amp;"","")</f>
        <v>8A/Sc3</v>
      </c>
      <c r="I81" t="str">
        <f>IF(H81="","",IF(SUMPRODUCT(--(H$10:H81=H81))=1,SUMPRODUCT(--(H$10:H$609&lt;H81))+1,""))</f>
        <v/>
      </c>
      <c r="BA81" t="str">
        <f>IFERROR(INDEX(wLast,12)&amp;"","")</f>
        <v>Jackson</v>
      </c>
      <c r="BB81" t="str">
        <f>IF(BA81="","",IFERROR(INDEX(wFirst,12)&amp;"",""))</f>
        <v>Noah</v>
      </c>
      <c r="BC81" t="str">
        <f>IF(BA81="","",IFERROR(INDEX(wClass,12)&amp;"",""))</f>
        <v>8A/Sc1</v>
      </c>
      <c r="BD81">
        <f>IF(BA81="","",IFERROR(INDEX(wKsBand,12)+0,""))</f>
        <v>7</v>
      </c>
      <c r="BE81">
        <f>IF(BA81="","",IFERROR(INDEX(wTests,12)+0,0))</f>
        <v>4</v>
      </c>
      <c r="BF81">
        <f>IF(BA81="","",IFERROR(INDEX(wMean,12)+0,""))</f>
        <v>8.25</v>
      </c>
      <c r="BG81">
        <f>IF(BA81="","",IFERROR(INDEX(wVs,12)+0,""))</f>
        <v>1.75031843306897</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IFERROR(INDEX(tblY8[Class],ROWS(H$10:H82))&amp;"","")</f>
        <v>8A/Sc3</v>
      </c>
      <c r="I82" t="str">
        <f>IF(H82="","",IF(SUMPRODUCT(--(H$10:H82=H82))=1,SUMPRODUCT(--(H$10:H$609&lt;H82))+1,""))</f>
        <v/>
      </c>
      <c r="BA82" t="str">
        <f>IFERROR(INDEX(wLast,13)&amp;"","")</f>
        <v>Kowalski</v>
      </c>
      <c r="BB82" t="str">
        <f>IF(BA82="","",IFERROR(INDEX(wFirst,13)&amp;"",""))</f>
        <v>Ibrahim</v>
      </c>
      <c r="BC82" t="str">
        <f>IF(BA82="","",IFERROR(INDEX(wClass,13)&amp;"",""))</f>
        <v>8A/Sc1</v>
      </c>
      <c r="BD82">
        <f>IF(BA82="","",IFERROR(INDEX(wKsBand,13)+0,""))</f>
        <v>5</v>
      </c>
      <c r="BE82">
        <f>IF(BA82="","",IFERROR(INDEX(wTests,13)+0,0))</f>
        <v>5</v>
      </c>
      <c r="BF82">
        <f>IF(BA82="","",IFERROR(INDEX(wMean,13)+0,""))</f>
        <v>5.6</v>
      </c>
      <c r="BG82">
        <f>IF(BA82="","",IFERROR(INDEX(wVs,13)+0,""))</f>
        <v>0.658141071857727</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IFERROR(INDEX(tblY8[Class],ROWS(H$10:H83))&amp;"","")</f>
        <v>8A/Sc3</v>
      </c>
      <c r="I83" t="str">
        <f>IF(H83="","",IF(SUMPRODUCT(--(H$10:H83=H83))=1,SUMPRODUCT(--(H$10:H$609&lt;H83))+1,""))</f>
        <v/>
      </c>
      <c r="BA83" t="str">
        <f>IFERROR(INDEX(wLast,14)&amp;"","")</f>
        <v>Mistry</v>
      </c>
      <c r="BB83" t="str">
        <f>IF(BA83="","",IFERROR(INDEX(wFirst,14)&amp;"",""))</f>
        <v>Ava</v>
      </c>
      <c r="BC83" t="str">
        <f>IF(BA83="","",IFERROR(INDEX(wClass,14)&amp;"",""))</f>
        <v>8A/Sc1</v>
      </c>
      <c r="BD83">
        <f>IF(BA83="","",IFERROR(INDEX(wKsBand,14)+0,""))</f>
        <v>7</v>
      </c>
      <c r="BE83">
        <f>IF(BA83="","",IFERROR(INDEX(wTests,14)+0,0))</f>
        <v>4</v>
      </c>
      <c r="BF83">
        <f>IF(BA83="","",IFERROR(INDEX(wMean,14)+0,""))</f>
        <v>7.25</v>
      </c>
      <c r="BG83">
        <f>IF(BA83="","",IFERROR(INDEX(wVs,14)+0,""))</f>
        <v>0.750318433068975</v>
      </c>
      <c r="BH83">
        <f>IF(OR(BA83="",wLatest=""),"",IFERROR(INDEX(wData,14,MATCH(wLatest&amp;CHAR(10)&amp;"Stanine",wHdr,0))+0,""))</f>
        <v>7</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IFERROR(INDEX(tblY8[Class],ROWS(H$10:H84))&amp;"","")</f>
        <v>8A/Sc3</v>
      </c>
      <c r="I84" t="str">
        <f>IF(H84="","",IF(SUMPRODUCT(--(H$10:H84=H84))=1,SUMPRODUCT(--(H$10:H$609&lt;H84))+1,""))</f>
        <v/>
      </c>
      <c r="BA84" t="str">
        <f>IFERROR(INDEX(wLast,15)&amp;"","")</f>
        <v>Mistry</v>
      </c>
      <c r="BB84" t="str">
        <f>IF(BA84="","",IFERROR(INDEX(wFirst,15)&amp;"",""))</f>
        <v>Hollie</v>
      </c>
      <c r="BC84" t="str">
        <f>IF(BA84="","",IFERROR(INDEX(wClass,15)&amp;"",""))</f>
        <v>8A/Sc1</v>
      </c>
      <c r="BD84">
        <f>IF(BA84="","",IFERROR(INDEX(wKsBand,15)+0,""))</f>
        <v>6</v>
      </c>
      <c r="BE84">
        <f>IF(BA84="","",IFERROR(INDEX(wTests,15)+0,0))</f>
        <v>5</v>
      </c>
      <c r="BF84">
        <f>IF(BA84="","",IFERROR(INDEX(wMean,15)+0,""))</f>
        <v>6.2</v>
      </c>
      <c r="BG84">
        <f>IF(BA84="","",IFERROR(INDEX(wVs,15)+0,""))</f>
        <v>0.47922975246335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IFERROR(INDEX(tblY8[Class],ROWS(H$10:H85))&amp;"","")</f>
        <v>8A/Sc4</v>
      </c>
      <c r="I85">
        <f>IF(H85="","",IF(SUMPRODUCT(--(H$10:H85=H85))=1,SUMPRODUCT(--(H$10:H$609&lt;H85))+1,""))</f>
        <v>583</v>
      </c>
      <c r="BA85" t="str">
        <f>IFERROR(INDEX(wLast,16)&amp;"","")</f>
        <v>Morgan</v>
      </c>
      <c r="BB85" t="str">
        <f>IF(BA85="","",IFERROR(INDEX(wFirst,16)&amp;"",""))</f>
        <v>Freya</v>
      </c>
      <c r="BC85" t="str">
        <f>IF(BA85="","",IFERROR(INDEX(wClass,16)&amp;"",""))</f>
        <v>8A/Sc1</v>
      </c>
      <c r="BD85">
        <f>IF(BA85="","",IFERROR(INDEX(wKsBand,16)+0,""))</f>
        <v>8</v>
      </c>
      <c r="BE85">
        <f>IF(BA85="","",IFERROR(INDEX(wTests,16)+0,0))</f>
        <v>5</v>
      </c>
      <c r="BF85">
        <f>IF(BA85="","",IFERROR(INDEX(wMean,16)+0,""))</f>
        <v>8.2</v>
      </c>
      <c r="BG85">
        <f>IF(BA85="","",IFERROR(INDEX(wVs,16)+0,""))</f>
        <v>0.921407113674597</v>
      </c>
      <c r="BH85">
        <f>IF(OR(BA85="",wLatest=""),"",IFERROR(INDEX(wData,16,MATCH(wLatest&amp;CHAR(10)&amp;"Stanine",wHdr,0))+0,""))</f>
        <v>8</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IFERROR(INDEX(tblY8[Class],ROWS(H$10:H86))&amp;"","")</f>
        <v>8A/Sc4</v>
      </c>
      <c r="I86" t="str">
        <f>IF(H86="","",IF(SUMPRODUCT(--(H$10:H86=H86))=1,SUMPRODUCT(--(H$10:H$609&lt;H86))+1,""))</f>
        <v/>
      </c>
      <c r="BA86" t="str">
        <f>IFERROR(INDEX(wLast,17)&amp;"","")</f>
        <v>Nowak</v>
      </c>
      <c r="BB86" t="str">
        <f>IF(BA86="","",IFERROR(INDEX(wFirst,17)&amp;"",""))</f>
        <v>Arjun</v>
      </c>
      <c r="BC86" t="str">
        <f>IF(BA86="","",IFERROR(INDEX(wClass,17)&amp;"",""))</f>
        <v>8A/Sc1</v>
      </c>
      <c r="BD86">
        <f>IF(BA86="","",IFERROR(INDEX(wKsBand,17)+0,""))</f>
        <v>7</v>
      </c>
      <c r="BE86">
        <f>IF(BA86="","",IFERROR(INDEX(wTests,17)+0,0))</f>
        <v>5</v>
      </c>
      <c r="BF86">
        <f>IF(BA86="","",IFERROR(INDEX(wMean,17)+0,""))</f>
        <v>6.8</v>
      </c>
      <c r="BG86">
        <f>IF(BA86="","",IFERROR(INDEX(wVs,17)+0,""))</f>
        <v>0.300318433068974</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IFERROR(INDEX(tblY8[Class],ROWS(H$10:H87))&amp;"","")</f>
        <v>8A/Sc4</v>
      </c>
      <c r="I87" t="str">
        <f>IF(H87="","",IF(SUMPRODUCT(--(H$10:H87=H87))=1,SUMPRODUCT(--(H$10:H$609&lt;H87))+1,""))</f>
        <v/>
      </c>
      <c r="BA87" t="str">
        <f>IFERROR(INDEX(wLast,18)&amp;"","")</f>
        <v>Nowak</v>
      </c>
      <c r="BB87" t="str">
        <f>IF(BA87="","",IFERROR(INDEX(wFirst,18)&amp;"",""))</f>
        <v>Nia</v>
      </c>
      <c r="BC87" t="str">
        <f>IF(BA87="","",IFERROR(INDEX(wClass,18)&amp;"",""))</f>
        <v>8A/Sc1</v>
      </c>
      <c r="BD87">
        <f>IF(BA87="","",IFERROR(INDEX(wKsBand,18)+0,""))</f>
        <v>6</v>
      </c>
      <c r="BE87">
        <f>IF(BA87="","",IFERROR(INDEX(wTests,18)+0,0))</f>
        <v>5</v>
      </c>
      <c r="BF87">
        <f>IF(BA87="","",IFERROR(INDEX(wMean,18)+0,""))</f>
        <v>4.8</v>
      </c>
      <c r="BG87">
        <f>IF(BA87="","",IFERROR(INDEX(wVs,18)+0,""))</f>
        <v>-0.92077024753665</v>
      </c>
      <c r="BH87">
        <f>IF(OR(BA87="",wLatest=""),"",IFERROR(INDEX(wData,18,MATCH(wLatest&amp;CHAR(10)&amp;"Stanine",wHdr,0))+0,""))</f>
        <v>4</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IFERROR(INDEX(tblY8[Class],ROWS(H$10:H88))&amp;"","")</f>
        <v>8A/Sc4</v>
      </c>
      <c r="I88" t="str">
        <f>IF(H88="","",IF(SUMPRODUCT(--(H$10:H88=H88))=1,SUMPRODUCT(--(H$10:H$609&lt;H88))+1,""))</f>
        <v/>
      </c>
      <c r="BA88" t="str">
        <f>IFERROR(INDEX(wLast,19)&amp;"","")</f>
        <v>Nowak</v>
      </c>
      <c r="BB88" t="str">
        <f>IF(BA88="","",IFERROR(INDEX(wFirst,19)&amp;"",""))</f>
        <v>Rhys</v>
      </c>
      <c r="BC88" t="str">
        <f>IF(BA88="","",IFERROR(INDEX(wClass,19)&amp;"",""))</f>
        <v>8A/Sc1</v>
      </c>
      <c r="BD88">
        <f>IF(BA88="","",IFERROR(INDEX(wKsBand,19)+0,""))</f>
        <v>6</v>
      </c>
      <c r="BE88">
        <f>IF(BA88="","",IFERROR(INDEX(wTests,19)+0,0))</f>
        <v>5</v>
      </c>
      <c r="BF88">
        <f>IF(BA88="","",IFERROR(INDEX(wMean,19)+0,""))</f>
        <v>4.4</v>
      </c>
      <c r="BG88">
        <f>IF(BA88="","",IFERROR(INDEX(wVs,19)+0,""))</f>
        <v>-1.32077024753665</v>
      </c>
      <c r="BH88">
        <f>IF(OR(BA88="",wLatest=""),"",IFERROR(INDEX(wData,19,MATCH(wLatest&amp;CHAR(10)&amp;"Stanine",wHdr,0))+0,""))</f>
        <v>5</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IFERROR(INDEX(tblY8[Class],ROWS(H$10:H89))&amp;"","")</f>
        <v>8A/Sc4</v>
      </c>
      <c r="I89" t="str">
        <f>IF(H89="","",IF(SUMPRODUCT(--(H$10:H89=H89))=1,SUMPRODUCT(--(H$10:H$609&lt;H89))+1,""))</f>
        <v/>
      </c>
      <c r="BA89" t="str">
        <f>IFERROR(INDEX(wLast,20)&amp;"","")</f>
        <v>Patel</v>
      </c>
      <c r="BB89" t="str">
        <f>IF(BA89="","",IFERROR(INDEX(wFirst,20)&amp;"",""))</f>
        <v>Chidi</v>
      </c>
      <c r="BC89" t="str">
        <f>IF(BA89="","",IFERROR(INDEX(wClass,20)&amp;"",""))</f>
        <v>8A/Sc1</v>
      </c>
      <c r="BD89">
        <f>IF(BA89="","",IFERROR(INDEX(wKsBand,20)+0,""))</f>
        <v>7</v>
      </c>
      <c r="BE89">
        <f>IF(BA89="","",IFERROR(INDEX(wTests,20)+0,0))</f>
        <v>5</v>
      </c>
      <c r="BF89">
        <f>IF(BA89="","",IFERROR(INDEX(wMean,20)+0,""))</f>
        <v>7</v>
      </c>
      <c r="BG89">
        <f>IF(BA89="","",IFERROR(INDEX(wVs,20)+0,""))</f>
        <v>0.500318433068975</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IFERROR(INDEX(tblY8[Class],ROWS(H$10:H90))&amp;"","")</f>
        <v>8A/Sc4</v>
      </c>
      <c r="I90" t="str">
        <f>IF(H90="","",IF(SUMPRODUCT(--(H$10:H90=H90))=1,SUMPRODUCT(--(H$10:H$609&lt;H90))+1,""))</f>
        <v/>
      </c>
      <c r="BA90" t="str">
        <f>IFERROR(INDEX(wLast,21)&amp;"","")</f>
        <v>Shaw</v>
      </c>
      <c r="BB90" t="str">
        <f>IF(BA90="","",IFERROR(INDEX(wFirst,21)&amp;"",""))</f>
        <v>Finley</v>
      </c>
      <c r="BC90" t="str">
        <f>IF(BA90="","",IFERROR(INDEX(wClass,21)&amp;"",""))</f>
        <v>8A/Sc1</v>
      </c>
      <c r="BD90">
        <f>IF(BA90="","",IFERROR(INDEX(wKsBand,21)+0,""))</f>
        <v>7</v>
      </c>
      <c r="BE90">
        <f>IF(BA90="","",IFERROR(INDEX(wTests,21)+0,0))</f>
        <v>5</v>
      </c>
      <c r="BF90">
        <f>IF(BA90="","",IFERROR(INDEX(wMean,21)+0,""))</f>
        <v>8</v>
      </c>
      <c r="BG90">
        <f>IF(BA90="","",IFERROR(INDEX(wVs,21)+0,""))</f>
        <v>1.50031843306897</v>
      </c>
      <c r="BH90">
        <f>IF(OR(BA90="",wLatest=""),"",IFERROR(INDEX(wData,21,MATCH(wLatest&amp;CHAR(10)&amp;"Stanine",wHdr,0))+0,""))</f>
        <v>8</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IFERROR(INDEX(tblY8[Class],ROWS(H$10:H91))&amp;"","")</f>
        <v>8A/Sc4</v>
      </c>
      <c r="I91" t="str">
        <f>IF(H91="","",IF(SUMPRODUCT(--(H$10:H91=H91))=1,SUMPRODUCT(--(H$10:H$609&lt;H91))+1,""))</f>
        <v/>
      </c>
      <c r="BA91" t="str">
        <f>IFERROR(INDEX(wLast,22)&amp;"","")</f>
        <v>Thompson</v>
      </c>
      <c r="BB91" t="str">
        <f>IF(BA91="","",IFERROR(INDEX(wFirst,22)&amp;"",""))</f>
        <v>Oliver</v>
      </c>
      <c r="BC91" t="str">
        <f>IF(BA91="","",IFERROR(INDEX(wClass,22)&amp;"",""))</f>
        <v>8A/Sc1</v>
      </c>
      <c r="BD91">
        <f>IF(BA91="","",IFERROR(INDEX(wKsBand,22)+0,""))</f>
        <v>7</v>
      </c>
      <c r="BE91">
        <f>IF(BA91="","",IFERROR(INDEX(wTests,22)+0,0))</f>
        <v>4</v>
      </c>
      <c r="BF91">
        <f>IF(BA91="","",IFERROR(INDEX(wMean,22)+0,""))</f>
        <v>6</v>
      </c>
      <c r="BG91">
        <f>IF(BA91="","",IFERROR(INDEX(wVs,22)+0,""))</f>
        <v>-0.499681566931026</v>
      </c>
      <c r="BH91">
        <f>IF(OR(BA91="",wLatest=""),"",IFERROR(INDEX(wData,22,MATCH(wLatest&amp;CHAR(10)&amp;"Stanine",wHdr,0))+0,""))</f>
        <v>6</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IFERROR(INDEX(tblY8[Class],ROWS(H$10:H92))&amp;"","")</f>
        <v>8A/Sc4</v>
      </c>
      <c r="I92" t="str">
        <f>IF(H92="","",IF(SUMPRODUCT(--(H$10:H92=H92))=1,SUMPRODUCT(--(H$10:H$609&lt;H92))+1,""))</f>
        <v/>
      </c>
      <c r="BA92" t="str">
        <f>IFERROR(INDEX(wLast,23)&amp;"","")</f>
        <v>Turner</v>
      </c>
      <c r="BB92" t="str">
        <f>IF(BA92="","",IFERROR(INDEX(wFirst,23)&amp;"",""))</f>
        <v>Ethan</v>
      </c>
      <c r="BC92" t="str">
        <f>IF(BA92="","",IFERROR(INDEX(wClass,23)&amp;"",""))</f>
        <v>8A/Sc1</v>
      </c>
      <c r="BD92">
        <f>IF(BA92="","",IFERROR(INDEX(wKsBand,23)+0,""))</f>
        <v>5</v>
      </c>
      <c r="BE92">
        <f>IF(BA92="","",IFERROR(INDEX(wTests,23)+0,0))</f>
        <v>3</v>
      </c>
      <c r="BF92">
        <f>IF(BA92="","",IFERROR(INDEX(wMean,23)+0,""))</f>
        <v>5.33333333333333</v>
      </c>
      <c r="BG92">
        <f>IF(BA92="","",IFERROR(INDEX(wVs,23)+0,""))</f>
        <v>0.39147440519106</v>
      </c>
      <c r="BH92">
        <f>IF(OR(BA92="",wLatest=""),"",IFERROR(INDEX(wData,23,MATCH(wLatest&amp;CHAR(10)&amp;"Stanine",wHdr,0))+0,""))</f>
        <v>6</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IFERROR(INDEX(tblY8[Class],ROWS(H$10:H93))&amp;"","")</f>
        <v>8A/Sc4</v>
      </c>
      <c r="I93" t="str">
        <f>IF(H93="","",IF(SUMPRODUCT(--(H$10:H93=H93))=1,SUMPRODUCT(--(H$10:H$609&lt;H93))+1,""))</f>
        <v/>
      </c>
      <c r="BA93" t="str">
        <f>IFERROR(INDEX(wLast,24)&amp;"","")</f>
        <v>Ward</v>
      </c>
      <c r="BB93" t="str">
        <f>IF(BA93="","",IFERROR(INDEX(wFirst,24)&amp;"",""))</f>
        <v>Poppy</v>
      </c>
      <c r="BC93" t="str">
        <f>IF(BA93="","",IFERROR(INDEX(wClass,24)&amp;"",""))</f>
        <v>8A/Sc1</v>
      </c>
      <c r="BD93">
        <f>IF(BA93="","",IFERROR(INDEX(wKsBand,24)+0,""))</f>
        <v>7</v>
      </c>
      <c r="BE93">
        <f>IF(BA93="","",IFERROR(INDEX(wTests,24)+0,0))</f>
        <v>4</v>
      </c>
      <c r="BF93">
        <f>IF(BA93="","",IFERROR(INDEX(wMean,24)+0,""))</f>
        <v>7.25</v>
      </c>
      <c r="BG93">
        <f>IF(BA93="","",IFERROR(INDEX(wVs,24)+0,""))</f>
        <v>0.750318433068975</v>
      </c>
      <c r="BH93">
        <f>IF(OR(BA93="",wLatest=""),"",IFERROR(INDEX(wData,24,MATCH(wLatest&amp;CHAR(10)&amp;"Stanine",wHdr,0))+0,""))</f>
        <v>7</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IFERROR(INDEX(tblY8[Class],ROWS(H$10:H94))&amp;"","")</f>
        <v>8A/Sc4</v>
      </c>
      <c r="I94" t="str">
        <f>IF(H94="","",IF(SUMPRODUCT(--(H$10:H94=H94))=1,SUMPRODUCT(--(H$10:H$609&lt;H94))+1,""))</f>
        <v/>
      </c>
      <c r="BA94" t="str">
        <f>IFERROR(INDEX(wLast,25)&amp;"","")</f>
        <v>White</v>
      </c>
      <c r="BB94" t="str">
        <f>IF(BA94="","",IFERROR(INDEX(wFirst,25)&amp;"",""))</f>
        <v>Niamh</v>
      </c>
      <c r="BC94" t="str">
        <f>IF(BA94="","",IFERROR(INDEX(wClass,25)&amp;"",""))</f>
        <v>8A/Sc1</v>
      </c>
      <c r="BD94">
        <f>IF(BA94="","",IFERROR(INDEX(wKsBand,25)+0,""))</f>
        <v>6</v>
      </c>
      <c r="BE94">
        <f>IF(BA94="","",IFERROR(INDEX(wTests,25)+0,0))</f>
        <v>3</v>
      </c>
      <c r="BF94">
        <f>IF(BA94="","",IFERROR(INDEX(wMean,25)+0,""))</f>
        <v>8.33333333333333</v>
      </c>
      <c r="BG94">
        <f>IF(BA94="","",IFERROR(INDEX(wVs,25)+0,""))</f>
        <v>2.61256308579668</v>
      </c>
      <c r="BH94">
        <f>IF(OR(BA94="",wLatest=""),"",IFERROR(INDEX(wData,25,MATCH(wLatest&amp;CHAR(10)&amp;"Stanine",wHdr,0))+0,""))</f>
        <v>8</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IFERROR(INDEX(tblY8[Class],ROWS(H$10:H95))&amp;"","")</f>
        <v>8A/Sc4</v>
      </c>
      <c r="I95" t="str">
        <f>IF(H95="","",IF(SUMPRODUCT(--(H$10:H95=H95))=1,SUMPRODUCT(--(H$10:H$609&lt;H95))+1,""))</f>
        <v/>
      </c>
      <c r="BA95" t="str">
        <f>IFERROR(INDEX(wLast,26)&amp;"","")</f>
        <v>Williams</v>
      </c>
      <c r="BB95" t="str">
        <f>IF(BA95="","",IFERROR(INDEX(wFirst,26)&amp;"",""))</f>
        <v>Dylan</v>
      </c>
      <c r="BC95" t="str">
        <f>IF(BA95="","",IFERROR(INDEX(wClass,26)&amp;"",""))</f>
        <v>8A/Sc1</v>
      </c>
      <c r="BD95">
        <f>IF(BA95="","",IFERROR(INDEX(wKsBand,26)+0,""))</f>
        <v>4</v>
      </c>
      <c r="BE95">
        <f>IF(BA95="","",IFERROR(INDEX(wTests,26)+0,0))</f>
        <v>5</v>
      </c>
      <c r="BF95">
        <f>IF(BA95="","",IFERROR(INDEX(wMean,26)+0,""))</f>
        <v>5</v>
      </c>
      <c r="BG95">
        <f>IF(BA95="","",IFERROR(INDEX(wVs,26)+0,""))</f>
        <v>0.837052391252103</v>
      </c>
      <c r="BH95">
        <f>IF(OR(BA95="",wLatest=""),"",IFERROR(INDEX(wData,26,MATCH(wLatest&amp;CHAR(10)&amp;"Stanine",wHdr,0))+0,""))</f>
        <v>4</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IFERROR(INDEX(tblY8[Class],ROWS(H$10:H96))&amp;"","")</f>
        <v>8A/Sc4</v>
      </c>
      <c r="I96" t="str">
        <f>IF(H96="","",IF(SUMPRODUCT(--(H$10:H96=H96))=1,SUMPRODUCT(--(H$10:H$609&lt;H96))+1,""))</f>
        <v/>
      </c>
      <c r="BA96" t="str">
        <f>IFERROR(INDEX(wLast,27)&amp;"","")</f>
        <v>Williams</v>
      </c>
      <c r="BB96" t="str">
        <f>IF(BA96="","",IFERROR(INDEX(wFirst,27)&amp;"",""))</f>
        <v>Noah</v>
      </c>
      <c r="BC96" t="str">
        <f>IF(BA96="","",IFERROR(INDEX(wClass,27)&amp;"",""))</f>
        <v>8A/Sc1</v>
      </c>
      <c r="BD96">
        <f>IF(BA96="","",IFERROR(INDEX(wKsBand,27)+0,""))</f>
        <v>4</v>
      </c>
      <c r="BE96">
        <f>IF(BA96="","",IFERROR(INDEX(wTests,27)+0,0))</f>
        <v>5</v>
      </c>
      <c r="BF96">
        <f>IF(BA96="","",IFERROR(INDEX(wMean,27)+0,""))</f>
        <v>4.4</v>
      </c>
      <c r="BG96">
        <f>IF(BA96="","",IFERROR(INDEX(wVs,27)+0,""))</f>
        <v>0.237052391252103</v>
      </c>
      <c r="BH96">
        <f>IF(OR(BA96="",wLatest=""),"",IFERROR(INDEX(wData,27,MATCH(wLatest&amp;CHAR(10)&amp;"Stanine",wHdr,0))+0,""))</f>
        <v>4</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IFERROR(INDEX(tblY8[Class],ROWS(H$10:H97))&amp;"","")</f>
        <v>8A/Sc4</v>
      </c>
      <c r="I97" t="str">
        <f>IF(H97="","",IF(SUMPRODUCT(--(H$10:H97=H97))=1,SUMPRODUCT(--(H$10:H$609&lt;H97))+1,""))</f>
        <v/>
      </c>
      <c r="BA97" t="str">
        <f>IFERROR(INDEX(wLast,28)&amp;"","")</f>
        <v>Wilson</v>
      </c>
      <c r="BB97" t="str">
        <f>IF(BA97="","",IFERROR(INDEX(wFirst,28)&amp;"",""))</f>
        <v>Ella</v>
      </c>
      <c r="BC97" t="str">
        <f>IF(BA97="","",IFERROR(INDEX(wClass,28)&amp;"",""))</f>
        <v>8A/Sc1</v>
      </c>
      <c r="BD97">
        <f>IF(BA97="","",IFERROR(INDEX(wKsBand,28)+0,""))</f>
        <v>3</v>
      </c>
      <c r="BE97">
        <f>IF(BA97="","",IFERROR(INDEX(wTests,28)+0,0))</f>
        <v>4</v>
      </c>
      <c r="BF97">
        <f>IF(BA97="","",IFERROR(INDEX(wMean,28)+0,""))</f>
        <v>4.25</v>
      </c>
      <c r="BG97">
        <f>IF(BA97="","",IFERROR(INDEX(wVs,28)+0,""))</f>
        <v>0.865963710646479</v>
      </c>
      <c r="BH97">
        <f>IF(OR(BA97="",wLatest=""),"",IFERROR(INDEX(wData,28,MATCH(wLatest&amp;CHAR(10)&amp;"Stanine",wHdr,0))+0,""))</f>
        <v>5</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IFERROR(INDEX(tblY8[Class],ROWS(H$10:H98))&amp;"","")</f>
        <v>8A/Sc4</v>
      </c>
      <c r="I98" t="str">
        <f>IF(H98="","",IF(SUMPRODUCT(--(H$10:H98=H98))=1,SUMPRODUCT(--(H$10:H$609&lt;H98))+1,""))</f>
        <v/>
      </c>
      <c r="BA98" t="str">
        <f>IFERROR(INDEX(wLast,29)&amp;"","")</f>
        <v>Begum</v>
      </c>
      <c r="BB98" t="str">
        <f>IF(BA98="","",IFERROR(INDEX(wFirst,29)&amp;"",""))</f>
        <v>Callum</v>
      </c>
      <c r="BC98" t="str">
        <f>IF(BA98="","",IFERROR(INDEX(wClass,29)&amp;"",""))</f>
        <v>8A/Sc2</v>
      </c>
      <c r="BD98">
        <f>IF(BA98="","",IFERROR(INDEX(wKsBand,29)+0,""))</f>
        <v>5</v>
      </c>
      <c r="BE98">
        <f>IF(BA98="","",IFERROR(INDEX(wTests,29)+0,0))</f>
        <v>4</v>
      </c>
      <c r="BF98">
        <f>IF(BA98="","",IFERROR(INDEX(wMean,29)+0,""))</f>
        <v>4</v>
      </c>
      <c r="BG98">
        <f>IF(BA98="","",IFERROR(INDEX(wVs,29)+0,""))</f>
        <v>-0.941858928142273</v>
      </c>
      <c r="BH98">
        <f>IF(OR(BA98="",wLatest=""),"",IFERROR(INDEX(wData,29,MATCH(wLatest&amp;CHAR(10)&amp;"Stanine",wHdr,0))+0,""))</f>
        <v>4</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IFERROR(INDEX(tblY8[Class],ROWS(H$10:H99))&amp;"","")</f>
        <v>8A/Sc4</v>
      </c>
      <c r="I99" t="str">
        <f>IF(H99="","",IF(SUMPRODUCT(--(H$10:H99=H99))=1,SUMPRODUCT(--(H$10:H$609&lt;H99))+1,""))</f>
        <v/>
      </c>
      <c r="BA99" t="str">
        <f>IFERROR(INDEX(wLast,30)&amp;"","")</f>
        <v>Clarke</v>
      </c>
      <c r="BB99" t="str">
        <f>IF(BA99="","",IFERROR(INDEX(wFirst,30)&amp;"",""))</f>
        <v>Maya</v>
      </c>
      <c r="BC99" t="str">
        <f>IF(BA99="","",IFERROR(INDEX(wClass,30)&amp;"",""))</f>
        <v>8A/Sc2</v>
      </c>
      <c r="BD99">
        <f>IF(BA99="","",IFERROR(INDEX(wKsBand,30)+0,""))</f>
        <v>7</v>
      </c>
      <c r="BE99">
        <f>IF(BA99="","",IFERROR(INDEX(wTests,30)+0,0))</f>
        <v>4</v>
      </c>
      <c r="BF99">
        <f>IF(BA99="","",IFERROR(INDEX(wMean,30)+0,""))</f>
        <v>6</v>
      </c>
      <c r="BG99">
        <f>IF(BA99="","",IFERROR(INDEX(wVs,30)+0,""))</f>
        <v>-0.499681566931026</v>
      </c>
      <c r="BH99">
        <f>IF(OR(BA99="",wLatest=""),"",IFERROR(INDEX(wData,30,MATCH(wLatest&amp;CHAR(10)&amp;"Stanine",wHdr,0))+0,""))</f>
        <v>7</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IFERROR(INDEX(tblY8[Class],ROWS(H$10:H100))&amp;"","")</f>
        <v>8A/Sc4</v>
      </c>
      <c r="I100" t="str">
        <f>IF(H100="","",IF(SUMPRODUCT(--(H$10:H100=H100))=1,SUMPRODUCT(--(H$10:H$609&lt;H100))+1,""))</f>
        <v/>
      </c>
      <c r="BA100" t="str">
        <f>IFERROR(INDEX(wLast,31)&amp;"","")</f>
        <v>Cooper</v>
      </c>
      <c r="BB100" t="str">
        <f>IF(BA100="","",IFERROR(INDEX(wFirst,31)&amp;"",""))</f>
        <v>Ethan</v>
      </c>
      <c r="BC100" t="str">
        <f>IF(BA100="","",IFERROR(INDEX(wClass,31)&amp;"",""))</f>
        <v>8A/Sc2</v>
      </c>
      <c r="BD100">
        <f>IF(BA100="","",IFERROR(INDEX(wKsBand,31)+0,""))</f>
        <v>5</v>
      </c>
      <c r="BE100">
        <f>IF(BA100="","",IFERROR(INDEX(wTests,31)+0,0))</f>
        <v>5</v>
      </c>
      <c r="BF100">
        <f>IF(BA100="","",IFERROR(INDEX(wMean,31)+0,""))</f>
        <v>5.6</v>
      </c>
      <c r="BG100">
        <f>IF(BA100="","",IFERROR(INDEX(wVs,31)+0,""))</f>
        <v>0.658141071857727</v>
      </c>
      <c r="BH100">
        <f>IF(OR(BA100="",wLatest=""),"",IFERROR(INDEX(wData,31,MATCH(wLatest&amp;CHAR(10)&amp;"Stanine",wHdr,0))+0,""))</f>
        <v>5</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IFERROR(INDEX(tblY8[Class],ROWS(H$10:H101))&amp;"","")</f>
        <v>Science Support</v>
      </c>
      <c r="I101">
        <f>IF(H101="","",IF(SUMPRODUCT(--(H$10:H101=H101))=1,SUMPRODUCT(--(H$10:H$609&lt;H101))+1,""))</f>
        <v>599</v>
      </c>
      <c r="BA101" t="str">
        <f>IFERROR(INDEX(wLast,32)&amp;"","")</f>
        <v>Davies</v>
      </c>
      <c r="BB101" t="str">
        <f>IF(BA101="","",IFERROR(INDEX(wFirst,32)&amp;"",""))</f>
        <v>Arjun</v>
      </c>
      <c r="BC101" t="str">
        <f>IF(BA101="","",IFERROR(INDEX(wClass,32)&amp;"",""))</f>
        <v>8A/Sc2</v>
      </c>
      <c r="BD101">
        <f>IF(BA101="","",IFERROR(INDEX(wKsBand,32)+0,""))</f>
        <v>4</v>
      </c>
      <c r="BE101">
        <f>IF(BA101="","",IFERROR(INDEX(wTests,32)+0,0))</f>
        <v>5</v>
      </c>
      <c r="BF101">
        <f>IF(BA101="","",IFERROR(INDEX(wMean,32)+0,""))</f>
        <v>4.8</v>
      </c>
      <c r="BG101">
        <f>IF(BA101="","",IFERROR(INDEX(wVs,32)+0,""))</f>
        <v>0.637052391252102</v>
      </c>
      <c r="BH101">
        <f>IF(OR(BA101="",wLatest=""),"",IFERROR(INDEX(wData,32,MATCH(wLatest&amp;CHAR(10)&amp;"Stanine",wHdr,0))+0,""))</f>
        <v>3</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IFERROR(INDEX(tblY8[Class],ROWS(H$10:H102))&amp;"","")</f>
        <v>Science Support</v>
      </c>
      <c r="I102" t="str">
        <f>IF(H102="","",IF(SUMPRODUCT(--(H$10:H102=H102))=1,SUMPRODUCT(--(H$10:H$609&lt;H102))+1,""))</f>
        <v/>
      </c>
      <c r="BA102" t="str">
        <f>IFERROR(INDEX(wLast,33)&amp;"","")</f>
        <v>Fletcher</v>
      </c>
      <c r="BB102" t="str">
        <f>IF(BA102="","",IFERROR(INDEX(wFirst,33)&amp;"",""))</f>
        <v>Noah</v>
      </c>
      <c r="BC102" t="str">
        <f>IF(BA102="","",IFERROR(INDEX(wClass,33)&amp;"",""))</f>
        <v>8A/Sc2</v>
      </c>
      <c r="BD102">
        <f>IF(BA102="","",IFERROR(INDEX(wKsBand,33)+0,""))</f>
        <v>5</v>
      </c>
      <c r="BE102">
        <f>IF(BA102="","",IFERROR(INDEX(wTests,33)+0,0))</f>
        <v>4</v>
      </c>
      <c r="BF102">
        <f>IF(BA102="","",IFERROR(INDEX(wMean,33)+0,""))</f>
        <v>7.25</v>
      </c>
      <c r="BG102">
        <f>IF(BA102="","",IFERROR(INDEX(wVs,33)+0,""))</f>
        <v>2.30814107185773</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IFERROR(INDEX(tblY8[Class],ROWS(H$10:H103))&amp;"","")</f>
        <v/>
      </c>
      <c r="I103" t="str">
        <f>IF(H103="","",IF(SUMPRODUCT(--(H$10:H103=H103))=1,SUMPRODUCT(--(H$10:H$609&lt;H103))+1,""))</f>
        <v/>
      </c>
      <c r="BA103" t="str">
        <f>IFERROR(INDEX(wLast,34)&amp;"","")</f>
        <v>Fletcher</v>
      </c>
      <c r="BB103" t="str">
        <f>IF(BA103="","",IFERROR(INDEX(wFirst,34)&amp;"",""))</f>
        <v>Rosie</v>
      </c>
      <c r="BC103" t="str">
        <f>IF(BA103="","",IFERROR(INDEX(wClass,34)&amp;"",""))</f>
        <v>8A/Sc2</v>
      </c>
      <c r="BD103">
        <f>IF(BA103="","",IFERROR(INDEX(wKsBand,34)+0,""))</f>
        <v>7</v>
      </c>
      <c r="BE103">
        <f>IF(BA103="","",IFERROR(INDEX(wTests,34)+0,0))</f>
        <v>5</v>
      </c>
      <c r="BF103">
        <f>IF(BA103="","",IFERROR(INDEX(wMean,34)+0,""))</f>
        <v>8</v>
      </c>
      <c r="BG103">
        <f>IF(BA103="","",IFERROR(INDEX(wVs,34)+0,""))</f>
        <v>1.50031843306897</v>
      </c>
      <c r="BH103">
        <f>IF(OR(BA103="",wLatest=""),"",IFERROR(INDEX(wData,34,MATCH(wLatest&amp;CHAR(10)&amp;"Stanine",wHdr,0))+0,""))</f>
        <v>8</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IFERROR(INDEX(tblY8[Class],ROWS(H$10:H104))&amp;"","")</f>
        <v/>
      </c>
      <c r="I104" t="str">
        <f>IF(H104="","",IF(SUMPRODUCT(--(H$10:H104=H104))=1,SUMPRODUCT(--(H$10:H$609&lt;H104))+1,""))</f>
        <v/>
      </c>
      <c r="BA104" t="str">
        <f>IFERROR(INDEX(wLast,35)&amp;"","")</f>
        <v>Green</v>
      </c>
      <c r="BB104" t="str">
        <f>IF(BA104="","",IFERROR(INDEX(wFirst,35)&amp;"",""))</f>
        <v>Keira</v>
      </c>
      <c r="BC104" t="str">
        <f>IF(BA104="","",IFERROR(INDEX(wClass,35)&amp;"",""))</f>
        <v>8A/Sc2</v>
      </c>
      <c r="BD104">
        <f>IF(BA104="","",IFERROR(INDEX(wKsBand,35)+0,""))</f>
        <v>7</v>
      </c>
      <c r="BE104">
        <f>IF(BA104="","",IFERROR(INDEX(wTests,35)+0,0))</f>
        <v>5</v>
      </c>
      <c r="BF104">
        <f>IF(BA104="","",IFERROR(INDEX(wMean,35)+0,""))</f>
        <v>4.8</v>
      </c>
      <c r="BG104">
        <f>IF(BA104="","",IFERROR(INDEX(wVs,35)+0,""))</f>
        <v>-1.69968156693103</v>
      </c>
      <c r="BH104">
        <f>IF(OR(BA104="",wLatest=""),"",IFERROR(INDEX(wData,35,MATCH(wLatest&amp;CHAR(10)&amp;"Stanine",wHdr,0))+0,""))</f>
        <v>5</v>
      </c>
      <c r="BI104" t="str">
        <f>IF(BA104="","",IF(AND(ISNUMBER(BG104),N(BE104)&gt;=WlMinTests,BG104&lt;=-WlGap),"Below expected for KS2",IF(AND(NOT(ISNUMBER(BD104)),ISNUMBER(BF104),N(BE104)&gt;=WlMinTests,BF104&lt;=WlLowMean),"Low results, no KS2 data","")))</f>
        <v>Below expected for KS2</v>
      </c>
      <c r="BJ104">
        <f>IF(BI104="","",IF(BI104="Below expected for KS2",BG104,100+BF104)+ROW()/1000000)</f>
        <v>-1.69957756693103</v>
      </c>
    </row>
    <row r="105">
      <c r="H105" t="str">
        <f>IFERROR(INDEX(tblY8[Class],ROWS(H$10:H105))&amp;"","")</f>
        <v/>
      </c>
      <c r="I105" t="str">
        <f>IF(H105="","",IF(SUMPRODUCT(--(H$10:H105=H105))=1,SUMPRODUCT(--(H$10:H$609&lt;H105))+1,""))</f>
        <v/>
      </c>
      <c r="BA105" t="str">
        <f>IFERROR(INDEX(wLast,36)&amp;"","")</f>
        <v>Griffiths</v>
      </c>
      <c r="BB105" t="str">
        <f>IF(BA105="","",IFERROR(INDEX(wFirst,36)&amp;"",""))</f>
        <v>Arthur</v>
      </c>
      <c r="BC105" t="str">
        <f>IF(BA105="","",IFERROR(INDEX(wClass,36)&amp;"",""))</f>
        <v>8A/Sc2</v>
      </c>
      <c r="BD105">
        <f>IF(BA105="","",IFERROR(INDEX(wKsBand,36)+0,""))</f>
        <v>8</v>
      </c>
      <c r="BE105">
        <f>IF(BA105="","",IFERROR(INDEX(wTests,36)+0,0))</f>
        <v>5</v>
      </c>
      <c r="BF105">
        <f>IF(BA105="","",IFERROR(INDEX(wMean,36)+0,""))</f>
        <v>6.8</v>
      </c>
      <c r="BG105">
        <f>IF(BA105="","",IFERROR(INDEX(wVs,36)+0,""))</f>
        <v>-0.478592886325402</v>
      </c>
      <c r="BH105">
        <f>IF(OR(BA105="",wLatest=""),"",IFERROR(INDEX(wData,36,MATCH(wLatest&amp;CHAR(10)&amp;"Stanine",wHdr,0))+0,""))</f>
        <v>6</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IFERROR(INDEX(tblY8[Class],ROWS(H$10:H106))&amp;"","")</f>
        <v/>
      </c>
      <c r="I106" t="str">
        <f>IF(H106="","",IF(SUMPRODUCT(--(H$10:H106=H106))=1,SUMPRODUCT(--(H$10:H$609&lt;H106))+1,""))</f>
        <v/>
      </c>
      <c r="BA106" t="str">
        <f>IFERROR(INDEX(wLast,37)&amp;"","")</f>
        <v>Hall</v>
      </c>
      <c r="BB106" t="str">
        <f>IF(BA106="","",IFERROR(INDEX(wFirst,37)&amp;"",""))</f>
        <v>Callum</v>
      </c>
      <c r="BC106" t="str">
        <f>IF(BA106="","",IFERROR(INDEX(wClass,37)&amp;"",""))</f>
        <v>8A/Sc2</v>
      </c>
      <c r="BD106">
        <f>IF(BA106="","",IFERROR(INDEX(wKsBand,37)+0,""))</f>
        <v>5</v>
      </c>
      <c r="BE106">
        <f>IF(BA106="","",IFERROR(INDEX(wTests,37)+0,0))</f>
        <v>5</v>
      </c>
      <c r="BF106">
        <f>IF(BA106="","",IFERROR(INDEX(wMean,37)+0,""))</f>
        <v>6.4</v>
      </c>
      <c r="BG106">
        <f>IF(BA106="","",IFERROR(INDEX(wVs,37)+0,""))</f>
        <v>1.45814107185773</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IFERROR(INDEX(tblY8[Class],ROWS(H$10:H107))&amp;"","")</f>
        <v/>
      </c>
      <c r="I107" t="str">
        <f>IF(H107="","",IF(SUMPRODUCT(--(H$10:H107=H107))=1,SUMPRODUCT(--(H$10:H$609&lt;H107))+1,""))</f>
        <v/>
      </c>
      <c r="BA107" t="str">
        <f>IFERROR(INDEX(wLast,38)&amp;"","")</f>
        <v>Hall</v>
      </c>
      <c r="BB107" t="str">
        <f>IF(BA107="","",IFERROR(INDEX(wFirst,38)&amp;"",""))</f>
        <v>Muhammad</v>
      </c>
      <c r="BC107" t="str">
        <f>IF(BA107="","",IFERROR(INDEX(wClass,38)&amp;"",""))</f>
        <v>8A/Sc2</v>
      </c>
      <c r="BD107">
        <f>IF(BA107="","",IFERROR(INDEX(wKsBand,38)+0,""))</f>
        <v>6</v>
      </c>
      <c r="BE107">
        <f>IF(BA107="","",IFERROR(INDEX(wTests,38)+0,0))</f>
        <v>5</v>
      </c>
      <c r="BF107">
        <f>IF(BA107="","",IFERROR(INDEX(wMean,38)+0,""))</f>
        <v>6.2</v>
      </c>
      <c r="BG107">
        <f>IF(BA107="","",IFERROR(INDEX(wVs,38)+0,""))</f>
        <v>0.47922975246335</v>
      </c>
      <c r="BH107">
        <f>IF(OR(BA107="",wLatest=""),"",IFERROR(INDEX(wData,38,MATCH(wLatest&amp;CHAR(10)&amp;"Stanine",wHdr,0))+0,""))</f>
        <v>6</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IFERROR(INDEX(tblY8[Class],ROWS(H$10:H108))&amp;"","")</f>
        <v/>
      </c>
      <c r="I108" t="str">
        <f>IF(H108="","",IF(SUMPRODUCT(--(H$10:H108=H108))=1,SUMPRODUCT(--(H$10:H$609&lt;H108))+1,""))</f>
        <v/>
      </c>
      <c r="BA108" t="str">
        <f>IFERROR(INDEX(wLast,39)&amp;"","")</f>
        <v>Hall</v>
      </c>
      <c r="BB108" t="str">
        <f>IF(BA108="","",IFERROR(INDEX(wFirst,39)&amp;"",""))</f>
        <v>Noah</v>
      </c>
      <c r="BC108" t="str">
        <f>IF(BA108="","",IFERROR(INDEX(wClass,39)&amp;"",""))</f>
        <v>8A/Sc2</v>
      </c>
      <c r="BD108">
        <f>IF(BA108="","",IFERROR(INDEX(wKsBand,39)+0,""))</f>
        <v>2</v>
      </c>
      <c r="BE108">
        <f>IF(BA108="","",IFERROR(INDEX(wTests,39)+0,0))</f>
        <v>5</v>
      </c>
      <c r="BF108">
        <f>IF(BA108="","",IFERROR(INDEX(wMean,39)+0,""))</f>
        <v>3.6</v>
      </c>
      <c r="BG108">
        <f>IF(BA108="","",IFERROR(INDEX(wVs,39)+0,""))</f>
        <v>0.994875030040855</v>
      </c>
      <c r="BH108">
        <f>IF(OR(BA108="",wLatest=""),"",IFERROR(INDEX(wData,39,MATCH(wLatest&amp;CHAR(10)&amp;"Stanine",wHdr,0))+0,""))</f>
        <v>3</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IFERROR(INDEX(tblY8[Class],ROWS(H$10:H109))&amp;"","")</f>
        <v/>
      </c>
      <c r="I109" t="str">
        <f>IF(H109="","",IF(SUMPRODUCT(--(H$10:H109=H109))=1,SUMPRODUCT(--(H$10:H$609&lt;H109))+1,""))</f>
        <v/>
      </c>
      <c r="BA109" t="str">
        <f>IFERROR(INDEX(wLast,40)&amp;"","")</f>
        <v>Harrison</v>
      </c>
      <c r="BB109" t="str">
        <f>IF(BA109="","",IFERROR(INDEX(wFirst,40)&amp;"",""))</f>
        <v>Maya</v>
      </c>
      <c r="BC109" t="str">
        <f>IF(BA109="","",IFERROR(INDEX(wClass,40)&amp;"",""))</f>
        <v>8A/Sc2</v>
      </c>
      <c r="BD109">
        <f>IF(BA109="","",IFERROR(INDEX(wKsBand,40)+0,""))</f>
        <v>5</v>
      </c>
      <c r="BE109">
        <f>IF(BA109="","",IFERROR(INDEX(wTests,40)+0,0))</f>
        <v>5</v>
      </c>
      <c r="BF109">
        <f>IF(BA109="","",IFERROR(INDEX(wMean,40)+0,""))</f>
        <v>4.6</v>
      </c>
      <c r="BG109">
        <f>IF(BA109="","",IFERROR(INDEX(wVs,40)+0,""))</f>
        <v>-0.341858928142274</v>
      </c>
      <c r="BH109">
        <f>IF(OR(BA109="",wLatest=""),"",IFERROR(INDEX(wData,40,MATCH(wLatest&amp;CHAR(10)&amp;"Stanine",wHdr,0))+0,""))</f>
        <v>4</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IFERROR(INDEX(tblY8[Class],ROWS(H$10:H110))&amp;"","")</f>
        <v/>
      </c>
      <c r="I110" t="str">
        <f>IF(H110="","",IF(SUMPRODUCT(--(H$10:H110=H110))=1,SUMPRODUCT(--(H$10:H$609&lt;H110))+1,""))</f>
        <v/>
      </c>
      <c r="BA110" t="str">
        <f>IFERROR(INDEX(wLast,41)&amp;"","")</f>
        <v>Johnson</v>
      </c>
      <c r="BB110" t="str">
        <f>IF(BA110="","",IFERROR(INDEX(wFirst,41)&amp;"",""))</f>
        <v>Amara</v>
      </c>
      <c r="BC110" t="str">
        <f>IF(BA110="","",IFERROR(INDEX(wClass,41)&amp;"",""))</f>
        <v>8A/Sc2</v>
      </c>
      <c r="BD110">
        <f>IF(BA110="","",IFERROR(INDEX(wKsBand,41)+0,""))</f>
        <v>6</v>
      </c>
      <c r="BE110">
        <f>IF(BA110="","",IFERROR(INDEX(wTests,41)+0,0))</f>
        <v>4</v>
      </c>
      <c r="BF110">
        <f>IF(BA110="","",IFERROR(INDEX(wMean,41)+0,""))</f>
        <v>6</v>
      </c>
      <c r="BG110">
        <f>IF(BA110="","",IFERROR(INDEX(wVs,41)+0,""))</f>
        <v>0.27922975246335</v>
      </c>
      <c r="BH110">
        <f>IF(OR(BA110="",wLatest=""),"",IFERROR(INDEX(wData,41,MATCH(wLatest&amp;CHAR(10)&amp;"Stanine",wHdr,0))+0,""))</f>
        <v>5</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IFERROR(INDEX(tblY8[Class],ROWS(H$10:H111))&amp;"","")</f>
        <v/>
      </c>
      <c r="I111" t="str">
        <f>IF(H111="","",IF(SUMPRODUCT(--(H$10:H111=H111))=1,SUMPRODUCT(--(H$10:H$609&lt;H111))+1,""))</f>
        <v/>
      </c>
      <c r="BA111" t="str">
        <f>IFERROR(INDEX(wLast,42)&amp;"","")</f>
        <v>Kelly</v>
      </c>
      <c r="BB111" t="str">
        <f>IF(BA111="","",IFERROR(INDEX(wFirst,42)&amp;"",""))</f>
        <v>Jacob</v>
      </c>
      <c r="BC111" t="str">
        <f>IF(BA111="","",IFERROR(INDEX(wClass,42)&amp;"",""))</f>
        <v>8A/Sc2</v>
      </c>
      <c r="BD111">
        <f>IF(BA111="","",IFERROR(INDEX(wKsBand,42)+0,""))</f>
        <v>4</v>
      </c>
      <c r="BE111">
        <f>IF(BA111="","",IFERROR(INDEX(wTests,42)+0,0))</f>
        <v>4</v>
      </c>
      <c r="BF111">
        <f>IF(BA111="","",IFERROR(INDEX(wMean,42)+0,""))</f>
        <v>5.25</v>
      </c>
      <c r="BG111">
        <f>IF(BA111="","",IFERROR(INDEX(wVs,42)+0,""))</f>
        <v>1.0870523912521</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IFERROR(INDEX(tblY8[Class],ROWS(H$10:H112))&amp;"","")</f>
        <v/>
      </c>
      <c r="I112" t="str">
        <f>IF(H112="","",IF(SUMPRODUCT(--(H$10:H112=H112))=1,SUMPRODUCT(--(H$10:H$609&lt;H112))+1,""))</f>
        <v/>
      </c>
      <c r="BA112" t="str">
        <f>IFERROR(INDEX(wLast,43)&amp;"","")</f>
        <v>Kowalski</v>
      </c>
      <c r="BB112" t="str">
        <f>IF(BA112="","",IFERROR(INDEX(wFirst,43)&amp;"",""))</f>
        <v>Keira</v>
      </c>
      <c r="BC112" t="str">
        <f>IF(BA112="","",IFERROR(INDEX(wClass,43)&amp;"",""))</f>
        <v>8A/Sc2</v>
      </c>
      <c r="BD112">
        <f>IF(BA112="","",IFERROR(INDEX(wKsBand,43)+0,""))</f>
        <v>5</v>
      </c>
      <c r="BE112">
        <f>IF(BA112="","",IFERROR(INDEX(wTests,43)+0,0))</f>
        <v>5</v>
      </c>
      <c r="BF112">
        <f>IF(BA112="","",IFERROR(INDEX(wMean,43)+0,""))</f>
        <v>3.6</v>
      </c>
      <c r="BG112">
        <f>IF(BA112="","",IFERROR(INDEX(wVs,43)+0,""))</f>
        <v>-1.34185892814227</v>
      </c>
      <c r="BH112">
        <f>IF(OR(BA112="",wLatest=""),"",IFERROR(INDEX(wData,43,MATCH(wLatest&amp;CHAR(10)&amp;"Stanine",wHdr,0))+0,""))</f>
        <v>4</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IFERROR(INDEX(tblY8[Class],ROWS(H$10:H113))&amp;"","")</f>
        <v/>
      </c>
      <c r="I113" t="str">
        <f>IF(H113="","",IF(SUMPRODUCT(--(H$10:H113=H113))=1,SUMPRODUCT(--(H$10:H$609&lt;H113))+1,""))</f>
        <v/>
      </c>
      <c r="BA113" t="str">
        <f>IFERROR(INDEX(wLast,44)&amp;"","")</f>
        <v>Lewis</v>
      </c>
      <c r="BB113" t="str">
        <f>IF(BA113="","",IFERROR(INDEX(wFirst,44)&amp;"",""))</f>
        <v>Layla</v>
      </c>
      <c r="BC113" t="str">
        <f>IF(BA113="","",IFERROR(INDEX(wClass,44)&amp;"",""))</f>
        <v>8A/Sc2</v>
      </c>
      <c r="BD113">
        <f>IF(BA113="","",IFERROR(INDEX(wKsBand,44)+0,""))</f>
        <v>6</v>
      </c>
      <c r="BE113">
        <f>IF(BA113="","",IFERROR(INDEX(wTests,44)+0,0))</f>
        <v>5</v>
      </c>
      <c r="BF113">
        <f>IF(BA113="","",IFERROR(INDEX(wMean,44)+0,""))</f>
        <v>4.6</v>
      </c>
      <c r="BG113">
        <f>IF(BA113="","",IFERROR(INDEX(wVs,44)+0,""))</f>
        <v>-1.12077024753665</v>
      </c>
      <c r="BH113">
        <f>IF(OR(BA113="",wLatest=""),"",IFERROR(INDEX(wData,44,MATCH(wLatest&amp;CHAR(10)&amp;"Stanine",wHdr,0))+0,""))</f>
        <v>4</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IFERROR(INDEX(tblY8[Class],ROWS(H$10:H114))&amp;"","")</f>
        <v/>
      </c>
      <c r="I114" t="str">
        <f>IF(H114="","",IF(SUMPRODUCT(--(H$10:H114=H114))=1,SUMPRODUCT(--(H$10:H$609&lt;H114))+1,""))</f>
        <v/>
      </c>
      <c r="BA114" t="str">
        <f>IFERROR(INDEX(wLast,45)&amp;"","")</f>
        <v>Lewis</v>
      </c>
      <c r="BB114" t="str">
        <f>IF(BA114="","",IFERROR(INDEX(wFirst,45)&amp;"",""))</f>
        <v>Zofia</v>
      </c>
      <c r="BC114" t="str">
        <f>IF(BA114="","",IFERROR(INDEX(wClass,45)&amp;"",""))</f>
        <v>8A/Sc2</v>
      </c>
      <c r="BD114">
        <f>IF(BA114="","",IFERROR(INDEX(wKsBand,45)+0,""))</f>
        <v>3</v>
      </c>
      <c r="BE114">
        <f>IF(BA114="","",IFERROR(INDEX(wTests,45)+0,0))</f>
        <v>5</v>
      </c>
      <c r="BF114">
        <f>IF(BA114="","",IFERROR(INDEX(wMean,45)+0,""))</f>
        <v>2</v>
      </c>
      <c r="BG114">
        <f>IF(BA114="","",IFERROR(INDEX(wVs,45)+0,""))</f>
        <v>-1.38403628935352</v>
      </c>
      <c r="BH114">
        <f>IF(OR(BA114="",wLatest=""),"",IFERROR(INDEX(wData,45,MATCH(wLatest&amp;CHAR(10)&amp;"Stanine",wHdr,0))+0,""))</f>
        <v>1</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IFERROR(INDEX(tblY8[Class],ROWS(H$10:H115))&amp;"","")</f>
        <v/>
      </c>
      <c r="I115" t="str">
        <f>IF(H115="","",IF(SUMPRODUCT(--(H$10:H115=H115))=1,SUMPRODUCT(--(H$10:H$609&lt;H115))+1,""))</f>
        <v/>
      </c>
      <c r="BA115" t="str">
        <f>IFERROR(INDEX(wLast,46)&amp;"","")</f>
        <v>Lloyd</v>
      </c>
      <c r="BB115" t="str">
        <f>IF(BA115="","",IFERROR(INDEX(wFirst,46)&amp;"",""))</f>
        <v>Hannah</v>
      </c>
      <c r="BC115" t="str">
        <f>IF(BA115="","",IFERROR(INDEX(wClass,46)&amp;"",""))</f>
        <v>8A/Sc2</v>
      </c>
      <c r="BD115">
        <f>IF(BA115="","",IFERROR(INDEX(wKsBand,46)+0,""))</f>
        <v>3</v>
      </c>
      <c r="BE115">
        <f>IF(BA115="","",IFERROR(INDEX(wTests,46)+0,0))</f>
        <v>5</v>
      </c>
      <c r="BF115">
        <f>IF(BA115="","",IFERROR(INDEX(wMean,46)+0,""))</f>
        <v>2.8</v>
      </c>
      <c r="BG115">
        <f>IF(BA115="","",IFERROR(INDEX(wVs,46)+0,""))</f>
        <v>-0.584036289353521</v>
      </c>
      <c r="BH115">
        <f>IF(OR(BA115="",wLatest=""),"",IFERROR(INDEX(wData,46,MATCH(wLatest&amp;CHAR(10)&amp;"Stanine",wHdr,0))+0,""))</f>
        <v>2</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IFERROR(INDEX(tblY8[Class],ROWS(H$10:H116))&amp;"","")</f>
        <v/>
      </c>
      <c r="I116" t="str">
        <f>IF(H116="","",IF(SUMPRODUCT(--(H$10:H116=H116))=1,SUMPRODUCT(--(H$10:H$609&lt;H116))+1,""))</f>
        <v/>
      </c>
      <c r="BA116" t="str">
        <f>IFERROR(INDEX(wLast,47)&amp;"","")</f>
        <v>Morgan</v>
      </c>
      <c r="BB116" t="str">
        <f>IF(BA116="","",IFERROR(INDEX(wFirst,47)&amp;"",""))</f>
        <v>Maya</v>
      </c>
      <c r="BC116" t="str">
        <f>IF(BA116="","",IFERROR(INDEX(wClass,47)&amp;"",""))</f>
        <v>8A/Sc2</v>
      </c>
      <c r="BD116">
        <f>IF(BA116="","",IFERROR(INDEX(wKsBand,47)+0,""))</f>
        <v>6</v>
      </c>
      <c r="BE116">
        <f>IF(BA116="","",IFERROR(INDEX(wTests,47)+0,0))</f>
        <v>5</v>
      </c>
      <c r="BF116">
        <f>IF(BA116="","",IFERROR(INDEX(wMean,47)+0,""))</f>
        <v>4.8</v>
      </c>
      <c r="BG116">
        <f>IF(BA116="","",IFERROR(INDEX(wVs,47)+0,""))</f>
        <v>-0.92077024753665</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IFERROR(INDEX(tblY8[Class],ROWS(H$10:H117))&amp;"","")</f>
        <v/>
      </c>
      <c r="I117" t="str">
        <f>IF(H117="","",IF(SUMPRODUCT(--(H$10:H117=H117))=1,SUMPRODUCT(--(H$10:H$609&lt;H117))+1,""))</f>
        <v/>
      </c>
      <c r="BA117" t="str">
        <f>IFERROR(INDEX(wLast,48)&amp;"","")</f>
        <v>Roberts</v>
      </c>
      <c r="BB117" t="str">
        <f>IF(BA117="","",IFERROR(INDEX(wFirst,48)&amp;"",""))</f>
        <v>Ethan</v>
      </c>
      <c r="BC117" t="str">
        <f>IF(BA117="","",IFERROR(INDEX(wClass,48)&amp;"",""))</f>
        <v>8A/Sc2</v>
      </c>
      <c r="BD117">
        <f>IF(BA117="","",IFERROR(INDEX(wKsBand,48)+0,""))</f>
        <v>3</v>
      </c>
      <c r="BE117">
        <f>IF(BA117="","",IFERROR(INDEX(wTests,48)+0,0))</f>
        <v>5</v>
      </c>
      <c r="BF117">
        <f>IF(BA117="","",IFERROR(INDEX(wMean,48)+0,""))</f>
        <v>6.8</v>
      </c>
      <c r="BG117">
        <f>IF(BA117="","",IFERROR(INDEX(wVs,48)+0,""))</f>
        <v>3.41596371064648</v>
      </c>
      <c r="BH117">
        <f>IF(OR(BA117="",wLatest=""),"",IFERROR(INDEX(wData,48,MATCH(wLatest&amp;CHAR(10)&amp;"Stanine",wHdr,0))+0,""))</f>
        <v>7</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IFERROR(INDEX(tblY8[Class],ROWS(H$10:H118))&amp;"","")</f>
        <v/>
      </c>
      <c r="I118" t="str">
        <f>IF(H118="","",IF(SUMPRODUCT(--(H$10:H118=H118))=1,SUMPRODUCT(--(H$10:H$609&lt;H118))+1,""))</f>
        <v/>
      </c>
      <c r="BA118" t="str">
        <f>IFERROR(INDEX(wLast,49)&amp;"","")</f>
        <v>Thompson</v>
      </c>
      <c r="BB118" t="str">
        <f>IF(BA118="","",IFERROR(INDEX(wFirst,49)&amp;"",""))</f>
        <v>Rhys</v>
      </c>
      <c r="BC118" t="str">
        <f>IF(BA118="","",IFERROR(INDEX(wClass,49)&amp;"",""))</f>
        <v>8A/Sc2</v>
      </c>
      <c r="BD118">
        <f>IF(BA118="","",IFERROR(INDEX(wKsBand,49)+0,""))</f>
        <v>6</v>
      </c>
      <c r="BE118">
        <f>IF(BA118="","",IFERROR(INDEX(wTests,49)+0,0))</f>
        <v>5</v>
      </c>
      <c r="BF118">
        <f>IF(BA118="","",IFERROR(INDEX(wMean,49)+0,""))</f>
        <v>4.2</v>
      </c>
      <c r="BG118">
        <f>IF(BA118="","",IFERROR(INDEX(wVs,49)+0,""))</f>
        <v>-1.52077024753665</v>
      </c>
      <c r="BH118">
        <f>IF(OR(BA118="",wLatest=""),"",IFERROR(INDEX(wData,49,MATCH(wLatest&amp;CHAR(10)&amp;"Stanine",wHdr,0))+0,""))</f>
        <v>3</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-1.52065224753665</v>
      </c>
    </row>
    <row r="119">
      <c r="H119" t="str">
        <f>IFERROR(INDEX(tblY8[Class],ROWS(H$10:H119))&amp;"","")</f>
        <v/>
      </c>
      <c r="I119" t="str">
        <f>IF(H119="","",IF(SUMPRODUCT(--(H$10:H119=H119))=1,SUMPRODUCT(--(H$10:H$609&lt;H119))+1,""))</f>
        <v/>
      </c>
      <c r="BA119" t="str">
        <f>IFERROR(INDEX(wLast,50)&amp;"","")</f>
        <v>White</v>
      </c>
      <c r="BB119" t="str">
        <f>IF(BA119="","",IFERROR(INDEX(wFirst,50)&amp;"",""))</f>
        <v>Freya</v>
      </c>
      <c r="BC119" t="str">
        <f>IF(BA119="","",IFERROR(INDEX(wClass,50)&amp;"",""))</f>
        <v>8A/Sc2</v>
      </c>
      <c r="BD119">
        <f>IF(BA119="","",IFERROR(INDEX(wKsBand,50)+0,""))</f>
        <v>7</v>
      </c>
      <c r="BE119">
        <f>IF(BA119="","",IFERROR(INDEX(wTests,50)+0,0))</f>
        <v>5</v>
      </c>
      <c r="BF119">
        <f>IF(BA119="","",IFERROR(INDEX(wMean,50)+0,""))</f>
        <v>6</v>
      </c>
      <c r="BG119">
        <f>IF(BA119="","",IFERROR(INDEX(wVs,50)+0,""))</f>
        <v>-0.499681566931026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IFERROR(INDEX(tblY8[Class],ROWS(H$10:H120))&amp;"","")</f>
        <v/>
      </c>
      <c r="I120" t="str">
        <f>IF(H120="","",IF(SUMPRODUCT(--(H$10:H120=H120))=1,SUMPRODUCT(--(H$10:H$609&lt;H120))+1,""))</f>
        <v/>
      </c>
      <c r="BA120" t="str">
        <f>IFERROR(INDEX(wLast,51)&amp;"","")</f>
        <v>Williams</v>
      </c>
      <c r="BB120" t="str">
        <f>IF(BA120="","",IFERROR(INDEX(wFirst,51)&amp;"",""))</f>
        <v>Reuben</v>
      </c>
      <c r="BC120" t="str">
        <f>IF(BA120="","",IFERROR(INDEX(wClass,51)&amp;"",""))</f>
        <v>8A/Sc2</v>
      </c>
      <c r="BD120">
        <f>IF(BA120="","",IFERROR(INDEX(wKsBand,51)+0,""))</f>
        <v>6</v>
      </c>
      <c r="BE120">
        <f>IF(BA120="","",IFERROR(INDEX(wTests,51)+0,0))</f>
        <v>5</v>
      </c>
      <c r="BF120">
        <f>IF(BA120="","",IFERROR(INDEX(wMean,51)+0,""))</f>
        <v>5.6</v>
      </c>
      <c r="BG120">
        <f>IF(BA120="","",IFERROR(INDEX(wVs,51)+0,""))</f>
        <v>-0.12077024753665</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IFERROR(INDEX(tblY8[Class],ROWS(H$10:H121))&amp;"","")</f>
        <v/>
      </c>
      <c r="I121" t="str">
        <f>IF(H121="","",IF(SUMPRODUCT(--(H$10:H121=H121))=1,SUMPRODUCT(--(H$10:H$609&lt;H121))+1,""))</f>
        <v/>
      </c>
      <c r="BA121" t="str">
        <f>IFERROR(INDEX(wLast,52)&amp;"","")</f>
        <v>Wilson</v>
      </c>
      <c r="BB121" t="str">
        <f>IF(BA121="","",IFERROR(INDEX(wFirst,52)&amp;"",""))</f>
        <v>Ivy</v>
      </c>
      <c r="BC121" t="str">
        <f>IF(BA121="","",IFERROR(INDEX(wClass,52)&amp;"",""))</f>
        <v>8A/Sc2</v>
      </c>
      <c r="BD121">
        <f>IF(BA121="","",IFERROR(INDEX(wKsBand,52)+0,""))</f>
        <v>6</v>
      </c>
      <c r="BE121">
        <f>IF(BA121="","",IFERROR(INDEX(wTests,52)+0,0))</f>
        <v>4</v>
      </c>
      <c r="BF121">
        <f>IF(BA121="","",IFERROR(INDEX(wMean,52)+0,""))</f>
        <v>5</v>
      </c>
      <c r="BG121">
        <f>IF(BA121="","",IFERROR(INDEX(wVs,52)+0,""))</f>
        <v>-0.72077024753665</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IFERROR(INDEX(tblY8[Class],ROWS(H$10:H122))&amp;"","")</f>
        <v/>
      </c>
      <c r="I122" t="str">
        <f>IF(H122="","",IF(SUMPRODUCT(--(H$10:H122=H122))=1,SUMPRODUCT(--(H$10:H$609&lt;H122))+1,""))</f>
        <v/>
      </c>
      <c r="BA122" t="str">
        <f>IFERROR(INDEX(wLast,53)&amp;"","")</f>
        <v>Wright</v>
      </c>
      <c r="BB122" t="str">
        <f>IF(BA122="","",IFERROR(INDEX(wFirst,53)&amp;"",""))</f>
        <v>Arthur</v>
      </c>
      <c r="BC122" t="str">
        <f>IF(BA122="","",IFERROR(INDEX(wClass,53)&amp;"",""))</f>
        <v>8A/Sc2</v>
      </c>
      <c r="BD122">
        <f>IF(BA122="","",IFERROR(INDEX(wKsBand,53)+0,""))</f>
        <v>3</v>
      </c>
      <c r="BE122">
        <f>IF(BA122="","",IFERROR(INDEX(wTests,53)+0,0))</f>
        <v>5</v>
      </c>
      <c r="BF122">
        <f>IF(BA122="","",IFERROR(INDEX(wMean,53)+0,""))</f>
        <v>3</v>
      </c>
      <c r="BG122">
        <f>IF(BA122="","",IFERROR(INDEX(wVs,53)+0,""))</f>
        <v>-0.384036289353521</v>
      </c>
      <c r="BH122">
        <f>IF(OR(BA122="",wLatest=""),"",IFERROR(INDEX(wData,53,MATCH(wLatest&amp;CHAR(10)&amp;"Stanine",wHdr,0))+0,""))</f>
        <v>1</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IFERROR(INDEX(tblY8[Class],ROWS(H$10:H123))&amp;"","")</f>
        <v/>
      </c>
      <c r="I123" t="str">
        <f>IF(H123="","",IF(SUMPRODUCT(--(H$10:H123=H123))=1,SUMPRODUCT(--(H$10:H$609&lt;H123))+1,""))</f>
        <v/>
      </c>
      <c r="BA123" t="str">
        <f>IFERROR(INDEX(wLast,54)&amp;"","")</f>
        <v>Begum</v>
      </c>
      <c r="BB123" t="str">
        <f>IF(BA123="","",IFERROR(INDEX(wFirst,54)&amp;"",""))</f>
        <v>Ethan</v>
      </c>
      <c r="BC123" t="str">
        <f>IF(BA123="","",IFERROR(INDEX(wClass,54)&amp;"",""))</f>
        <v>8A/Sc3</v>
      </c>
      <c r="BD123">
        <f>IF(BA123="","",IFERROR(INDEX(wKsBand,54)+0,""))</f>
        <v>6</v>
      </c>
      <c r="BE123">
        <f>IF(BA123="","",IFERROR(INDEX(wTests,54)+0,0))</f>
        <v>5</v>
      </c>
      <c r="BF123">
        <f>IF(BA123="","",IFERROR(INDEX(wMean,54)+0,""))</f>
        <v>6.6</v>
      </c>
      <c r="BG123">
        <f>IF(BA123="","",IFERROR(INDEX(wVs,54)+0,""))</f>
        <v>0.87922975246335</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IFERROR(INDEX(tblY8[Class],ROWS(H$10:H124))&amp;"","")</f>
        <v/>
      </c>
      <c r="I124" t="str">
        <f>IF(H124="","",IF(SUMPRODUCT(--(H$10:H124=H124))=1,SUMPRODUCT(--(H$10:H$609&lt;H124))+1,""))</f>
        <v/>
      </c>
      <c r="BA124" t="str">
        <f>IFERROR(INDEX(wLast,55)&amp;"","")</f>
        <v>Brown</v>
      </c>
      <c r="BB124" t="str">
        <f>IF(BA124="","",IFERROR(INDEX(wFirst,55)&amp;"",""))</f>
        <v>George</v>
      </c>
      <c r="BC124" t="str">
        <f>IF(BA124="","",IFERROR(INDEX(wClass,55)&amp;"",""))</f>
        <v>8A/Sc3</v>
      </c>
      <c r="BD124">
        <f>IF(BA124="","",IFERROR(INDEX(wKsBand,55)+0,""))</f>
        <v>5</v>
      </c>
      <c r="BE124">
        <f>IF(BA124="","",IFERROR(INDEX(wTests,55)+0,0))</f>
        <v>5</v>
      </c>
      <c r="BF124">
        <f>IF(BA124="","",IFERROR(INDEX(wMean,55)+0,""))</f>
        <v>3.4</v>
      </c>
      <c r="BG124">
        <f>IF(BA124="","",IFERROR(INDEX(wVs,55)+0,""))</f>
        <v>-1.54185892814227</v>
      </c>
      <c r="BH124">
        <f>IF(OR(BA124="",wLatest=""),"",IFERROR(INDEX(wData,55,MATCH(wLatest&amp;CHAR(10)&amp;"Stanine",wHdr,0))+0,""))</f>
        <v>3</v>
      </c>
      <c r="BI124" t="str">
        <f>IF(BA124="","",IF(AND(ISNUMBER(BG124),N(BE124)&gt;=WlMinTests,BG124&lt;=-WlGap),"Below expected for KS2",IF(AND(NOT(ISNUMBER(BD124)),ISNUMBER(BF124),N(BE124)&gt;=WlMinTests,BF124&lt;=WlLowMean),"Low results, no KS2 data","")))</f>
        <v>Below expected for KS2</v>
      </c>
      <c r="BJ124">
        <f>IF(BI124="","",IF(BI124="Below expected for KS2",BG124,100+BF124)+ROW()/1000000)</f>
        <v>-1.54173492814227</v>
      </c>
    </row>
    <row r="125">
      <c r="H125" t="str">
        <f>IFERROR(INDEX(tblY8[Class],ROWS(H$10:H125))&amp;"","")</f>
        <v/>
      </c>
      <c r="I125" t="str">
        <f>IF(H125="","",IF(SUMPRODUCT(--(H$10:H125=H125))=1,SUMPRODUCT(--(H$10:H$609&lt;H125))+1,""))</f>
        <v/>
      </c>
      <c r="BA125" t="str">
        <f>IFERROR(INDEX(wLast,56)&amp;"","")</f>
        <v>Clarke</v>
      </c>
      <c r="BB125" t="str">
        <f>IF(BA125="","",IFERROR(INDEX(wFirst,56)&amp;"",""))</f>
        <v>Sami</v>
      </c>
      <c r="BC125" t="str">
        <f>IF(BA125="","",IFERROR(INDEX(wClass,56)&amp;"",""))</f>
        <v>8A/Sc3</v>
      </c>
      <c r="BD125">
        <f>IF(BA125="","",IFERROR(INDEX(wKsBand,56)+0,""))</f>
        <v>4</v>
      </c>
      <c r="BE125">
        <f>IF(BA125="","",IFERROR(INDEX(wTests,56)+0,0))</f>
        <v>5</v>
      </c>
      <c r="BF125">
        <f>IF(BA125="","",IFERROR(INDEX(wMean,56)+0,""))</f>
        <v>4.2</v>
      </c>
      <c r="BG125">
        <f>IF(BA125="","",IFERROR(INDEX(wVs,56)+0,""))</f>
        <v>0.0370523912521028</v>
      </c>
      <c r="BH125">
        <f>IF(OR(BA125="",wLatest=""),"",IFERROR(INDEX(wData,56,MATCH(wLatest&amp;CHAR(10)&amp;"Stanine",wHdr,0))+0,""))</f>
        <v>4</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IFERROR(INDEX(tblY8[Class],ROWS(H$10:H126))&amp;"","")</f>
        <v/>
      </c>
      <c r="I126" t="str">
        <f>IF(H126="","",IF(SUMPRODUCT(--(H$10:H126=H126))=1,SUMPRODUCT(--(H$10:H$609&lt;H126))+1,""))</f>
        <v/>
      </c>
      <c r="BA126" t="str">
        <f>IFERROR(INDEX(wLast,57)&amp;"","")</f>
        <v>Cooper</v>
      </c>
      <c r="BB126" t="str">
        <f>IF(BA126="","",IFERROR(INDEX(wFirst,57)&amp;"",""))</f>
        <v>Ava</v>
      </c>
      <c r="BC126" t="str">
        <f>IF(BA126="","",IFERROR(INDEX(wClass,57)&amp;"",""))</f>
        <v>8A/Sc3</v>
      </c>
      <c r="BD126">
        <f>IF(BA126="","",IFERROR(INDEX(wKsBand,57)+0,""))</f>
        <v>5</v>
      </c>
      <c r="BE126">
        <f>IF(BA126="","",IFERROR(INDEX(wTests,57)+0,0))</f>
        <v>5</v>
      </c>
      <c r="BF126">
        <f>IF(BA126="","",IFERROR(INDEX(wMean,57)+0,""))</f>
        <v>3.2</v>
      </c>
      <c r="BG126">
        <f>IF(BA126="","",IFERROR(INDEX(wVs,57)+0,""))</f>
        <v>-1.74185892814227</v>
      </c>
      <c r="BH126">
        <f>IF(OR(BA126="",wLatest=""),"",IFERROR(INDEX(wData,57,MATCH(wLatest&amp;CHAR(10)&amp;"Stanine",wHdr,0))+0,""))</f>
        <v>2</v>
      </c>
      <c r="BI126" t="str">
        <f>IF(BA126="","",IF(AND(ISNUMBER(BG126),N(BE126)&gt;=WlMinTests,BG126&lt;=-WlGap),"Below expected for KS2",IF(AND(NOT(ISNUMBER(BD126)),ISNUMBER(BF126),N(BE126)&gt;=WlMinTests,BF126&lt;=WlLowMean),"Low results, no KS2 data","")))</f>
        <v>Below expected for KS2</v>
      </c>
      <c r="BJ126">
        <f>IF(BI126="","",IF(BI126="Below expected for KS2",BG126,100+BF126)+ROW()/1000000)</f>
        <v>-1.74173292814227</v>
      </c>
    </row>
    <row r="127">
      <c r="H127" t="str">
        <f>IFERROR(INDEX(tblY8[Class],ROWS(H$10:H127))&amp;"","")</f>
        <v/>
      </c>
      <c r="I127" t="str">
        <f>IF(H127="","",IF(SUMPRODUCT(--(H$10:H127=H127))=1,SUMPRODUCT(--(H$10:H$609&lt;H127))+1,""))</f>
        <v/>
      </c>
      <c r="BA127" t="str">
        <f>IFERROR(INDEX(wLast,58)&amp;"","")</f>
        <v>Cooper</v>
      </c>
      <c r="BB127" t="str">
        <f>IF(BA127="","",IFERROR(INDEX(wFirst,58)&amp;"",""))</f>
        <v>Reuben</v>
      </c>
      <c r="BC127" t="str">
        <f>IF(BA127="","",IFERROR(INDEX(wClass,58)&amp;"",""))</f>
        <v>8A/Sc3</v>
      </c>
      <c r="BD127" t="str">
        <f>IF(BA127="","",IFERROR(INDEX(wKsBand,58)+0,""))</f>
        <v/>
      </c>
      <c r="BE127">
        <f>IF(BA127="","",IFERROR(INDEX(wTests,58)+0,0))</f>
        <v>5</v>
      </c>
      <c r="BF127">
        <f>IF(BA127="","",IFERROR(INDEX(wMean,58)+0,""))</f>
        <v>2.8</v>
      </c>
      <c r="BG127" t="str">
        <f>IF(BA127="","",IFERROR(INDEX(wVs,58)+0,""))</f>
        <v/>
      </c>
      <c r="BH127">
        <f>IF(OR(BA127="",wLatest=""),"",IFERROR(INDEX(wData,58,MATCH(wLatest&amp;CHAR(10)&amp;"Stanine",wHdr,0))+0,""))</f>
        <v>2</v>
      </c>
      <c r="BI127" t="str">
        <f>IF(BA127="","",IF(AND(ISNUMBER(BG127),N(BE127)&gt;=WlMinTests,BG127&lt;=-WlGap),"Below expected for KS2",IF(AND(NOT(ISNUMBER(BD127)),ISNUMBER(BF127),N(BE127)&gt;=WlMinTests,BF127&lt;=WlLowMean),"Low results, no KS2 data","")))</f>
        <v>Low results, no KS2 data</v>
      </c>
      <c r="BJ127">
        <f>IF(BI127="","",IF(BI127="Below expected for KS2",BG127,100+BF127)+ROW()/1000000)</f>
        <v>102.800127</v>
      </c>
    </row>
    <row r="128">
      <c r="H128" t="str">
        <f>IFERROR(INDEX(tblY8[Class],ROWS(H$10:H128))&amp;"","")</f>
        <v/>
      </c>
      <c r="I128" t="str">
        <f>IF(H128="","",IF(SUMPRODUCT(--(H$10:H128=H128))=1,SUMPRODUCT(--(H$10:H$609&lt;H128))+1,""))</f>
        <v/>
      </c>
      <c r="BA128" t="str">
        <f>IFERROR(INDEX(wLast,59)&amp;"","")</f>
        <v>Davies</v>
      </c>
      <c r="BB128" t="str">
        <f>IF(BA128="","",IFERROR(INDEX(wFirst,59)&amp;"",""))</f>
        <v>Isla</v>
      </c>
      <c r="BC128" t="str">
        <f>IF(BA128="","",IFERROR(INDEX(wClass,59)&amp;"",""))</f>
        <v>8A/Sc3</v>
      </c>
      <c r="BD128">
        <f>IF(BA128="","",IFERROR(INDEX(wKsBand,59)+0,""))</f>
        <v>7</v>
      </c>
      <c r="BE128">
        <f>IF(BA128="","",IFERROR(INDEX(wTests,59)+0,0))</f>
        <v>5</v>
      </c>
      <c r="BF128">
        <f>IF(BA128="","",IFERROR(INDEX(wMean,59)+0,""))</f>
        <v>4.4</v>
      </c>
      <c r="BG128">
        <f>IF(BA128="","",IFERROR(INDEX(wVs,59)+0,""))</f>
        <v>-2.09968156693103</v>
      </c>
      <c r="BH128">
        <f>IF(OR(BA128="",wLatest=""),"",IFERROR(INDEX(wData,59,MATCH(wLatest&amp;CHAR(10)&amp;"Stanine",wHdr,0))+0,""))</f>
        <v>3</v>
      </c>
      <c r="BI128" t="str">
        <f>IF(BA128="","",IF(AND(ISNUMBER(BG128),N(BE128)&gt;=WlMinTests,BG128&lt;=-WlGap),"Below expected for KS2",IF(AND(NOT(ISNUMBER(BD128)),ISNUMBER(BF128),N(BE128)&gt;=WlMinTests,BF128&lt;=WlLowMean),"Low results, no KS2 data","")))</f>
        <v>Below expected for KS2</v>
      </c>
      <c r="BJ128">
        <f>IF(BI128="","",IF(BI128="Below expected for KS2",BG128,100+BF128)+ROW()/1000000)</f>
        <v>-2.09955356693103</v>
      </c>
    </row>
    <row r="129">
      <c r="H129" t="str">
        <f>IFERROR(INDEX(tblY8[Class],ROWS(H$10:H129))&amp;"","")</f>
        <v/>
      </c>
      <c r="I129" t="str">
        <f>IF(H129="","",IF(SUMPRODUCT(--(H$10:H129=H129))=1,SUMPRODUCT(--(H$10:H$609&lt;H129))+1,""))</f>
        <v/>
      </c>
      <c r="BA129" t="str">
        <f>IFERROR(INDEX(wLast,60)&amp;"","")</f>
        <v>Green</v>
      </c>
      <c r="BB129" t="str">
        <f>IF(BA129="","",IFERROR(INDEX(wFirst,60)&amp;"",""))</f>
        <v>Oliver</v>
      </c>
      <c r="BC129" t="str">
        <f>IF(BA129="","",IFERROR(INDEX(wClass,60)&amp;"",""))</f>
        <v>8A/Sc3</v>
      </c>
      <c r="BD129">
        <f>IF(BA129="","",IFERROR(INDEX(wKsBand,60)+0,""))</f>
        <v>2</v>
      </c>
      <c r="BE129">
        <f>IF(BA129="","",IFERROR(INDEX(wTests,60)+0,0))</f>
        <v>5</v>
      </c>
      <c r="BF129">
        <f>IF(BA129="","",IFERROR(INDEX(wMean,60)+0,""))</f>
        <v>2</v>
      </c>
      <c r="BG129">
        <f>IF(BA129="","",IFERROR(INDEX(wVs,60)+0,""))</f>
        <v>-0.605124969959145</v>
      </c>
      <c r="BH129">
        <f>IF(OR(BA129="",wLatest=""),"",IFERROR(INDEX(wData,60,MATCH(wLatest&amp;CHAR(10)&amp;"Stanine",wHdr,0))+0,""))</f>
        <v>2</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IFERROR(INDEX(tblY8[Class],ROWS(H$10:H130))&amp;"","")</f>
        <v/>
      </c>
      <c r="I130" t="str">
        <f>IF(H130="","",IF(SUMPRODUCT(--(H$10:H130=H130))=1,SUMPRODUCT(--(H$10:H$609&lt;H130))+1,""))</f>
        <v/>
      </c>
      <c r="BA130" t="str">
        <f>IFERROR(INDEX(wLast,61)&amp;"","")</f>
        <v>Harrison</v>
      </c>
      <c r="BB130" t="str">
        <f>IF(BA130="","",IFERROR(INDEX(wFirst,61)&amp;"",""))</f>
        <v>Zofia</v>
      </c>
      <c r="BC130" t="str">
        <f>IF(BA130="","",IFERROR(INDEX(wClass,61)&amp;"",""))</f>
        <v>8A/Sc3</v>
      </c>
      <c r="BD130">
        <f>IF(BA130="","",IFERROR(INDEX(wKsBand,61)+0,""))</f>
        <v>3</v>
      </c>
      <c r="BE130">
        <f>IF(BA130="","",IFERROR(INDEX(wTests,61)+0,0))</f>
        <v>5</v>
      </c>
      <c r="BF130">
        <f>IF(BA130="","",IFERROR(INDEX(wMean,61)+0,""))</f>
        <v>3.2</v>
      </c>
      <c r="BG130">
        <f>IF(BA130="","",IFERROR(INDEX(wVs,61)+0,""))</f>
        <v>-0.184036289353521</v>
      </c>
      <c r="BH130">
        <f>IF(OR(BA130="",wLatest=""),"",IFERROR(INDEX(wData,61,MATCH(wLatest&amp;CHAR(10)&amp;"Stanine",wHdr,0))+0,""))</f>
        <v>3</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IFERROR(INDEX(tblY8[Class],ROWS(H$10:H131))&amp;"","")</f>
        <v/>
      </c>
      <c r="I131" t="str">
        <f>IF(H131="","",IF(SUMPRODUCT(--(H$10:H131=H131))=1,SUMPRODUCT(--(H$10:H$609&lt;H131))+1,""))</f>
        <v/>
      </c>
      <c r="BA131" t="str">
        <f>IFERROR(INDEX(wLast,62)&amp;"","")</f>
        <v>Hughes</v>
      </c>
      <c r="BB131" t="str">
        <f>IF(BA131="","",IFERROR(INDEX(wFirst,62)&amp;"",""))</f>
        <v>Layla</v>
      </c>
      <c r="BC131" t="str">
        <f>IF(BA131="","",IFERROR(INDEX(wClass,62)&amp;"",""))</f>
        <v>8A/Sc3</v>
      </c>
      <c r="BD131">
        <f>IF(BA131="","",IFERROR(INDEX(wKsBand,62)+0,""))</f>
        <v>5</v>
      </c>
      <c r="BE131">
        <f>IF(BA131="","",IFERROR(INDEX(wTests,62)+0,0))</f>
        <v>5</v>
      </c>
      <c r="BF131">
        <f>IF(BA131="","",IFERROR(INDEX(wMean,62)+0,""))</f>
        <v>6.8</v>
      </c>
      <c r="BG131">
        <f>IF(BA131="","",IFERROR(INDEX(wVs,62)+0,""))</f>
        <v>1.85814107185773</v>
      </c>
      <c r="BH131">
        <f>IF(OR(BA131="",wLatest=""),"",IFERROR(INDEX(wData,62,MATCH(wLatest&amp;CHAR(10)&amp;"Stanine",wHdr,0))+0,""))</f>
        <v>6</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IFERROR(INDEX(tblY8[Class],ROWS(H$10:H132))&amp;"","")</f>
        <v/>
      </c>
      <c r="I132" t="str">
        <f>IF(H132="","",IF(SUMPRODUCT(--(H$10:H132=H132))=1,SUMPRODUCT(--(H$10:H$609&lt;H132))+1,""))</f>
        <v/>
      </c>
      <c r="BA132" t="str">
        <f>IFERROR(INDEX(wLast,63)&amp;"","")</f>
        <v>Hughes</v>
      </c>
      <c r="BB132" t="str">
        <f>IF(BA132="","",IFERROR(INDEX(wFirst,63)&amp;"",""))</f>
        <v>Sami</v>
      </c>
      <c r="BC132" t="str">
        <f>IF(BA132="","",IFERROR(INDEX(wClass,63)&amp;"",""))</f>
        <v>8A/Sc3</v>
      </c>
      <c r="BD132">
        <f>IF(BA132="","",IFERROR(INDEX(wKsBand,63)+0,""))</f>
        <v>3</v>
      </c>
      <c r="BE132">
        <f>IF(BA132="","",IFERROR(INDEX(wTests,63)+0,0))</f>
        <v>5</v>
      </c>
      <c r="BF132">
        <f>IF(BA132="","",IFERROR(INDEX(wMean,63)+0,""))</f>
        <v>2</v>
      </c>
      <c r="BG132">
        <f>IF(BA132="","",IFERROR(INDEX(wVs,63)+0,""))</f>
        <v>-1.38403628935352</v>
      </c>
      <c r="BH132">
        <f>IF(OR(BA132="",wLatest=""),"",IFERROR(INDEX(wData,63,MATCH(wLatest&amp;CHAR(10)&amp;"Stanine",wHdr,0))+0,""))</f>
        <v>1</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IFERROR(INDEX(tblY8[Class],ROWS(H$10:H133))&amp;"","")</f>
        <v/>
      </c>
      <c r="I133" t="str">
        <f>IF(H133="","",IF(SUMPRODUCT(--(H$10:H133=H133))=1,SUMPRODUCT(--(H$10:H$609&lt;H133))+1,""))</f>
        <v/>
      </c>
      <c r="BA133" t="str">
        <f>IFERROR(INDEX(wLast,64)&amp;"","")</f>
        <v>Johnson</v>
      </c>
      <c r="BB133" t="str">
        <f>IF(BA133="","",IFERROR(INDEX(wFirst,64)&amp;"",""))</f>
        <v>Sami</v>
      </c>
      <c r="BC133" t="str">
        <f>IF(BA133="","",IFERROR(INDEX(wClass,64)&amp;"",""))</f>
        <v>8A/Sc3</v>
      </c>
      <c r="BD133">
        <f>IF(BA133="","",IFERROR(INDEX(wKsBand,64)+0,""))</f>
        <v>6</v>
      </c>
      <c r="BE133">
        <f>IF(BA133="","",IFERROR(INDEX(wTests,64)+0,0))</f>
        <v>5</v>
      </c>
      <c r="BF133">
        <f>IF(BA133="","",IFERROR(INDEX(wMean,64)+0,""))</f>
        <v>3.8</v>
      </c>
      <c r="BG133">
        <f>IF(BA133="","",IFERROR(INDEX(wVs,64)+0,""))</f>
        <v>-1.92077024753665</v>
      </c>
      <c r="BH133">
        <f>IF(OR(BA133="",wLatest=""),"",IFERROR(INDEX(wData,64,MATCH(wLatest&amp;CHAR(10)&amp;"Stanine",wHdr,0))+0,""))</f>
        <v>4</v>
      </c>
      <c r="BI133" t="str">
        <f>IF(BA133="","",IF(AND(ISNUMBER(BG133),N(BE133)&gt;=WlMinTests,BG133&lt;=-WlGap),"Below expected for KS2",IF(AND(NOT(ISNUMBER(BD133)),ISNUMBER(BF133),N(BE133)&gt;=WlMinTests,BF133&lt;=WlLowMean),"Low results, no KS2 data","")))</f>
        <v>Below expected for KS2</v>
      </c>
      <c r="BJ133">
        <f>IF(BI133="","",IF(BI133="Below expected for KS2",BG133,100+BF133)+ROW()/1000000)</f>
        <v>-1.92063724753665</v>
      </c>
    </row>
    <row r="134">
      <c r="H134" t="str">
        <f>IFERROR(INDEX(tblY8[Class],ROWS(H$10:H134))&amp;"","")</f>
        <v/>
      </c>
      <c r="I134" t="str">
        <f>IF(H134="","",IF(SUMPRODUCT(--(H$10:H134=H134))=1,SUMPRODUCT(--(H$10:H$609&lt;H134))+1,""))</f>
        <v/>
      </c>
      <c r="BA134" t="str">
        <f>IFERROR(INDEX(wLast,65)&amp;"","")</f>
        <v>Kelly</v>
      </c>
      <c r="BB134" t="str">
        <f>IF(BA134="","",IFERROR(INDEX(wFirst,65)&amp;"",""))</f>
        <v>Dylan</v>
      </c>
      <c r="BC134" t="str">
        <f>IF(BA134="","",IFERROR(INDEX(wClass,65)&amp;"",""))</f>
        <v>8A/Sc3</v>
      </c>
      <c r="BD134">
        <f>IF(BA134="","",IFERROR(INDEX(wKsBand,65)+0,""))</f>
        <v>4</v>
      </c>
      <c r="BE134">
        <f>IF(BA134="","",IFERROR(INDEX(wTests,65)+0,0))</f>
        <v>5</v>
      </c>
      <c r="BF134">
        <f>IF(BA134="","",IFERROR(INDEX(wMean,65)+0,""))</f>
        <v>3.6</v>
      </c>
      <c r="BG134">
        <f>IF(BA134="","",IFERROR(INDEX(wVs,65)+0,""))</f>
        <v>-0.562947608747897</v>
      </c>
      <c r="BH134">
        <f>IF(OR(BA134="",wLatest=""),"",IFERROR(INDEX(wData,65,MATCH(wLatest&amp;CHAR(10)&amp;"Stanine",wHdr,0))+0,""))</f>
        <v>3</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IFERROR(INDEX(tblY8[Class],ROWS(H$10:H135))&amp;"","")</f>
        <v/>
      </c>
      <c r="I135" t="str">
        <f>IF(H135="","",IF(SUMPRODUCT(--(H$10:H135=H135))=1,SUMPRODUCT(--(H$10:H$609&lt;H135))+1,""))</f>
        <v/>
      </c>
      <c r="BA135" t="str">
        <f>IFERROR(INDEX(wLast,66)&amp;"","")</f>
        <v>Lloyd</v>
      </c>
      <c r="BB135" t="str">
        <f>IF(BA135="","",IFERROR(INDEX(wFirst,66)&amp;"",""))</f>
        <v>Finley</v>
      </c>
      <c r="BC135" t="str">
        <f>IF(BA135="","",IFERROR(INDEX(wClass,66)&amp;"",""))</f>
        <v>8A/Sc3</v>
      </c>
      <c r="BD135">
        <f>IF(BA135="","",IFERROR(INDEX(wKsBand,66)+0,""))</f>
        <v>2</v>
      </c>
      <c r="BE135">
        <f>IF(BA135="","",IFERROR(INDEX(wTests,66)+0,0))</f>
        <v>4</v>
      </c>
      <c r="BF135">
        <f>IF(BA135="","",IFERROR(INDEX(wMean,66)+0,""))</f>
        <v>4.5</v>
      </c>
      <c r="BG135">
        <f>IF(BA135="","",IFERROR(INDEX(wVs,66)+0,""))</f>
        <v>1.89487503004086</v>
      </c>
      <c r="BH135" t="str">
        <f>IF(OR(BA135="",wLatest=""),"",IFERROR(INDEX(wData,66,MATCH(wLatest&amp;CHAR(10)&amp;"Stanine",wHdr,0))+0,""))</f>
        <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IFERROR(INDEX(tblY8[Class],ROWS(H$10:H136))&amp;"","")</f>
        <v/>
      </c>
      <c r="I136" t="str">
        <f>IF(H136="","",IF(SUMPRODUCT(--(H$10:H136=H136))=1,SUMPRODUCT(--(H$10:H$609&lt;H136))+1,""))</f>
        <v/>
      </c>
      <c r="BA136" t="str">
        <f>IFERROR(INDEX(wLast,67)&amp;"","")</f>
        <v>Lloyd</v>
      </c>
      <c r="BB136" t="str">
        <f>IF(BA136="","",IFERROR(INDEX(wFirst,67)&amp;"",""))</f>
        <v>Ibrahim</v>
      </c>
      <c r="BC136" t="str">
        <f>IF(BA136="","",IFERROR(INDEX(wClass,67)&amp;"",""))</f>
        <v>8A/Sc3</v>
      </c>
      <c r="BD136">
        <f>IF(BA136="","",IFERROR(INDEX(wKsBand,67)+0,""))</f>
        <v>5</v>
      </c>
      <c r="BE136">
        <f>IF(BA136="","",IFERROR(INDEX(wTests,67)+0,0))</f>
        <v>5</v>
      </c>
      <c r="BF136">
        <f>IF(BA136="","",IFERROR(INDEX(wMean,67)+0,""))</f>
        <v>4.8</v>
      </c>
      <c r="BG136">
        <f>IF(BA136="","",IFERROR(INDEX(wVs,67)+0,""))</f>
        <v>-0.141858928142273</v>
      </c>
      <c r="BH136">
        <f>IF(OR(BA136="",wLatest=""),"",IFERROR(INDEX(wData,67,MATCH(wLatest&amp;CHAR(10)&amp;"Stanine",wHdr,0))+0,""))</f>
        <v>6</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IFERROR(INDEX(tblY8[Class],ROWS(H$10:H137))&amp;"","")</f>
        <v/>
      </c>
      <c r="I137" t="str">
        <f>IF(H137="","",IF(SUMPRODUCT(--(H$10:H137=H137))=1,SUMPRODUCT(--(H$10:H$609&lt;H137))+1,""))</f>
        <v/>
      </c>
      <c r="BA137" t="str">
        <f>IFERROR(INDEX(wLast,68)&amp;"","")</f>
        <v>Lloyd</v>
      </c>
      <c r="BB137" t="str">
        <f>IF(BA137="","",IFERROR(INDEX(wFirst,68)&amp;"",""))</f>
        <v>Sami</v>
      </c>
      <c r="BC137" t="str">
        <f>IF(BA137="","",IFERROR(INDEX(wClass,68)&amp;"",""))</f>
        <v>8A/Sc3</v>
      </c>
      <c r="BD137">
        <f>IF(BA137="","",IFERROR(INDEX(wKsBand,68)+0,""))</f>
        <v>2</v>
      </c>
      <c r="BE137">
        <f>IF(BA137="","",IFERROR(INDEX(wTests,68)+0,0))</f>
        <v>5</v>
      </c>
      <c r="BF137">
        <f>IF(BA137="","",IFERROR(INDEX(wMean,68)+0,""))</f>
        <v>3</v>
      </c>
      <c r="BG137">
        <f>IF(BA137="","",IFERROR(INDEX(wVs,68)+0,""))</f>
        <v>0.394875030040855</v>
      </c>
      <c r="BH137">
        <f>IF(OR(BA137="",wLatest=""),"",IFERROR(INDEX(wData,68,MATCH(wLatest&amp;CHAR(10)&amp;"Stanine",wHdr,0))+0,""))</f>
        <v>3</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IFERROR(INDEX(tblY8[Class],ROWS(H$10:H138))&amp;"","")</f>
        <v/>
      </c>
      <c r="I138" t="str">
        <f>IF(H138="","",IF(SUMPRODUCT(--(H$10:H138=H138))=1,SUMPRODUCT(--(H$10:H$609&lt;H138))+1,""))</f>
        <v/>
      </c>
      <c r="BA138" t="str">
        <f>IFERROR(INDEX(wLast,69)&amp;"","")</f>
        <v>Pearson</v>
      </c>
      <c r="BB138" t="str">
        <f>IF(BA138="","",IFERROR(INDEX(wFirst,69)&amp;"",""))</f>
        <v>Callum</v>
      </c>
      <c r="BC138" t="str">
        <f>IF(BA138="","",IFERROR(INDEX(wClass,69)&amp;"",""))</f>
        <v>8A/Sc3</v>
      </c>
      <c r="BD138">
        <f>IF(BA138="","",IFERROR(INDEX(wKsBand,69)+0,""))</f>
        <v>3</v>
      </c>
      <c r="BE138">
        <f>IF(BA138="","",IFERROR(INDEX(wTests,69)+0,0))</f>
        <v>5</v>
      </c>
      <c r="BF138">
        <f>IF(BA138="","",IFERROR(INDEX(wMean,69)+0,""))</f>
        <v>1.8</v>
      </c>
      <c r="BG138">
        <f>IF(BA138="","",IFERROR(INDEX(wVs,69)+0,""))</f>
        <v>-1.58403628935352</v>
      </c>
      <c r="BH138">
        <f>IF(OR(BA138="",wLatest=""),"",IFERROR(INDEX(wData,69,MATCH(wLatest&amp;CHAR(10)&amp;"Stanine",wHdr,0))+0,""))</f>
        <v>1</v>
      </c>
      <c r="BI138" t="str">
        <f>IF(BA138="","",IF(AND(ISNUMBER(BG138),N(BE138)&gt;=WlMinTests,BG138&lt;=-WlGap),"Below expected for KS2",IF(AND(NOT(ISNUMBER(BD138)),ISNUMBER(BF138),N(BE138)&gt;=WlMinTests,BF138&lt;=WlLowMean),"Low results, no KS2 data","")))</f>
        <v>Below expected for KS2</v>
      </c>
      <c r="BJ138">
        <f>IF(BI138="","",IF(BI138="Below expected for KS2",BG138,100+BF138)+ROW()/1000000)</f>
        <v>-1.58389828935352</v>
      </c>
    </row>
    <row r="139">
      <c r="H139" t="str">
        <f>IFERROR(INDEX(tblY8[Class],ROWS(H$10:H139))&amp;"","")</f>
        <v/>
      </c>
      <c r="I139" t="str">
        <f>IF(H139="","",IF(SUMPRODUCT(--(H$10:H139=H139))=1,SUMPRODUCT(--(H$10:H$609&lt;H139))+1,""))</f>
        <v/>
      </c>
      <c r="BA139" t="str">
        <f>IFERROR(INDEX(wLast,70)&amp;"","")</f>
        <v>Pearson</v>
      </c>
      <c r="BB139" t="str">
        <f>IF(BA139="","",IFERROR(INDEX(wFirst,70)&amp;"",""))</f>
        <v>Nia</v>
      </c>
      <c r="BC139" t="str">
        <f>IF(BA139="","",IFERROR(INDEX(wClass,70)&amp;"",""))</f>
        <v>8A/Sc3</v>
      </c>
      <c r="BD139">
        <f>IF(BA139="","",IFERROR(INDEX(wKsBand,70)+0,""))</f>
        <v>7</v>
      </c>
      <c r="BE139">
        <f>IF(BA139="","",IFERROR(INDEX(wTests,70)+0,0))</f>
        <v>5</v>
      </c>
      <c r="BF139">
        <f>IF(BA139="","",IFERROR(INDEX(wMean,70)+0,""))</f>
        <v>6.4</v>
      </c>
      <c r="BG139">
        <f>IF(BA139="","",IFERROR(INDEX(wVs,70)+0,""))</f>
        <v>-0.0996815669310252</v>
      </c>
      <c r="BH139">
        <f>IF(OR(BA139="",wLatest=""),"",IFERROR(INDEX(wData,70,MATCH(wLatest&amp;CHAR(10)&amp;"Stanine",wHdr,0))+0,""))</f>
        <v>7</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IFERROR(INDEX(tblY8[Class],ROWS(H$10:H140))&amp;"","")</f>
        <v/>
      </c>
      <c r="I140" t="str">
        <f>IF(H140="","",IF(SUMPRODUCT(--(H$10:H140=H140))=1,SUMPRODUCT(--(H$10:H$609&lt;H140))+1,""))</f>
        <v/>
      </c>
      <c r="BA140" t="str">
        <f>IFERROR(INDEX(wLast,71)&amp;"","")</f>
        <v>Robinson</v>
      </c>
      <c r="BB140" t="str">
        <f>IF(BA140="","",IFERROR(INDEX(wFirst,71)&amp;"",""))</f>
        <v>Hollie</v>
      </c>
      <c r="BC140" t="str">
        <f>IF(BA140="","",IFERROR(INDEX(wClass,71)&amp;"",""))</f>
        <v>8A/Sc3</v>
      </c>
      <c r="BD140">
        <f>IF(BA140="","",IFERROR(INDEX(wKsBand,71)+0,""))</f>
        <v>3</v>
      </c>
      <c r="BE140">
        <f>IF(BA140="","",IFERROR(INDEX(wTests,71)+0,0))</f>
        <v>4</v>
      </c>
      <c r="BF140">
        <f>IF(BA140="","",IFERROR(INDEX(wMean,71)+0,""))</f>
        <v>2.75</v>
      </c>
      <c r="BG140">
        <f>IF(BA140="","",IFERROR(INDEX(wVs,71)+0,""))</f>
        <v>-0.634036289353521</v>
      </c>
      <c r="BH140" t="str">
        <f>IF(OR(BA140="",wLatest=""),"",IFERROR(INDEX(wData,71,MATCH(wLatest&amp;CHAR(10)&amp;"Stanine",wHdr,0))+0,""))</f>
        <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IFERROR(INDEX(tblY8[Class],ROWS(H$10:H141))&amp;"","")</f>
        <v/>
      </c>
      <c r="I141" t="str">
        <f>IF(H141="","",IF(SUMPRODUCT(--(H$10:H141=H141))=1,SUMPRODUCT(--(H$10:H$609&lt;H141))+1,""))</f>
        <v/>
      </c>
      <c r="BA141" t="str">
        <f>IFERROR(INDEX(wLast,72)&amp;"","")</f>
        <v>Robinson</v>
      </c>
      <c r="BB141" t="str">
        <f>IF(BA141="","",IFERROR(INDEX(wFirst,72)&amp;"",""))</f>
        <v>Kai</v>
      </c>
      <c r="BC141" t="str">
        <f>IF(BA141="","",IFERROR(INDEX(wClass,72)&amp;"",""))</f>
        <v>8A/Sc3</v>
      </c>
      <c r="BD141">
        <f>IF(BA141="","",IFERROR(INDEX(wKsBand,72)+0,""))</f>
        <v>6</v>
      </c>
      <c r="BE141">
        <f>IF(BA141="","",IFERROR(INDEX(wTests,72)+0,0))</f>
        <v>5</v>
      </c>
      <c r="BF141">
        <f>IF(BA141="","",IFERROR(INDEX(wMean,72)+0,""))</f>
        <v>5.8</v>
      </c>
      <c r="BG141">
        <f>IF(BA141="","",IFERROR(INDEX(wVs,72)+0,""))</f>
        <v>0.0792297524633501</v>
      </c>
      <c r="BH141">
        <f>IF(OR(BA141="",wLatest=""),"",IFERROR(INDEX(wData,72,MATCH(wLatest&amp;CHAR(10)&amp;"Stanine",wHdr,0))+0,""))</f>
        <v>7</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IFERROR(INDEX(tblY8[Class],ROWS(H$10:H142))&amp;"","")</f>
        <v/>
      </c>
      <c r="I142" t="str">
        <f>IF(H142="","",IF(SUMPRODUCT(--(H$10:H142=H142))=1,SUMPRODUCT(--(H$10:H$609&lt;H142))+1,""))</f>
        <v/>
      </c>
      <c r="BA142" t="str">
        <f>IFERROR(INDEX(wLast,73)&amp;"","")</f>
        <v>Taylor</v>
      </c>
      <c r="BB142" t="str">
        <f>IF(BA142="","",IFERROR(INDEX(wFirst,73)&amp;"",""))</f>
        <v>Ivy</v>
      </c>
      <c r="BC142" t="str">
        <f>IF(BA142="","",IFERROR(INDEX(wClass,73)&amp;"",""))</f>
        <v>8A/Sc3</v>
      </c>
      <c r="BD142">
        <f>IF(BA142="","",IFERROR(INDEX(wKsBand,73)+0,""))</f>
        <v>4</v>
      </c>
      <c r="BE142">
        <f>IF(BA142="","",IFERROR(INDEX(wTests,73)+0,0))</f>
        <v>5</v>
      </c>
      <c r="BF142">
        <f>IF(BA142="","",IFERROR(INDEX(wMean,73)+0,""))</f>
        <v>4.4</v>
      </c>
      <c r="BG142">
        <f>IF(BA142="","",IFERROR(INDEX(wVs,73)+0,""))</f>
        <v>0.237052391252103</v>
      </c>
      <c r="BH142">
        <f>IF(OR(BA142="",wLatest=""),"",IFERROR(INDEX(wData,73,MATCH(wLatest&amp;CHAR(10)&amp;"Stanine",wHdr,0))+0,""))</f>
        <v>5</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IFERROR(INDEX(tblY8[Class],ROWS(H$10:H143))&amp;"","")</f>
        <v/>
      </c>
      <c r="I143" t="str">
        <f>IF(H143="","",IF(SUMPRODUCT(--(H$10:H143=H143))=1,SUMPRODUCT(--(H$10:H$609&lt;H143))+1,""))</f>
        <v/>
      </c>
      <c r="BA143" t="str">
        <f>IFERROR(INDEX(wLast,74)&amp;"","")</f>
        <v>Ward</v>
      </c>
      <c r="BB143" t="str">
        <f>IF(BA143="","",IFERROR(INDEX(wFirst,74)&amp;"",""))</f>
        <v>Alfie</v>
      </c>
      <c r="BC143" t="str">
        <f>IF(BA143="","",IFERROR(INDEX(wClass,74)&amp;"",""))</f>
        <v>8A/Sc3</v>
      </c>
      <c r="BD143">
        <f>IF(BA143="","",IFERROR(INDEX(wKsBand,74)+0,""))</f>
        <v>8</v>
      </c>
      <c r="BE143">
        <f>IF(BA143="","",IFERROR(INDEX(wTests,74)+0,0))</f>
        <v>5</v>
      </c>
      <c r="BF143">
        <f>IF(BA143="","",IFERROR(INDEX(wMean,74)+0,""))</f>
        <v>7.6</v>
      </c>
      <c r="BG143">
        <f>IF(BA143="","",IFERROR(INDEX(wVs,74)+0,""))</f>
        <v>0.321407113674598</v>
      </c>
      <c r="BH143">
        <f>IF(OR(BA143="",wLatest=""),"",IFERROR(INDEX(wData,74,MATCH(wLatest&amp;CHAR(10)&amp;"Stanine",wHdr,0))+0,""))</f>
        <v>8</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IFERROR(INDEX(tblY8[Class],ROWS(H$10:H144))&amp;"","")</f>
        <v/>
      </c>
      <c r="I144" t="str">
        <f>IF(H144="","",IF(SUMPRODUCT(--(H$10:H144=H144))=1,SUMPRODUCT(--(H$10:H$609&lt;H144))+1,""))</f>
        <v/>
      </c>
      <c r="BA144" t="str">
        <f>IFERROR(INDEX(wLast,75)&amp;"","")</f>
        <v>Wood</v>
      </c>
      <c r="BB144" t="str">
        <f>IF(BA144="","",IFERROR(INDEX(wFirst,75)&amp;"",""))</f>
        <v>Seren</v>
      </c>
      <c r="BC144" t="str">
        <f>IF(BA144="","",IFERROR(INDEX(wClass,75)&amp;"",""))</f>
        <v>8A/Sc3</v>
      </c>
      <c r="BD144">
        <f>IF(BA144="","",IFERROR(INDEX(wKsBand,75)+0,""))</f>
        <v>5</v>
      </c>
      <c r="BE144">
        <f>IF(BA144="","",IFERROR(INDEX(wTests,75)+0,0))</f>
        <v>5</v>
      </c>
      <c r="BF144">
        <f>IF(BA144="","",IFERROR(INDEX(wMean,75)+0,""))</f>
        <v>4</v>
      </c>
      <c r="BG144">
        <f>IF(BA144="","",IFERROR(INDEX(wVs,75)+0,""))</f>
        <v>-0.941858928142273</v>
      </c>
      <c r="BH144">
        <f>IF(OR(BA144="",wLatest=""),"",IFERROR(INDEX(wData,75,MATCH(wLatest&amp;CHAR(10)&amp;"Stanine",wHdr,0))+0,""))</f>
        <v>5</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IFERROR(INDEX(tblY8[Class],ROWS(H$10:H145))&amp;"","")</f>
        <v/>
      </c>
      <c r="I145" t="str">
        <f>IF(H145="","",IF(SUMPRODUCT(--(H$10:H145=H145))=1,SUMPRODUCT(--(H$10:H$609&lt;H145))+1,""))</f>
        <v/>
      </c>
      <c r="BA145" t="str">
        <f>IFERROR(INDEX(wLast,76)&amp;"","")</f>
        <v>Bennett</v>
      </c>
      <c r="BB145" t="str">
        <f>IF(BA145="","",IFERROR(INDEX(wFirst,76)&amp;"",""))</f>
        <v>Rosie</v>
      </c>
      <c r="BC145" t="str">
        <f>IF(BA145="","",IFERROR(INDEX(wClass,76)&amp;"",""))</f>
        <v>8A/Sc4</v>
      </c>
      <c r="BD145">
        <f>IF(BA145="","",IFERROR(INDEX(wKsBand,76)+0,""))</f>
        <v>3</v>
      </c>
      <c r="BE145">
        <f>IF(BA145="","",IFERROR(INDEX(wTests,76)+0,0))</f>
        <v>4</v>
      </c>
      <c r="BF145">
        <f>IF(BA145="","",IFERROR(INDEX(wMean,76)+0,""))</f>
        <v>2.5</v>
      </c>
      <c r="BG145">
        <f>IF(BA145="","",IFERROR(INDEX(wVs,76)+0,""))</f>
        <v>-0.884036289353521</v>
      </c>
      <c r="BH145" t="str">
        <f>IF(OR(BA145="",wLatest=""),"",IFERROR(INDEX(wData,76,MATCH(wLatest&amp;CHAR(10)&amp;"Stanine",wHdr,0))+0,""))</f>
        <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IFERROR(INDEX(tblY8[Class],ROWS(H$10:H146))&amp;"","")</f>
        <v/>
      </c>
      <c r="I146" t="str">
        <f>IF(H146="","",IF(SUMPRODUCT(--(H$10:H146=H146))=1,SUMPRODUCT(--(H$10:H$609&lt;H146))+1,""))</f>
        <v/>
      </c>
      <c r="BA146" t="str">
        <f>IFERROR(INDEX(wLast,77)&amp;"","")</f>
        <v>Brown</v>
      </c>
      <c r="BB146" t="str">
        <f>IF(BA146="","",IFERROR(INDEX(wFirst,77)&amp;"",""))</f>
        <v>Oliver</v>
      </c>
      <c r="BC146" t="str">
        <f>IF(BA146="","",IFERROR(INDEX(wClass,77)&amp;"",""))</f>
        <v>8A/Sc4</v>
      </c>
      <c r="BD146">
        <f>IF(BA146="","",IFERROR(INDEX(wKsBand,77)+0,""))</f>
        <v>5</v>
      </c>
      <c r="BE146">
        <f>IF(BA146="","",IFERROR(INDEX(wTests,77)+0,0))</f>
        <v>4</v>
      </c>
      <c r="BF146">
        <f>IF(BA146="","",IFERROR(INDEX(wMean,77)+0,""))</f>
        <v>3</v>
      </c>
      <c r="BG146">
        <f>IF(BA146="","",IFERROR(INDEX(wVs,77)+0,""))</f>
        <v>-1.94185892814227</v>
      </c>
      <c r="BH146" t="str">
        <f>IF(OR(BA146="",wLatest=""),"",IFERROR(INDEX(wData,77,MATCH(wLatest&amp;CHAR(10)&amp;"Stanine",wHdr,0))+0,""))</f>
        <v/>
      </c>
      <c r="BI146" t="str">
        <f>IF(BA146="","",IF(AND(ISNUMBER(BG146),N(BE146)&gt;=WlMinTests,BG146&lt;=-WlGap),"Below expected for KS2",IF(AND(NOT(ISNUMBER(BD146)),ISNUMBER(BF146),N(BE146)&gt;=WlMinTests,BF146&lt;=WlLowMean),"Low results, no KS2 data","")))</f>
        <v>Below expected for KS2</v>
      </c>
      <c r="BJ146">
        <f>IF(BI146="","",IF(BI146="Below expected for KS2",BG146,100+BF146)+ROW()/1000000)</f>
        <v>-1.94171292814227</v>
      </c>
    </row>
    <row r="147">
      <c r="H147" t="str">
        <f>IFERROR(INDEX(tblY8[Class],ROWS(H$10:H147))&amp;"","")</f>
        <v/>
      </c>
      <c r="I147" t="str">
        <f>IF(H147="","",IF(SUMPRODUCT(--(H$10:H147=H147))=1,SUMPRODUCT(--(H$10:H$609&lt;H147))+1,""))</f>
        <v/>
      </c>
      <c r="BA147" t="str">
        <f>IFERROR(INDEX(wLast,78)&amp;"","")</f>
        <v>Clarke</v>
      </c>
      <c r="BB147" t="str">
        <f>IF(BA147="","",IFERROR(INDEX(wFirst,78)&amp;"",""))</f>
        <v>George</v>
      </c>
      <c r="BC147" t="str">
        <f>IF(BA147="","",IFERROR(INDEX(wClass,78)&amp;"",""))</f>
        <v>8A/Sc4</v>
      </c>
      <c r="BD147">
        <f>IF(BA147="","",IFERROR(INDEX(wKsBand,78)+0,""))</f>
        <v>3</v>
      </c>
      <c r="BE147">
        <f>IF(BA147="","",IFERROR(INDEX(wTests,78)+0,0))</f>
        <v>4</v>
      </c>
      <c r="BF147">
        <f>IF(BA147="","",IFERROR(INDEX(wMean,78)+0,""))</f>
        <v>3.75</v>
      </c>
      <c r="BG147">
        <f>IF(BA147="","",IFERROR(INDEX(wVs,78)+0,""))</f>
        <v>0.365963710646479</v>
      </c>
      <c r="BH147" t="str">
        <f>IF(OR(BA147="",wLatest=""),"",IFERROR(INDEX(wData,78,MATCH(wLatest&amp;CHAR(10)&amp;"Stanine",wHdr,0))+0,""))</f>
        <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IFERROR(INDEX(tblY8[Class],ROWS(H$10:H148))&amp;"","")</f>
        <v/>
      </c>
      <c r="I148" t="str">
        <f>IF(H148="","",IF(SUMPRODUCT(--(H$10:H148=H148))=1,SUMPRODUCT(--(H$10:H$609&lt;H148))+1,""))</f>
        <v/>
      </c>
      <c r="BA148" t="str">
        <f>IFERROR(INDEX(wLast,79)&amp;"","")</f>
        <v>Fletcher</v>
      </c>
      <c r="BB148" t="str">
        <f>IF(BA148="","",IFERROR(INDEX(wFirst,79)&amp;"",""))</f>
        <v>Priya</v>
      </c>
      <c r="BC148" t="str">
        <f>IF(BA148="","",IFERROR(INDEX(wClass,79)&amp;"",""))</f>
        <v>8A/Sc4</v>
      </c>
      <c r="BD148">
        <f>IF(BA148="","",IFERROR(INDEX(wKsBand,79)+0,""))</f>
        <v>5</v>
      </c>
      <c r="BE148">
        <f>IF(BA148="","",IFERROR(INDEX(wTests,79)+0,0))</f>
        <v>4</v>
      </c>
      <c r="BF148">
        <f>IF(BA148="","",IFERROR(INDEX(wMean,79)+0,""))</f>
        <v>2.25</v>
      </c>
      <c r="BG148">
        <f>IF(BA148="","",IFERROR(INDEX(wVs,79)+0,""))</f>
        <v>-2.69185892814227</v>
      </c>
      <c r="BH148" t="str">
        <f>IF(OR(BA148="",wLatest=""),"",IFERROR(INDEX(wData,79,MATCH(wLatest&amp;CHAR(10)&amp;"Stanine",wHdr,0))+0,""))</f>
        <v/>
      </c>
      <c r="BI148" t="str">
        <f>IF(BA148="","",IF(AND(ISNUMBER(BG148),N(BE148)&gt;=WlMinTests,BG148&lt;=-WlGap),"Below expected for KS2",IF(AND(NOT(ISNUMBER(BD148)),ISNUMBER(BF148),N(BE148)&gt;=WlMinTests,BF148&lt;=WlLowMean),"Low results, no KS2 data","")))</f>
        <v>Below expected for KS2</v>
      </c>
      <c r="BJ148">
        <f>IF(BI148="","",IF(BI148="Below expected for KS2",BG148,100+BF148)+ROW()/1000000)</f>
        <v>-2.69171092814227</v>
      </c>
    </row>
    <row r="149">
      <c r="H149" t="str">
        <f>IFERROR(INDEX(tblY8[Class],ROWS(H$10:H149))&amp;"","")</f>
        <v/>
      </c>
      <c r="I149" t="str">
        <f>IF(H149="","",IF(SUMPRODUCT(--(H$10:H149=H149))=1,SUMPRODUCT(--(H$10:H$609&lt;H149))+1,""))</f>
        <v/>
      </c>
      <c r="BA149" t="str">
        <f>IFERROR(INDEX(wLast,80)&amp;"","")</f>
        <v>Harrison</v>
      </c>
      <c r="BB149" t="str">
        <f>IF(BA149="","",IFERROR(INDEX(wFirst,80)&amp;"",""))</f>
        <v>Freya</v>
      </c>
      <c r="BC149" t="str">
        <f>IF(BA149="","",IFERROR(INDEX(wClass,80)&amp;"",""))</f>
        <v>8A/Sc4</v>
      </c>
      <c r="BD149">
        <f>IF(BA149="","",IFERROR(INDEX(wKsBand,80)+0,""))</f>
        <v>3</v>
      </c>
      <c r="BE149">
        <f>IF(BA149="","",IFERROR(INDEX(wTests,80)+0,0))</f>
        <v>3</v>
      </c>
      <c r="BF149">
        <f>IF(BA149="","",IFERROR(INDEX(wMean,80)+0,""))</f>
        <v>3</v>
      </c>
      <c r="BG149">
        <f>IF(BA149="","",IFERROR(INDEX(wVs,80)+0,""))</f>
        <v>-0.384036289353521</v>
      </c>
      <c r="BH149" t="str">
        <f>IF(OR(BA149="",wLatest=""),"",IFERROR(INDEX(wData,80,MATCH(wLatest&amp;CHAR(10)&amp;"Stanine",wHdr,0))+0,""))</f>
        <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IFERROR(INDEX(tblY8[Class],ROWS(H$10:H150))&amp;"","")</f>
        <v/>
      </c>
      <c r="I150" t="str">
        <f>IF(H150="","",IF(SUMPRODUCT(--(H$10:H150=H150))=1,SUMPRODUCT(--(H$10:H$609&lt;H150))+1,""))</f>
        <v/>
      </c>
      <c r="BA150" t="str">
        <f>IFERROR(INDEX(wLast,81)&amp;"","")</f>
        <v>Hussain</v>
      </c>
      <c r="BB150" t="str">
        <f>IF(BA150="","",IFERROR(INDEX(wFirst,81)&amp;"",""))</f>
        <v>Theo</v>
      </c>
      <c r="BC150" t="str">
        <f>IF(BA150="","",IFERROR(INDEX(wClass,81)&amp;"",""))</f>
        <v>8A/Sc4</v>
      </c>
      <c r="BD150">
        <f>IF(BA150="","",IFERROR(INDEX(wKsBand,81)+0,""))</f>
        <v>4</v>
      </c>
      <c r="BE150">
        <f>IF(BA150="","",IFERROR(INDEX(wTests,81)+0,0))</f>
        <v>4</v>
      </c>
      <c r="BF150">
        <f>IF(BA150="","",IFERROR(INDEX(wMean,81)+0,""))</f>
        <v>4.25</v>
      </c>
      <c r="BG150">
        <f>IF(BA150="","",IFERROR(INDEX(wVs,81)+0,""))</f>
        <v>0.0870523912521026</v>
      </c>
      <c r="BH150" t="str">
        <f>IF(OR(BA150="",wLatest=""),"",IFERROR(INDEX(wData,81,MATCH(wLatest&amp;CHAR(10)&amp;"Stanine",wHdr,0))+0,""))</f>
        <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IFERROR(INDEX(tblY8[Class],ROWS(H$10:H151))&amp;"","")</f>
        <v/>
      </c>
      <c r="I151" t="str">
        <f>IF(H151="","",IF(SUMPRODUCT(--(H$10:H151=H151))=1,SUMPRODUCT(--(H$10:H$609&lt;H151))+1,""))</f>
        <v/>
      </c>
      <c r="BA151" t="str">
        <f>IFERROR(INDEX(wLast,82)&amp;"","")</f>
        <v>Kelly</v>
      </c>
      <c r="BB151" t="str">
        <f>IF(BA151="","",IFERROR(INDEX(wFirst,82)&amp;"",""))</f>
        <v>Niamh</v>
      </c>
      <c r="BC151" t="str">
        <f>IF(BA151="","",IFERROR(INDEX(wClass,82)&amp;"",""))</f>
        <v>8A/Sc4</v>
      </c>
      <c r="BD151">
        <f>IF(BA151="","",IFERROR(INDEX(wKsBand,82)+0,""))</f>
        <v>2</v>
      </c>
      <c r="BE151">
        <f>IF(BA151="","",IFERROR(INDEX(wTests,82)+0,0))</f>
        <v>4</v>
      </c>
      <c r="BF151">
        <f>IF(BA151="","",IFERROR(INDEX(wMean,82)+0,""))</f>
        <v>3.75</v>
      </c>
      <c r="BG151">
        <f>IF(BA151="","",IFERROR(INDEX(wVs,82)+0,""))</f>
        <v>1.14487503004086</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IFERROR(INDEX(tblY8[Class],ROWS(H$10:H152))&amp;"","")</f>
        <v/>
      </c>
      <c r="I152" t="str">
        <f>IF(H152="","",IF(SUMPRODUCT(--(H$10:H152=H152))=1,SUMPRODUCT(--(H$10:H$609&lt;H152))+1,""))</f>
        <v/>
      </c>
      <c r="BA152" t="str">
        <f>IFERROR(INDEX(wLast,83)&amp;"","")</f>
        <v>Kowalski</v>
      </c>
      <c r="BB152" t="str">
        <f>IF(BA152="","",IFERROR(INDEX(wFirst,83)&amp;"",""))</f>
        <v>Oliver</v>
      </c>
      <c r="BC152" t="str">
        <f>IF(BA152="","",IFERROR(INDEX(wClass,83)&amp;"",""))</f>
        <v>8A/Sc4</v>
      </c>
      <c r="BD152">
        <f>IF(BA152="","",IFERROR(INDEX(wKsBand,83)+0,""))</f>
        <v>4</v>
      </c>
      <c r="BE152">
        <f>IF(BA152="","",IFERROR(INDEX(wTests,83)+0,0))</f>
        <v>4</v>
      </c>
      <c r="BF152">
        <f>IF(BA152="","",IFERROR(INDEX(wMean,83)+0,""))</f>
        <v>4.5</v>
      </c>
      <c r="BG152">
        <f>IF(BA152="","",IFERROR(INDEX(wVs,83)+0,""))</f>
        <v>0.337052391252103</v>
      </c>
      <c r="BH152" t="str">
        <f>IF(OR(BA152="",wLatest=""),"",IFERROR(INDEX(wData,83,MATCH(wLatest&amp;CHAR(10)&amp;"Stanine",wHdr,0))+0,""))</f>
        <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IFERROR(INDEX(tblY8[Class],ROWS(H$10:H153))&amp;"","")</f>
        <v/>
      </c>
      <c r="I153" t="str">
        <f>IF(H153="","",IF(SUMPRODUCT(--(H$10:H153=H153))=1,SUMPRODUCT(--(H$10:H$609&lt;H153))+1,""))</f>
        <v/>
      </c>
      <c r="BA153" t="str">
        <f>IFERROR(INDEX(wLast,84)&amp;"","")</f>
        <v>Lloyd</v>
      </c>
      <c r="BB153" t="str">
        <f>IF(BA153="","",IFERROR(INDEX(wFirst,84)&amp;"",""))</f>
        <v>Jacob</v>
      </c>
      <c r="BC153" t="str">
        <f>IF(BA153="","",IFERROR(INDEX(wClass,84)&amp;"",""))</f>
        <v>8A/Sc4</v>
      </c>
      <c r="BD153">
        <f>IF(BA153="","",IFERROR(INDEX(wKsBand,84)+0,""))</f>
        <v>4</v>
      </c>
      <c r="BE153">
        <f>IF(BA153="","",IFERROR(INDEX(wTests,84)+0,0))</f>
        <v>4</v>
      </c>
      <c r="BF153">
        <f>IF(BA153="","",IFERROR(INDEX(wMean,84)+0,""))</f>
        <v>3.75</v>
      </c>
      <c r="BG153">
        <f>IF(BA153="","",IFERROR(INDEX(wVs,84)+0,""))</f>
        <v>-0.412947608747897</v>
      </c>
      <c r="BH153" t="str">
        <f>IF(OR(BA153="",wLatest=""),"",IFERROR(INDEX(wData,84,MATCH(wLatest&amp;CHAR(10)&amp;"Stanine",wHdr,0))+0,""))</f>
        <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IFERROR(INDEX(tblY8[Class],ROWS(H$10:H154))&amp;"","")</f>
        <v/>
      </c>
      <c r="I154" t="str">
        <f>IF(H154="","",IF(SUMPRODUCT(--(H$10:H154=H154))=1,SUMPRODUCT(--(H$10:H$609&lt;H154))+1,""))</f>
        <v/>
      </c>
      <c r="BA154" t="str">
        <f>IFERROR(INDEX(wLast,85)&amp;"","")</f>
        <v>Lloyd</v>
      </c>
      <c r="BB154" t="str">
        <f>IF(BA154="","",IFERROR(INDEX(wFirst,85)&amp;"",""))</f>
        <v>Zara</v>
      </c>
      <c r="BC154" t="str">
        <f>IF(BA154="","",IFERROR(INDEX(wClass,85)&amp;"",""))</f>
        <v>8A/Sc4</v>
      </c>
      <c r="BD154">
        <f>IF(BA154="","",IFERROR(INDEX(wKsBand,85)+0,""))</f>
        <v>1</v>
      </c>
      <c r="BE154">
        <f>IF(BA154="","",IFERROR(INDEX(wTests,85)+0,0))</f>
        <v>4</v>
      </c>
      <c r="BF154">
        <f>IF(BA154="","",IFERROR(INDEX(wMean,85)+0,""))</f>
        <v>1.25</v>
      </c>
      <c r="BG154">
        <f>IF(BA154="","",IFERROR(INDEX(wVs,85)+0,""))</f>
        <v>-0.576213650564769</v>
      </c>
      <c r="BH154" t="str">
        <f>IF(OR(BA154="",wLatest=""),"",IFERROR(INDEX(wData,85,MATCH(wLatest&amp;CHAR(10)&amp;"Stanine",wHdr,0))+0,""))</f>
        <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IFERROR(INDEX(tblY8[Class],ROWS(H$10:H155))&amp;"","")</f>
        <v/>
      </c>
      <c r="I155" t="str">
        <f>IF(H155="","",IF(SUMPRODUCT(--(H$10:H155=H155))=1,SUMPRODUCT(--(H$10:H$609&lt;H155))+1,""))</f>
        <v/>
      </c>
      <c r="BA155" t="str">
        <f>IFERROR(INDEX(wLast,86)&amp;"","")</f>
        <v>Okafor</v>
      </c>
      <c r="BB155" t="str">
        <f>IF(BA155="","",IFERROR(INDEX(wFirst,86)&amp;"",""))</f>
        <v>Hollie</v>
      </c>
      <c r="BC155" t="str">
        <f>IF(BA155="","",IFERROR(INDEX(wClass,86)&amp;"",""))</f>
        <v>8A/Sc4</v>
      </c>
      <c r="BD155">
        <f>IF(BA155="","",IFERROR(INDEX(wKsBand,86)+0,""))</f>
        <v>4</v>
      </c>
      <c r="BE155">
        <f>IF(BA155="","",IFERROR(INDEX(wTests,86)+0,0))</f>
        <v>4</v>
      </c>
      <c r="BF155">
        <f>IF(BA155="","",IFERROR(INDEX(wMean,86)+0,""))</f>
        <v>6.25</v>
      </c>
      <c r="BG155">
        <f>IF(BA155="","",IFERROR(INDEX(wVs,86)+0,""))</f>
        <v>2.0870523912521</v>
      </c>
      <c r="BH155" t="str">
        <f>IF(OR(BA155="",wLatest=""),"",IFERROR(INDEX(wData,86,MATCH(wLatest&amp;CHAR(10)&amp;"Stanine",wHdr,0))+0,""))</f>
        <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IFERROR(INDEX(tblY8[Class],ROWS(H$10:H156))&amp;"","")</f>
        <v/>
      </c>
      <c r="I156" t="str">
        <f>IF(H156="","",IF(SUMPRODUCT(--(H$10:H156=H156))=1,SUMPRODUCT(--(H$10:H$609&lt;H156))+1,""))</f>
        <v/>
      </c>
      <c r="BA156" t="str">
        <f>IFERROR(INDEX(wLast,87)&amp;"","")</f>
        <v>Patel</v>
      </c>
      <c r="BB156" t="str">
        <f>IF(BA156="","",IFERROR(INDEX(wFirst,87)&amp;"",""))</f>
        <v>Lewis</v>
      </c>
      <c r="BC156" t="str">
        <f>IF(BA156="","",IFERROR(INDEX(wClass,87)&amp;"",""))</f>
        <v>8A/Sc4</v>
      </c>
      <c r="BD156">
        <f>IF(BA156="","",IFERROR(INDEX(wKsBand,87)+0,""))</f>
        <v>7</v>
      </c>
      <c r="BE156">
        <f>IF(BA156="","",IFERROR(INDEX(wTests,87)+0,0))</f>
        <v>4</v>
      </c>
      <c r="BF156">
        <f>IF(BA156="","",IFERROR(INDEX(wMean,87)+0,""))</f>
        <v>5.25</v>
      </c>
      <c r="BG156">
        <f>IF(BA156="","",IFERROR(INDEX(wVs,87)+0,""))</f>
        <v>-1.24968156693103</v>
      </c>
      <c r="BH156" t="str">
        <f>IF(OR(BA156="",wLatest=""),"",IFERROR(INDEX(wData,87,MATCH(wLatest&amp;CHAR(10)&amp;"Stanine",wHdr,0))+0,""))</f>
        <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IFERROR(INDEX(tblY8[Class],ROWS(H$10:H157))&amp;"","")</f>
        <v/>
      </c>
      <c r="I157" t="str">
        <f>IF(H157="","",IF(SUMPRODUCT(--(H$10:H157=H157))=1,SUMPRODUCT(--(H$10:H$609&lt;H157))+1,""))</f>
        <v/>
      </c>
      <c r="BA157" t="str">
        <f>IFERROR(INDEX(wLast,88)&amp;"","")</f>
        <v>Shaw</v>
      </c>
      <c r="BB157" t="str">
        <f>IF(BA157="","",IFERROR(INDEX(wFirst,88)&amp;"",""))</f>
        <v>Rhys</v>
      </c>
      <c r="BC157" t="str">
        <f>IF(BA157="","",IFERROR(INDEX(wClass,88)&amp;"",""))</f>
        <v>8A/Sc4</v>
      </c>
      <c r="BD157">
        <f>IF(BA157="","",IFERROR(INDEX(wKsBand,88)+0,""))</f>
        <v>1</v>
      </c>
      <c r="BE157">
        <f>IF(BA157="","",IFERROR(INDEX(wTests,88)+0,0))</f>
        <v>4</v>
      </c>
      <c r="BF157">
        <f>IF(BA157="","",IFERROR(INDEX(wMean,88)+0,""))</f>
        <v>1</v>
      </c>
      <c r="BG157">
        <f>IF(BA157="","",IFERROR(INDEX(wVs,88)+0,""))</f>
        <v>-0.826213650564769</v>
      </c>
      <c r="BH157" t="str">
        <f>IF(OR(BA157="",wLatest=""),"",IFERROR(INDEX(wData,88,MATCH(wLatest&amp;CHAR(10)&amp;"Stanine",wHdr,0))+0,""))</f>
        <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IFERROR(INDEX(tblY8[Class],ROWS(H$10:H158))&amp;"","")</f>
        <v/>
      </c>
      <c r="I158" t="str">
        <f>IF(H158="","",IF(SUMPRODUCT(--(H$10:H158=H158))=1,SUMPRODUCT(--(H$10:H$609&lt;H158))+1,""))</f>
        <v/>
      </c>
      <c r="BA158" t="str">
        <f>IFERROR(INDEX(wLast,89)&amp;"","")</f>
        <v>Thompson</v>
      </c>
      <c r="BB158" t="str">
        <f>IF(BA158="","",IFERROR(INDEX(wFirst,89)&amp;"",""))</f>
        <v>Ava</v>
      </c>
      <c r="BC158" t="str">
        <f>IF(BA158="","",IFERROR(INDEX(wClass,89)&amp;"",""))</f>
        <v>8A/Sc4</v>
      </c>
      <c r="BD158">
        <f>IF(BA158="","",IFERROR(INDEX(wKsBand,89)+0,""))</f>
        <v>2</v>
      </c>
      <c r="BE158">
        <f>IF(BA158="","",IFERROR(INDEX(wTests,89)+0,0))</f>
        <v>4</v>
      </c>
      <c r="BF158">
        <f>IF(BA158="","",IFERROR(INDEX(wMean,89)+0,""))</f>
        <v>3</v>
      </c>
      <c r="BG158">
        <f>IF(BA158="","",IFERROR(INDEX(wVs,89)+0,""))</f>
        <v>0.394875030040855</v>
      </c>
      <c r="BH158" t="str">
        <f>IF(OR(BA158="",wLatest=""),"",IFERROR(INDEX(wData,89,MATCH(wLatest&amp;CHAR(10)&amp;"Stanine",wHdr,0))+0,""))</f>
        <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IFERROR(INDEX(tblY8[Class],ROWS(H$10:H159))&amp;"","")</f>
        <v/>
      </c>
      <c r="I159" t="str">
        <f>IF(H159="","",IF(SUMPRODUCT(--(H$10:H159=H159))=1,SUMPRODUCT(--(H$10:H$609&lt;H159))+1,""))</f>
        <v/>
      </c>
      <c r="BA159" t="str">
        <f>IFERROR(INDEX(wLast,90)&amp;"","")</f>
        <v>Turner</v>
      </c>
      <c r="BB159" t="str">
        <f>IF(BA159="","",IFERROR(INDEX(wFirst,90)&amp;"",""))</f>
        <v>Callum</v>
      </c>
      <c r="BC159" t="str">
        <f>IF(BA159="","",IFERROR(INDEX(wClass,90)&amp;"",""))</f>
        <v>8A/Sc4</v>
      </c>
      <c r="BD159">
        <f>IF(BA159="","",IFERROR(INDEX(wKsBand,90)+0,""))</f>
        <v>4</v>
      </c>
      <c r="BE159">
        <f>IF(BA159="","",IFERROR(INDEX(wTests,90)+0,0))</f>
        <v>4</v>
      </c>
      <c r="BF159">
        <f>IF(BA159="","",IFERROR(INDEX(wMean,90)+0,""))</f>
        <v>5.5</v>
      </c>
      <c r="BG159">
        <f>IF(BA159="","",IFERROR(INDEX(wVs,90)+0,""))</f>
        <v>1.3370523912521</v>
      </c>
      <c r="BH159" t="str">
        <f>IF(OR(BA159="",wLatest=""),"",IFERROR(INDEX(wData,90,MATCH(wLatest&amp;CHAR(10)&amp;"Stanine",wHdr,0))+0,""))</f>
        <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IFERROR(INDEX(tblY8[Class],ROWS(H$10:H160))&amp;"","")</f>
        <v/>
      </c>
      <c r="I160" t="str">
        <f>IF(H160="","",IF(SUMPRODUCT(--(H$10:H160=H160))=1,SUMPRODUCT(--(H$10:H$609&lt;H160))+1,""))</f>
        <v/>
      </c>
      <c r="BA160" t="str">
        <f>IFERROR(INDEX(wLast,91)&amp;"","")</f>
        <v>Walker</v>
      </c>
      <c r="BB160" t="str">
        <f>IF(BA160="","",IFERROR(INDEX(wFirst,91)&amp;"",""))</f>
        <v>Jack</v>
      </c>
      <c r="BC160" t="str">
        <f>IF(BA160="","",IFERROR(INDEX(wClass,91)&amp;"",""))</f>
        <v>8A/Sc4</v>
      </c>
      <c r="BD160">
        <f>IF(BA160="","",IFERROR(INDEX(wKsBand,91)+0,""))</f>
        <v>2</v>
      </c>
      <c r="BE160">
        <f>IF(BA160="","",IFERROR(INDEX(wTests,91)+0,0))</f>
        <v>4</v>
      </c>
      <c r="BF160">
        <f>IF(BA160="","",IFERROR(INDEX(wMean,91)+0,""))</f>
        <v>2.75</v>
      </c>
      <c r="BG160">
        <f>IF(BA160="","",IFERROR(INDEX(wVs,91)+0,""))</f>
        <v>0.144875030040855</v>
      </c>
      <c r="BH160" t="str">
        <f>IF(OR(BA160="",wLatest=""),"",IFERROR(INDEX(wData,91,MATCH(wLatest&amp;CHAR(10)&amp;"Stanine",wHdr,0))+0,""))</f>
        <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IFERROR(INDEX(tblY8[Class],ROWS(H$10:H161))&amp;"","")</f>
        <v/>
      </c>
      <c r="I161" t="str">
        <f>IF(H161="","",IF(SUMPRODUCT(--(H$10:H161=H161))=1,SUMPRODUCT(--(H$10:H$609&lt;H161))+1,""))</f>
        <v/>
      </c>
      <c r="BA161" t="str">
        <f>IFERROR(INDEX(wLast,92)&amp;"","")</f>
        <v>Clarke</v>
      </c>
      <c r="BB161" t="str">
        <f>IF(BA161="","",IFERROR(INDEX(wFirst,92)&amp;"",""))</f>
        <v>Amara</v>
      </c>
      <c r="BC161" t="str">
        <f>IF(BA161="","",IFERROR(INDEX(wClass,92)&amp;"",""))</f>
        <v>Science Support</v>
      </c>
      <c r="BD161">
        <f>IF(BA161="","",IFERROR(INDEX(wKsBand,92)+0,""))</f>
        <v>4</v>
      </c>
      <c r="BE161">
        <f>IF(BA161="","",IFERROR(INDEX(wTests,92)+0,0))</f>
        <v>4</v>
      </c>
      <c r="BF161">
        <f>IF(BA161="","",IFERROR(INDEX(wMean,92)+0,""))</f>
        <v>2</v>
      </c>
      <c r="BG161">
        <f>IF(BA161="","",IFERROR(INDEX(wVs,92)+0,""))</f>
        <v>-2.1629476087479</v>
      </c>
      <c r="BH161" t="str">
        <f>IF(OR(BA161="",wLatest=""),"",IFERROR(INDEX(wData,92,MATCH(wLatest&amp;CHAR(10)&amp;"Stanine",wHdr,0))+0,""))</f>
        <v/>
      </c>
      <c r="BI161" t="str">
        <f>IF(BA161="","",IF(AND(ISNUMBER(BG161),N(BE161)&gt;=WlMinTests,BG161&lt;=-WlGap),"Below expected for KS2",IF(AND(NOT(ISNUMBER(BD161)),ISNUMBER(BF161),N(BE161)&gt;=WlMinTests,BF161&lt;=WlLowMean),"Low results, no KS2 data","")))</f>
        <v>Below expected for KS2</v>
      </c>
      <c r="BJ161">
        <f>IF(BI161="","",IF(BI161="Below expected for KS2",BG161,100+BF161)+ROW()/1000000)</f>
        <v>-2.1627866087479</v>
      </c>
    </row>
    <row r="162">
      <c r="H162" t="str">
        <f>IFERROR(INDEX(tblY8[Class],ROWS(H$10:H162))&amp;"","")</f>
        <v/>
      </c>
      <c r="I162" t="str">
        <f>IF(H162="","",IF(SUMPRODUCT(--(H$10:H162=H162))=1,SUMPRODUCT(--(H$10:H$609&lt;H162))+1,""))</f>
        <v/>
      </c>
      <c r="BA162" t="str">
        <f>IFERROR(INDEX(wLast,93)&amp;"","")</f>
        <v>Roberts</v>
      </c>
      <c r="BB162" t="str">
        <f>IF(BA162="","",IFERROR(INDEX(wFirst,93)&amp;"",""))</f>
        <v>Dylan</v>
      </c>
      <c r="BC162" t="str">
        <f>IF(BA162="","",IFERROR(INDEX(wClass,93)&amp;"",""))</f>
        <v>Science Support</v>
      </c>
      <c r="BD162">
        <f>IF(BA162="","",IFERROR(INDEX(wKsBand,93)+0,""))</f>
        <v>1</v>
      </c>
      <c r="BE162">
        <f>IF(BA162="","",IFERROR(INDEX(wTests,93)+0,0))</f>
        <v>4</v>
      </c>
      <c r="BF162">
        <f>IF(BA162="","",IFERROR(INDEX(wMean,93)+0,""))</f>
        <v>1</v>
      </c>
      <c r="BG162">
        <f>IF(BA162="","",IFERROR(INDEX(wVs,93)+0,""))</f>
        <v>-0.826213650564769</v>
      </c>
      <c r="BH162" t="str">
        <f>IF(OR(BA162="",wLatest=""),"",IFERROR(INDEX(wData,93,MATCH(wLatest&amp;CHAR(10)&amp;"Stanine",wHdr,0))+0,""))</f>
        <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IFERROR(INDEX(tblY8[Class],ROWS(H$10:H163))&amp;"","")</f>
        <v/>
      </c>
      <c r="I163" t="str">
        <f>IF(H163="","",IF(SUMPRODUCT(--(H$10:H163=H163))=1,SUMPRODUCT(--(H$10:H$609&lt;H163))+1,""))</f>
        <v/>
      </c>
      <c r="BA163" t="str">
        <f>IFERROR(INDEX(wLast,94)&amp;"","")</f>
        <v/>
      </c>
      <c r="BB163" t="str">
        <f>IF(BA163="","",IFERROR(INDEX(wFirst,94)&amp;"",""))</f>
        <v/>
      </c>
      <c r="BC163" t="str">
        <f>IF(BA163="","",IFERROR(INDEX(wClass,94)&amp;"",""))</f>
        <v/>
      </c>
      <c r="BD163" t="str">
        <f>IF(BA163="","",IFERROR(INDEX(wKsBand,94)+0,""))</f>
        <v/>
      </c>
      <c r="BE163" t="str">
        <f>IF(BA163="","",IFERROR(INDEX(wTests,94)+0,0))</f>
        <v/>
      </c>
      <c r="BF163" t="str">
        <f>IF(BA163="","",IFERROR(INDEX(wMean,94)+0,""))</f>
        <v/>
      </c>
      <c r="BG163" t="str">
        <f>IF(BA163="","",IFERROR(INDEX(wVs,94)+0,""))</f>
        <v/>
      </c>
      <c r="BH163" t="str">
        <f>IF(OR(BA163="",wLatest=""),"",IFERROR(INDEX(wData,94,MATCH(wLatest&amp;CHAR(10)&amp;"Stanine",wHdr,0))+0,""))</f>
        <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IFERROR(INDEX(tblY8[Class],ROWS(H$10:H164))&amp;"","")</f>
        <v/>
      </c>
      <c r="I164" t="str">
        <f>IF(H164="","",IF(SUMPRODUCT(--(H$10:H164=H164))=1,SUMPRODUCT(--(H$10:H$609&lt;H164))+1,""))</f>
        <v/>
      </c>
      <c r="BA164" t="str">
        <f>IFERROR(INDEX(wLast,95)&amp;"","")</f>
        <v/>
      </c>
      <c r="BB164" t="str">
        <f>IF(BA164="","",IFERROR(INDEX(wFirst,95)&amp;"",""))</f>
        <v/>
      </c>
      <c r="BC164" t="str">
        <f>IF(BA164="","",IFERROR(INDEX(wClass,95)&amp;"",""))</f>
        <v/>
      </c>
      <c r="BD164" t="str">
        <f>IF(BA164="","",IFERROR(INDEX(wKsBand,95)+0,""))</f>
        <v/>
      </c>
      <c r="BE164" t="str">
        <f>IF(BA164="","",IFERROR(INDEX(wTests,95)+0,0))</f>
        <v/>
      </c>
      <c r="BF164" t="str">
        <f>IF(BA164="","",IFERROR(INDEX(wMean,95)+0,""))</f>
        <v/>
      </c>
      <c r="BG164" t="str">
        <f>IF(BA164="","",IFERROR(INDEX(wVs,95)+0,""))</f>
        <v/>
      </c>
      <c r="BH164" t="str">
        <f>IF(OR(BA164="",wLatest=""),"",IFERROR(INDEX(wData,95,MATCH(wLatest&amp;CHAR(10)&amp;"Stanine",wHdr,0))+0,""))</f>
        <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IFERROR(INDEX(tblY8[Class],ROWS(H$10:H165))&amp;"","")</f>
        <v/>
      </c>
      <c r="I165" t="str">
        <f>IF(H165="","",IF(SUMPRODUCT(--(H$10:H165=H165))=1,SUMPRODUCT(--(H$10:H$609&lt;H165))+1,""))</f>
        <v/>
      </c>
      <c r="BA165" t="str">
        <f>IFERROR(INDEX(wLast,96)&amp;"","")</f>
        <v/>
      </c>
      <c r="BB165" t="str">
        <f>IF(BA165="","",IFERROR(INDEX(wFirst,96)&amp;"",""))</f>
        <v/>
      </c>
      <c r="BC165" t="str">
        <f>IF(BA165="","",IFERROR(INDEX(wClass,96)&amp;"",""))</f>
        <v/>
      </c>
      <c r="BD165" t="str">
        <f>IF(BA165="","",IFERROR(INDEX(wKsBand,96)+0,""))</f>
        <v/>
      </c>
      <c r="BE165" t="str">
        <f>IF(BA165="","",IFERROR(INDEX(wTests,96)+0,0))</f>
        <v/>
      </c>
      <c r="BF165" t="str">
        <f>IF(BA165="","",IFERROR(INDEX(wMean,96)+0,""))</f>
        <v/>
      </c>
      <c r="BG165" t="str">
        <f>IF(BA165="","",IFERROR(INDEX(wVs,96)+0,""))</f>
        <v/>
      </c>
      <c r="BH165" t="str">
        <f>IF(OR(BA165="",wLatest=""),"",IFERROR(INDEX(wData,96,MATCH(wLatest&amp;CHAR(10)&amp;"Stanine",wHdr,0))+0,""))</f>
        <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IFERROR(INDEX(tblY8[Class],ROWS(H$10:H166))&amp;"","")</f>
        <v/>
      </c>
      <c r="I166" t="str">
        <f>IF(H166="","",IF(SUMPRODUCT(--(H$10:H166=H166))=1,SUMPRODUCT(--(H$10:H$609&lt;H166))+1,""))</f>
        <v/>
      </c>
      <c r="BA166" t="str">
        <f>IFERROR(INDEX(wLast,97)&amp;"","")</f>
        <v/>
      </c>
      <c r="BB166" t="str">
        <f>IF(BA166="","",IFERROR(INDEX(wFirst,97)&amp;"",""))</f>
        <v/>
      </c>
      <c r="BC166" t="str">
        <f>IF(BA166="","",IFERROR(INDEX(wClass,97)&amp;"",""))</f>
        <v/>
      </c>
      <c r="BD166" t="str">
        <f>IF(BA166="","",IFERROR(INDEX(wKsBand,97)+0,""))</f>
        <v/>
      </c>
      <c r="BE166" t="str">
        <f>IF(BA166="","",IFERROR(INDEX(wTests,97)+0,0))</f>
        <v/>
      </c>
      <c r="BF166" t="str">
        <f>IF(BA166="","",IFERROR(INDEX(wMean,97)+0,""))</f>
        <v/>
      </c>
      <c r="BG166" t="str">
        <f>IF(BA166="","",IFERROR(INDEX(wVs,97)+0,""))</f>
        <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IFERROR(INDEX(tblY8[Class],ROWS(H$10:H167))&amp;"","")</f>
        <v/>
      </c>
      <c r="I167" t="str">
        <f>IF(H167="","",IF(SUMPRODUCT(--(H$10:H167=H167))=1,SUMPRODUCT(--(H$10:H$609&lt;H167))+1,""))</f>
        <v/>
      </c>
      <c r="BA167" t="str">
        <f>IFERROR(INDEX(wLast,98)&amp;"","")</f>
        <v/>
      </c>
      <c r="BB167" t="str">
        <f>IF(BA167="","",IFERROR(INDEX(wFirst,98)&amp;"",""))</f>
        <v/>
      </c>
      <c r="BC167" t="str">
        <f>IF(BA167="","",IFERROR(INDEX(wClass,98)&amp;"",""))</f>
        <v/>
      </c>
      <c r="BD167" t="str">
        <f>IF(BA167="","",IFERROR(INDEX(wKsBand,98)+0,""))</f>
        <v/>
      </c>
      <c r="BE167" t="str">
        <f>IF(BA167="","",IFERROR(INDEX(wTests,98)+0,0))</f>
        <v/>
      </c>
      <c r="BF167" t="str">
        <f>IF(BA167="","",IFERROR(INDEX(wMean,98)+0,""))</f>
        <v/>
      </c>
      <c r="BG167" t="str">
        <f>IF(BA167="","",IFERROR(INDEX(wVs,98)+0,""))</f>
        <v/>
      </c>
      <c r="BH167" t="str">
        <f>IF(OR(BA167="",wLatest=""),"",IFERROR(INDEX(wData,98,MATCH(wLatest&amp;CHAR(10)&amp;"Stanine",wHdr,0))+0,""))</f>
        <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IFERROR(INDEX(tblY8[Class],ROWS(H$10:H168))&amp;"","")</f>
        <v/>
      </c>
      <c r="I168" t="str">
        <f>IF(H168="","",IF(SUMPRODUCT(--(H$10:H168=H168))=1,SUMPRODUCT(--(H$10:H$609&lt;H168))+1,""))</f>
        <v/>
      </c>
      <c r="BA168" t="str">
        <f>IFERROR(INDEX(wLast,99)&amp;"","")</f>
        <v/>
      </c>
      <c r="BB168" t="str">
        <f>IF(BA168="","",IFERROR(INDEX(wFirst,99)&amp;"",""))</f>
        <v/>
      </c>
      <c r="BC168" t="str">
        <f>IF(BA168="","",IFERROR(INDEX(wClass,99)&amp;"",""))</f>
        <v/>
      </c>
      <c r="BD168" t="str">
        <f>IF(BA168="","",IFERROR(INDEX(wKsBand,99)+0,""))</f>
        <v/>
      </c>
      <c r="BE168" t="str">
        <f>IF(BA168="","",IFERROR(INDEX(wTests,99)+0,0))</f>
        <v/>
      </c>
      <c r="BF168" t="str">
        <f>IF(BA168="","",IFERROR(INDEX(wMean,99)+0,""))</f>
        <v/>
      </c>
      <c r="BG168" t="str">
        <f>IF(BA168="","",IFERROR(INDEX(wVs,99)+0,""))</f>
        <v/>
      </c>
      <c r="BH168" t="str">
        <f>IF(OR(BA168="",wLatest=""),"",IFERROR(INDEX(wData,99,MATCH(wLatest&amp;CHAR(10)&amp;"Stanine",wHdr,0))+0,""))</f>
        <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IFERROR(INDEX(tblY8[Class],ROWS(H$10:H169))&amp;"","")</f>
        <v/>
      </c>
      <c r="I169" t="str">
        <f>IF(H169="","",IF(SUMPRODUCT(--(H$10:H169=H169))=1,SUMPRODUCT(--(H$10:H$609&lt;H169))+1,""))</f>
        <v/>
      </c>
      <c r="BA169" t="str">
        <f>IFERROR(INDEX(wLast,100)&amp;"","")</f>
        <v/>
      </c>
      <c r="BB169" t="str">
        <f>IF(BA169="","",IFERROR(INDEX(wFirst,100)&amp;"",""))</f>
        <v/>
      </c>
      <c r="BC169" t="str">
        <f>IF(BA169="","",IFERROR(INDEX(wClass,100)&amp;"",""))</f>
        <v/>
      </c>
      <c r="BD169" t="str">
        <f>IF(BA169="","",IFERROR(INDEX(wKsBand,100)+0,""))</f>
        <v/>
      </c>
      <c r="BE169" t="str">
        <f>IF(BA169="","",IFERROR(INDEX(wTests,100)+0,0))</f>
        <v/>
      </c>
      <c r="BF169" t="str">
        <f>IF(BA169="","",IFERROR(INDEX(wMean,100)+0,""))</f>
        <v/>
      </c>
      <c r="BG169" t="str">
        <f>IF(BA169="","",IFERROR(INDEX(wVs,100)+0,""))</f>
        <v/>
      </c>
      <c r="BH169" t="str">
        <f>IF(OR(BA169="",wLatest=""),"",IFERROR(INDEX(wData,100,MATCH(wLatest&amp;CHAR(10)&amp;"Stanine",wHdr,0))+0,""))</f>
        <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IFERROR(INDEX(tblY8[Class],ROWS(H$10:H170))&amp;"","")</f>
        <v/>
      </c>
      <c r="I170" t="str">
        <f>IF(H170="","",IF(SUMPRODUCT(--(H$10:H170=H170))=1,SUMPRODUCT(--(H$10:H$609&lt;H170))+1,""))</f>
        <v/>
      </c>
      <c r="BA170" t="str">
        <f>IFERROR(INDEX(wLast,101)&amp;"","")</f>
        <v/>
      </c>
      <c r="BB170" t="str">
        <f>IF(BA170="","",IFERROR(INDEX(wFirst,101)&amp;"",""))</f>
        <v/>
      </c>
      <c r="BC170" t="str">
        <f>IF(BA170="","",IFERROR(INDEX(wClass,101)&amp;"",""))</f>
        <v/>
      </c>
      <c r="BD170" t="str">
        <f>IF(BA170="","",IFERROR(INDEX(wKsBand,101)+0,""))</f>
        <v/>
      </c>
      <c r="BE170" t="str">
        <f>IF(BA170="","",IFERROR(INDEX(wTests,101)+0,0))</f>
        <v/>
      </c>
      <c r="BF170" t="str">
        <f>IF(BA170="","",IFERROR(INDEX(wMean,101)+0,""))</f>
        <v/>
      </c>
      <c r="BG170" t="str">
        <f>IF(BA170="","",IFERROR(INDEX(wVs,101)+0,""))</f>
        <v/>
      </c>
      <c r="BH170" t="str">
        <f>IF(OR(BA170="",wLatest=""),"",IFERROR(INDEX(wData,101,MATCH(wLatest&amp;CHAR(10)&amp;"Stanine",wHdr,0))+0,""))</f>
        <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IFERROR(INDEX(tblY8[Class],ROWS(H$10:H171))&amp;"","")</f>
        <v/>
      </c>
      <c r="I171" t="str">
        <f>IF(H171="","",IF(SUMPRODUCT(--(H$10:H171=H171))=1,SUMPRODUCT(--(H$10:H$609&lt;H171))+1,""))</f>
        <v/>
      </c>
      <c r="BA171" t="str">
        <f>IFERROR(INDEX(wLast,102)&amp;"","")</f>
        <v/>
      </c>
      <c r="BB171" t="str">
        <f>IF(BA171="","",IFERROR(INDEX(wFirst,102)&amp;"",""))</f>
        <v/>
      </c>
      <c r="BC171" t="str">
        <f>IF(BA171="","",IFERROR(INDEX(wClass,102)&amp;"",""))</f>
        <v/>
      </c>
      <c r="BD171" t="str">
        <f>IF(BA171="","",IFERROR(INDEX(wKsBand,102)+0,""))</f>
        <v/>
      </c>
      <c r="BE171" t="str">
        <f>IF(BA171="","",IFERROR(INDEX(wTests,102)+0,0))</f>
        <v/>
      </c>
      <c r="BF171" t="str">
        <f>IF(BA171="","",IFERROR(INDEX(wMean,102)+0,""))</f>
        <v/>
      </c>
      <c r="BG171" t="str">
        <f>IF(BA171="","",IFERROR(INDEX(wVs,102)+0,""))</f>
        <v/>
      </c>
      <c r="BH171" t="str">
        <f>IF(OR(BA171="",wLatest=""),"",IFERROR(INDEX(wData,102,MATCH(wLatest&amp;CHAR(10)&amp;"Stanine",wHdr,0))+0,""))</f>
        <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IFERROR(INDEX(tblY8[Class],ROWS(H$10:H172))&amp;"","")</f>
        <v/>
      </c>
      <c r="I172" t="str">
        <f>IF(H172="","",IF(SUMPRODUCT(--(H$10:H172=H172))=1,SUMPRODUCT(--(H$10:H$609&lt;H172))+1,""))</f>
        <v/>
      </c>
      <c r="BA172" t="str">
        <f>IFERROR(INDEX(wLast,103)&amp;"","")</f>
        <v/>
      </c>
      <c r="BB172" t="str">
        <f>IF(BA172="","",IFERROR(INDEX(wFirst,103)&amp;"",""))</f>
        <v/>
      </c>
      <c r="BC172" t="str">
        <f>IF(BA172="","",IFERROR(INDEX(wClass,103)&amp;"",""))</f>
        <v/>
      </c>
      <c r="BD172" t="str">
        <f>IF(BA172="","",IFERROR(INDEX(wKsBand,103)+0,""))</f>
        <v/>
      </c>
      <c r="BE172" t="str">
        <f>IF(BA172="","",IFERROR(INDEX(wTests,103)+0,0))</f>
        <v/>
      </c>
      <c r="BF172" t="str">
        <f>IF(BA172="","",IFERROR(INDEX(wMean,103)+0,""))</f>
        <v/>
      </c>
      <c r="BG172" t="str">
        <f>IF(BA172="","",IFERROR(INDEX(wVs,103)+0,""))</f>
        <v/>
      </c>
      <c r="BH172" t="str">
        <f>IF(OR(BA172="",wLatest=""),"",IFERROR(INDEX(wData,103,MATCH(wLatest&amp;CHAR(10)&amp;"Stanine",wHdr,0))+0,""))</f>
        <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IFERROR(INDEX(tblY8[Class],ROWS(H$10:H173))&amp;"","")</f>
        <v/>
      </c>
      <c r="I173" t="str">
        <f>IF(H173="","",IF(SUMPRODUCT(--(H$10:H173=H173))=1,SUMPRODUCT(--(H$10:H$609&lt;H173))+1,""))</f>
        <v/>
      </c>
      <c r="BA173" t="str">
        <f>IFERROR(INDEX(wLast,104)&amp;"","")</f>
        <v/>
      </c>
      <c r="BB173" t="str">
        <f>IF(BA173="","",IFERROR(INDEX(wFirst,104)&amp;"",""))</f>
        <v/>
      </c>
      <c r="BC173" t="str">
        <f>IF(BA173="","",IFERROR(INDEX(wClass,104)&amp;"",""))</f>
        <v/>
      </c>
      <c r="BD173" t="str">
        <f>IF(BA173="","",IFERROR(INDEX(wKsBand,104)+0,""))</f>
        <v/>
      </c>
      <c r="BE173" t="str">
        <f>IF(BA173="","",IFERROR(INDEX(wTests,104)+0,0))</f>
        <v/>
      </c>
      <c r="BF173" t="str">
        <f>IF(BA173="","",IFERROR(INDEX(wMean,104)+0,""))</f>
        <v/>
      </c>
      <c r="BG173" t="str">
        <f>IF(BA173="","",IFERROR(INDEX(wVs,104)+0,""))</f>
        <v/>
      </c>
      <c r="BH173" t="str">
        <f>IF(OR(BA173="",wLatest=""),"",IFERROR(INDEX(wData,104,MATCH(wLatest&amp;CHAR(10)&amp;"Stanine",wHdr,0))+0,""))</f>
        <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IFERROR(INDEX(tblY8[Class],ROWS(H$10:H174))&amp;"","")</f>
        <v/>
      </c>
      <c r="I174" t="str">
        <f>IF(H174="","",IF(SUMPRODUCT(--(H$10:H174=H174))=1,SUMPRODUCT(--(H$10:H$609&lt;H174))+1,""))</f>
        <v/>
      </c>
      <c r="BA174" t="str">
        <f>IFERROR(INDEX(wLast,105)&amp;"","")</f>
        <v/>
      </c>
      <c r="BB174" t="str">
        <f>IF(BA174="","",IFERROR(INDEX(wFirst,105)&amp;"",""))</f>
        <v/>
      </c>
      <c r="BC174" t="str">
        <f>IF(BA174="","",IFERROR(INDEX(wClass,105)&amp;"",""))</f>
        <v/>
      </c>
      <c r="BD174" t="str">
        <f>IF(BA174="","",IFERROR(INDEX(wKsBand,105)+0,""))</f>
        <v/>
      </c>
      <c r="BE174" t="str">
        <f>IF(BA174="","",IFERROR(INDEX(wTests,105)+0,0))</f>
        <v/>
      </c>
      <c r="BF174" t="str">
        <f>IF(BA174="","",IFERROR(INDEX(wMean,105)+0,""))</f>
        <v/>
      </c>
      <c r="BG174" t="str">
        <f>IF(BA174="","",IFERROR(INDEX(wVs,105)+0,""))</f>
        <v/>
      </c>
      <c r="BH174" t="str">
        <f>IF(OR(BA174="",wLatest=""),"",IFERROR(INDEX(wData,105,MATCH(wLatest&amp;CHAR(10)&amp;"Stanine",wHdr,0))+0,""))</f>
        <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IFERROR(INDEX(tblY8[Class],ROWS(H$10:H175))&amp;"","")</f>
        <v/>
      </c>
      <c r="I175" t="str">
        <f>IF(H175="","",IF(SUMPRODUCT(--(H$10:H175=H175))=1,SUMPRODUCT(--(H$10:H$609&lt;H175))+1,""))</f>
        <v/>
      </c>
      <c r="BA175" t="str">
        <f>IFERROR(INDEX(wLast,106)&amp;"","")</f>
        <v/>
      </c>
      <c r="BB175" t="str">
        <f>IF(BA175="","",IFERROR(INDEX(wFirst,106)&amp;"",""))</f>
        <v/>
      </c>
      <c r="BC175" t="str">
        <f>IF(BA175="","",IFERROR(INDEX(wClass,106)&amp;"",""))</f>
        <v/>
      </c>
      <c r="BD175" t="str">
        <f>IF(BA175="","",IFERROR(INDEX(wKsBand,106)+0,""))</f>
        <v/>
      </c>
      <c r="BE175" t="str">
        <f>IF(BA175="","",IFERROR(INDEX(wTests,106)+0,0))</f>
        <v/>
      </c>
      <c r="BF175" t="str">
        <f>IF(BA175="","",IFERROR(INDEX(wMean,106)+0,""))</f>
        <v/>
      </c>
      <c r="BG175" t="str">
        <f>IF(BA175="","",IFERROR(INDEX(wVs,106)+0,""))</f>
        <v/>
      </c>
      <c r="BH175" t="str">
        <f>IF(OR(BA175="",wLatest=""),"",IFERROR(INDEX(wData,106,MATCH(wLatest&amp;CHAR(10)&amp;"Stanine",wHdr,0))+0,""))</f>
        <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IFERROR(INDEX(tblY8[Class],ROWS(H$10:H176))&amp;"","")</f>
        <v/>
      </c>
      <c r="I176" t="str">
        <f>IF(H176="","",IF(SUMPRODUCT(--(H$10:H176=H176))=1,SUMPRODUCT(--(H$10:H$609&lt;H176))+1,""))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IFERROR(INDEX(tblY8[Class],ROWS(H$10:H177))&amp;"","")</f>
        <v/>
      </c>
      <c r="I177" t="str">
        <f>IF(H177="","",IF(SUMPRODUCT(--(H$10:H177=H177))=1,SUMPRODUCT(--(H$10:H$609&lt;H177))+1,""))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IFERROR(INDEX(tblY8[Class],ROWS(H$10:H178))&amp;"","")</f>
        <v/>
      </c>
      <c r="I178" t="str">
        <f>IF(H178="","",IF(SUMPRODUCT(--(H$10:H178=H178))=1,SUMPRODUCT(--(H$10:H$609&lt;H178))+1,""))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IFERROR(INDEX(tblY8[Class],ROWS(H$10:H179))&amp;"","")</f>
        <v/>
      </c>
      <c r="I179" t="str">
        <f>IF(H179="","",IF(SUMPRODUCT(--(H$10:H179=H179))=1,SUMPRODUCT(--(H$10:H$609&lt;H179))+1,""))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IFERROR(INDEX(tblY8[Class],ROWS(H$10:H180))&amp;"","")</f>
        <v/>
      </c>
      <c r="I180" t="str">
        <f>IF(H180="","",IF(SUMPRODUCT(--(H$10:H180=H180))=1,SUMPRODUCT(--(H$10:H$609&lt;H180))+1,""))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IFERROR(INDEX(tblY8[Class],ROWS(H$10:H181))&amp;"","")</f>
        <v/>
      </c>
      <c r="I181" t="str">
        <f>IF(H181="","",IF(SUMPRODUCT(--(H$10:H181=H181))=1,SUMPRODUCT(--(H$10:H$609&lt;H181))+1,""))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IFERROR(INDEX(tblY8[Class],ROWS(H$10:H182))&amp;"","")</f>
        <v/>
      </c>
      <c r="I182" t="str">
        <f>IF(H182="","",IF(SUMPRODUCT(--(H$10:H182=H182))=1,SUMPRODUCT(--(H$10:H$609&lt;H182))+1,""))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IFERROR(INDEX(tblY8[Class],ROWS(H$10:H183))&amp;"","")</f>
        <v/>
      </c>
      <c r="I183" t="str">
        <f>IF(H183="","",IF(SUMPRODUCT(--(H$10:H183=H183))=1,SUMPRODUCT(--(H$10:H$609&lt;H183))+1,""))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IFERROR(INDEX(tblY8[Class],ROWS(H$10:H184))&amp;"","")</f>
        <v/>
      </c>
      <c r="I184" t="str">
        <f>IF(H184="","",IF(SUMPRODUCT(--(H$10:H184=H184))=1,SUMPRODUCT(--(H$10:H$609&lt;H184))+1,""))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IFERROR(INDEX(tblY8[Class],ROWS(H$10:H185))&amp;"","")</f>
        <v/>
      </c>
      <c r="I185" t="str">
        <f>IF(H185="","",IF(SUMPRODUCT(--(H$10:H185=H185))=1,SUMPRODUCT(--(H$10:H$609&lt;H185))+1,""))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IFERROR(INDEX(tblY8[Class],ROWS(H$10:H186))&amp;"","")</f>
        <v/>
      </c>
      <c r="I186" t="str">
        <f>IF(H186="","",IF(SUMPRODUCT(--(H$10:H186=H186))=1,SUMPRODUCT(--(H$10:H$609&lt;H186))+1,""))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IFERROR(INDEX(tblY8[Class],ROWS(H$10:H187))&amp;"","")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IFERROR(INDEX(tblY8[Class],ROWS(H$10:H188))&amp;"","")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IFERROR(INDEX(tblY8[Class],ROWS(H$10:H189))&amp;"","")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IFERROR(INDEX(tblY8[Class],ROWS(H$10:H190))&amp;"","")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IFERROR(INDEX(tblY8[Class],ROWS(H$10:H191))&amp;"","")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IFERROR(INDEX(tblY8[Class],ROWS(H$10:H192))&amp;"","")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IFERROR(INDEX(tblY8[Class],ROWS(H$10:H193))&amp;"","")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IFERROR(INDEX(tblY8[Class],ROWS(H$10:H194))&amp;"","")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IFERROR(INDEX(tblY8[Class],ROWS(H$10:H195))&amp;"","")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IFERROR(INDEX(tblY8[Class],ROWS(H$10:H196))&amp;"","")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IFERROR(INDEX(tblY8[Class],ROWS(H$10:H197))&amp;"","")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IFERROR(INDEX(tblY8[Class],ROWS(H$10:H198))&amp;"","")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IFERROR(INDEX(tblY8[Class],ROWS(H$10:H199))&amp;"","")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IFERROR(INDEX(tblY8[Class],ROWS(H$10:H200))&amp;"","")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IFERROR(INDEX(tblY8[Class],ROWS(H$10:H201))&amp;"","")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IFERROR(INDEX(tblY8[Class],ROWS(H$10:H202))&amp;"","")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IFERROR(INDEX(tblY8[Class],ROWS(H$10:H203))&amp;"","")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IFERROR(INDEX(tblY8[Class],ROWS(H$10:H204))&amp;"","")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IFERROR(INDEX(tblY8[Class],ROWS(H$10:H205))&amp;"","")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IFERROR(INDEX(tblY8[Class],ROWS(H$10:H206))&amp;"","")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IFERROR(INDEX(tblY8[Class],ROWS(H$10:H207))&amp;"","")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IFERROR(INDEX(tblY8[Class],ROWS(H$10:H208))&amp;"","")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IFERROR(INDEX(tblY8[Class],ROWS(H$10:H209))&amp;"","")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IFERROR(INDEX(tblY8[Class],ROWS(H$10:H210))&amp;"","")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IFERROR(INDEX(tblY8[Class],ROWS(H$10:H211))&amp;"","")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IFERROR(INDEX(tblY8[Class],ROWS(H$10:H212))&amp;"","")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IFERROR(INDEX(tblY8[Class],ROWS(H$10:H213))&amp;"","")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IFERROR(INDEX(tblY8[Class],ROWS(H$10:H214))&amp;"","")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IFERROR(INDEX(tblY8[Class],ROWS(H$10:H215))&amp;"","")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IFERROR(INDEX(tblY8[Class],ROWS(H$10:H216))&amp;"","")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IFERROR(INDEX(tblY8[Class],ROWS(H$10:H217))&amp;"","")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IFERROR(INDEX(tblY8[Class],ROWS(H$10:H218))&amp;"","")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IFERROR(INDEX(tblY8[Class],ROWS(H$10:H219))&amp;"","")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IFERROR(INDEX(tblY8[Class],ROWS(H$10:H220))&amp;"","")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IFERROR(INDEX(tblY8[Class],ROWS(H$10:H221))&amp;"","")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IFERROR(INDEX(tblY8[Class],ROWS(H$10:H222))&amp;"","")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IFERROR(INDEX(tblY8[Class],ROWS(H$10:H223))&amp;"","")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IFERROR(INDEX(tblY8[Class],ROWS(H$10:H224))&amp;"","")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IFERROR(INDEX(tblY8[Class],ROWS(H$10:H225))&amp;"","")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IFERROR(INDEX(tblY8[Class],ROWS(H$10:H226))&amp;"","")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IFERROR(INDEX(tblY8[Class],ROWS(H$10:H227))&amp;"","")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IFERROR(INDEX(tblY8[Class],ROWS(H$10:H228))&amp;"","")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IFERROR(INDEX(tblY8[Class],ROWS(H$10:H229))&amp;"","")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IFERROR(INDEX(tblY8[Class],ROWS(H$10:H230))&amp;"","")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IFERROR(INDEX(tblY8[Class],ROWS(H$10:H231))&amp;"","")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IFERROR(INDEX(tblY8[Class],ROWS(H$10:H232))&amp;"","")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IFERROR(INDEX(tblY8[Class],ROWS(H$10:H233))&amp;"","")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IFERROR(INDEX(tblY8[Class],ROWS(H$10:H234))&amp;"","")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IFERROR(INDEX(tblY8[Class],ROWS(H$10:H235))&amp;"","")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IFERROR(INDEX(tblY8[Class],ROWS(H$10:H236))&amp;"","")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IFERROR(INDEX(tblY8[Class],ROWS(H$10:H237))&amp;"","")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IFERROR(INDEX(tblY8[Class],ROWS(H$10:H238))&amp;"","")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IFERROR(INDEX(tblY8[Class],ROWS(H$10:H239))&amp;"","")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IFERROR(INDEX(tblY8[Class],ROWS(H$10:H240))&amp;"","")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IFERROR(INDEX(tblY8[Class],ROWS(H$10:H241))&amp;"","")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IFERROR(INDEX(tblY8[Class],ROWS(H$10:H242))&amp;"","")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IFERROR(INDEX(tblY8[Class],ROWS(H$10:H243))&amp;"","")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IFERROR(INDEX(tblY8[Class],ROWS(H$10:H244))&amp;"","")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IFERROR(INDEX(tblY8[Class],ROWS(H$10:H245))&amp;"","")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IFERROR(INDEX(tblY8[Class],ROWS(H$10:H246))&amp;"","")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IFERROR(INDEX(tblY8[Class],ROWS(H$10:H247))&amp;"","")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IFERROR(INDEX(tblY8[Class],ROWS(H$10:H248))&amp;"","")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IFERROR(INDEX(tblY8[Class],ROWS(H$10:H249))&amp;"","")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IFERROR(INDEX(tblY8[Class],ROWS(H$10:H250))&amp;"","")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IFERROR(INDEX(tblY8[Class],ROWS(H$10:H251))&amp;"","")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IFERROR(INDEX(tblY8[Class],ROWS(H$10:H252))&amp;"","")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IFERROR(INDEX(tblY8[Class],ROWS(H$10:H253))&amp;"","")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IFERROR(INDEX(tblY8[Class],ROWS(H$10:H254))&amp;"","")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IFERROR(INDEX(tblY8[Class],ROWS(H$10:H255))&amp;"","")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IFERROR(INDEX(tblY8[Class],ROWS(H$10:H256))&amp;"","")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IFERROR(INDEX(tblY8[Class],ROWS(H$10:H257))&amp;"","")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IFERROR(INDEX(tblY8[Class],ROWS(H$10:H258))&amp;"","")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IFERROR(INDEX(tblY8[Class],ROWS(H$10:H259))&amp;"","")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IFERROR(INDEX(tblY8[Class],ROWS(H$10:H260))&amp;"","")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IFERROR(INDEX(tblY8[Class],ROWS(H$10:H261))&amp;"","")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IFERROR(INDEX(tblY8[Class],ROWS(H$10:H262))&amp;"","")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IFERROR(INDEX(tblY8[Class],ROWS(H$10:H263))&amp;"","")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IFERROR(INDEX(tblY8[Class],ROWS(H$10:H264))&amp;"","")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IFERROR(INDEX(tblY8[Class],ROWS(H$10:H265))&amp;"","")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IFERROR(INDEX(tblY8[Class],ROWS(H$10:H266))&amp;"","")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IFERROR(INDEX(tblY8[Class],ROWS(H$10:H267))&amp;"","")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IFERROR(INDEX(tblY8[Class],ROWS(H$10:H268))&amp;"","")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IFERROR(INDEX(tblY8[Class],ROWS(H$10:H269))&amp;"","")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IFERROR(INDEX(tblY8[Class],ROWS(H$10:H270))&amp;"","")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IFERROR(INDEX(tblY8[Class],ROWS(H$10:H271))&amp;"","")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IFERROR(INDEX(tblY8[Class],ROWS(H$10:H272))&amp;"","")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IFERROR(INDEX(tblY8[Class],ROWS(H$10:H273))&amp;"","")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IFERROR(INDEX(tblY8[Class],ROWS(H$10:H274))&amp;"","")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IFERROR(INDEX(tblY8[Class],ROWS(H$10:H275))&amp;"","")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IFERROR(INDEX(tblY8[Class],ROWS(H$10:H276))&amp;"","")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IFERROR(INDEX(tblY8[Class],ROWS(H$10:H277))&amp;"","")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IFERROR(INDEX(tblY8[Class],ROWS(H$10:H278))&amp;"","")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IFERROR(INDEX(tblY8[Class],ROWS(H$10:H279))&amp;"","")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IFERROR(INDEX(tblY8[Class],ROWS(H$10:H280))&amp;"","")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IFERROR(INDEX(tblY8[Class],ROWS(H$10:H281))&amp;"","")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IFERROR(INDEX(tblY8[Class],ROWS(H$10:H282))&amp;"","")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IFERROR(INDEX(tblY8[Class],ROWS(H$10:H283))&amp;"","")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IFERROR(INDEX(tblY8[Class],ROWS(H$10:H284))&amp;"","")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IFERROR(INDEX(tblY8[Class],ROWS(H$10:H285))&amp;"","")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IFERROR(INDEX(tblY8[Class],ROWS(H$10:H286))&amp;"","")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IFERROR(INDEX(tblY8[Class],ROWS(H$10:H287))&amp;"","")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IFERROR(INDEX(tblY8[Class],ROWS(H$10:H288))&amp;"","")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IFERROR(INDEX(tblY8[Class],ROWS(H$10:H289))&amp;"","")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IFERROR(INDEX(tblY8[Class],ROWS(H$10:H290))&amp;"","")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IFERROR(INDEX(tblY8[Class],ROWS(H$10:H291))&amp;"","")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IFERROR(INDEX(tblY8[Class],ROWS(H$10:H292))&amp;"","")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IFERROR(INDEX(tblY8[Class],ROWS(H$10:H293))&amp;"","")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IFERROR(INDEX(tblY8[Class],ROWS(H$10:H294))&amp;"","")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IFERROR(INDEX(tblY8[Class],ROWS(H$10:H295))&amp;"","")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IFERROR(INDEX(tblY8[Class],ROWS(H$10:H296))&amp;"","")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IFERROR(INDEX(tblY8[Class],ROWS(H$10:H297))&amp;"","")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IFERROR(INDEX(tblY8[Class],ROWS(H$10:H298))&amp;"","")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IFERROR(INDEX(tblY8[Class],ROWS(H$10:H299))&amp;"","")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IFERROR(INDEX(tblY8[Class],ROWS(H$10:H300))&amp;"","")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IFERROR(INDEX(tblY8[Class],ROWS(H$10:H301))&amp;"","")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IFERROR(INDEX(tblY8[Class],ROWS(H$10:H302))&amp;"","")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IFERROR(INDEX(tblY8[Class],ROWS(H$10:H303))&amp;"","")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IFERROR(INDEX(tblY8[Class],ROWS(H$10:H304))&amp;"","")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IFERROR(INDEX(tblY8[Class],ROWS(H$10:H305))&amp;"","")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IFERROR(INDEX(tblY8[Class],ROWS(H$10:H306))&amp;"","")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IFERROR(INDEX(tblY8[Class],ROWS(H$10:H307))&amp;"","")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IFERROR(INDEX(tblY8[Class],ROWS(H$10:H308))&amp;"","")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IFERROR(INDEX(tblY8[Class],ROWS(H$10:H309))&amp;"","")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IFERROR(INDEX(tblY8[Class],ROWS(H$10:H310))&amp;"","")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IFERROR(INDEX(tblY8[Class],ROWS(H$10:H311))&amp;"","")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IFERROR(INDEX(tblY8[Class],ROWS(H$10:H312))&amp;"","")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IFERROR(INDEX(tblY8[Class],ROWS(H$10:H313))&amp;"","")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IFERROR(INDEX(tblY8[Class],ROWS(H$10:H314))&amp;"","")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IFERROR(INDEX(tblY8[Class],ROWS(H$10:H315))&amp;"","")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IFERROR(INDEX(tblY8[Class],ROWS(H$10:H316))&amp;"","")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IFERROR(INDEX(tblY8[Class],ROWS(H$10:H317))&amp;"","")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IFERROR(INDEX(tblY8[Class],ROWS(H$10:H318))&amp;"","")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IFERROR(INDEX(tblY8[Class],ROWS(H$10:H319))&amp;"","")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IFERROR(INDEX(tblY8[Class],ROWS(H$10:H320))&amp;"","")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IFERROR(INDEX(tblY8[Class],ROWS(H$10:H321))&amp;"","")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IFERROR(INDEX(tblY8[Class],ROWS(H$10:H322))&amp;"","")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IFERROR(INDEX(tblY8[Class],ROWS(H$10:H323))&amp;"","")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IFERROR(INDEX(tblY8[Class],ROWS(H$10:H324))&amp;"","")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IFERROR(INDEX(tblY8[Class],ROWS(H$10:H325))&amp;"","")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IFERROR(INDEX(tblY8[Class],ROWS(H$10:H326))&amp;"","")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IFERROR(INDEX(tblY8[Class],ROWS(H$10:H327))&amp;"","")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IFERROR(INDEX(tblY8[Class],ROWS(H$10:H328))&amp;"","")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IFERROR(INDEX(tblY8[Class],ROWS(H$10:H329))&amp;"","")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IFERROR(INDEX(tblY8[Class],ROWS(H$10:H330))&amp;"","")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IFERROR(INDEX(tblY8[Class],ROWS(H$10:H331))&amp;"","")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IFERROR(INDEX(tblY8[Class],ROWS(H$10:H332))&amp;"","")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IFERROR(INDEX(tblY8[Class],ROWS(H$10:H333))&amp;"","")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IFERROR(INDEX(tblY8[Class],ROWS(H$10:H334))&amp;"","")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IFERROR(INDEX(tblY8[Class],ROWS(H$10:H335))&amp;"","")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IFERROR(INDEX(tblY8[Class],ROWS(H$10:H336))&amp;"","")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IFERROR(INDEX(tblY8[Class],ROWS(H$10:H337))&amp;"","")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IFERROR(INDEX(tblY8[Class],ROWS(H$10:H338))&amp;"","")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IFERROR(INDEX(tblY8[Class],ROWS(H$10:H339))&amp;"","")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IFERROR(INDEX(tblY8[Class],ROWS(H$10:H340))&amp;"","")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IFERROR(INDEX(tblY8[Class],ROWS(H$10:H341))&amp;"","")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IFERROR(INDEX(tblY8[Class],ROWS(H$10:H342))&amp;"","")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IFERROR(INDEX(tblY8[Class],ROWS(H$10:H343))&amp;"","")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IFERROR(INDEX(tblY8[Class],ROWS(H$10:H344))&amp;"","")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IFERROR(INDEX(tblY8[Class],ROWS(H$10:H345))&amp;"","")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IFERROR(INDEX(tblY8[Class],ROWS(H$10:H346))&amp;"","")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IFERROR(INDEX(tblY8[Class],ROWS(H$10:H347))&amp;"","")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IFERROR(INDEX(tblY8[Class],ROWS(H$10:H348))&amp;"","")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IFERROR(INDEX(tblY8[Class],ROWS(H$10:H349))&amp;"","")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IFERROR(INDEX(tblY8[Class],ROWS(H$10:H350))&amp;"","")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IFERROR(INDEX(tblY8[Class],ROWS(H$10:H351))&amp;"","")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IFERROR(INDEX(tblY8[Class],ROWS(H$10:H352))&amp;"","")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IFERROR(INDEX(tblY8[Class],ROWS(H$10:H353))&amp;"","")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IFERROR(INDEX(tblY8[Class],ROWS(H$10:H354))&amp;"","")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IFERROR(INDEX(tblY8[Class],ROWS(H$10:H355))&amp;"","")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IFERROR(INDEX(tblY8[Class],ROWS(H$10:H356))&amp;"","")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IFERROR(INDEX(tblY8[Class],ROWS(H$10:H357))&amp;"","")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IFERROR(INDEX(tblY8[Class],ROWS(H$10:H358))&amp;"","")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IFERROR(INDEX(tblY8[Class],ROWS(H$10:H359))&amp;"","")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IFERROR(INDEX(tblY8[Class],ROWS(H$10:H360))&amp;"","")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IFERROR(INDEX(tblY8[Class],ROWS(H$10:H361))&amp;"","")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IFERROR(INDEX(tblY8[Class],ROWS(H$10:H362))&amp;"","")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IFERROR(INDEX(tblY8[Class],ROWS(H$10:H363))&amp;"","")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IFERROR(INDEX(tblY8[Class],ROWS(H$10:H364))&amp;"","")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IFERROR(INDEX(tblY8[Class],ROWS(H$10:H365))&amp;"","")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IFERROR(INDEX(tblY8[Class],ROWS(H$10:H366))&amp;"","")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IFERROR(INDEX(tblY8[Class],ROWS(H$10:H367))&amp;"","")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IFERROR(INDEX(tblY8[Class],ROWS(H$10:H368))&amp;"","")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IFERROR(INDEX(tblY8[Class],ROWS(H$10:H369))&amp;"","")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IFERROR(INDEX(tblY8[Class],ROWS(H$10:H370))&amp;"","")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IFERROR(INDEX(tblY8[Class],ROWS(H$10:H371))&amp;"","")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IFERROR(INDEX(tblY8[Class],ROWS(H$10:H372))&amp;"","")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IFERROR(INDEX(tblY8[Class],ROWS(H$10:H373))&amp;"","")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IFERROR(INDEX(tblY8[Class],ROWS(H$10:H374))&amp;"","")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IFERROR(INDEX(tblY8[Class],ROWS(H$10:H375))&amp;"","")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IFERROR(INDEX(tblY8[Class],ROWS(H$10:H376))&amp;"","")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IFERROR(INDEX(tblY8[Class],ROWS(H$10:H377))&amp;"","")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IFERROR(INDEX(tblY8[Class],ROWS(H$10:H378))&amp;"","")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IFERROR(INDEX(tblY8[Class],ROWS(H$10:H379))&amp;"","")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IFERROR(INDEX(tblY8[Class],ROWS(H$10:H380))&amp;"","")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IFERROR(INDEX(tblY8[Class],ROWS(H$10:H381))&amp;"","")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IFERROR(INDEX(tblY8[Class],ROWS(H$10:H382))&amp;"","")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IFERROR(INDEX(tblY8[Class],ROWS(H$10:H383))&amp;"","")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IFERROR(INDEX(tblY8[Class],ROWS(H$10:H384))&amp;"","")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IFERROR(INDEX(tblY8[Class],ROWS(H$10:H385))&amp;"","")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IFERROR(INDEX(tblY8[Class],ROWS(H$10:H386))&amp;"","")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IFERROR(INDEX(tblY8[Class],ROWS(H$10:H387))&amp;"","")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IFERROR(INDEX(tblY8[Class],ROWS(H$10:H388))&amp;"","")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IFERROR(INDEX(tblY8[Class],ROWS(H$10:H389))&amp;"","")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IFERROR(INDEX(tblY8[Class],ROWS(H$10:H390))&amp;"","")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IFERROR(INDEX(tblY8[Class],ROWS(H$10:H391))&amp;"","")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IFERROR(INDEX(tblY8[Class],ROWS(H$10:H392))&amp;"","")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IFERROR(INDEX(tblY8[Class],ROWS(H$10:H393))&amp;"","")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IFERROR(INDEX(tblY8[Class],ROWS(H$10:H394))&amp;"","")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IFERROR(INDEX(tblY8[Class],ROWS(H$10:H395))&amp;"","")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IFERROR(INDEX(tblY8[Class],ROWS(H$10:H396))&amp;"","")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IFERROR(INDEX(tblY8[Class],ROWS(H$10:H397))&amp;"","")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IFERROR(INDEX(tblY8[Class],ROWS(H$10:H398))&amp;"","")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IFERROR(INDEX(tblY8[Class],ROWS(H$10:H399))&amp;"","")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IFERROR(INDEX(tblY8[Class],ROWS(H$10:H400))&amp;"","")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IFERROR(INDEX(tblY8[Class],ROWS(H$10:H401))&amp;"","")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IFERROR(INDEX(tblY8[Class],ROWS(H$10:H402))&amp;"","")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IFERROR(INDEX(tblY8[Class],ROWS(H$10:H403))&amp;"","")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IFERROR(INDEX(tblY8[Class],ROWS(H$10:H404))&amp;"","")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IFERROR(INDEX(tblY8[Class],ROWS(H$10:H405))&amp;"","")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IFERROR(INDEX(tblY8[Class],ROWS(H$10:H406))&amp;"","")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IFERROR(INDEX(tblY8[Class],ROWS(H$10:H407))&amp;"","")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IFERROR(INDEX(tblY8[Class],ROWS(H$10:H408))&amp;"","")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IFERROR(INDEX(tblY8[Class],ROWS(H$10:H409))&amp;"","")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IFERROR(INDEX(tblY8[Class],ROWS(H$10:H410))&amp;"","")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IFERROR(INDEX(tblY8[Class],ROWS(H$10:H411))&amp;"","")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IFERROR(INDEX(tblY8[Class],ROWS(H$10:H412))&amp;"","")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IFERROR(INDEX(tblY8[Class],ROWS(H$10:H413))&amp;"","")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IFERROR(INDEX(tblY8[Class],ROWS(H$10:H414))&amp;"","")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IFERROR(INDEX(tblY8[Class],ROWS(H$10:H415))&amp;"","")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IFERROR(INDEX(tblY8[Class],ROWS(H$10:H416))&amp;"","")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IFERROR(INDEX(tblY8[Class],ROWS(H$10:H417))&amp;"","")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IFERROR(INDEX(tblY8[Class],ROWS(H$10:H418))&amp;"","")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IFERROR(INDEX(tblY8[Class],ROWS(H$10:H419))&amp;"","")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IFERROR(INDEX(tblY8[Class],ROWS(H$10:H420))&amp;"","")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IFERROR(INDEX(tblY8[Class],ROWS(H$10:H421))&amp;"","")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IFERROR(INDEX(tblY8[Class],ROWS(H$10:H422))&amp;"","")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IFERROR(INDEX(tblY8[Class],ROWS(H$10:H423))&amp;"","")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IFERROR(INDEX(tblY8[Class],ROWS(H$10:H424))&amp;"","")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IFERROR(INDEX(tblY8[Class],ROWS(H$10:H425))&amp;"","")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IFERROR(INDEX(tblY8[Class],ROWS(H$10:H426))&amp;"","")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IFERROR(INDEX(tblY8[Class],ROWS(H$10:H427))&amp;"","")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IFERROR(INDEX(tblY8[Class],ROWS(H$10:H428))&amp;"","")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IFERROR(INDEX(tblY8[Class],ROWS(H$10:H429))&amp;"","")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IFERROR(INDEX(tblY8[Class],ROWS(H$10:H430))&amp;"","")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IFERROR(INDEX(tblY8[Class],ROWS(H$10:H431))&amp;"","")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IFERROR(INDEX(tblY8[Class],ROWS(H$10:H432))&amp;"","")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IFERROR(INDEX(tblY8[Class],ROWS(H$10:H433))&amp;"","")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IFERROR(INDEX(tblY8[Class],ROWS(H$10:H434))&amp;"","")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IFERROR(INDEX(tblY8[Class],ROWS(H$10:H435))&amp;"","")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IFERROR(INDEX(tblY8[Class],ROWS(H$10:H436))&amp;"","")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IFERROR(INDEX(tblY8[Class],ROWS(H$10:H437))&amp;"","")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IFERROR(INDEX(tblY8[Class],ROWS(H$10:H438))&amp;"","")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IFERROR(INDEX(tblY8[Class],ROWS(H$10:H439))&amp;"","")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IFERROR(INDEX(tblY8[Class],ROWS(H$10:H440))&amp;"","")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IFERROR(INDEX(tblY8[Class],ROWS(H$10:H441))&amp;"","")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IFERROR(INDEX(tblY8[Class],ROWS(H$10:H442))&amp;"","")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IFERROR(INDEX(tblY8[Class],ROWS(H$10:H443))&amp;"","")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IFERROR(INDEX(tblY8[Class],ROWS(H$10:H444))&amp;"","")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IFERROR(INDEX(tblY8[Class],ROWS(H$10:H445))&amp;"","")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IFERROR(INDEX(tblY8[Class],ROWS(H$10:H446))&amp;"","")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IFERROR(INDEX(tblY8[Class],ROWS(H$10:H447))&amp;"","")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IFERROR(INDEX(tblY8[Class],ROWS(H$10:H448))&amp;"","")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IFERROR(INDEX(tblY8[Class],ROWS(H$10:H449))&amp;"","")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IFERROR(INDEX(tblY8[Class],ROWS(H$10:H450))&amp;"","")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IFERROR(INDEX(tblY8[Class],ROWS(H$10:H451))&amp;"","")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IFERROR(INDEX(tblY8[Class],ROWS(H$10:H452))&amp;"","")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IFERROR(INDEX(tblY8[Class],ROWS(H$10:H453))&amp;"","")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IFERROR(INDEX(tblY8[Class],ROWS(H$10:H454))&amp;"","")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IFERROR(INDEX(tblY8[Class],ROWS(H$10:H455))&amp;"","")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IFERROR(INDEX(tblY8[Class],ROWS(H$10:H456))&amp;"","")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IFERROR(INDEX(tblY8[Class],ROWS(H$10:H457))&amp;"","")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IFERROR(INDEX(tblY8[Class],ROWS(H$10:H458))&amp;"","")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IFERROR(INDEX(tblY8[Class],ROWS(H$10:H459))&amp;"","")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IFERROR(INDEX(tblY8[Class],ROWS(H$10:H460))&amp;"","")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IFERROR(INDEX(tblY8[Class],ROWS(H$10:H461))&amp;"","")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IFERROR(INDEX(tblY8[Class],ROWS(H$10:H462))&amp;"","")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IFERROR(INDEX(tblY8[Class],ROWS(H$10:H463))&amp;"","")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IFERROR(INDEX(tblY8[Class],ROWS(H$10:H464))&amp;"","")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IFERROR(INDEX(tblY8[Class],ROWS(H$10:H465))&amp;"","")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IFERROR(INDEX(tblY8[Class],ROWS(H$10:H466))&amp;"","")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IFERROR(INDEX(tblY8[Class],ROWS(H$10:H467))&amp;"","")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IFERROR(INDEX(tblY8[Class],ROWS(H$10:H468))&amp;"","")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IFERROR(INDEX(tblY8[Class],ROWS(H$10:H469))&amp;"","")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IFERROR(INDEX(tblY8[Class],ROWS(H$10:H470))&amp;"","")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IFERROR(INDEX(tblY8[Class],ROWS(H$10:H471))&amp;"","")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IFERROR(INDEX(tblY8[Class],ROWS(H$10:H472))&amp;"","")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IFERROR(INDEX(tblY8[Class],ROWS(H$10:H473))&amp;"","")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IFERROR(INDEX(tblY8[Class],ROWS(H$10:H474))&amp;"","")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IFERROR(INDEX(tblY8[Class],ROWS(H$10:H475))&amp;"","")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IFERROR(INDEX(tblY8[Class],ROWS(H$10:H476))&amp;"","")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IFERROR(INDEX(tblY8[Class],ROWS(H$10:H477))&amp;"","")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IFERROR(INDEX(tblY8[Class],ROWS(H$10:H478))&amp;"","")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IFERROR(INDEX(tblY8[Class],ROWS(H$10:H479))&amp;"","")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IFERROR(INDEX(tblY8[Class],ROWS(H$10:H480))&amp;"","")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IFERROR(INDEX(tblY8[Class],ROWS(H$10:H481))&amp;"","")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IFERROR(INDEX(tblY8[Class],ROWS(H$10:H482))&amp;"","")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IFERROR(INDEX(tblY8[Class],ROWS(H$10:H483))&amp;"","")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IFERROR(INDEX(tblY8[Class],ROWS(H$10:H484))&amp;"","")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IFERROR(INDEX(tblY8[Class],ROWS(H$10:H485))&amp;"","")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IFERROR(INDEX(tblY8[Class],ROWS(H$10:H486))&amp;"","")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IFERROR(INDEX(tblY8[Class],ROWS(H$10:H487))&amp;"","")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IFERROR(INDEX(tblY8[Class],ROWS(H$10:H488))&amp;"","")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IFERROR(INDEX(tblY8[Class],ROWS(H$10:H489))&amp;"","")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IFERROR(INDEX(tblY8[Class],ROWS(H$10:H490))&amp;"","")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IFERROR(INDEX(tblY8[Class],ROWS(H$10:H491))&amp;"","")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IFERROR(INDEX(tblY8[Class],ROWS(H$10:H492))&amp;"","")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IFERROR(INDEX(tblY8[Class],ROWS(H$10:H493))&amp;"","")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IFERROR(INDEX(tblY8[Class],ROWS(H$10:H494))&amp;"","")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IFERROR(INDEX(tblY8[Class],ROWS(H$10:H495))&amp;"","")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IFERROR(INDEX(tblY8[Class],ROWS(H$10:H496))&amp;"","")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IFERROR(INDEX(tblY8[Class],ROWS(H$10:H497))&amp;"","")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IFERROR(INDEX(tblY8[Class],ROWS(H$10:H498))&amp;"","")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IFERROR(INDEX(tblY8[Class],ROWS(H$10:H499))&amp;"","")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IFERROR(INDEX(tblY8[Class],ROWS(H$10:H500))&amp;"","")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IFERROR(INDEX(tblY8[Class],ROWS(H$10:H501))&amp;"","")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IFERROR(INDEX(tblY8[Class],ROWS(H$10:H502))&amp;"","")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IFERROR(INDEX(tblY8[Class],ROWS(H$10:H503))&amp;"","")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IFERROR(INDEX(tblY8[Class],ROWS(H$10:H504))&amp;"","")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IFERROR(INDEX(tblY8[Class],ROWS(H$10:H505))&amp;"","")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IFERROR(INDEX(tblY8[Class],ROWS(H$10:H506))&amp;"","")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IFERROR(INDEX(tblY8[Class],ROWS(H$10:H507))&amp;"","")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IFERROR(INDEX(tblY8[Class],ROWS(H$10:H508))&amp;"","")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IFERROR(INDEX(tblY8[Class],ROWS(H$10:H509))&amp;"","")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IFERROR(INDEX(tblY8[Class],ROWS(H$10:H510))&amp;"","")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IFERROR(INDEX(tblY8[Class],ROWS(H$10:H511))&amp;"","")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IFERROR(INDEX(tblY8[Class],ROWS(H$10:H512))&amp;"","")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IFERROR(INDEX(tblY8[Class],ROWS(H$10:H513))&amp;"","")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IFERROR(INDEX(tblY8[Class],ROWS(H$10:H514))&amp;"","")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IFERROR(INDEX(tblY8[Class],ROWS(H$10:H515))&amp;"","")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IFERROR(INDEX(tblY8[Class],ROWS(H$10:H516))&amp;"","")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IFERROR(INDEX(tblY8[Class],ROWS(H$10:H517))&amp;"","")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IFERROR(INDEX(tblY8[Class],ROWS(H$10:H518))&amp;"","")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IFERROR(INDEX(tblY8[Class],ROWS(H$10:H519))&amp;"","")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IFERROR(INDEX(tblY8[Class],ROWS(H$10:H520))&amp;"","")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IFERROR(INDEX(tblY8[Class],ROWS(H$10:H521))&amp;"","")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IFERROR(INDEX(tblY8[Class],ROWS(H$10:H522))&amp;"","")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IFERROR(INDEX(tblY8[Class],ROWS(H$10:H523))&amp;"","")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IFERROR(INDEX(tblY8[Class],ROWS(H$10:H524))&amp;"","")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IFERROR(INDEX(tblY8[Class],ROWS(H$10:H525))&amp;"","")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IFERROR(INDEX(tblY8[Class],ROWS(H$10:H526))&amp;"","")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IFERROR(INDEX(tblY8[Class],ROWS(H$10:H527))&amp;"","")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IFERROR(INDEX(tblY8[Class],ROWS(H$10:H528))&amp;"","")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IFERROR(INDEX(tblY8[Class],ROWS(H$10:H529))&amp;"","")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IFERROR(INDEX(tblY8[Class],ROWS(H$10:H530))&amp;"","")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IFERROR(INDEX(tblY8[Class],ROWS(H$10:H531))&amp;"","")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IFERROR(INDEX(tblY8[Class],ROWS(H$10:H532))&amp;"","")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IFERROR(INDEX(tblY8[Class],ROWS(H$10:H533))&amp;"","")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IFERROR(INDEX(tblY8[Class],ROWS(H$10:H534))&amp;"","")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IFERROR(INDEX(tblY8[Class],ROWS(H$10:H535))&amp;"","")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IFERROR(INDEX(tblY8[Class],ROWS(H$10:H536))&amp;"","")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IFERROR(INDEX(tblY8[Class],ROWS(H$10:H537))&amp;"","")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IFERROR(INDEX(tblY8[Class],ROWS(H$10:H538))&amp;"","")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IFERROR(INDEX(tblY8[Class],ROWS(H$10:H539))&amp;"","")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IFERROR(INDEX(tblY8[Class],ROWS(H$10:H540))&amp;"","")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IFERROR(INDEX(tblY8[Class],ROWS(H$10:H541))&amp;"","")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IFERROR(INDEX(tblY8[Class],ROWS(H$10:H542))&amp;"","")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IFERROR(INDEX(tblY8[Class],ROWS(H$10:H543))&amp;"","")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IFERROR(INDEX(tblY8[Class],ROWS(H$10:H544))&amp;"","")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IFERROR(INDEX(tblY8[Class],ROWS(H$10:H545))&amp;"","")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IFERROR(INDEX(tblY8[Class],ROWS(H$10:H546))&amp;"","")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IFERROR(INDEX(tblY8[Class],ROWS(H$10:H547))&amp;"","")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IFERROR(INDEX(tblY8[Class],ROWS(H$10:H548))&amp;"","")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IFERROR(INDEX(tblY8[Class],ROWS(H$10:H549))&amp;"","")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IFERROR(INDEX(tblY8[Class],ROWS(H$10:H550))&amp;"","")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IFERROR(INDEX(tblY8[Class],ROWS(H$10:H551))&amp;"","")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IFERROR(INDEX(tblY8[Class],ROWS(H$10:H552))&amp;"","")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IFERROR(INDEX(tblY8[Class],ROWS(H$10:H553))&amp;"","")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IFERROR(INDEX(tblY8[Class],ROWS(H$10:H554))&amp;"","")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IFERROR(INDEX(tblY8[Class],ROWS(H$10:H555))&amp;"","")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IFERROR(INDEX(tblY8[Class],ROWS(H$10:H556))&amp;"","")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IFERROR(INDEX(tblY8[Class],ROWS(H$10:H557))&amp;"","")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IFERROR(INDEX(tblY8[Class],ROWS(H$10:H558))&amp;"","")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IFERROR(INDEX(tblY8[Class],ROWS(H$10:H559))&amp;"","")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IFERROR(INDEX(tblY8[Class],ROWS(H$10:H560))&amp;"","")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IFERROR(INDEX(tblY8[Class],ROWS(H$10:H561))&amp;"","")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IFERROR(INDEX(tblY8[Class],ROWS(H$10:H562))&amp;"","")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IFERROR(INDEX(tblY8[Class],ROWS(H$10:H563))&amp;"","")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IFERROR(INDEX(tblY8[Class],ROWS(H$10:H564))&amp;"","")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IFERROR(INDEX(tblY8[Class],ROWS(H$10:H565))&amp;"","")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IFERROR(INDEX(tblY8[Class],ROWS(H$10:H566))&amp;"","")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IFERROR(INDEX(tblY8[Class],ROWS(H$10:H567))&amp;"","")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IFERROR(INDEX(tblY8[Class],ROWS(H$10:H568))&amp;"","")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IFERROR(INDEX(tblY8[Class],ROWS(H$10:H569))&amp;"","")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IFERROR(INDEX(tblY8[Class],ROWS(H$10:H570))&amp;"","")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IFERROR(INDEX(tblY8[Class],ROWS(H$10:H571))&amp;"","")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IFERROR(INDEX(tblY8[Class],ROWS(H$10:H572))&amp;"","")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IFERROR(INDEX(tblY8[Class],ROWS(H$10:H573))&amp;"","")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IFERROR(INDEX(tblY8[Class],ROWS(H$10:H574))&amp;"","")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IFERROR(INDEX(tblY8[Class],ROWS(H$10:H575))&amp;"","")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IFERROR(INDEX(tblY8[Class],ROWS(H$10:H576))&amp;"","")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IFERROR(INDEX(tblY8[Class],ROWS(H$10:H577))&amp;"","")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IFERROR(INDEX(tblY8[Class],ROWS(H$10:H578))&amp;"","")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IFERROR(INDEX(tblY8[Class],ROWS(H$10:H579))&amp;"","")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IFERROR(INDEX(tblY8[Class],ROWS(H$10:H580))&amp;"","")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IFERROR(INDEX(tblY8[Class],ROWS(H$10:H581))&amp;"","")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IFERROR(INDEX(tblY8[Class],ROWS(H$10:H582))&amp;"","")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IFERROR(INDEX(tblY8[Class],ROWS(H$10:H583))&amp;"","")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IFERROR(INDEX(tblY8[Class],ROWS(H$10:H584))&amp;"","")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IFERROR(INDEX(tblY8[Class],ROWS(H$10:H585))&amp;"","")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IFERROR(INDEX(tblY8[Class],ROWS(H$10:H586))&amp;"","")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IFERROR(INDEX(tblY8[Class],ROWS(H$10:H587))&amp;"","")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IFERROR(INDEX(tblY8[Class],ROWS(H$10:H588))&amp;"","")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IFERROR(INDEX(tblY8[Class],ROWS(H$10:H589))&amp;"","")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IFERROR(INDEX(tblY8[Class],ROWS(H$10:H590))&amp;"","")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IFERROR(INDEX(tblY8[Class],ROWS(H$10:H591))&amp;"","")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IFERROR(INDEX(tblY8[Class],ROWS(H$10:H592))&amp;"","")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IFERROR(INDEX(tblY8[Class],ROWS(H$10:H593))&amp;"","")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IFERROR(INDEX(tblY8[Class],ROWS(H$10:H594))&amp;"","")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IFERROR(INDEX(tblY8[Class],ROWS(H$10:H595))&amp;"","")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IFERROR(INDEX(tblY8[Class],ROWS(H$10:H596))&amp;"","")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IFERROR(INDEX(tblY8[Class],ROWS(H$10:H597))&amp;"","")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IFERROR(INDEX(tblY8[Class],ROWS(H$10:H598))&amp;"","")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IFERROR(INDEX(tblY8[Class],ROWS(H$10:H599))&amp;"","")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IFERROR(INDEX(tblY8[Class],ROWS(H$10:H600))&amp;"","")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IFERROR(INDEX(tblY8[Class],ROWS(H$10:H601))&amp;"","")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IFERROR(INDEX(tblY8[Class],ROWS(H$10:H602))&amp;"","")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IFERROR(INDEX(tblY8[Class],ROWS(H$10:H603))&amp;"","")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IFERROR(INDEX(tblY8[Class],ROWS(H$10:H604))&amp;"","")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IFERROR(INDEX(tblY8[Class],ROWS(H$10:H605))&amp;"","")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IFERROR(INDEX(tblY8[Class],ROWS(H$10:H606))&amp;"","")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IFERROR(INDEX(tblY8[Class],ROWS(H$10:H607))&amp;"","")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IFERROR(INDEX(tblY8[Class],ROWS(H$10:H608))&amp;"","")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IFERROR(INDEX(tblY8[Class],ROWS(H$10:H609))&amp;"","")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8   ·   leaves 2030, 2026-27</dc:subject>
  <dcterms:created xmlns:dcterms="http://purl.org/dc/terms/" xmlns:xsi="http://www.w3.org/2001/XMLSchema-instance" xsi:type="dcterms:W3CDTF">2026-09-29T19:29:53Z</dcterms:created>
  <dcterms:modified xmlns:dcterms="http://purl.org/dc/terms/" xmlns:xsi="http://www.w3.org/2001/XMLSchema-instance" xsi:type="dcterms:W3CDTF">2026-09-29T19:29:53Z</dcterms:modified>
  <cp:lastModifiedBy>Mastery Quiz Tracker generator</cp:lastModifiedBy>
  <cp:keywords>stanine; mastery quiz; KS3; KS4; science</cp:keywords>
</cp:coreProperties>
</file>