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11" sheetId="5" state="visible" r:id="rId5"/>
    <sheet xmlns:r="http://schemas.openxmlformats.org/officeDocument/2006/relationships" name="Assessment Info" sheetId="6" state="visible" r:id="rId6"/>
    <sheet xmlns:r="http://schemas.openxmlformats.org/officeDocument/2006/relationships" name="Settings" sheetId="7" state="visible" r:id="rId7"/>
    <sheet xmlns:r="http://schemas.openxmlformats.org/officeDocument/2006/relationships" name="Calc" sheetId="8" state="hidden" r:id="rId8"/>
  </sheets>
  <definedNames>
    <definedName name="YearNames">Calc!$B$3:$B$3</definedName>
    <definedName name="MeasureList">Calc!$E$3:$E$5</definedName>
    <definedName name="SlopeY11">Calc!$BT$3</definedName>
    <definedName name="InterceptY11">Calc!$BU$3</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11">Calc!$S$3:$S$10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CHOOSE(dYear,tblY11[#Data])</definedName>
    <definedName name="dHdr">CHOOSE(dYear,tblY11[#Headers])</definedName>
    <definedName name="dClass">CHOOSE(dYear,tblY11[Class])</definedName>
    <definedName name="dLast">CHOOSE(dYear,tblY11[Preferred Last name])</definedName>
    <definedName name="dFirst">CHOOSE(dYear,tblY11[Preferred First name])</definedName>
    <definedName name="dMean">CHOOSE(dYear,tblY11[Mean Stanine])</definedName>
    <definedName name="dVs">CHOOSE(dYear,tblY11[vs Expected])</definedName>
    <definedName name="dKsBand">CHOOSE(dYear,tblY11[Avg KS2 Band])</definedName>
    <definedName name="dPP">CHOOSE(dYear,tblY11[PP Deprivation])</definedName>
    <definedName name="dSEN">CHOOSE(dYear,tblY11[SEN Status Code])</definedName>
    <definedName name="dSex">CHOOSE(dYear,tblY11[Sex Code])</definedName>
    <definedName name="dTests">CHOOSE(dYear,tblY11[Tests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CHOOSE(wYear,tblY11[#Data])</definedName>
    <definedName name="wHdr">CHOOSE(wYear,tblY11[#Headers])</definedName>
    <definedName name="wLast">CHOOSE(wYear,tblY11[Preferred Last name])</definedName>
    <definedName name="wFirst">CHOOSE(wYear,tblY11[Preferred First name])</definedName>
    <definedName name="wClass">CHOOSE(wYear,tblY11[Class])</definedName>
    <definedName name="wKsBand">CHOOSE(wYear,tblY11[Avg KS2 Band])</definedName>
    <definedName name="wTests">CHOOSE(wYear,tblY11[Tests Sat])</definedName>
    <definedName name="wMean">CHOOSE(wYear,tblY11[Mean Stanine])</definedName>
    <definedName name="wVs">CHOOSE(wYear,tblY11[vs Expected])</definedName>
    <definedName name="wLatest">INDEX(Calc!$AF$3:$AF$3,wYear)</definedName>
    <definedName name="wlCount">Calc!$BA$67</definedName>
    <definedName name="_xlnm.Print_Titles" localSheetId="4">'Year 11'!$1:$1,'Year 11'!$A:$C</definedName>
    <definedName name="chTrendCats" localSheetId="7">OFFSET(Calc!$AK$3,0,0,MAX(1,MIN(60,Calc!$AA$64)),1)</definedName>
    <definedName name="chTrendYear" localSheetId="7">OFFSET(Calc!$AL$3,0,0,MAX(1,MIN(60,Calc!$AA$64)),1)</definedName>
    <definedName name="chTrendClass" localSheetId="7">OFFSET(Calc!$AM$3,0,0,MAX(1,MIN(60,Calc!$AA$64)),1)</definedName>
    <definedName name="chClassCats" localSheetId="7">OFFSET(Calc!$AO$3,0,0,1+Calc!$Y$12,1)</definedName>
    <definedName name="chClassVals" localSheetId="7">OFFSET(Calc!$AP$3,0,0,1+Calc!$Y$12,1)</definedName>
    <definedName name="Slicer_Class_Y11">#N/A</definedName>
    <definedName name="Slicer_KS2_Band_Y11">#N/A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1"/>
        <x14:slicerCache xmlns:r="http://schemas.openxmlformats.org/officeDocument/2006/relationships" r:id="rId12"/>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11" Type="http://schemas.microsoft.com/office/2007/relationships/slicerCache" Target="slicerCaches/slicerCache1.xml"/><Relationship Id="rId12" Type="http://schemas.microsoft.com/office/2007/relationships/slicerCache" Target="slicerCaches/slicerCache2.xml"/><Relationship Id="rId13"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11"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11"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11"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11"/>
            <xdr:cNvGraphicFramePr/>
          </xdr:nvGraphicFramePr>
          <xdr:xfrm>
            <a:off x="0" y="0"/>
            <a:ext cx="0" cy="0"/>
          </xdr:xfrm>
          <a:graphic>
            <a:graphicData uri="http://schemas.microsoft.com/office/drawing/2010/slicer">
              <sle:slicer xmlns:sle="http://schemas.microsoft.com/office/drawing/2010/slicer" name="Class Y11"/>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11"/>
            <xdr:cNvGraphicFramePr/>
          </xdr:nvGraphicFramePr>
          <xdr:xfrm>
            <a:off x="0" y="0"/>
            <a:ext cx="0" cy="0"/>
          </xdr:xfrm>
          <a:graphic>
            <a:graphicData uri="http://schemas.microsoft.com/office/drawing/2010/slicer">
              <sle:slicer xmlns:sle="http://schemas.microsoft.com/office/drawing/2010/slicer" name="KS2 band Y11"/>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11" xr10:uid="{07DA8BA2-51FF-584F-8800-CB8ABD150093}"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11" xr10:uid="{4081D256-CD66-51E4-9A45-1900366F67E9}" sourceName="Avg KS2 Band">
  <extLst>
    <x:ext xmlns:x15="http://schemas.microsoft.com/office/spreadsheetml/2010/11/main" uri="{2F2917AC-EB37-4324-AD4E-5DD8C200BD13}">
      <x15:tableSlicerCache tableId="1"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11" xr10:uid="{64833ADC-5430-5142-B21A-9B651EFE0E51}" cache="Slicer_Class_Y11" caption="Class" columnCount="2" rowHeight="180000"/>
  <slicer name="KS2 band Y11" xr10:uid="{506D604A-20C2-5B60-83A8-BD7872FE6EAB}" cache="Slicer_KS2_Band_Y11" caption="KS2 band" columnCount="3" rowHeight="180000"/>
</slicers>
</file>

<file path=xl/tables/table1.xml><?xml version="1.0" encoding="utf-8"?>
<table xmlns="http://schemas.openxmlformats.org/spreadsheetml/2006/main" id="1" name="tblY11" displayName="tblY11" ref="A1:Y107" headerRowCount="1">
  <autoFilter ref="A1:Y107"/>
  <tableColumns count="25">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IF(ISNUMBER(tblY11[[#This Row],[Avg KS2]]),IFERROR(VLOOKUP(ROUND(STANDARDIZE(tblY11[[#This Row],[Avg KS2]],AVERAGE(tblY11[[Avg KS2]]),_xlfn.STDEV.P(tblY11[[Avg KS2]])),9),_Stanine,2),5),"")</calculatedColumnFormula>
    </tableColumn>
    <tableColumn id="10" name="Class"/>
    <tableColumn id="11" name="Tests Sat">
      <calculatedColumnFormula>IF(tblY11[[#This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IF(AND(ISNUMBER(tblY11[[#This Row],[Mean Stanine]]),ISNUMBER(tblY11[[#This Row],[Avg KS2 Band]]),ISNUMBER(SlopeY11)),tblY11[[#This Row],[Mean Stanine]]-(InterceptY11+SlopeY11*tblY11[[#This Row],[Avg KS2 Band]]),"")</calculatedColumnFormula>
    </tableColumn>
    <tableColumn id="14" name="4B05 - Homeostasis_x000a_Raw Score"/>
    <tableColumn id="15" name="4B05 - Homeostasis_x000a_Stanine">
      <calculatedColumnFormula>IF(ISNUMBER(tblY11[[#This Row],[4B05 - Homeostasis
Raw Score]]),IFERROR(VLOOKUP(ROUND(STANDARDIZE(tblY11[[#This Row],[4B05 - Homeostasis
Raw Score]],AVERAGE(tblY11[[4B05 - Homeostasis
Raw Score]]),_xlfn.STDEV.P(tblY11[[4B05 - Homeostasis
Raw Score]])),9),_Stanine,2),5),"")</calculatedColumnFormula>
    </tableColumn>
    <tableColumn id="16" name="4C09 - Organic Chemistry_x000a_Raw Score"/>
    <tableColumn id="17" name="4C09 - Organic Chemistry_x000a_Stanine">
      <calculatedColumnFormula>IF(ISNUMBER(tblY11[[#This Row],[4C09 - Organic Chemistry
Raw Score]]),IFERROR(VLOOKUP(ROUND(STANDARDIZE(tblY11[[#This Row],[4C09 - Organic Chemistry
Raw Score]],AVERAGE(tblY11[[4C09 - Organic Chemistry
Raw Score]]),_xlfn.STDEV.P(tblY11[[4C09 - Organic Chemistry
Raw Score]])),9),_Stanine,2),5),"")</calculatedColumnFormula>
    </tableColumn>
    <tableColumn id="18" name="4P06 - Waves_x000a_Raw Score"/>
    <tableColumn id="19" name="4P06 - Waves_x000a_Stanine">
      <calculatedColumnFormula>IF(ISNUMBER(tblY11[[#This Row],[4P06 - Waves
Raw Score]]),IFERROR(VLOOKUP(ROUND(STANDARDIZE(tblY11[[#This Row],[4P06 - Waves
Raw Score]],AVERAGE(tblY11[[4P06 - Waves
Raw Score]]),_xlfn.STDEV.P(tblY11[[4P06 - Waves
Raw Score]])),9),_Stanine,2),5),"")</calculatedColumnFormula>
    </tableColumn>
    <tableColumn id="20" name="4B06 - Inheritance_x000a_Raw Score"/>
    <tableColumn id="21" name="4B06 - Inheritance_x000a_Stanine">
      <calculatedColumnFormula>IF(ISNUMBER(tblY11[[#This Row],[4B06 - Inheritance
Raw Score]]),IFERROR(VLOOKUP(ROUND(STANDARDIZE(tblY11[[#This Row],[4B06 - Inheritance
Raw Score]],AVERAGE(tblY11[[4B06 - Inheritance
Raw Score]]),_xlfn.STDEV.P(tblY11[[4B06 - Inheritance
Raw Score]])),9),_Stanine,2),5),"")</calculatedColumnFormula>
    </tableColumn>
    <tableColumn id="22" name="4C10 - Chemical Analysis_x000a_Raw Score"/>
    <tableColumn id="23" name="4C10 - Chemical Analysis_x000a_Stanine">
      <calculatedColumnFormula>IF(ISNUMBER(tblY11[[#This Row],[4C10 - Chemical Analysis
Raw Score]]),IFERROR(VLOOKUP(ROUND(STANDARDIZE(tblY11[[#This Row],[4C10 - Chemical Analysis
Raw Score]],AVERAGE(tblY11[[4C10 - Chemical Analysis
Raw Score]]),_xlfn.STDEV.P(tblY11[[4C10 - Chemical Analysis
Raw Score]])),9),_Stanine,2),5),"")</calculatedColumnFormula>
    </tableColumn>
    <tableColumn id="24" name="4P07 - Magnetism_x000a_Raw Score"/>
    <tableColumn id="25" name="4P07 - Magnetism_x000a_Stanine">
      <calculatedColumnFormula>IF(ISNUMBER(tblY11[[#This Row],[4P07 - Magnetism
Raw Score]]),IFERROR(VLOOKUP(ROUND(STANDARDIZE(tblY11[[#This Row],[4P07 - Magnetism
Raw Score]],AVERAGE(tblY11[[4P07 - Magnetism
Raw Score]]),_xlfn.STDEV.P(tblY11[[4P07 - Magnetism
Raw Score]])),9),_Stanine,2),5),"")</calculatedColumnFormula>
    </tableColumn>
  </tableColumns>
  <tableStyleInfo name="TableStyleLight1" showRowStripes="1"/>
</table>
</file>

<file path=xl/tables/table2.xml><?xml version="1.0" encoding="utf-8"?>
<table xmlns="http://schemas.openxmlformats.org/spreadsheetml/2006/main" id="2" name="tblAssessments" displayName="tblAssessments" ref="A4:T10" headerRowCount="1">
  <autoFilter ref="A4:T10"/>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Index]],tblY11[Preferred Last name])))</calculatedColumnFormula>
    </tableColumn>
    <tableColumn id="8" name="Sat">
      <calculatedColumnFormula>IF(tblAssessments[[#This Row],[Raw Col]]=0,"",COUNT(INDEX(CHOOSE(tblAssessments[[#This Row],[Year Index]],tblY11[#Data]),0,tblAssessments[[#This Row],[Raw Col]])))</calculatedColumnFormula>
    </tableColumn>
    <tableColumn id="9" name="Absent">
      <calculatedColumnFormula>IF(tblAssessments[[#This Row],[Raw Col]]=0,"",COUNTIF(INDEX(CHOOSE(tblAssessments[[#This Row],[Year Index]],tblY11[#Data]),0,tblAssessments[[#This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Index]],tblY11[#Data]),0,tblAssessments[[#This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Index]],tblY11[#Data]),0,tblAssessments[[#This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Index]],tblY11[#Headers]),0),0))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calculatedColumnFormula>
    </tableColumn>
  </tableColumns>
  <tableStyleInfo name="TableStyleLight1" showRowStripes="1"/>
</table>
</file>

<file path=xl/tables/table3.xml><?xml version="1.0" encoding="utf-8"?>
<table xmlns="http://schemas.openxmlformats.org/spreadsheetml/2006/main" id="3" name="tblTeachers" displayName="tblTeachers" ref="B24:E30" headerRowCount="1">
  <autoFilter ref="B24:E30"/>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openxmlformats.org/officeDocument/2006/relationships/drawing" Target="../drawings/drawing4.xml"/></Relationships>
</file>

<file path=xl/worksheets/sheet1.xml><?xml version="1.0" encoding="utf-8"?>
<worksheet xmlns="http://schemas.openxmlformats.org/spreadsheetml/2006/main">
  <sheetPr codeName="shStart">
    <tabColor rgb="000D366B"/>
    <outlinePr summaryBelow="1" summaryRight="1"/>
    <pageSetUpPr fitToPage="1"/>
  </sheetPr>
  <dimension ref="A1:L50"/>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 11   ·   leaves 2027   ·   "&amp;AcademicYear</f>
        <v>Science   ·   Year 11   ·   leaves 2027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11</t>
        </is>
      </c>
      <c r="C9" s="9">
        <f>Settings!C15</f>
        <v>2027</v>
      </c>
      <c r="D9" s="10">
        <f>COUNTA(tblY11[Preferred Last name])</f>
        <v>106</v>
      </c>
      <c r="E9" s="10">
        <f>Calc!AI3</f>
        <v>6</v>
      </c>
      <c r="F9" s="11">
        <f>SUMPRODUCT((RIGHT(tblY11[#Headers],10)=CHAR(10)&amp;"Raw Score")*ISNUMBER(tblY11[#Data]))</f>
        <v>613</v>
      </c>
      <c r="G9" s="12" t="str">
        <f>IF(Calc!AF3="","-",Calc!AF3)</f>
        <v>4P07 - Magnetism</v>
      </c>
      <c r="H9" s="13" t="str">
        <f>HYPERLINK("#'Year 11'!A1","Open Year 11")</f>
        <v>Open Year 11</v>
      </c>
    </row>
    <row r="12">
      <c r="B12" s="6" t="inlineStr">
        <is>
          <t>For class teachers</t>
        </is>
      </c>
    </row>
    <row r="13" ht="32" customHeight="1">
      <c r="B13" s="14" t="inlineStr">
        <is>
          <t>1.   Open the year group's sheet (the Open link above) and click your class in the Class slicer (top left). Your class is one unbroken block, in surname order.</t>
        </is>
      </c>
    </row>
    <row r="14" ht="32" customHeight="1">
      <c r="B14" s="14" t="inlineStr">
        <is>
          <t>2.   Type each student's mark in the test's Raw Score column. Type A for absent; leave the cell empty if they have not sat it yet.</t>
        </is>
      </c>
    </row>
    <row r="15" ht="46.5" customHeight="1">
      <c r="B15"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16" ht="17.5" customHeight="1">
      <c r="B16" s="14" t="inlineStr">
        <is>
          <t>4.   The Stanine column fills itself in. Do not type in the grey columns.</t>
        </is>
      </c>
    </row>
    <row r="17" ht="17.5" customHeight="1">
      <c r="B17" s="14" t="inlineStr">
        <is>
          <t>5.   This works in Excel on the web too. Only the buttons need the desktop app.</t>
        </is>
      </c>
    </row>
    <row r="19">
      <c r="B19" s="6" t="inlineStr">
        <is>
          <t>For the data lead</t>
        </is>
      </c>
    </row>
    <row r="20" ht="32" customHeight="1">
      <c r="B20" s="14" t="inlineStr">
        <is>
          <t>1.   Manage tests adds a test to a year group: two new columns plus a row in the register. The same form edits a title, maximum mark or date, and removes a test added by mistake.</t>
        </is>
      </c>
    </row>
    <row r="21" ht="46.5" customHeight="1">
      <c r="B21" s="14" t="inlineStr">
        <is>
          <t>2.   Update students reads a new 'All Students' export from the MIS: new students are added, classes and details are updated, scores are never touched. Students missing from the export are listed, not deleted. It uses only this file's year group, so every year group's file reads the same export.</t>
        </is>
      </c>
    </row>
    <row r="22" ht="17.5" customHeight="1">
      <c r="B22" s="14" t="inlineStr">
        <is>
          <t>3.   Class overview, Dashboard and Watch list update by themselves as marks go in.</t>
        </is>
      </c>
    </row>
    <row r="23" ht="17.5" customHeight="1">
      <c r="B23" s="14" t="inlineStr">
        <is>
          <t>4.   Type teachers' names on the Settings sheet to show them on the dashboards.</t>
        </is>
      </c>
    </row>
    <row r="24" ht="32" customHeight="1">
      <c r="B24" s="14" t="inlineStr">
        <is>
          <t>5.   If the buttons do nothing, Excel is blocking macros. Marks, stanines and dashboards still work. Ask IT to allow macros for this file, or add a test by hand (see the end of this sheet).</t>
        </is>
      </c>
    </row>
    <row r="26">
      <c r="B26" s="6" t="inlineStr">
        <is>
          <t>Reading stanines</t>
        </is>
      </c>
    </row>
    <row r="27" ht="20" customHeight="1">
      <c r="B27" s="7" t="inlineStr">
        <is>
          <t>Stanine</t>
        </is>
      </c>
      <c r="C27" s="7" t="inlineStr">
        <is>
          <t>Meaning</t>
        </is>
      </c>
      <c r="D27" s="15" t="n"/>
      <c r="E27" s="7" t="inlineStr">
        <is>
          <t>Share of students</t>
        </is>
      </c>
      <c r="F27" s="15" t="n"/>
      <c r="G27" s="7" t="inlineStr">
        <is>
          <t>Icon</t>
        </is>
      </c>
    </row>
    <row r="28">
      <c r="B28" s="16" t="n">
        <v>1</v>
      </c>
      <c r="C28" s="12" t="inlineStr">
        <is>
          <t>Very low</t>
        </is>
      </c>
      <c r="D28" s="15" t="n"/>
      <c r="E28" s="10" t="inlineStr">
        <is>
          <t>about 4%</t>
        </is>
      </c>
      <c r="F28" s="15" t="n"/>
      <c r="G28" s="10" t="n">
        <v>1</v>
      </c>
    </row>
    <row r="29">
      <c r="B29" s="16" t="n">
        <v>2</v>
      </c>
      <c r="C29" s="12" t="inlineStr">
        <is>
          <t>Low</t>
        </is>
      </c>
      <c r="D29" s="15" t="n"/>
      <c r="E29" s="10" t="inlineStr">
        <is>
          <t>about 7%</t>
        </is>
      </c>
      <c r="F29" s="15" t="n"/>
      <c r="G29" s="10" t="n">
        <v>2</v>
      </c>
    </row>
    <row r="30">
      <c r="B30" s="16" t="n">
        <v>3</v>
      </c>
      <c r="C30" s="12" t="inlineStr">
        <is>
          <t>Below average</t>
        </is>
      </c>
      <c r="D30" s="15" t="n"/>
      <c r="E30" s="10" t="inlineStr">
        <is>
          <t>about 12%</t>
        </is>
      </c>
      <c r="F30" s="15" t="n"/>
      <c r="G30" s="10" t="n">
        <v>3</v>
      </c>
    </row>
    <row r="31">
      <c r="B31" s="16" t="n">
        <v>4</v>
      </c>
      <c r="C31" s="12" t="inlineStr">
        <is>
          <t>Slightly below average</t>
        </is>
      </c>
      <c r="D31" s="15" t="n"/>
      <c r="E31" s="10" t="inlineStr">
        <is>
          <t>about 17%</t>
        </is>
      </c>
      <c r="F31" s="15" t="n"/>
      <c r="G31" s="10" t="n">
        <v>4</v>
      </c>
    </row>
    <row r="32">
      <c r="B32" s="16" t="n">
        <v>5</v>
      </c>
      <c r="C32" s="12" t="inlineStr">
        <is>
          <t>Average</t>
        </is>
      </c>
      <c r="D32" s="15" t="n"/>
      <c r="E32" s="10" t="inlineStr">
        <is>
          <t>about 20%</t>
        </is>
      </c>
      <c r="F32" s="15" t="n"/>
      <c r="G32" s="10" t="n">
        <v>5</v>
      </c>
    </row>
    <row r="33">
      <c r="B33" s="16" t="n">
        <v>6</v>
      </c>
      <c r="C33" s="12" t="inlineStr">
        <is>
          <t>Slightly above average</t>
        </is>
      </c>
      <c r="D33" s="15" t="n"/>
      <c r="E33" s="10" t="inlineStr">
        <is>
          <t>about 17%</t>
        </is>
      </c>
      <c r="F33" s="15" t="n"/>
      <c r="G33" s="10" t="n">
        <v>6</v>
      </c>
    </row>
    <row r="34">
      <c r="B34" s="16" t="n">
        <v>7</v>
      </c>
      <c r="C34" s="12" t="inlineStr">
        <is>
          <t>Above average</t>
        </is>
      </c>
      <c r="D34" s="15" t="n"/>
      <c r="E34" s="10" t="inlineStr">
        <is>
          <t>about 12%</t>
        </is>
      </c>
      <c r="F34" s="15" t="n"/>
      <c r="G34" s="10" t="n">
        <v>7</v>
      </c>
    </row>
    <row r="35">
      <c r="B35" s="16" t="n">
        <v>8</v>
      </c>
      <c r="C35" s="12" t="inlineStr">
        <is>
          <t>High</t>
        </is>
      </c>
      <c r="D35" s="15" t="n"/>
      <c r="E35" s="10" t="inlineStr">
        <is>
          <t>about 7%</t>
        </is>
      </c>
      <c r="F35" s="15" t="n"/>
      <c r="G35" s="10" t="n">
        <v>8</v>
      </c>
    </row>
    <row r="36">
      <c r="B36" s="16" t="n">
        <v>9</v>
      </c>
      <c r="C36" s="12" t="inlineStr">
        <is>
          <t>Very high</t>
        </is>
      </c>
      <c r="D36" s="15" t="n"/>
      <c r="E36" s="10" t="inlineStr">
        <is>
          <t>about 4%</t>
        </is>
      </c>
      <c r="F36" s="15" t="n"/>
      <c r="G36" s="10" t="n">
        <v>9</v>
      </c>
    </row>
    <row r="38">
      <c r="B38" s="6" t="inlineStr">
        <is>
          <t>Good to know</t>
        </is>
      </c>
    </row>
    <row r="39" ht="46.5" customHeight="1">
      <c r="B39"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0" ht="32" customHeight="1">
      <c r="B40" s="14" t="inlineStr">
        <is>
          <t>•   Stanines settle once every class has entered its marks for a test; until then they are relative to the students entered so far.</t>
        </is>
      </c>
    </row>
    <row r="41" ht="32" customHeight="1">
      <c r="B41" s="14" t="inlineStr">
        <is>
          <t>•   A whole year group always averages about stanine 5, so use stanines to compare classes and students, not year groups. Mean % cannot compare year groups either: tests differ in difficulty.</t>
        </is>
      </c>
    </row>
    <row r="42" ht="46.5" customHeight="1">
      <c r="B42"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3" ht="32" customHeight="1">
      <c r="B43" s="14" t="inlineStr">
        <is>
          <t>•   This workbook holds personal data about children. Keep it in a staff-only location. Each Update students run saves a backup copy next to the file: delete old copies you no longer need.</t>
        </is>
      </c>
    </row>
    <row r="45">
      <c r="B45" s="6" t="inlineStr">
        <is>
          <t>Adding a test without the buttons</t>
        </is>
      </c>
    </row>
    <row r="46" ht="17.5" customHeight="1">
      <c r="B46" s="14" t="inlineStr">
        <is>
          <t>Only needed when the buttons do nothing (macros blocked).</t>
        </is>
      </c>
    </row>
    <row r="47" ht="46.5" customHeight="1">
      <c r="B47"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48" ht="32" customHeight="1">
      <c r="B48" s="14" t="inlineStr">
        <is>
          <t>2.   Copy the previous test's Stanine cells into the new Stanine column. With the new column still selected, use Find and Replace (Ctrl+H, 'Look in: Formulas') to change the old test's name to the new one.</t>
        </is>
      </c>
    </row>
    <row r="49" ht="32" customHeight="1">
      <c r="B49" s="14" t="inlineStr">
        <is>
          <t>3.   On Assessment Info, add a row: year group, code, title, the test name exactly as in the heading (without 'Raw Score'), maximum mark and date. The register's Check column says OK when it matches.</t>
        </is>
      </c>
    </row>
    <row r="50" ht="32" customHeight="1">
      <c r="B50"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0:D30"/>
    <mergeCell ref="B40:H40"/>
    <mergeCell ref="C33:D33"/>
    <mergeCell ref="B49:H49"/>
    <mergeCell ref="E33:F33"/>
    <mergeCell ref="B24:H24"/>
    <mergeCell ref="B15:H15"/>
    <mergeCell ref="B20:H20"/>
    <mergeCell ref="C35:D35"/>
    <mergeCell ref="E35:F35"/>
    <mergeCell ref="B50:H50"/>
    <mergeCell ref="C29:D29"/>
    <mergeCell ref="B41:H41"/>
    <mergeCell ref="E29:F29"/>
    <mergeCell ref="E28:F28"/>
    <mergeCell ref="B47:H47"/>
    <mergeCell ref="B16:H16"/>
    <mergeCell ref="C31:D31"/>
    <mergeCell ref="E31:F31"/>
    <mergeCell ref="B46:H46"/>
    <mergeCell ref="E34:F34"/>
    <mergeCell ref="B22:H22"/>
    <mergeCell ref="E30:F30"/>
    <mergeCell ref="B21:H21"/>
    <mergeCell ref="C27:D27"/>
    <mergeCell ref="B43:H43"/>
    <mergeCell ref="B39:H39"/>
    <mergeCell ref="E27:F27"/>
    <mergeCell ref="C36:D36"/>
    <mergeCell ref="B48:H48"/>
    <mergeCell ref="E36:F36"/>
    <mergeCell ref="B42:H42"/>
    <mergeCell ref="B23:H23"/>
    <mergeCell ref="B14:H14"/>
    <mergeCell ref="C32:D32"/>
    <mergeCell ref="B17:H17"/>
    <mergeCell ref="B13:H13"/>
    <mergeCell ref="E32:F32"/>
    <mergeCell ref="C28:D28"/>
  </mergeCells>
  <conditionalFormatting sqref="G28:G36">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24"/>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COUNTA(tblY11[Preferred Last name])</f>
        <v>106</v>
      </c>
      <c r="C5" s="19" t="n"/>
      <c r="D5" s="20">
        <f>COUNTA(tblAssessments[Test Name])</f>
        <v>6</v>
      </c>
      <c r="E5" s="19" t="n"/>
      <c r="F5" s="19" t="n"/>
      <c r="G5" s="21">
        <f>SUM(tblAssessments[Sat])</f>
        <v>613</v>
      </c>
      <c r="H5" s="19" t="n"/>
      <c r="I5" s="19" t="n"/>
      <c r="J5" s="20">
        <f>COUNTIFS(tblAssessments[Completion],"&lt;1",tblAssessments[Test Name],"&lt;&gt;")</f>
        <v>0</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11</t>
        </is>
      </c>
      <c r="C9" s="23" t="str">
        <f>"Leaves "&amp;Settings!$C$15&amp;"   ·   "&amp;COUNTA(tblY11[Preferred Last name])&amp;" students   ·   "&amp;Calc!$AI$3&amp;" tests"&amp;IF(Calc!$S$12&gt;8,"   ·   only the first 8 of "&amp;Calc!$S$12&amp;" classes fit here","")</f>
        <v>Leaves 2027   ·   106 students   ·   6 tests</v>
      </c>
      <c r="D9" s="24" t="n"/>
      <c r="E9" s="24" t="n"/>
      <c r="F9" s="24" t="n"/>
      <c r="G9" s="24" t="n"/>
      <c r="H9" s="25" t="str">
        <f>IF(Calc!$AF$3="","No tests yet","Latest test: "&amp;Calc!$AF$3&amp;IF(ISNUMBER(Calc!$AH$3),"  ("&amp;TEXT(Calc!$AH$3,"dd/mm/yyyy")&amp;")",""))</f>
        <v>Latest test: 4P07 - Magnetism  (05/12/2026)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IFERROR(COUNTA(tblY11[Preferred Last name]),"")</f>
        <v>106</v>
      </c>
      <c r="E11" s="28">
        <f>IFERROR(AVERAGE(tblY11[Avg KS2 Band]),"")</f>
        <v>5</v>
      </c>
      <c r="F11" s="28">
        <f>IFERROR(AVERAGE(tblY11[Tests Sat]),"")</f>
        <v>5.78301886792453</v>
      </c>
      <c r="G11" s="28">
        <f>IFERROR(AVERAGE(tblY11[Mean Stanine]),"")</f>
        <v>4.97201257861635</v>
      </c>
      <c r="H11" s="29">
        <f>IFERROR(AVERAGE(tblY11[vs Expected]),"")</f>
        <v>4.86383420311973e-16</v>
      </c>
      <c r="I11" s="30">
        <f>IFERROR(SUMPRODUCT((RIGHT(tblY11[#Headers],8)=CHAR(10)&amp;"Stanine")*ISNUMBER(tblY11[#Data])*(tblY11[#Data]&gt;=7))/SUMPRODUCT((RIGHT(tblY11[#Headers],8)=CHAR(10)&amp;"Stanine")*ISNUMBER(tblY11[#Data])),"")</f>
        <v>0.265905383360522</v>
      </c>
      <c r="J11" s="30">
        <f>IFERROR(SUMPRODUCT((RIGHT(tblY11[#Headers],8)=CHAR(10)&amp;"Stanine")*ISNUMBER(tblY11[#Data])*(tblY11[#Data]&lt;=3))/SUMPRODUCT((RIGHT(tblY11[#Headers],8)=CHAR(10)&amp;"Stanine")*ISNUMBER(tblY11[#Data])),"")</f>
        <v>0.249592169657423</v>
      </c>
      <c r="K11" s="30">
        <f>IFERROR(IF(Calc!$AF$3="","",AVERAGE(INDEX(tblY11[#Data],0,MATCH(Calc!$AF$3&amp;CHAR(10)&amp;"Raw Score",tblY11[#Headers],0)))/Calc!$AG$3),"")</f>
        <v>0.461470588235294</v>
      </c>
      <c r="L11" s="28">
        <f>IFERROR(IF(Calc!$AF$3="","",AVERAGE(INDEX(tblY11[#Data],0,MATCH(Calc!$AF$3&amp;CHAR(10)&amp;"Stanine",tblY11[#Headers],0)))),"")</f>
        <v>5.01</v>
      </c>
      <c r="M11" s="30">
        <f>IFERROR(IF(Calc!$AF$3="","",(COUNTIFS(INDEX(tblY11[#Data],0,MATCH(Calc!$AF$3&amp;CHAR(10)&amp;"Raw Score",tblY11[#Headers],0)),"&gt;=0")+COUNTIFS(INDEX(tblY11[#Data],0,MATCH(Calc!$AF$3&amp;CHAR(10)&amp;"Raw Score",tblY11[#Headers],0)),"A"))/COUNTA(tblY11[Preferred Last name])),"")</f>
        <v>1</v>
      </c>
    </row>
    <row r="12">
      <c r="B12" s="31" t="str">
        <f>Calc!S3</f>
        <v>11S/Sc1</v>
      </c>
      <c r="C12" s="32" t="str">
        <f>IF($B12="","",IFERROR(INDEX(tblTeachers[Teacher],MATCH("Year 11"&amp;"|"&amp;$B12,tblTeachers[Key],0))&amp;"",""))</f>
        <v>Ms Rahman</v>
      </c>
      <c r="D12" s="33">
        <f>IF($B12="","",IFERROR(SUMPRODUCT(--((tblY11[Class])&amp;""=($B12)&amp;"")),""))</f>
        <v>28</v>
      </c>
      <c r="E12" s="34">
        <f>IF($B12="","",IFERROR(SUMPRODUCT(((tblY11[Class])&amp;""=($B12)&amp;"")*ISNUMBER(tblY11[Avg KS2 Band]),tblY11[Avg KS2 Band])/SUMPRODUCT(((tblY11[Class])&amp;""=($B12)&amp;"")*ISNUMBER(tblY11[Avg KS2 Band])),""))</f>
        <v>6.55555555555556</v>
      </c>
      <c r="F12" s="34">
        <f>IF($B12="","",IFERROR(SUMPRODUCT(((tblY11[Class])&amp;""=($B12)&amp;"")*ISNUMBER(tblY11[Tests Sat]),tblY11[Tests Sat])/SUMPRODUCT(((tblY11[Class])&amp;""=($B12)&amp;"")*ISNUMBER(tblY11[Tests Sat])),""))</f>
        <v>5.82142857142857</v>
      </c>
      <c r="G12" s="34">
        <f>IF($B12="","",IFERROR(SUMPRODUCT(((tblY11[Class])&amp;""=($B12)&amp;"")*ISNUMBER(tblY11[Mean Stanine]),tblY11[Mean Stanine])/SUMPRODUCT(((tblY11[Class])&amp;""=($B12)&amp;"")*ISNUMBER(tblY11[Mean Stanine])),""))</f>
        <v>6.78928571428571</v>
      </c>
      <c r="H12" s="35">
        <f>IF($B12="","",IFERROR(SUMPRODUCT(((tblY11[Class])&amp;""=($B12)&amp;"")*ISNUMBER(tblY11[vs Expected]),tblY11[vs Expected])/SUMPRODUCT(((tblY11[Class])&amp;""=($B12)&amp;"")*ISNUMBER(tblY11[vs Expected])),""))</f>
        <v>0.663884078884079</v>
      </c>
      <c r="I12" s="36">
        <f>IF($B12="","",IFERROR(SUMPRODUCT(((tblY11[Class])&amp;""=($B12)&amp;"")*(RIGHT(tblY11[#Headers],8)=CHAR(10)&amp;"Stanine")*ISNUMBER(tblY11[#Data])*(tblY11[#Data]&gt;=7))/SUMPRODUCT(((tblY11[Class])&amp;""=($B12)&amp;"")*(RIGHT(tblY11[#Headers],8)=CHAR(10)&amp;"Stanine")*ISNUMBER(tblY11[#Data])),""))</f>
        <v>0.613496932515337</v>
      </c>
      <c r="J12" s="36">
        <f>IF($B12="","",IFERROR(SUMPRODUCT(((tblY11[Class])&amp;""=($B12)&amp;"")*(RIGHT(tblY11[#Headers],8)=CHAR(10)&amp;"Stanine")*ISNUMBER(tblY11[#Data])*(tblY11[#Data]&lt;=3))/SUMPRODUCT(((tblY11[Class])&amp;""=($B12)&amp;"")*(RIGHT(tblY11[#Headers],8)=CHAR(10)&amp;"Stanine")*ISNUMBER(tblY11[#Data])),""))</f>
        <v>0</v>
      </c>
      <c r="K12" s="36">
        <f>IF($B12="","",IFERROR(IF(Calc!$AF$3="","",SUMPRODUCT(((tblY11[Class])&amp;""=($B12)&amp;"")*ISNUMBER(INDEX(tblY11[#Data],0,MATCH(Calc!$AF$3&amp;CHAR(10)&amp;"Raw Score",tblY11[#Headers],0))),INDEX(tblY11[#Data],0,MATCH(Calc!$AF$3&amp;CHAR(10)&amp;"Raw Score",tblY11[#Headers],0)))/SUMPRODUCT(((tblY11[Class])&amp;""=($B12)&amp;"")*ISNUMBER(INDEX(tblY11[#Data],0,MATCH(Calc!$AF$3&amp;CHAR(10)&amp;"Raw Score",tblY11[#Headers],0))))/Calc!$AG$3),""))</f>
        <v>0.654684095860566</v>
      </c>
      <c r="L12" s="34">
        <f>IF($B12="","",IFERROR(IF(Calc!$AF$3="","",SUMPRODUCT(((tblY11[Class])&amp;""=($B12)&amp;"")*ISNUMBER(INDEX(tblY11[#Data],0,MATCH(Calc!$AF$3&amp;CHAR(10)&amp;"Stanine",tblY11[#Headers],0))),INDEX(tblY11[#Data],0,MATCH(Calc!$AF$3&amp;CHAR(10)&amp;"Stanine",tblY11[#Headers],0)))/SUMPRODUCT(((tblY11[Class])&amp;""=($B12)&amp;"")*ISNUMBER(INDEX(tblY11[#Data],0,MATCH(Calc!$AF$3&amp;CHAR(10)&amp;"Stanine",tblY11[#Headers],0))))),""))</f>
        <v>6.77777777777778</v>
      </c>
      <c r="M12" s="36">
        <f>IF($B12="","",IFERROR(IF(Calc!$AF$3="","",(SUMPRODUCT(((tblY11[Class])&amp;""=($B12)&amp;"")*ISNUMBER(INDEX(tblY11[#Data],0,MATCH(Calc!$AF$3&amp;CHAR(10)&amp;"Raw Score",tblY11[#Headers],0)))*((INDEX(tblY11[#Data],0,MATCH(Calc!$AF$3&amp;CHAR(10)&amp;"Raw Score",tblY11[#Headers],0)))&gt;=0))+SUMPRODUCT(((tblY11[Class])&amp;""=($B12)&amp;"")*((INDEX(tblY11[#Data],0,MATCH(Calc!$AF$3&amp;CHAR(10)&amp;"Raw Score",tblY11[#Headers],0)))&amp;""="A")))/SUMPRODUCT(--((tblY11[Class])&amp;""=($B12)&amp;""))),""))</f>
        <v>1</v>
      </c>
    </row>
    <row r="13">
      <c r="B13" s="31" t="str">
        <f>Calc!S4</f>
        <v>11S/Sc2</v>
      </c>
      <c r="C13" s="32" t="str">
        <f>IF($B13="","",IFERROR(INDEX(tblTeachers[Teacher],MATCH("Year 11"&amp;"|"&amp;$B13,tblTeachers[Key],0))&amp;"",""))</f>
        <v>Mrs Evans</v>
      </c>
      <c r="D13" s="33">
        <f>IF($B13="","",IFERROR(SUMPRODUCT(--((tblY11[Class])&amp;""=($B13)&amp;"")),""))</f>
        <v>26</v>
      </c>
      <c r="E13" s="34">
        <f>IF($B13="","",IFERROR(SUMPRODUCT(((tblY11[Class])&amp;""=($B13)&amp;"")*ISNUMBER(tblY11[Avg KS2 Band]),tblY11[Avg KS2 Band])/SUMPRODUCT(((tblY11[Class])&amp;""=($B13)&amp;"")*ISNUMBER(tblY11[Avg KS2 Band])),""))</f>
        <v>5.76923076923077</v>
      </c>
      <c r="F13" s="34">
        <f>IF($B13="","",IFERROR(SUMPRODUCT(((tblY11[Class])&amp;""=($B13)&amp;"")*ISNUMBER(tblY11[Tests Sat]),tblY11[Tests Sat])/SUMPRODUCT(((tblY11[Class])&amp;""=($B13)&amp;"")*ISNUMBER(tblY11[Tests Sat])),""))</f>
        <v>5.76923076923077</v>
      </c>
      <c r="G13" s="34">
        <f>IF($B13="","",IFERROR(SUMPRODUCT(((tblY11[Class])&amp;""=($B13)&amp;"")*ISNUMBER(tblY11[Mean Stanine]),tblY11[Mean Stanine])/SUMPRODUCT(((tblY11[Class])&amp;""=($B13)&amp;"")*ISNUMBER(tblY11[Mean Stanine])),""))</f>
        <v>5.30641025641026</v>
      </c>
      <c r="H13" s="35">
        <f>IF($B13="","",IFERROR(SUMPRODUCT(((tblY11[Class])&amp;""=($B13)&amp;"")*ISNUMBER(tblY11[vs Expected]),tblY11[vs Expected])/SUMPRODUCT(((tblY11[Class])&amp;""=($B13)&amp;"")*ISNUMBER(tblY11[vs Expected])),""))</f>
        <v>-0.222337107337107</v>
      </c>
      <c r="I13" s="36">
        <f>IF($B13="","",IFERROR(SUMPRODUCT(((tblY11[Class])&amp;""=($B13)&amp;"")*(RIGHT(tblY11[#Headers],8)=CHAR(10)&amp;"Stanine")*ISNUMBER(tblY11[#Data])*(tblY11[#Data]&gt;=7))/SUMPRODUCT(((tblY11[Class])&amp;""=($B13)&amp;"")*(RIGHT(tblY11[#Headers],8)=CHAR(10)&amp;"Stanine")*ISNUMBER(tblY11[#Data])),""))</f>
        <v>0.22</v>
      </c>
      <c r="J13" s="36">
        <f>IF($B13="","",IFERROR(SUMPRODUCT(((tblY11[Class])&amp;""=($B13)&amp;"")*(RIGHT(tblY11[#Headers],8)=CHAR(10)&amp;"Stanine")*ISNUMBER(tblY11[#Data])*(tblY11[#Data]&lt;=3))/SUMPRODUCT(((tblY11[Class])&amp;""=($B13)&amp;"")*(RIGHT(tblY11[#Headers],8)=CHAR(10)&amp;"Stanine")*ISNUMBER(tblY11[#Data])),""))</f>
        <v>0.0733333333333333</v>
      </c>
      <c r="K13" s="36">
        <f>IF($B13="","",IFERROR(IF(Calc!$AF$3="","",SUMPRODUCT(((tblY11[Class])&amp;""=($B13)&amp;"")*ISNUMBER(INDEX(tblY11[#Data],0,MATCH(Calc!$AF$3&amp;CHAR(10)&amp;"Raw Score",tblY11[#Headers],0))),INDEX(tblY11[#Data],0,MATCH(Calc!$AF$3&amp;CHAR(10)&amp;"Raw Score",tblY11[#Headers],0)))/SUMPRODUCT(((tblY11[Class])&amp;""=($B13)&amp;"")*ISNUMBER(INDEX(tblY11[#Data],0,MATCH(Calc!$AF$3&amp;CHAR(10)&amp;"Raw Score",tblY11[#Headers],0))))/Calc!$AG$3),""))</f>
        <v>0.473039215686275</v>
      </c>
      <c r="L13" s="34">
        <f>IF($B13="","",IFERROR(IF(Calc!$AF$3="","",SUMPRODUCT(((tblY11[Class])&amp;""=($B13)&amp;"")*ISNUMBER(INDEX(tblY11[#Data],0,MATCH(Calc!$AF$3&amp;CHAR(10)&amp;"Stanine",tblY11[#Headers],0))),INDEX(tblY11[#Data],0,MATCH(Calc!$AF$3&amp;CHAR(10)&amp;"Stanine",tblY11[#Headers],0)))/SUMPRODUCT(((tblY11[Class])&amp;""=($B13)&amp;"")*ISNUMBER(INDEX(tblY11[#Data],0,MATCH(Calc!$AF$3&amp;CHAR(10)&amp;"Stanine",tblY11[#Headers],0))))),""))</f>
        <v>5.125</v>
      </c>
      <c r="M13" s="36">
        <f>IF($B13="","",IFERROR(IF(Calc!$AF$3="","",(SUMPRODUCT(((tblY11[Class])&amp;""=($B13)&amp;"")*ISNUMBER(INDEX(tblY11[#Data],0,MATCH(Calc!$AF$3&amp;CHAR(10)&amp;"Raw Score",tblY11[#Headers],0)))*((INDEX(tblY11[#Data],0,MATCH(Calc!$AF$3&amp;CHAR(10)&amp;"Raw Score",tblY11[#Headers],0)))&gt;=0))+SUMPRODUCT(((tblY11[Class])&amp;""=($B13)&amp;"")*((INDEX(tblY11[#Data],0,MATCH(Calc!$AF$3&amp;CHAR(10)&amp;"Raw Score",tblY11[#Headers],0)))&amp;""="A")))/SUMPRODUCT(--((tblY11[Class])&amp;""=($B13)&amp;""))),""))</f>
        <v>1</v>
      </c>
    </row>
    <row r="14">
      <c r="B14" s="31" t="str">
        <f>Calc!S5</f>
        <v>11S/Sc3</v>
      </c>
      <c r="C14" s="32" t="str">
        <f>IF($B14="","",IFERROR(INDEX(tblTeachers[Teacher],MATCH("Year 11"&amp;"|"&amp;$B14,tblTeachers[Key],0))&amp;"",""))</f>
        <v>Mr Owen</v>
      </c>
      <c r="D14" s="33">
        <f>IF($B14="","",IFERROR(SUMPRODUCT(--((tblY11[Class])&amp;""=($B14)&amp;"")),""))</f>
        <v>21</v>
      </c>
      <c r="E14" s="34">
        <f>IF($B14="","",IFERROR(SUMPRODUCT(((tblY11[Class])&amp;""=($B14)&amp;"")*ISNUMBER(tblY11[Avg KS2 Band]),tblY11[Avg KS2 Band])/SUMPRODUCT(((tblY11[Class])&amp;""=($B14)&amp;"")*ISNUMBER(tblY11[Avg KS2 Band])),""))</f>
        <v>4.71428571428571</v>
      </c>
      <c r="F14" s="34">
        <f>IF($B14="","",IFERROR(SUMPRODUCT(((tblY11[Class])&amp;""=($B14)&amp;"")*ISNUMBER(tblY11[Tests Sat]),tblY11[Tests Sat])/SUMPRODUCT(((tblY11[Class])&amp;""=($B14)&amp;"")*ISNUMBER(tblY11[Tests Sat])),""))</f>
        <v>5.80952380952381</v>
      </c>
      <c r="G14" s="34">
        <f>IF($B14="","",IFERROR(SUMPRODUCT(((tblY11[Class])&amp;""=($B14)&amp;"")*ISNUMBER(tblY11[Mean Stanine]),tblY11[Mean Stanine])/SUMPRODUCT(((tblY11[Class])&amp;""=($B14)&amp;"")*ISNUMBER(tblY11[Mean Stanine])),""))</f>
        <v>4.72380952380952</v>
      </c>
      <c r="H14" s="35">
        <f>IF($B14="","",IFERROR(SUMPRODUCT(((tblY11[Class])&amp;""=($B14)&amp;"")*ISNUMBER(tblY11[vs Expected]),tblY11[vs Expected])/SUMPRODUCT(((tblY11[Class])&amp;""=($B14)&amp;"")*ISNUMBER(tblY11[vs Expected])),""))</f>
        <v>-0.0149278499278495</v>
      </c>
      <c r="I14" s="36">
        <f>IF($B14="","",IFERROR(SUMPRODUCT(((tblY11[Class])&amp;""=($B14)&amp;"")*(RIGHT(tblY11[#Headers],8)=CHAR(10)&amp;"Stanine")*ISNUMBER(tblY11[#Data])*(tblY11[#Data]&gt;=7))/SUMPRODUCT(((tblY11[Class])&amp;""=($B14)&amp;"")*(RIGHT(tblY11[#Headers],8)=CHAR(10)&amp;"Stanine")*ISNUMBER(tblY11[#Data])),""))</f>
        <v>0.213114754098361</v>
      </c>
      <c r="J14" s="36">
        <f>IF($B14="","",IFERROR(SUMPRODUCT(((tblY11[Class])&amp;""=($B14)&amp;"")*(RIGHT(tblY11[#Headers],8)=CHAR(10)&amp;"Stanine")*ISNUMBER(tblY11[#Data])*(tblY11[#Data]&lt;=3))/SUMPRODUCT(((tblY11[Class])&amp;""=($B14)&amp;"")*(RIGHT(tblY11[#Headers],8)=CHAR(10)&amp;"Stanine")*ISNUMBER(tblY11[#Data])),""))</f>
        <v>0.237704918032787</v>
      </c>
      <c r="K14" s="36">
        <f>IF($B14="","",IFERROR(IF(Calc!$AF$3="","",SUMPRODUCT(((tblY11[Class])&amp;""=($B14)&amp;"")*ISNUMBER(INDEX(tblY11[#Data],0,MATCH(Calc!$AF$3&amp;CHAR(10)&amp;"Raw Score",tblY11[#Headers],0))),INDEX(tblY11[#Data],0,MATCH(Calc!$AF$3&amp;CHAR(10)&amp;"Raw Score",tblY11[#Headers],0)))/SUMPRODUCT(((tblY11[Class])&amp;""=($B14)&amp;"")*ISNUMBER(INDEX(tblY11[#Data],0,MATCH(Calc!$AF$3&amp;CHAR(10)&amp;"Raw Score",tblY11[#Headers],0))))/Calc!$AG$3),""))</f>
        <v>0.436764705882353</v>
      </c>
      <c r="L14" s="34">
        <f>IF($B14="","",IFERROR(IF(Calc!$AF$3="","",SUMPRODUCT(((tblY11[Class])&amp;""=($B14)&amp;"")*ISNUMBER(INDEX(tblY11[#Data],0,MATCH(Calc!$AF$3&amp;CHAR(10)&amp;"Stanine",tblY11[#Headers],0))),INDEX(tblY11[#Data],0,MATCH(Calc!$AF$3&amp;CHAR(10)&amp;"Stanine",tblY11[#Headers],0)))/SUMPRODUCT(((tblY11[Class])&amp;""=($B14)&amp;"")*ISNUMBER(INDEX(tblY11[#Data],0,MATCH(Calc!$AF$3&amp;CHAR(10)&amp;"Stanine",tblY11[#Headers],0))))),""))</f>
        <v>4.85</v>
      </c>
      <c r="M14" s="36">
        <f>IF($B14="","",IFERROR(IF(Calc!$AF$3="","",(SUMPRODUCT(((tblY11[Class])&amp;""=($B14)&amp;"")*ISNUMBER(INDEX(tblY11[#Data],0,MATCH(Calc!$AF$3&amp;CHAR(10)&amp;"Raw Score",tblY11[#Headers],0)))*((INDEX(tblY11[#Data],0,MATCH(Calc!$AF$3&amp;CHAR(10)&amp;"Raw Score",tblY11[#Headers],0)))&gt;=0))+SUMPRODUCT(((tblY11[Class])&amp;""=($B14)&amp;"")*((INDEX(tblY11[#Data],0,MATCH(Calc!$AF$3&amp;CHAR(10)&amp;"Raw Score",tblY11[#Headers],0)))&amp;""="A")))/SUMPRODUCT(--((tblY11[Class])&amp;""=($B14)&amp;""))),""))</f>
        <v>1</v>
      </c>
    </row>
    <row r="15">
      <c r="B15" s="31" t="str">
        <f>Calc!S6</f>
        <v>11S/Sc4</v>
      </c>
      <c r="C15" s="32" t="str">
        <f>IF($B15="","",IFERROR(INDEX(tblTeachers[Teacher],MATCH("Year 11"&amp;"|"&amp;$B15,tblTeachers[Key],0))&amp;"",""))</f>
        <v>Mrs Singh</v>
      </c>
      <c r="D15" s="33">
        <f>IF($B15="","",IFERROR(SUMPRODUCT(--((tblY11[Class])&amp;""=($B15)&amp;"")),""))</f>
        <v>13</v>
      </c>
      <c r="E15" s="34">
        <f>IF($B15="","",IFERROR(SUMPRODUCT(((tblY11[Class])&amp;""=($B15)&amp;"")*ISNUMBER(tblY11[Avg KS2 Band]),tblY11[Avg KS2 Band])/SUMPRODUCT(((tblY11[Class])&amp;""=($B15)&amp;"")*ISNUMBER(tblY11[Avg KS2 Band])),""))</f>
        <v>3.69230769230769</v>
      </c>
      <c r="F15" s="34">
        <f>IF($B15="","",IFERROR(SUMPRODUCT(((tblY11[Class])&amp;""=($B15)&amp;"")*ISNUMBER(tblY11[Tests Sat]),tblY11[Tests Sat])/SUMPRODUCT(((tblY11[Class])&amp;""=($B15)&amp;"")*ISNUMBER(tblY11[Tests Sat])),""))</f>
        <v>5.84615384615385</v>
      </c>
      <c r="G15" s="34">
        <f>IF($B15="","",IFERROR(SUMPRODUCT(((tblY11[Class])&amp;""=($B15)&amp;"")*ISNUMBER(tblY11[Mean Stanine]),tblY11[Mean Stanine])/SUMPRODUCT(((tblY11[Class])&amp;""=($B15)&amp;"")*ISNUMBER(tblY11[Mean Stanine])),""))</f>
        <v>3.54615384615385</v>
      </c>
      <c r="H15" s="35">
        <f>IF($B15="","",IFERROR(SUMPRODUCT(((tblY11[Class])&amp;""=($B15)&amp;"")*ISNUMBER(tblY11[vs Expected]),tblY11[vs Expected])/SUMPRODUCT(((tblY11[Class])&amp;""=($B15)&amp;"")*ISNUMBER(tblY11[vs Expected])),""))</f>
        <v>-0.427261349761349</v>
      </c>
      <c r="I15" s="36">
        <f>IF($B15="","",IFERROR(SUMPRODUCT(((tblY11[Class])&amp;""=($B15)&amp;"")*(RIGHT(tblY11[#Headers],8)=CHAR(10)&amp;"Stanine")*ISNUMBER(tblY11[#Data])*(tblY11[#Data]&gt;=7))/SUMPRODUCT(((tblY11[Class])&amp;""=($B15)&amp;"")*(RIGHT(tblY11[#Headers],8)=CHAR(10)&amp;"Stanine")*ISNUMBER(tblY11[#Data])),""))</f>
        <v>0.0131578947368421</v>
      </c>
      <c r="J15" s="36">
        <f>IF($B15="","",IFERROR(SUMPRODUCT(((tblY11[Class])&amp;""=($B15)&amp;"")*(RIGHT(tblY11[#Headers],8)=CHAR(10)&amp;"Stanine")*ISNUMBER(tblY11[#Data])*(tblY11[#Data]&lt;=3))/SUMPRODUCT(((tblY11[Class])&amp;""=($B15)&amp;"")*(RIGHT(tblY11[#Headers],8)=CHAR(10)&amp;"Stanine")*ISNUMBER(tblY11[#Data])),""))</f>
        <v>0.5</v>
      </c>
      <c r="K15" s="36">
        <f>IF($B15="","",IFERROR(IF(Calc!$AF$3="","",SUMPRODUCT(((tblY11[Class])&amp;""=($B15)&amp;"")*ISNUMBER(INDEX(tblY11[#Data],0,MATCH(Calc!$AF$3&amp;CHAR(10)&amp;"Raw Score",tblY11[#Headers],0))),INDEX(tblY11[#Data],0,MATCH(Calc!$AF$3&amp;CHAR(10)&amp;"Raw Score",tblY11[#Headers],0)))/SUMPRODUCT(((tblY11[Class])&amp;""=($B15)&amp;"")*ISNUMBER(INDEX(tblY11[#Data],0,MATCH(Calc!$AF$3&amp;CHAR(10)&amp;"Raw Score",tblY11[#Headers],0))))/Calc!$AG$3),""))</f>
        <v>0.343137254901961</v>
      </c>
      <c r="L15" s="34">
        <f>IF($B15="","",IFERROR(IF(Calc!$AF$3="","",SUMPRODUCT(((tblY11[Class])&amp;""=($B15)&amp;"")*ISNUMBER(INDEX(tblY11[#Data],0,MATCH(Calc!$AF$3&amp;CHAR(10)&amp;"Stanine",tblY11[#Headers],0))),INDEX(tblY11[#Data],0,MATCH(Calc!$AF$3&amp;CHAR(10)&amp;"Stanine",tblY11[#Headers],0)))/SUMPRODUCT(((tblY11[Class])&amp;""=($B15)&amp;"")*ISNUMBER(INDEX(tblY11[#Data],0,MATCH(Calc!$AF$3&amp;CHAR(10)&amp;"Stanine",tblY11[#Headers],0))))),""))</f>
        <v>3.91666666666667</v>
      </c>
      <c r="M15" s="36">
        <f>IF($B15="","",IFERROR(IF(Calc!$AF$3="","",(SUMPRODUCT(((tblY11[Class])&amp;""=($B15)&amp;"")*ISNUMBER(INDEX(tblY11[#Data],0,MATCH(Calc!$AF$3&amp;CHAR(10)&amp;"Raw Score",tblY11[#Headers],0)))*((INDEX(tblY11[#Data],0,MATCH(Calc!$AF$3&amp;CHAR(10)&amp;"Raw Score",tblY11[#Headers],0)))&gt;=0))+SUMPRODUCT(((tblY11[Class])&amp;""=($B15)&amp;"")*((INDEX(tblY11[#Data],0,MATCH(Calc!$AF$3&amp;CHAR(10)&amp;"Raw Score",tblY11[#Headers],0)))&amp;""="A")))/SUMPRODUCT(--((tblY11[Class])&amp;""=($B15)&amp;""))),""))</f>
        <v>1</v>
      </c>
    </row>
    <row r="16">
      <c r="B16" s="31" t="str">
        <f>Calc!S7</f>
        <v>11S/Sc5</v>
      </c>
      <c r="C16" s="32" t="str">
        <f>IF($B16="","",IFERROR(INDEX(tblTeachers[Teacher],MATCH("Year 11"&amp;"|"&amp;$B16,tblTeachers[Key],0))&amp;"",""))</f>
        <v>Ms Novak</v>
      </c>
      <c r="D16" s="33">
        <f>IF($B16="","",IFERROR(SUMPRODUCT(--((tblY11[Class])&amp;""=($B16)&amp;"")),""))</f>
        <v>13</v>
      </c>
      <c r="E16" s="34">
        <f>IF($B16="","",IFERROR(SUMPRODUCT(((tblY11[Class])&amp;""=($B16)&amp;"")*ISNUMBER(tblY11[Avg KS2 Band]),tblY11[Avg KS2 Band])/SUMPRODUCT(((tblY11[Class])&amp;""=($B16)&amp;"")*ISNUMBER(tblY11[Avg KS2 Band])),""))</f>
        <v>3</v>
      </c>
      <c r="F16" s="34">
        <f>IF($B16="","",IFERROR(SUMPRODUCT(((tblY11[Class])&amp;""=($B16)&amp;"")*ISNUMBER(tblY11[Tests Sat]),tblY11[Tests Sat])/SUMPRODUCT(((tblY11[Class])&amp;""=($B16)&amp;"")*ISNUMBER(tblY11[Tests Sat])),""))</f>
        <v>5.69230769230769</v>
      </c>
      <c r="G16" s="34">
        <f>IF($B16="","",IFERROR(SUMPRODUCT(((tblY11[Class])&amp;""=($B16)&amp;"")*ISNUMBER(tblY11[Mean Stanine]),tblY11[Mean Stanine])/SUMPRODUCT(((tblY11[Class])&amp;""=($B16)&amp;"")*ISNUMBER(tblY11[Mean Stanine])),""))</f>
        <v>3.26410256410256</v>
      </c>
      <c r="H16" s="35">
        <f>IF($B16="","",IFERROR(SUMPRODUCT(((tblY11[Class])&amp;""=($B16)&amp;"")*ISNUMBER(tblY11[vs Expected]),tblY11[vs Expected])/SUMPRODUCT(((tblY11[Class])&amp;""=($B16)&amp;"")*ISNUMBER(tblY11[vs Expected])),""))</f>
        <v>-0.190868575868575</v>
      </c>
      <c r="I16" s="36">
        <f>IF($B16="","",IFERROR(SUMPRODUCT(((tblY11[Class])&amp;""=($B16)&amp;"")*(RIGHT(tblY11[#Headers],8)=CHAR(10)&amp;"Stanine")*ISNUMBER(tblY11[#Data])*(tblY11[#Data]&gt;=7))/SUMPRODUCT(((tblY11[Class])&amp;""=($B16)&amp;"")*(RIGHT(tblY11[#Headers],8)=CHAR(10)&amp;"Stanine")*ISNUMBER(tblY11[#Data])),""))</f>
        <v>0.0405405405405405</v>
      </c>
      <c r="J16" s="36">
        <f>IF($B16="","",IFERROR(SUMPRODUCT(((tblY11[Class])&amp;""=($B16)&amp;"")*(RIGHT(tblY11[#Headers],8)=CHAR(10)&amp;"Stanine")*ISNUMBER(tblY11[#Data])*(tblY11[#Data]&lt;=3))/SUMPRODUCT(((tblY11[Class])&amp;""=($B16)&amp;"")*(RIGHT(tblY11[#Headers],8)=CHAR(10)&amp;"Stanine")*ISNUMBER(tblY11[#Data])),""))</f>
        <v>0.662162162162162</v>
      </c>
      <c r="K16" s="36">
        <f>IF($B16="","",IFERROR(IF(Calc!$AF$3="","",SUMPRODUCT(((tblY11[Class])&amp;""=($B16)&amp;"")*ISNUMBER(INDEX(tblY11[#Data],0,MATCH(Calc!$AF$3&amp;CHAR(10)&amp;"Raw Score",tblY11[#Headers],0))),INDEX(tblY11[#Data],0,MATCH(Calc!$AF$3&amp;CHAR(10)&amp;"Raw Score",tblY11[#Headers],0)))/SUMPRODUCT(((tblY11[Class])&amp;""=($B16)&amp;"")*ISNUMBER(INDEX(tblY11[#Data],0,MATCH(Calc!$AF$3&amp;CHAR(10)&amp;"Raw Score",tblY11[#Headers],0))))/Calc!$AG$3),""))</f>
        <v>0.276960784313725</v>
      </c>
      <c r="L16" s="34">
        <f>IF($B16="","",IFERROR(IF(Calc!$AF$3="","",SUMPRODUCT(((tblY11[Class])&amp;""=($B16)&amp;"")*ISNUMBER(INDEX(tblY11[#Data],0,MATCH(Calc!$AF$3&amp;CHAR(10)&amp;"Stanine",tblY11[#Headers],0))),INDEX(tblY11[#Data],0,MATCH(Calc!$AF$3&amp;CHAR(10)&amp;"Stanine",tblY11[#Headers],0)))/SUMPRODUCT(((tblY11[Class])&amp;""=($B16)&amp;"")*ISNUMBER(INDEX(tblY11[#Data],0,MATCH(Calc!$AF$3&amp;CHAR(10)&amp;"Stanine",tblY11[#Headers],0))))),""))</f>
        <v>3.25</v>
      </c>
      <c r="M16" s="36">
        <f>IF($B16="","",IFERROR(IF(Calc!$AF$3="","",(SUMPRODUCT(((tblY11[Class])&amp;""=($B16)&amp;"")*ISNUMBER(INDEX(tblY11[#Data],0,MATCH(Calc!$AF$3&amp;CHAR(10)&amp;"Raw Score",tblY11[#Headers],0)))*((INDEX(tblY11[#Data],0,MATCH(Calc!$AF$3&amp;CHAR(10)&amp;"Raw Score",tblY11[#Headers],0)))&gt;=0))+SUMPRODUCT(((tblY11[Class])&amp;""=($B16)&amp;"")*((INDEX(tblY11[#Data],0,MATCH(Calc!$AF$3&amp;CHAR(10)&amp;"Raw Score",tblY11[#Headers],0)))&amp;""="A")))/SUMPRODUCT(--((tblY11[Class])&amp;""=($B16)&amp;""))),""))</f>
        <v>1</v>
      </c>
    </row>
    <row r="17">
      <c r="B17" s="31" t="str">
        <f>Calc!S8</f>
        <v>Science Support</v>
      </c>
      <c r="C17" s="32" t="str">
        <f>IF($B17="","",IFERROR(INDEX(tblTeachers[Teacher],MATCH("Year 11"&amp;"|"&amp;$B17,tblTeachers[Key],0))&amp;"",""))</f>
        <v>Ms Novak</v>
      </c>
      <c r="D17" s="33">
        <f>IF($B17="","",IFERROR(SUMPRODUCT(--((tblY11[Class])&amp;""=($B17)&amp;"")),""))</f>
        <v>5</v>
      </c>
      <c r="E17" s="34">
        <f>IF($B17="","",IFERROR(SUMPRODUCT(((tblY11[Class])&amp;""=($B17)&amp;"")*ISNUMBER(tblY11[Avg KS2 Band]),tblY11[Avg KS2 Band])/SUMPRODUCT(((tblY11[Class])&amp;""=($B17)&amp;"")*ISNUMBER(tblY11[Avg KS2 Band])),""))</f>
        <v>2.4</v>
      </c>
      <c r="F17" s="34">
        <f>IF($B17="","",IFERROR(SUMPRODUCT(((tblY11[Class])&amp;""=($B17)&amp;"")*ISNUMBER(tblY11[Tests Sat]),tblY11[Tests Sat])/SUMPRODUCT(((tblY11[Class])&amp;""=($B17)&amp;"")*ISNUMBER(tblY11[Tests Sat])),""))</f>
        <v>5.6</v>
      </c>
      <c r="G17" s="34">
        <f>IF($B17="","",IFERROR(SUMPRODUCT(((tblY11[Class])&amp;""=($B17)&amp;"")*ISNUMBER(tblY11[Mean Stanine]),tblY11[Mean Stanine])/SUMPRODUCT(((tblY11[Class])&amp;""=($B17)&amp;"")*ISNUMBER(tblY11[Mean Stanine])),""))</f>
        <v>2.24666666666667</v>
      </c>
      <c r="H17" s="35">
        <f>IF($B17="","",IFERROR(SUMPRODUCT(((tblY11[Class])&amp;""=($B17)&amp;"")*ISNUMBER(tblY11[vs Expected]),tblY11[vs Expected])/SUMPRODUCT(((tblY11[Class])&amp;""=($B17)&amp;"")*ISNUMBER(tblY11[vs Expected])),""))</f>
        <v>-0.758986291486291</v>
      </c>
      <c r="I17" s="36">
        <f>IF($B17="","",IFERROR(SUMPRODUCT(((tblY11[Class])&amp;""=($B17)&amp;"")*(RIGHT(tblY11[#Headers],8)=CHAR(10)&amp;"Stanine")*ISNUMBER(tblY11[#Data])*(tblY11[#Data]&gt;=7))/SUMPRODUCT(((tblY11[Class])&amp;""=($B17)&amp;"")*(RIGHT(tblY11[#Headers],8)=CHAR(10)&amp;"Stanine")*ISNUMBER(tblY11[#Data])),""))</f>
        <v>0</v>
      </c>
      <c r="J17" s="36">
        <f>IF($B17="","",IFERROR(SUMPRODUCT(((tblY11[Class])&amp;""=($B17)&amp;"")*(RIGHT(tblY11[#Headers],8)=CHAR(10)&amp;"Stanine")*ISNUMBER(tblY11[#Data])*(tblY11[#Data]&lt;=3))/SUMPRODUCT(((tblY11[Class])&amp;""=($B17)&amp;"")*(RIGHT(tblY11[#Headers],8)=CHAR(10)&amp;"Stanine")*ISNUMBER(tblY11[#Data])),""))</f>
        <v>0.928571428571429</v>
      </c>
      <c r="K17" s="36">
        <f>IF($B17="","",IFERROR(IF(Calc!$AF$3="","",SUMPRODUCT(((tblY11[Class])&amp;""=($B17)&amp;"")*ISNUMBER(INDEX(tblY11[#Data],0,MATCH(Calc!$AF$3&amp;CHAR(10)&amp;"Raw Score",tblY11[#Headers],0))),INDEX(tblY11[#Data],0,MATCH(Calc!$AF$3&amp;CHAR(10)&amp;"Raw Score",tblY11[#Headers],0)))/SUMPRODUCT(((tblY11[Class])&amp;""=($B17)&amp;"")*ISNUMBER(INDEX(tblY11[#Data],0,MATCH(Calc!$AF$3&amp;CHAR(10)&amp;"Raw Score",tblY11[#Headers],0))))/Calc!$AG$3),""))</f>
        <v>0.188235294117647</v>
      </c>
      <c r="L17" s="34">
        <f>IF($B17="","",IFERROR(IF(Calc!$AF$3="","",SUMPRODUCT(((tblY11[Class])&amp;""=($B17)&amp;"")*ISNUMBER(INDEX(tblY11[#Data],0,MATCH(Calc!$AF$3&amp;CHAR(10)&amp;"Stanine",tblY11[#Headers],0))),INDEX(tblY11[#Data],0,MATCH(Calc!$AF$3&amp;CHAR(10)&amp;"Stanine",tblY11[#Headers],0)))/SUMPRODUCT(((tblY11[Class])&amp;""=($B17)&amp;"")*ISNUMBER(INDEX(tblY11[#Data],0,MATCH(Calc!$AF$3&amp;CHAR(10)&amp;"Stanine",tblY11[#Headers],0))))),""))</f>
        <v>2.4</v>
      </c>
      <c r="M17" s="36">
        <f>IF($B17="","",IFERROR(IF(Calc!$AF$3="","",(SUMPRODUCT(((tblY11[Class])&amp;""=($B17)&amp;"")*ISNUMBER(INDEX(tblY11[#Data],0,MATCH(Calc!$AF$3&amp;CHAR(10)&amp;"Raw Score",tblY11[#Headers],0)))*((INDEX(tblY11[#Data],0,MATCH(Calc!$AF$3&amp;CHAR(10)&amp;"Raw Score",tblY11[#Headers],0)))&gt;=0))+SUMPRODUCT(((tblY11[Class])&amp;""=($B17)&amp;"")*((INDEX(tblY11[#Data],0,MATCH(Calc!$AF$3&amp;CHAR(10)&amp;"Raw Score",tblY11[#Headers],0)))&amp;""="A")))/SUMPRODUCT(--((tblY11[Class])&amp;""=($B17)&amp;""))),""))</f>
        <v>1</v>
      </c>
    </row>
    <row r="18">
      <c r="B18" s="31" t="str">
        <f>Calc!S9</f>
        <v/>
      </c>
      <c r="C18" s="32" t="str">
        <f>IF($B18="","",IFERROR(INDEX(tblTeachers[Teacher],MATCH("Year 11"&amp;"|"&amp;$B18,tblTeachers[Key],0))&amp;"",""))</f>
        <v/>
      </c>
      <c r="D18" s="33" t="str">
        <f>IF($B18="","",IFERROR(SUMPRODUCT(--((tblY11[Class])&amp;""=($B18)&amp;"")),""))</f>
        <v/>
      </c>
      <c r="E18" s="34" t="str">
        <f>IF($B18="","",IFERROR(SUMPRODUCT(((tblY11[Class])&amp;""=($B18)&amp;"")*ISNUMBER(tblY11[Avg KS2 Band]),tblY11[Avg KS2 Band])/SUMPRODUCT(((tblY11[Class])&amp;""=($B18)&amp;"")*ISNUMBER(tblY11[Avg KS2 Band])),""))</f>
        <v/>
      </c>
      <c r="F18" s="34" t="str">
        <f>IF($B18="","",IFERROR(SUMPRODUCT(((tblY11[Class])&amp;""=($B18)&amp;"")*ISNUMBER(tblY11[Tests Sat]),tblY11[Tests Sat])/SUMPRODUCT(((tblY11[Class])&amp;""=($B18)&amp;"")*ISNUMBER(tblY11[Tests Sat])),""))</f>
        <v/>
      </c>
      <c r="G18" s="34" t="str">
        <f>IF($B18="","",IFERROR(SUMPRODUCT(((tblY11[Class])&amp;""=($B18)&amp;"")*ISNUMBER(tblY11[Mean Stanine]),tblY11[Mean Stanine])/SUMPRODUCT(((tblY11[Class])&amp;""=($B18)&amp;"")*ISNUMBER(tblY11[Mean Stanine])),""))</f>
        <v/>
      </c>
      <c r="H18" s="35" t="str">
        <f>IF($B18="","",IFERROR(SUMPRODUCT(((tblY11[Class])&amp;""=($B18)&amp;"")*ISNUMBER(tblY11[vs Expected]),tblY11[vs Expected])/SUMPRODUCT(((tblY11[Class])&amp;""=($B18)&amp;"")*ISNUMBER(tblY11[vs Expected])),""))</f>
        <v/>
      </c>
      <c r="I18" s="36" t="str">
        <f>IF($B18="","",IFERROR(SUMPRODUCT(((tblY11[Class])&amp;""=($B18)&amp;"")*(RIGHT(tblY11[#Headers],8)=CHAR(10)&amp;"Stanine")*ISNUMBER(tblY11[#Data])*(tblY11[#Data]&gt;=7))/SUMPRODUCT(((tblY11[Class])&amp;""=($B18)&amp;"")*(RIGHT(tblY11[#Headers],8)=CHAR(10)&amp;"Stanine")*ISNUMBER(tblY11[#Data])),""))</f>
        <v/>
      </c>
      <c r="J18" s="36" t="str">
        <f>IF($B18="","",IFERROR(SUMPRODUCT(((tblY11[Class])&amp;""=($B18)&amp;"")*(RIGHT(tblY11[#Headers],8)=CHAR(10)&amp;"Stanine")*ISNUMBER(tblY11[#Data])*(tblY11[#Data]&lt;=3))/SUMPRODUCT(((tblY11[Class])&amp;""=($B18)&amp;"")*(RIGHT(tblY11[#Headers],8)=CHAR(10)&amp;"Stanine")*ISNUMBER(tblY11[#Data])),""))</f>
        <v/>
      </c>
      <c r="K18" s="36" t="str">
        <f>IF($B18="","",IFERROR(IF(Calc!$AF$3="","",SUMPRODUCT(((tblY11[Class])&amp;""=($B18)&amp;"")*ISNUMBER(INDEX(tblY11[#Data],0,MATCH(Calc!$AF$3&amp;CHAR(10)&amp;"Raw Score",tblY11[#Headers],0))),INDEX(tblY11[#Data],0,MATCH(Calc!$AF$3&amp;CHAR(10)&amp;"Raw Score",tblY11[#Headers],0)))/SUMPRODUCT(((tblY11[Class])&amp;""=($B18)&amp;"")*ISNUMBER(INDEX(tblY11[#Data],0,MATCH(Calc!$AF$3&amp;CHAR(10)&amp;"Raw Score",tblY11[#Headers],0))))/Calc!$AG$3),""))</f>
        <v/>
      </c>
      <c r="L18" s="34" t="str">
        <f>IF($B18="","",IFERROR(IF(Calc!$AF$3="","",SUMPRODUCT(((tblY11[Class])&amp;""=($B18)&amp;"")*ISNUMBER(INDEX(tblY11[#Data],0,MATCH(Calc!$AF$3&amp;CHAR(10)&amp;"Stanine",tblY11[#Headers],0))),INDEX(tblY11[#Data],0,MATCH(Calc!$AF$3&amp;CHAR(10)&amp;"Stanine",tblY11[#Headers],0)))/SUMPRODUCT(((tblY11[Class])&amp;""=($B18)&amp;"")*ISNUMBER(INDEX(tblY11[#Data],0,MATCH(Calc!$AF$3&amp;CHAR(10)&amp;"Stanine",tblY11[#Headers],0))))),""))</f>
        <v/>
      </c>
      <c r="M18" s="36" t="str">
        <f>IF($B18="","",IFERROR(IF(Calc!$AF$3="","",(SUMPRODUCT(((tblY11[Class])&amp;""=($B18)&amp;"")*ISNUMBER(INDEX(tblY11[#Data],0,MATCH(Calc!$AF$3&amp;CHAR(10)&amp;"Raw Score",tblY11[#Headers],0)))*((INDEX(tblY11[#Data],0,MATCH(Calc!$AF$3&amp;CHAR(10)&amp;"Raw Score",tblY11[#Headers],0)))&gt;=0))+SUMPRODUCT(((tblY11[Class])&amp;""=($B18)&amp;"")*((INDEX(tblY11[#Data],0,MATCH(Calc!$AF$3&amp;CHAR(10)&amp;"Raw Score",tblY11[#Headers],0)))&amp;""="A")))/SUMPRODUCT(--((tblY11[Class])&amp;""=($B18)&amp;""))),""))</f>
        <v/>
      </c>
    </row>
    <row r="19">
      <c r="B19" s="31" t="str">
        <f>Calc!S10</f>
        <v/>
      </c>
      <c r="C19" s="32" t="str">
        <f>IF($B19="","",IFERROR(INDEX(tblTeachers[Teacher],MATCH("Year 11"&amp;"|"&amp;$B19,tblTeachers[Key],0))&amp;"",""))</f>
        <v/>
      </c>
      <c r="D19" s="33" t="str">
        <f>IF($B19="","",IFERROR(SUMPRODUCT(--((tblY11[Class])&amp;""=($B19)&amp;"")),""))</f>
        <v/>
      </c>
      <c r="E19" s="34" t="str">
        <f>IF($B19="","",IFERROR(SUMPRODUCT(((tblY11[Class])&amp;""=($B19)&amp;"")*ISNUMBER(tblY11[Avg KS2 Band]),tblY11[Avg KS2 Band])/SUMPRODUCT(((tblY11[Class])&amp;""=($B19)&amp;"")*ISNUMBER(tblY11[Avg KS2 Band])),""))</f>
        <v/>
      </c>
      <c r="F19" s="34" t="str">
        <f>IF($B19="","",IFERROR(SUMPRODUCT(((tblY11[Class])&amp;""=($B19)&amp;"")*ISNUMBER(tblY11[Tests Sat]),tblY11[Tests Sat])/SUMPRODUCT(((tblY11[Class])&amp;""=($B19)&amp;"")*ISNUMBER(tblY11[Tests Sat])),""))</f>
        <v/>
      </c>
      <c r="G19" s="34" t="str">
        <f>IF($B19="","",IFERROR(SUMPRODUCT(((tblY11[Class])&amp;""=($B19)&amp;"")*ISNUMBER(tblY11[Mean Stanine]),tblY11[Mean Stanine])/SUMPRODUCT(((tblY11[Class])&amp;""=($B19)&amp;"")*ISNUMBER(tblY11[Mean Stanine])),""))</f>
        <v/>
      </c>
      <c r="H19" s="35" t="str">
        <f>IF($B19="","",IFERROR(SUMPRODUCT(((tblY11[Class])&amp;""=($B19)&amp;"")*ISNUMBER(tblY11[vs Expected]),tblY11[vs Expected])/SUMPRODUCT(((tblY11[Class])&amp;""=($B19)&amp;"")*ISNUMBER(tblY11[vs Expected])),""))</f>
        <v/>
      </c>
      <c r="I19" s="36" t="str">
        <f>IF($B19="","",IFERROR(SUMPRODUCT(((tblY11[Class])&amp;""=($B19)&amp;"")*(RIGHT(tblY11[#Headers],8)=CHAR(10)&amp;"Stanine")*ISNUMBER(tblY11[#Data])*(tblY11[#Data]&gt;=7))/SUMPRODUCT(((tblY11[Class])&amp;""=($B19)&amp;"")*(RIGHT(tblY11[#Headers],8)=CHAR(10)&amp;"Stanine")*ISNUMBER(tblY11[#Data])),""))</f>
        <v/>
      </c>
      <c r="J19" s="36" t="str">
        <f>IF($B19="","",IFERROR(SUMPRODUCT(((tblY11[Class])&amp;""=($B19)&amp;"")*(RIGHT(tblY11[#Headers],8)=CHAR(10)&amp;"Stanine")*ISNUMBER(tblY11[#Data])*(tblY11[#Data]&lt;=3))/SUMPRODUCT(((tblY11[Class])&amp;""=($B19)&amp;"")*(RIGHT(tblY11[#Headers],8)=CHAR(10)&amp;"Stanine")*ISNUMBER(tblY11[#Data])),""))</f>
        <v/>
      </c>
      <c r="K19" s="36" t="str">
        <f>IF($B19="","",IFERROR(IF(Calc!$AF$3="","",SUMPRODUCT(((tblY11[Class])&amp;""=($B19)&amp;"")*ISNUMBER(INDEX(tblY11[#Data],0,MATCH(Calc!$AF$3&amp;CHAR(10)&amp;"Raw Score",tblY11[#Headers],0))),INDEX(tblY11[#Data],0,MATCH(Calc!$AF$3&amp;CHAR(10)&amp;"Raw Score",tblY11[#Headers],0)))/SUMPRODUCT(((tblY11[Class])&amp;""=($B19)&amp;"")*ISNUMBER(INDEX(tblY11[#Data],0,MATCH(Calc!$AF$3&amp;CHAR(10)&amp;"Raw Score",tblY11[#Headers],0))))/Calc!$AG$3),""))</f>
        <v/>
      </c>
      <c r="L19" s="34" t="str">
        <f>IF($B19="","",IFERROR(IF(Calc!$AF$3="","",SUMPRODUCT(((tblY11[Class])&amp;""=($B19)&amp;"")*ISNUMBER(INDEX(tblY11[#Data],0,MATCH(Calc!$AF$3&amp;CHAR(10)&amp;"Stanine",tblY11[#Headers],0))),INDEX(tblY11[#Data],0,MATCH(Calc!$AF$3&amp;CHAR(10)&amp;"Stanine",tblY11[#Headers],0)))/SUMPRODUCT(((tblY11[Class])&amp;""=($B19)&amp;"")*ISNUMBER(INDEX(tblY11[#Data],0,MATCH(Calc!$AF$3&amp;CHAR(10)&amp;"Stanine",tblY11[#Headers],0))))),""))</f>
        <v/>
      </c>
      <c r="M19" s="36" t="str">
        <f>IF($B19="","",IFERROR(IF(Calc!$AF$3="","",(SUMPRODUCT(((tblY11[Class])&amp;""=($B19)&amp;"")*ISNUMBER(INDEX(tblY11[#Data],0,MATCH(Calc!$AF$3&amp;CHAR(10)&amp;"Raw Score",tblY11[#Headers],0)))*((INDEX(tblY11[#Data],0,MATCH(Calc!$AF$3&amp;CHAR(10)&amp;"Raw Score",tblY11[#Headers],0)))&gt;=0))+SUMPRODUCT(((tblY11[Class])&amp;""=($B19)&amp;"")*((INDEX(tblY11[#Data],0,MATCH(Calc!$AF$3&amp;CHAR(10)&amp;"Raw Score",tblY11[#Headers],0)))&amp;""="A")))/SUMPRODUCT(--((tblY11[Class])&amp;""=($B19)&amp;""))),""))</f>
        <v/>
      </c>
    </row>
    <row r="21">
      <c r="B21"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22"/>
    <row r="23"/>
    <row r="24"/>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B21:M24"/>
    <mergeCell ref="D4:F4"/>
    <mergeCell ref="J4:M4"/>
    <mergeCell ref="B5:C7"/>
    <mergeCell ref="G4:I4"/>
    <mergeCell ref="D5:F7"/>
    <mergeCell ref="J5:M7"/>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test. Colours compare each class with the whole year group: blue = above, red = below.</t>
        </is>
      </c>
    </row>
    <row r="4">
      <c r="B4" s="38" t="inlineStr">
        <is>
          <t>Year group</t>
        </is>
      </c>
      <c r="C4" s="39" t="inlineStr">
        <is>
          <t>Year 11</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106</v>
      </c>
      <c r="J5" s="19" t="n"/>
      <c r="K5" s="20">
        <f>IFERROR(dTestCount,0)</f>
        <v>6</v>
      </c>
      <c r="L5" s="19" t="n"/>
      <c r="M5" s="41">
        <f>IFERROR((COUNT(dRaw)+COUNTIF(dRaw,"A"))/dCount,"-")</f>
        <v>1</v>
      </c>
      <c r="N5" s="19" t="n"/>
      <c r="O5" s="41">
        <f>IFERROR(AVERAGE(dRaw)/dMax,"-")</f>
        <v>0.461470588235294</v>
      </c>
      <c r="P5" s="19" t="n"/>
      <c r="Q5" s="19" t="n"/>
    </row>
    <row r="6">
      <c r="B6" s="38" t="inlineStr">
        <is>
          <t>Test</t>
        </is>
      </c>
      <c r="C6" s="39" t="inlineStr">
        <is>
          <t>4P07 - Magnetism</t>
        </is>
      </c>
      <c r="D6" s="42" t="n"/>
      <c r="E6" s="42" t="n"/>
      <c r="F6" s="42" t="n"/>
      <c r="G6" s="40" t="n"/>
      <c r="I6" s="19" t="n"/>
      <c r="J6" s="19" t="n"/>
      <c r="K6" s="19" t="n"/>
      <c r="L6" s="19" t="n"/>
      <c r="M6" s="19" t="n"/>
      <c r="N6" s="19" t="n"/>
      <c r="O6" s="19" t="n"/>
      <c r="P6" s="19" t="n"/>
      <c r="Q6" s="19" t="n"/>
    </row>
    <row r="7">
      <c r="B7" s="38" t="inlineStr">
        <is>
          <t>Focus class (trend chart)</t>
        </is>
      </c>
      <c r="C7" s="39" t="inlineStr">
        <is>
          <t>11S/Sc1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4P07 - Magnetism   ·   out of 34</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106</v>
      </c>
      <c r="E12" s="46">
        <f>IFERROR(IF(dHasTest,COUNT(dRaw),""),"")</f>
        <v>100</v>
      </c>
      <c r="F12" s="46">
        <f>IFERROR(COUNTIF(dRaw,"A"),"")</f>
        <v>6</v>
      </c>
      <c r="G12" s="46">
        <f>IFERROR(IF($D12="","",$D12-$E12-$F12),"")</f>
        <v>0</v>
      </c>
      <c r="H12" s="47">
        <f>IFERROR(IF(N($E12)=0,"",AVERAGE(dRaw)),"")</f>
        <v>15.69</v>
      </c>
      <c r="I12" s="48">
        <f>IFERROR(IF($H12="","",$H12/dMax),"")</f>
        <v>0.461470588235294</v>
      </c>
      <c r="J12" s="47">
        <f>IFERROR(IF(N($E12)=0,"",AVERAGE(dStn)),"")</f>
        <v>5.01</v>
      </c>
      <c r="K12" s="48">
        <f>IFERROR(IF(N($E12)=0,"",COUNTIFS(dStn,"&lt;=3")/$E12),"")</f>
        <v>0.23</v>
      </c>
      <c r="L12" s="48">
        <f>IFERROR(IF(N($E12)=0,"",COUNTIFS(dStn,"&gt;=4",dStn,"&lt;=6")/$E12),"")</f>
        <v>0.55</v>
      </c>
      <c r="M12" s="48">
        <f>IFERROR(IF(N($E12)=0,"",COUNTIFS(dStn,"&gt;=7")/$E12),"")</f>
        <v>0.22</v>
      </c>
      <c r="N12" s="45" t="n"/>
    </row>
    <row r="13">
      <c r="B13" s="31" t="str">
        <f>Calc!Y3</f>
        <v>11S/Sc1</v>
      </c>
      <c r="C13" s="32" t="str">
        <f>IFERROR(IF($B13="","",IFERROR(INDEX(tblTeachers[Teacher],MATCH(SelYear&amp;"|"&amp;$B13,tblTeachers[Key],0))&amp;"","")),"")</f>
        <v>Ms Rahman</v>
      </c>
      <c r="D13" s="33">
        <f>IFERROR(IF($B13="","",SUMPRODUCT(--((dClass)&amp;""=($B13)&amp;""))),"")</f>
        <v>28</v>
      </c>
      <c r="E13" s="33">
        <f>IFERROR(IF($B13="","",SUMPRODUCT(((dClass)&amp;""=($B13)&amp;"")*ISNUMBER(dRaw)*((dRaw)&gt;=0))),"")</f>
        <v>27</v>
      </c>
      <c r="F13" s="33">
        <f>IFERROR(IF($B13="","",SUMPRODUCT(((dClass)&amp;""=($B13)&amp;"")*((dRaw)&amp;""="A"))),"")</f>
        <v>1</v>
      </c>
      <c r="G13" s="33">
        <f>IFERROR(IF($D13="","",$D13-$E13-$F13),"")</f>
        <v>0</v>
      </c>
      <c r="H13" s="34">
        <f>IFERROR(IF(OR($B13="",N($E13)=0),"",SUMPRODUCT(((dClass)&amp;""=($B13)&amp;"")*ISNUMBER(dRaw),dRaw)/SUMPRODUCT(((dClass)&amp;""=($B13)&amp;"")*ISNUMBER(dRaw))),"")</f>
        <v>22.2592592592593</v>
      </c>
      <c r="I13" s="36">
        <f>IFERROR(IF($H13="","",$H13/dMax),"")</f>
        <v>0.654684095860566</v>
      </c>
      <c r="J13" s="34">
        <f>IFERROR(IF(OR($B13="",N($E13)=0),"",SUMPRODUCT(((dClass)&amp;""=($B13)&amp;"")*ISNUMBER(dStn),dStn)/SUMPRODUCT(((dClass)&amp;""=($B13)&amp;"")*ISNUMBER(dStn))),"")</f>
        <v>6.77777777777778</v>
      </c>
      <c r="K13" s="36">
        <f>IFERROR(IF(OR($B13="",N($E13)=0),"",SUMPRODUCT(((dClass)&amp;""=($B13)&amp;"")*ISNUMBER(dStn)*((dStn)&lt;=3))/$E13),"")</f>
        <v>0</v>
      </c>
      <c r="L13" s="36">
        <f>IFERROR(IF(OR($B13="",N($E13)=0),"",SUMPRODUCT(((dClass)&amp;""=($B13)&amp;"")*ISNUMBER(dStn)*((dStn)&gt;=4)*((dStn)&lt;=6))/$E13),"")</f>
        <v>0.444444444444444</v>
      </c>
      <c r="M13" s="36">
        <f>IFERROR(IF(OR($B13="",N($E13)=0),"",SUMPRODUCT(((dClass)&amp;""=($B13)&amp;"")*ISNUMBER(dStn)*((dStn)&gt;=7))/$E13),"")</f>
        <v>0.555555555555556</v>
      </c>
      <c r="N13" s="49">
        <f>IFERROR(IF(OR($I13="",$I$12=""),"",($I13-$I$12)*100),"")</f>
        <v>19.3213507625272</v>
      </c>
    </row>
    <row r="14">
      <c r="B14" s="31" t="str">
        <f>Calc!Y4</f>
        <v>11S/Sc2</v>
      </c>
      <c r="C14" s="32" t="str">
        <f>IFERROR(IF($B14="","",IFERROR(INDEX(tblTeachers[Teacher],MATCH(SelYear&amp;"|"&amp;$B14,tblTeachers[Key],0))&amp;"","")),"")</f>
        <v>Mrs Evans</v>
      </c>
      <c r="D14" s="33">
        <f>IFERROR(IF($B14="","",SUMPRODUCT(--((dClass)&amp;""=($B14)&amp;""))),"")</f>
        <v>26</v>
      </c>
      <c r="E14" s="33">
        <f>IFERROR(IF($B14="","",SUMPRODUCT(((dClass)&amp;""=($B14)&amp;"")*ISNUMBER(dRaw)*((dRaw)&gt;=0))),"")</f>
        <v>24</v>
      </c>
      <c r="F14" s="33">
        <f>IFERROR(IF($B14="","",SUMPRODUCT(((dClass)&amp;""=($B14)&amp;"")*((dRaw)&amp;""="A"))),"")</f>
        <v>2</v>
      </c>
      <c r="G14" s="33">
        <f>IFERROR(IF($D14="","",$D14-$E14-$F14),"")</f>
        <v>0</v>
      </c>
      <c r="H14" s="34">
        <f>IFERROR(IF(OR($B14="",N($E14)=0),"",SUMPRODUCT(((dClass)&amp;""=($B14)&amp;"")*ISNUMBER(dRaw),dRaw)/SUMPRODUCT(((dClass)&amp;""=($B14)&amp;"")*ISNUMBER(dRaw))),"")</f>
        <v>16.0833333333333</v>
      </c>
      <c r="I14" s="36">
        <f>IFERROR(IF($H14="","",$H14/dMax),"")</f>
        <v>0.473039215686275</v>
      </c>
      <c r="J14" s="34">
        <f>IFERROR(IF(OR($B14="",N($E14)=0),"",SUMPRODUCT(((dClass)&amp;""=($B14)&amp;"")*ISNUMBER(dStn),dStn)/SUMPRODUCT(((dClass)&amp;""=($B14)&amp;"")*ISNUMBER(dStn))),"")</f>
        <v>5.125</v>
      </c>
      <c r="K14" s="36">
        <f>IFERROR(IF(OR($B14="",N($E14)=0),"",SUMPRODUCT(((dClass)&amp;""=($B14)&amp;"")*ISNUMBER(dStn)*((dStn)&lt;=3))/$E14),"")</f>
        <v>0.0833333333333333</v>
      </c>
      <c r="L14" s="36">
        <f>IFERROR(IF(OR($B14="",N($E14)=0),"",SUMPRODUCT(((dClass)&amp;""=($B14)&amp;"")*ISNUMBER(dStn)*((dStn)&gt;=4)*((dStn)&lt;=6))/$E14),"")</f>
        <v>0.833333333333333</v>
      </c>
      <c r="M14" s="36">
        <f>IFERROR(IF(OR($B14="",N($E14)=0),"",SUMPRODUCT(((dClass)&amp;""=($B14)&amp;"")*ISNUMBER(dStn)*((dStn)&gt;=7))/$E14),"")</f>
        <v>0.0833333333333333</v>
      </c>
      <c r="N14" s="49">
        <f>IFERROR(IF(OR($I14="",$I$12=""),"",($I14-$I$12)*100),"")</f>
        <v>1.15686274509804</v>
      </c>
    </row>
    <row r="15">
      <c r="B15" s="31" t="str">
        <f>Calc!Y5</f>
        <v>11S/Sc3</v>
      </c>
      <c r="C15" s="32" t="str">
        <f>IFERROR(IF($B15="","",IFERROR(INDEX(tblTeachers[Teacher],MATCH(SelYear&amp;"|"&amp;$B15,tblTeachers[Key],0))&amp;"","")),"")</f>
        <v>Mr Owen</v>
      </c>
      <c r="D15" s="33">
        <f>IFERROR(IF($B15="","",SUMPRODUCT(--((dClass)&amp;""=($B15)&amp;""))),"")</f>
        <v>21</v>
      </c>
      <c r="E15" s="33">
        <f>IFERROR(IF($B15="","",SUMPRODUCT(((dClass)&amp;""=($B15)&amp;"")*ISNUMBER(dRaw)*((dRaw)&gt;=0))),"")</f>
        <v>20</v>
      </c>
      <c r="F15" s="33">
        <f>IFERROR(IF($B15="","",SUMPRODUCT(((dClass)&amp;""=($B15)&amp;"")*((dRaw)&amp;""="A"))),"")</f>
        <v>1</v>
      </c>
      <c r="G15" s="33">
        <f>IFERROR(IF($D15="","",$D15-$E15-$F15),"")</f>
        <v>0</v>
      </c>
      <c r="H15" s="34">
        <f>IFERROR(IF(OR($B15="",N($E15)=0),"",SUMPRODUCT(((dClass)&amp;""=($B15)&amp;"")*ISNUMBER(dRaw),dRaw)/SUMPRODUCT(((dClass)&amp;""=($B15)&amp;"")*ISNUMBER(dRaw))),"")</f>
        <v>14.85</v>
      </c>
      <c r="I15" s="36">
        <f>IFERROR(IF($H15="","",$H15/dMax),"")</f>
        <v>0.436764705882353</v>
      </c>
      <c r="J15" s="34">
        <f>IFERROR(IF(OR($B15="",N($E15)=0),"",SUMPRODUCT(((dClass)&amp;""=($B15)&amp;"")*ISNUMBER(dStn),dStn)/SUMPRODUCT(((dClass)&amp;""=($B15)&amp;"")*ISNUMBER(dStn))),"")</f>
        <v>4.85</v>
      </c>
      <c r="K15" s="36">
        <f>IFERROR(IF(OR($B15="",N($E15)=0),"",SUMPRODUCT(((dClass)&amp;""=($B15)&amp;"")*ISNUMBER(dStn)*((dStn)&lt;=3))/$E15),"")</f>
        <v>0.3</v>
      </c>
      <c r="L15" s="36">
        <f>IFERROR(IF(OR($B15="",N($E15)=0),"",SUMPRODUCT(((dClass)&amp;""=($B15)&amp;"")*ISNUMBER(dStn)*((dStn)&gt;=4)*((dStn)&lt;=6))/$E15),"")</f>
        <v>0.45</v>
      </c>
      <c r="M15" s="36">
        <f>IFERROR(IF(OR($B15="",N($E15)=0),"",SUMPRODUCT(((dClass)&amp;""=($B15)&amp;"")*ISNUMBER(dStn)*((dStn)&gt;=7))/$E15),"")</f>
        <v>0.25</v>
      </c>
      <c r="N15" s="49">
        <f>IFERROR(IF(OR($I15="",$I$12=""),"",($I15-$I$12)*100),"")</f>
        <v>-2.47058823529411</v>
      </c>
    </row>
    <row r="16">
      <c r="B16" s="31" t="str">
        <f>Calc!Y6</f>
        <v>11S/Sc4</v>
      </c>
      <c r="C16" s="32" t="str">
        <f>IFERROR(IF($B16="","",IFERROR(INDEX(tblTeachers[Teacher],MATCH(SelYear&amp;"|"&amp;$B16,tblTeachers[Key],0))&amp;"","")),"")</f>
        <v>Mrs Singh</v>
      </c>
      <c r="D16" s="33">
        <f>IFERROR(IF($B16="","",SUMPRODUCT(--((dClass)&amp;""=($B16)&amp;""))),"")</f>
        <v>13</v>
      </c>
      <c r="E16" s="33">
        <f>IFERROR(IF($B16="","",SUMPRODUCT(((dClass)&amp;""=($B16)&amp;"")*ISNUMBER(dRaw)*((dRaw)&gt;=0))),"")</f>
        <v>12</v>
      </c>
      <c r="F16" s="33">
        <f>IFERROR(IF($B16="","",SUMPRODUCT(((dClass)&amp;""=($B16)&amp;"")*((dRaw)&amp;""="A"))),"")</f>
        <v>1</v>
      </c>
      <c r="G16" s="33">
        <f>IFERROR(IF($D16="","",$D16-$E16-$F16),"")</f>
        <v>0</v>
      </c>
      <c r="H16" s="34">
        <f>IFERROR(IF(OR($B16="",N($E16)=0),"",SUMPRODUCT(((dClass)&amp;""=($B16)&amp;"")*ISNUMBER(dRaw),dRaw)/SUMPRODUCT(((dClass)&amp;""=($B16)&amp;"")*ISNUMBER(dRaw))),"")</f>
        <v>11.6666666666667</v>
      </c>
      <c r="I16" s="36">
        <f>IFERROR(IF($H16="","",$H16/dMax),"")</f>
        <v>0.343137254901961</v>
      </c>
      <c r="J16" s="34">
        <f>IFERROR(IF(OR($B16="",N($E16)=0),"",SUMPRODUCT(((dClass)&amp;""=($B16)&amp;"")*ISNUMBER(dStn),dStn)/SUMPRODUCT(((dClass)&amp;""=($B16)&amp;"")*ISNUMBER(dStn))),"")</f>
        <v>3.91666666666667</v>
      </c>
      <c r="K16" s="36">
        <f>IFERROR(IF(OR($B16="",N($E16)=0),"",SUMPRODUCT(((dClass)&amp;""=($B16)&amp;"")*ISNUMBER(dStn)*((dStn)&lt;=3))/$E16),"")</f>
        <v>0.333333333333333</v>
      </c>
      <c r="L16" s="36">
        <f>IFERROR(IF(OR($B16="",N($E16)=0),"",SUMPRODUCT(((dClass)&amp;""=($B16)&amp;"")*ISNUMBER(dStn)*((dStn)&gt;=4)*((dStn)&lt;=6))/$E16),"")</f>
        <v>0.666666666666667</v>
      </c>
      <c r="M16" s="36">
        <f>IFERROR(IF(OR($B16="",N($E16)=0),"",SUMPRODUCT(((dClass)&amp;""=($B16)&amp;"")*ISNUMBER(dStn)*((dStn)&gt;=7))/$E16),"")</f>
        <v>0</v>
      </c>
      <c r="N16" s="49">
        <f>IFERROR(IF(OR($I16="",$I$12=""),"",($I16-$I$12)*100),"")</f>
        <v>-11.8333333333333</v>
      </c>
    </row>
    <row r="17">
      <c r="B17" s="31" t="str">
        <f>Calc!Y7</f>
        <v>11S/Sc5</v>
      </c>
      <c r="C17" s="32" t="str">
        <f>IFERROR(IF($B17="","",IFERROR(INDEX(tblTeachers[Teacher],MATCH(SelYear&amp;"|"&amp;$B17,tblTeachers[Key],0))&amp;"","")),"")</f>
        <v>Ms Novak</v>
      </c>
      <c r="D17" s="33">
        <f>IFERROR(IF($B17="","",SUMPRODUCT(--((dClass)&amp;""=($B17)&amp;""))),"")</f>
        <v>13</v>
      </c>
      <c r="E17" s="33">
        <f>IFERROR(IF($B17="","",SUMPRODUCT(((dClass)&amp;""=($B17)&amp;"")*ISNUMBER(dRaw)*((dRaw)&gt;=0))),"")</f>
        <v>12</v>
      </c>
      <c r="F17" s="33">
        <f>IFERROR(IF($B17="","",SUMPRODUCT(((dClass)&amp;""=($B17)&amp;"")*((dRaw)&amp;""="A"))),"")</f>
        <v>1</v>
      </c>
      <c r="G17" s="33">
        <f>IFERROR(IF($D17="","",$D17-$E17-$F17),"")</f>
        <v>0</v>
      </c>
      <c r="H17" s="34">
        <f>IFERROR(IF(OR($B17="",N($E17)=0),"",SUMPRODUCT(((dClass)&amp;""=($B17)&amp;"")*ISNUMBER(dRaw),dRaw)/SUMPRODUCT(((dClass)&amp;""=($B17)&amp;"")*ISNUMBER(dRaw))),"")</f>
        <v>9.41666666666667</v>
      </c>
      <c r="I17" s="36">
        <f>IFERROR(IF($H17="","",$H17/dMax),"")</f>
        <v>0.276960784313725</v>
      </c>
      <c r="J17" s="34">
        <f>IFERROR(IF(OR($B17="",N($E17)=0),"",SUMPRODUCT(((dClass)&amp;""=($B17)&amp;"")*ISNUMBER(dStn),dStn)/SUMPRODUCT(((dClass)&amp;""=($B17)&amp;"")*ISNUMBER(dStn))),"")</f>
        <v>3.25</v>
      </c>
      <c r="K17" s="36">
        <f>IFERROR(IF(OR($B17="",N($E17)=0),"",SUMPRODUCT(((dClass)&amp;""=($B17)&amp;"")*ISNUMBER(dStn)*((dStn)&lt;=3))/$E17),"")</f>
        <v>0.583333333333333</v>
      </c>
      <c r="L17" s="36">
        <f>IFERROR(IF(OR($B17="",N($E17)=0),"",SUMPRODUCT(((dClass)&amp;""=($B17)&amp;"")*ISNUMBER(dStn)*((dStn)&gt;=4)*((dStn)&lt;=6))/$E17),"")</f>
        <v>0.416666666666667</v>
      </c>
      <c r="M17" s="36">
        <f>IFERROR(IF(OR($B17="",N($E17)=0),"",SUMPRODUCT(((dClass)&amp;""=($B17)&amp;"")*ISNUMBER(dStn)*((dStn)&gt;=7))/$E17),"")</f>
        <v>0</v>
      </c>
      <c r="N17" s="49">
        <f>IFERROR(IF(OR($I17="",$I$12=""),"",($I17-$I$12)*100),"")</f>
        <v>-18.4509803921569</v>
      </c>
    </row>
    <row r="18">
      <c r="B18" s="31" t="str">
        <f>Calc!Y8</f>
        <v>Science Support</v>
      </c>
      <c r="C18" s="32" t="str">
        <f>IFERROR(IF($B18="","",IFERROR(INDEX(tblTeachers[Teacher],MATCH(SelYear&amp;"|"&amp;$B18,tblTeachers[Key],0))&amp;"","")),"")</f>
        <v>Ms Novak</v>
      </c>
      <c r="D18" s="33">
        <f>IFERROR(IF($B18="","",SUMPRODUCT(--((dClass)&amp;""=($B18)&amp;""))),"")</f>
        <v>5</v>
      </c>
      <c r="E18" s="33">
        <f>IFERROR(IF($B18="","",SUMPRODUCT(((dClass)&amp;""=($B18)&amp;"")*ISNUMBER(dRaw)*((dRaw)&gt;=0))),"")</f>
        <v>5</v>
      </c>
      <c r="F18" s="33">
        <f>IFERROR(IF($B18="","",SUMPRODUCT(((dClass)&amp;""=($B18)&amp;"")*((dRaw)&amp;""="A"))),"")</f>
        <v>0</v>
      </c>
      <c r="G18" s="33">
        <f>IFERROR(IF($D18="","",$D18-$E18-$F18),"")</f>
        <v>0</v>
      </c>
      <c r="H18" s="34">
        <f>IFERROR(IF(OR($B18="",N($E18)=0),"",SUMPRODUCT(((dClass)&amp;""=($B18)&amp;"")*ISNUMBER(dRaw),dRaw)/SUMPRODUCT(((dClass)&amp;""=($B18)&amp;"")*ISNUMBER(dRaw))),"")</f>
        <v>6.4</v>
      </c>
      <c r="I18" s="36">
        <f>IFERROR(IF($H18="","",$H18/dMax),"")</f>
        <v>0.188235294117647</v>
      </c>
      <c r="J18" s="34">
        <f>IFERROR(IF(OR($B18="",N($E18)=0),"",SUMPRODUCT(((dClass)&amp;""=($B18)&amp;"")*ISNUMBER(dStn),dStn)/SUMPRODUCT(((dClass)&amp;""=($B18)&amp;"")*ISNUMBER(dStn))),"")</f>
        <v>2.4</v>
      </c>
      <c r="K18" s="36">
        <f>IFERROR(IF(OR($B18="",N($E18)=0),"",SUMPRODUCT(((dClass)&amp;""=($B18)&amp;"")*ISNUMBER(dStn)*((dStn)&lt;=3))/$E18),"")</f>
        <v>0.8</v>
      </c>
      <c r="L18" s="36">
        <f>IFERROR(IF(OR($B18="",N($E18)=0),"",SUMPRODUCT(((dClass)&amp;""=($B18)&amp;"")*ISNUMBER(dStn)*((dStn)&gt;=4)*((dStn)&lt;=6))/$E18),"")</f>
        <v>0.2</v>
      </c>
      <c r="M18" s="36">
        <f>IFERROR(IF(OR($B18="",N($E18)=0),"",SUMPRODUCT(((dClass)&amp;""=($B18)&amp;"")*ISNUMBER(dStn)*((dStn)&gt;=7))/$E18),"")</f>
        <v>0</v>
      </c>
      <c r="N18" s="49">
        <f>IFERROR(IF(OR($I18="",$I$12=""),"",($I18-$I$12)*100),"")</f>
        <v>-27.3235294117647</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2</v>
      </c>
      <c r="D25" s="33">
        <f>IFERROR(COUNTIF(dStn,2),"")</f>
        <v>12</v>
      </c>
      <c r="E25" s="33">
        <f>IFERROR(COUNTIF(dStn,3),"")</f>
        <v>9</v>
      </c>
      <c r="F25" s="33">
        <f>IFERROR(COUNTIF(dStn,4),"")</f>
        <v>16</v>
      </c>
      <c r="G25" s="33">
        <f>IFERROR(COUNTIF(dStn,5),"")</f>
        <v>23</v>
      </c>
      <c r="H25" s="33">
        <f>IFERROR(COUNTIF(dStn,6),"")</f>
        <v>16</v>
      </c>
      <c r="I25" s="33">
        <f>IFERROR(COUNTIF(dStn,7),"")</f>
        <v>8</v>
      </c>
      <c r="J25" s="33">
        <f>IFERROR(COUNTIF(dStn,8),"")</f>
        <v>9</v>
      </c>
      <c r="K25" s="33">
        <f>IFERROR(COUNTIF(dStn,9),"")</f>
        <v>5</v>
      </c>
    </row>
    <row r="26">
      <c r="B26" s="38" t="inlineStr">
        <is>
          <t>% of those who sat</t>
        </is>
      </c>
      <c r="C26" s="36">
        <f>IFERROR(COUNTIF(dStn,1)/COUNT(dStn),"")</f>
        <v>0.02</v>
      </c>
      <c r="D26" s="36">
        <f>IFERROR(COUNTIF(dStn,2)/COUNT(dStn),"")</f>
        <v>0.12</v>
      </c>
      <c r="E26" s="36">
        <f>IFERROR(COUNTIF(dStn,3)/COUNT(dStn),"")</f>
        <v>0.09</v>
      </c>
      <c r="F26" s="36">
        <f>IFERROR(COUNTIF(dStn,4)/COUNT(dStn),"")</f>
        <v>0.16</v>
      </c>
      <c r="G26" s="36">
        <f>IFERROR(COUNTIF(dStn,5)/COUNT(dStn),"")</f>
        <v>0.23</v>
      </c>
      <c r="H26" s="36">
        <f>IFERROR(COUNTIF(dStn,6)/COUNT(dStn),"")</f>
        <v>0.16</v>
      </c>
      <c r="I26" s="36">
        <f>IFERROR(COUNTIF(dStn,7)/COUNT(dStn),"")</f>
        <v>0.08</v>
      </c>
      <c r="J26" s="36">
        <f>IFERROR(COUNTIF(dStn,8)/COUNT(dStn),"")</f>
        <v>0.09</v>
      </c>
      <c r="K26" s="36">
        <f>IFERROR(COUNTIF(dStn,9)/COUNT(dStn),"")</f>
        <v>0.05</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33</v>
      </c>
      <c r="D32" s="33">
        <f>IFERROR((COUNTIFS(dPP,"Y",dRaw,"&gt;=0")),"")</f>
        <v>30</v>
      </c>
      <c r="E32" s="36">
        <f>IFERROR(IF((COUNTIFS(dPP,"Y",dRaw,"&gt;=0"))=0,"",(SUMIFS(dRaw,dPP,"Y"))/(COUNTIFS(dPP,"Y",dRaw,"&gt;=0"))/dMax),"")</f>
        <v>0.458823529411765</v>
      </c>
      <c r="F32" s="34">
        <f>IFERROR(IF((COUNTIFS(dPP,"Y",dRaw,"&gt;=0"))=0,"",(SUMIFS(dStn,dPP,"Y"))/(COUNTIFS(dPP,"Y",dStn,"&gt;=1"))),"")</f>
        <v>4.93333333333333</v>
      </c>
      <c r="G32" s="34">
        <f>IFERROR((SUMIFS(dMean,dPP,"Y"))/(COUNTIFS(dPP,"Y",dMean,"&gt;=1")),"")</f>
        <v>4.76161616161616</v>
      </c>
      <c r="H32" s="35">
        <f>IFERROR((SUMIFS(dVs,dPP,"Y"))/(COUNTIFS(dPP,"Y",dVs,"&gt;=-99")),"")</f>
        <v>-0.145696576151121</v>
      </c>
    </row>
    <row r="33">
      <c r="B33" s="31" t="inlineStr">
        <is>
          <t>Not disadvantaged</t>
        </is>
      </c>
      <c r="C33" s="33">
        <f>IFERROR((dCount-(COUNTIFS(dPP,"Y"))),"")</f>
        <v>73</v>
      </c>
      <c r="D33" s="33">
        <f>IFERROR((COUNT(dRaw)-(COUNTIFS(dPP,"Y",dRaw,"&gt;=0"))),"")</f>
        <v>70</v>
      </c>
      <c r="E33" s="36">
        <f>IFERROR(IF((COUNT(dRaw)-(COUNTIFS(dPP,"Y",dRaw,"&gt;=0")))=0,"",(SUM(dRaw)-(SUMIFS(dRaw,dPP,"Y")))/(COUNT(dRaw)-(COUNTIFS(dPP,"Y",dRaw,"&gt;=0")))/dMax),"")</f>
        <v>0.462605042016807</v>
      </c>
      <c r="F33" s="34">
        <f>IFERROR(IF((COUNT(dRaw)-(COUNTIFS(dPP,"Y",dRaw,"&gt;=0")))=0,"",(SUM(dStn)-(SUMIFS(dStn,dPP,"Y")))/(COUNT(dStn)-(COUNTIFS(dPP,"Y",dStn,"&gt;=1")))),"")</f>
        <v>5.04285714285714</v>
      </c>
      <c r="G33" s="34">
        <f>IFERROR((SUM(dMean)-(SUMIFS(dMean,dPP,"Y")))/(COUNT(dMean)-(COUNTIFS(dPP,"Y",dMean,"&gt;=1"))),"")</f>
        <v>5.06712328767123</v>
      </c>
      <c r="H33" s="35">
        <f>IFERROR((SUM(dVs)-(SUMIFS(dVs,dPP,"Y")))/(COUNT(dVs)-(COUNTIFS(dPP,"Y",dVs,"&gt;=-99"))),"")</f>
        <v>0.0667775974025979</v>
      </c>
    </row>
    <row r="34">
      <c r="B34" s="52" t="inlineStr">
        <is>
          <t>Gap: PP minus not PP</t>
        </is>
      </c>
      <c r="C34" s="53" t="n"/>
      <c r="D34" s="53" t="n"/>
      <c r="E34" s="54">
        <f>IFERROR(IF(OR($E32="",$E33=""),"",($E32-$E33)*100),"")</f>
        <v>-0.3781512605042</v>
      </c>
      <c r="F34" s="55">
        <f>IFERROR(IF(OR($F32="",$F33=""),"",$F32-$F33),"")</f>
        <v>-0.109523809523809</v>
      </c>
      <c r="G34" s="55">
        <f>IFERROR(IF(OR($G32="",$G33=""),"",$G32-$G33),"")</f>
        <v>-0.305507126055073</v>
      </c>
      <c r="H34" s="55">
        <f>IFERROR(IF(OR($H32="",$H33=""),"",$H32-$H33),"")</f>
        <v>-0.212474173553719</v>
      </c>
    </row>
    <row r="35">
      <c r="B35" s="31" t="inlineStr">
        <is>
          <t>SEN support or EHCP (K, E)</t>
        </is>
      </c>
      <c r="C35" s="33">
        <f>IFERROR((COUNTIFS(dSEN,"K")+COUNTIFS(dSEN,"E")),"")</f>
        <v>19</v>
      </c>
      <c r="D35" s="33">
        <f>IFERROR((COUNTIFS(dSEN,"K",dRaw,"&gt;=0")+COUNTIFS(dSEN,"E",dRaw,"&gt;=0")),"")</f>
        <v>18</v>
      </c>
      <c r="E35" s="36">
        <f>IFERROR(IF((COUNTIFS(dSEN,"K",dRaw,"&gt;=0")+COUNTIFS(dSEN,"E",dRaw,"&gt;=0"))=0,"",(SUMIFS(dRaw,dSEN,"K")+SUMIFS(dRaw,dSEN,"E"))/(COUNTIFS(dSEN,"K",dRaw,"&gt;=0")+COUNTIFS(dSEN,"E",dRaw,"&gt;=0"))/dMax),"")</f>
        <v>0.36437908496732</v>
      </c>
      <c r="F35" s="34">
        <f>IFERROR(IF((COUNTIFS(dSEN,"K",dRaw,"&gt;=0")+COUNTIFS(dSEN,"E",dRaw,"&gt;=0"))=0,"",(SUMIFS(dStn,dSEN,"K")+SUMIFS(dStn,dSEN,"E"))/(COUNTIFS(dSEN,"K",dStn,"&gt;=1")+COUNTIFS(dSEN,"E",dStn,"&gt;=1"))),"")</f>
        <v>4.27777777777778</v>
      </c>
      <c r="G35" s="34">
        <f>IFERROR((SUMIFS(dMean,dSEN,"K")+SUMIFS(dMean,dSEN,"E"))/(COUNTIFS(dSEN,"K",dMean,"&gt;=1")+COUNTIFS(dSEN,"E",dMean,"&gt;=1")),"")</f>
        <v>4.11052631578947</v>
      </c>
      <c r="H35" s="35">
        <f>IFERROR((SUMIFS(dVs,dSEN,"K")+SUMIFS(dVs,dSEN,"E"))/(COUNTIFS(dSEN,"K",dVs,"&gt;=-99")+COUNTIFS(dSEN,"E",dVs,"&gt;=-99")),"")</f>
        <v>-0.545059523809523</v>
      </c>
    </row>
    <row r="36">
      <c r="B36" s="31" t="inlineStr">
        <is>
          <t>No SEN support (N or blank)</t>
        </is>
      </c>
      <c r="C36" s="33">
        <f>IFERROR((dCount-(COUNTIFS(dSEN,"K")+COUNTIFS(dSEN,"E"))),"")</f>
        <v>87</v>
      </c>
      <c r="D36" s="33">
        <f>IFERROR((COUNT(dRaw)-(COUNTIFS(dSEN,"K",dRaw,"&gt;=0")+COUNTIFS(dSEN,"E",dRaw,"&gt;=0"))),"")</f>
        <v>82</v>
      </c>
      <c r="E36" s="36">
        <f>IFERROR(IF((COUNT(dRaw)-(COUNTIFS(dSEN,"K",dRaw,"&gt;=0")+COUNTIFS(dSEN,"E",dRaw,"&gt;=0")))=0,"",(SUM(dRaw)-(SUMIFS(dRaw,dSEN,"K")+SUMIFS(dRaw,dSEN,"E")))/(COUNT(dRaw)-(COUNTIFS(dSEN,"K",dRaw,"&gt;=0")+COUNTIFS(dSEN,"E",dRaw,"&gt;=0")))/dMax),"")</f>
        <v>0.482783357245337</v>
      </c>
      <c r="F36" s="34">
        <f>IFERROR(IF((COUNT(dRaw)-(COUNTIFS(dSEN,"K",dRaw,"&gt;=0")+COUNTIFS(dSEN,"E",dRaw,"&gt;=0")))=0,"",(SUM(dStn)-(SUMIFS(dStn,dSEN,"K")+SUMIFS(dStn,dSEN,"E")))/(COUNT(dStn)-(COUNTIFS(dSEN,"K",dStn,"&gt;=1")+COUNTIFS(dSEN,"E",dStn,"&gt;=1")))),"")</f>
        <v>5.17073170731707</v>
      </c>
      <c r="G36" s="34">
        <f>IFERROR((SUM(dMean)-(SUMIFS(dMean,dSEN,"K")+SUMIFS(dMean,dSEN,"E")))/(COUNT(dMean)-(COUNTIFS(dSEN,"K",dMean,"&gt;=1")+COUNTIFS(dSEN,"E",dMean,"&gt;=1"))),"")</f>
        <v>5.16015325670498</v>
      </c>
      <c r="H36" s="35">
        <f>IFERROR((SUM(dVs)-(SUMIFS(dVs,dSEN,"K")+SUMIFS(dVs,dSEN,"E")))/(COUNT(dVs)-(COUNTIFS(dSEN,"K",dVs,"&gt;=-99")+COUNTIFS(dSEN,"E",dVs,"&gt;=-99"))),"")</f>
        <v>0.112770935960592</v>
      </c>
    </row>
    <row r="37">
      <c r="B37" s="52" t="inlineStr">
        <is>
          <t>Gap: SEN minus no SEN</t>
        </is>
      </c>
      <c r="C37" s="53" t="n"/>
      <c r="D37" s="53" t="n"/>
      <c r="E37" s="54">
        <f>IFERROR(IF(OR($E35="",$E36=""),"",($E35-$E36)*100),"")</f>
        <v>-11.8404272278017</v>
      </c>
      <c r="F37" s="55">
        <f>IFERROR(IF(OR($F35="",$F36=""),"",$F35-$F36),"")</f>
        <v>-0.892953929539296</v>
      </c>
      <c r="G37" s="55">
        <f>IFERROR(IF(OR($G35="",$G36=""),"",$G35-$G36),"")</f>
        <v>-1.04962694091551</v>
      </c>
      <c r="H37" s="55">
        <f>IFERROR(IF(OR($H35="",$H36=""),"",$H35-$H36),"")</f>
        <v>-0.657830459770115</v>
      </c>
    </row>
    <row r="38">
      <c r="B38" s="31" t="inlineStr">
        <is>
          <t>Female</t>
        </is>
      </c>
      <c r="C38" s="33">
        <f>IFERROR((COUNTIFS(dSex,"F")),"")</f>
        <v>54</v>
      </c>
      <c r="D38" s="33">
        <f>IFERROR((COUNTIFS(dSex,"F",dRaw,"&gt;=0")),"")</f>
        <v>52</v>
      </c>
      <c r="E38" s="36">
        <f>IFERROR(IF((COUNTIFS(dSex,"F",dRaw,"&gt;=0"))=0,"",(SUMIFS(dRaw,dSex,"F"))/(COUNTIFS(dSex,"F",dRaw,"&gt;=0"))/dMax),"")</f>
        <v>0.455316742081448</v>
      </c>
      <c r="F38" s="34">
        <f>IFERROR(IF((COUNTIFS(dSex,"F",dRaw,"&gt;=0"))=0,"",(SUMIFS(dStn,dSex,"F"))/(COUNTIFS(dSex,"F",dStn,"&gt;=1"))),"")</f>
        <v>4.92307692307692</v>
      </c>
      <c r="G38" s="34">
        <f>IFERROR((SUMIFS(dMean,dSex,"F"))/(COUNTIFS(dSex,"F",dMean,"&gt;=1")),"")</f>
        <v>4.91728395061729</v>
      </c>
      <c r="H38" s="35">
        <f>IFERROR((SUMIFS(dVs,dSex,"F"))/(COUNTIFS(dSex,"F",dVs,"&gt;=-99")),"")</f>
        <v>-0.0770179974346636</v>
      </c>
    </row>
    <row r="39">
      <c r="B39" s="31" t="inlineStr">
        <is>
          <t>Male</t>
        </is>
      </c>
      <c r="C39" s="33">
        <f>IFERROR((COUNTIFS(dSex,"M")),"")</f>
        <v>52</v>
      </c>
      <c r="D39" s="33">
        <f>IFERROR((COUNTIFS(dSex,"M",dRaw,"&gt;=0")),"")</f>
        <v>48</v>
      </c>
      <c r="E39" s="36">
        <f>IFERROR(IF((COUNTIFS(dSex,"M",dRaw,"&gt;=0"))=0,"",(SUMIFS(dRaw,dSex,"M"))/(COUNTIFS(dSex,"M",dRaw,"&gt;=0"))/dMax),"")</f>
        <v>0.468137254901961</v>
      </c>
      <c r="F39" s="34">
        <f>IFERROR(IF((COUNTIFS(dSex,"M",dRaw,"&gt;=0"))=0,"",(SUMIFS(dStn,dSex,"M"))/(COUNTIFS(dSex,"M",dStn,"&gt;=1"))),"")</f>
        <v>5.10416666666667</v>
      </c>
      <c r="G39" s="34">
        <f>IFERROR((SUMIFS(dMean,dSex,"M"))/(COUNTIFS(dSex,"M",dMean,"&gt;=1")),"")</f>
        <v>5.02884615384615</v>
      </c>
      <c r="H39" s="35">
        <f>IFERROR((SUMIFS(dVs,dSex,"M"))/(COUNTIFS(dSex,"M",dVs,"&gt;=-99")),"")</f>
        <v>0.0815484678719978</v>
      </c>
    </row>
    <row r="40">
      <c r="B40" s="52" t="inlineStr">
        <is>
          <t>Gap: female minus male</t>
        </is>
      </c>
      <c r="C40" s="53" t="n"/>
      <c r="D40" s="53" t="n"/>
      <c r="E40" s="54">
        <f>IFERROR(IF(OR($E38="",$E39=""),"",($E38-$E39)*100),"")</f>
        <v>-1.28205128205128</v>
      </c>
      <c r="F40" s="55">
        <f>IFERROR(IF(OR($F38="",$F39=""),"",$F38-$F39),"")</f>
        <v>-0.181089743589744</v>
      </c>
      <c r="G40" s="55">
        <f>IFERROR(IF(OR($G38="",$G39=""),"",$G38-$G39),"")</f>
        <v>-0.111562203228869</v>
      </c>
      <c r="H40" s="55">
        <f>IFERROR(IF(OR($H38="",$H39=""),"",$H38-$H39),"")</f>
        <v>-0.158566465306661</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11S/Sc1</v>
      </c>
      <c r="I45" s="7" t="str">
        <f>IF(Calc!Y4="","",Calc!Y4)</f>
        <v>11S/Sc2</v>
      </c>
      <c r="J45" s="7" t="str">
        <f>IF(Calc!Y5="","",Calc!Y5)</f>
        <v>11S/Sc3</v>
      </c>
      <c r="K45" s="7" t="str">
        <f>IF(Calc!Y6="","",Calc!Y6)</f>
        <v>11S/Sc4</v>
      </c>
      <c r="L45" s="7" t="str">
        <f>IF(Calc!Y7="","",Calc!Y7)</f>
        <v>11S/Sc5</v>
      </c>
      <c r="M45" s="7" t="str">
        <f>IF(Calc!Y8="","",Calc!Y8)</f>
        <v>Science Support</v>
      </c>
      <c r="N45" s="7" t="str">
        <f>IF(Calc!Y9="","",Calc!Y9)</f>
        <v/>
      </c>
      <c r="O45" s="7" t="str">
        <f>IF(Calc!Y10="","",Calc!Y10)</f>
        <v/>
      </c>
    </row>
    <row r="46">
      <c r="B46" s="31" t="str">
        <f>Calc!AA3</f>
        <v>4B05 - Homeostasis</v>
      </c>
      <c r="C46" s="57">
        <f>Calc!AC3</f>
        <v>46291.0</v>
      </c>
      <c r="D46" s="33">
        <f>Calc!AB3</f>
        <v>40</v>
      </c>
      <c r="E46" s="33">
        <f>IF($B46="","",IFERROR(ROWS(INDEX(dData,0,MATCH($B46&amp;CHAR(10)&amp;"Raw Score",dHdr,0)))*0+COUNT(INDEX(dData,0,MATCH($B46&amp;CHAR(10)&amp;"Raw Score",dHdr,0))),""))</f>
        <v>103</v>
      </c>
      <c r="F46" s="36">
        <f>IF($B46="","",IFERROR(($E46+COUNTIF(INDEX(dData,0,MATCH($B46&amp;CHAR(10)&amp;"Raw Score",dHdr,0)),"A"))/dCount,""))</f>
        <v>1</v>
      </c>
      <c r="G46" s="58">
        <f>IF($B46="","",IFERROR(CHOOSE(MATCH(SelMeasure,MeasureList,0),AVERAGE(INDEX(dData,0,MATCH($B46&amp;CHAR(10)&amp;"Raw Score",dHdr,0)))/$D46,AVERAGE(INDEX(dData,0,MATCH($B46&amp;CHAR(10)&amp;"Stanine",dHdr,0))),$F46),""))</f>
        <v>0.518932038834951</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0.728703703703704</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0.554</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0.488095238095238</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0.355769230769231</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0.323076923076923</v>
      </c>
      <c r="M46" s="36">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0.2125</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4C09 - Organic Chemistry</v>
      </c>
      <c r="C47" s="57">
        <f>Calc!AC4</f>
        <v>46305.0</v>
      </c>
      <c r="D47" s="33">
        <f>Calc!AB4</f>
        <v>35</v>
      </c>
      <c r="E47" s="33">
        <f>IF($B47="","",IFERROR(ROWS(INDEX(dData,0,MATCH($B47&amp;CHAR(10)&amp;"Raw Score",dHdr,0)))*0+COUNT(INDEX(dData,0,MATCH($B47&amp;CHAR(10)&amp;"Raw Score",dHdr,0))),""))</f>
        <v>97</v>
      </c>
      <c r="F47" s="36">
        <f>IF($B47="","",IFERROR(($E47+COUNTIF(INDEX(dData,0,MATCH($B47&amp;CHAR(10)&amp;"Raw Score",dHdr,0)),"A"))/dCount,""))</f>
        <v>1</v>
      </c>
      <c r="G47" s="58">
        <f>IF($B47="","",IFERROR(CHOOSE(MATCH(SelMeasure,MeasureList,0),AVERAGE(INDEX(dData,0,MATCH($B47&amp;CHAR(10)&amp;"Raw Score",dHdr,0)))/$D47,AVERAGE(INDEX(dData,0,MATCH($B47&amp;CHAR(10)&amp;"Stanine",dHdr,0))),$F47),""))</f>
        <v>0.462150220913108</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0.626373626373626</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0.510989010989011</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0.446616541353383</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0.295238095238095</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0.262857142857143</v>
      </c>
      <c r="M47" s="36">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0.15</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4P06 - Waves</v>
      </c>
      <c r="C48" s="57">
        <f>Calc!AC5</f>
        <v>46319.0</v>
      </c>
      <c r="D48" s="33">
        <f>Calc!AB5</f>
        <v>38</v>
      </c>
      <c r="E48" s="33">
        <f>IF($B48="","",IFERROR(ROWS(INDEX(dData,0,MATCH($B48&amp;CHAR(10)&amp;"Raw Score",dHdr,0)))*0+COUNT(INDEX(dData,0,MATCH($B48&amp;CHAR(10)&amp;"Raw Score",dHdr,0))),""))</f>
        <v>106</v>
      </c>
      <c r="F48" s="36">
        <f>IF($B48="","",IFERROR(($E48+COUNTIF(INDEX(dData,0,MATCH($B48&amp;CHAR(10)&amp;"Raw Score",dHdr,0)),"A"))/dCount,""))</f>
        <v>1</v>
      </c>
      <c r="G48" s="58">
        <f>IF($B48="","",IFERROR(CHOOSE(MATCH(SelMeasure,MeasureList,0),AVERAGE(INDEX(dData,0,MATCH($B48&amp;CHAR(10)&amp;"Raw Score",dHdr,0)))/$D48,AVERAGE(INDEX(dData,0,MATCH($B48&amp;CHAR(10)&amp;"Stanine",dHdr,0))),$F48),""))</f>
        <v>0.553128103277061</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0.759398496240602</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0.603238866396761</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0.526315789473684</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0.362348178137652</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0.3582995951417</v>
      </c>
      <c r="M48" s="36">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0.252631578947368</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4B06 - Inheritance</v>
      </c>
      <c r="C49" s="57">
        <f>Calc!AC6</f>
        <v>46333.0</v>
      </c>
      <c r="D49" s="33">
        <f>Calc!AB6</f>
        <v>42</v>
      </c>
      <c r="E49" s="33">
        <f>IF($B49="","",IFERROR(ROWS(INDEX(dData,0,MATCH($B49&amp;CHAR(10)&amp;"Raw Score",dHdr,0)))*0+COUNT(INDEX(dData,0,MATCH($B49&amp;CHAR(10)&amp;"Raw Score",dHdr,0))),""))</f>
        <v>102</v>
      </c>
      <c r="F49" s="36">
        <f>IF($B49="","",IFERROR(($E49+COUNTIF(INDEX(dData,0,MATCH($B49&amp;CHAR(10)&amp;"Raw Score",dHdr,0)),"A"))/dCount,""))</f>
        <v>1</v>
      </c>
      <c r="G49" s="58">
        <f>IF($B49="","",IFERROR(CHOOSE(MATCH(SelMeasure,MeasureList,0),AVERAGE(INDEX(dData,0,MATCH($B49&amp;CHAR(10)&amp;"Raw Score",dHdr,0)))/$D49,AVERAGE(INDEX(dData,0,MATCH($B49&amp;CHAR(10)&amp;"Stanine",dHdr,0))),$F49),""))</f>
        <v>0.448879551820728</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0.665784832451499</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0.4824016563147</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0.410430839002268</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0.276556776556777</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0.282051282051282</v>
      </c>
      <c r="M49" s="36">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0.166666666666667</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4C10 - Chemical Analysis</v>
      </c>
      <c r="C50" s="57">
        <f>Calc!AC7</f>
        <v>46347.0</v>
      </c>
      <c r="D50" s="33">
        <f>Calc!AB7</f>
        <v>30</v>
      </c>
      <c r="E50" s="33">
        <f>IF($B50="","",IFERROR(ROWS(INDEX(dData,0,MATCH($B50&amp;CHAR(10)&amp;"Raw Score",dHdr,0)))*0+COUNT(INDEX(dData,0,MATCH($B50&amp;CHAR(10)&amp;"Raw Score",dHdr,0))),""))</f>
        <v>105</v>
      </c>
      <c r="F50" s="36">
        <f>IF($B50="","",IFERROR(($E50+COUNTIF(INDEX(dData,0,MATCH($B50&amp;CHAR(10)&amp;"Raw Score",dHdr,0)),"A"))/dCount,""))</f>
        <v>1</v>
      </c>
      <c r="G50" s="58">
        <f>IF($B50="","",IFERROR(CHOOSE(MATCH(SelMeasure,MeasureList,0),AVERAGE(INDEX(dData,0,MATCH($B50&amp;CHAR(10)&amp;"Raw Score",dHdr,0)))/$D50,AVERAGE(INDEX(dData,0,MATCH($B50&amp;CHAR(10)&amp;"Stanine",dHdr,0))),$F50),""))</f>
        <v>0.480634920634921</v>
      </c>
      <c r="H50" s="36">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0.664285714285714</v>
      </c>
      <c r="I50" s="36">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0.526923076923077</v>
      </c>
      <c r="J50" s="36">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0.461666666666667</v>
      </c>
      <c r="K50" s="36">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0.315384615384615</v>
      </c>
      <c r="L50" s="36">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0.31025641025641</v>
      </c>
      <c r="M50" s="36">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0.16</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4P07 - Magnetism</v>
      </c>
      <c r="C51" s="57">
        <f>Calc!AC8</f>
        <v>46361.0</v>
      </c>
      <c r="D51" s="33">
        <f>Calc!AB8</f>
        <v>34</v>
      </c>
      <c r="E51" s="33">
        <f>IF($B51="","",IFERROR(ROWS(INDEX(dData,0,MATCH($B51&amp;CHAR(10)&amp;"Raw Score",dHdr,0)))*0+COUNT(INDEX(dData,0,MATCH($B51&amp;CHAR(10)&amp;"Raw Score",dHdr,0))),""))</f>
        <v>100</v>
      </c>
      <c r="F51" s="36">
        <f>IF($B51="","",IFERROR(($E51+COUNTIF(INDEX(dData,0,MATCH($B51&amp;CHAR(10)&amp;"Raw Score",dHdr,0)),"A"))/dCount,""))</f>
        <v>1</v>
      </c>
      <c r="G51" s="58">
        <f>IF($B51="","",IFERROR(CHOOSE(MATCH(SelMeasure,MeasureList,0),AVERAGE(INDEX(dData,0,MATCH($B51&amp;CHAR(10)&amp;"Raw Score",dHdr,0)))/$D51,AVERAGE(INDEX(dData,0,MATCH($B51&amp;CHAR(10)&amp;"Stanine",dHdr,0))),$F51),""))</f>
        <v>0.461470588235294</v>
      </c>
      <c r="H51" s="36">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0.654684095860566</v>
      </c>
      <c r="I51" s="36">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0.473039215686275</v>
      </c>
      <c r="J51" s="36">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0.436764705882353</v>
      </c>
      <c r="K51" s="36">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0.343137254901961</v>
      </c>
      <c r="L51" s="36">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0.276960784313725</v>
      </c>
      <c r="M51" s="36">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0.188235294117647</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11</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9 students flagged in Year 11.</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Price, Oliver</v>
      </c>
      <c r="C9" s="32" t="str">
        <f>IF(Calc!$BL$3="","",INDEX(Calc!$BC$70:$BC$669,Calc!$BL$3))</f>
        <v>11S/Sc2</v>
      </c>
      <c r="D9" s="33">
        <f>IF(Calc!$BL$3="","",INDEX(Calc!$BD$70:$BD$669,Calc!$BL$3))</f>
        <v>8</v>
      </c>
      <c r="E9" s="33">
        <f>IF(Calc!$BL$3="","",INDEX(Calc!$BE$70:$BE$669,Calc!$BL$3))</f>
        <v>6</v>
      </c>
      <c r="F9" s="34">
        <f>IF(Calc!$BL$3="","",INDEX(Calc!$BF$70:$BF$669,Calc!$BL$3))</f>
        <v>4.83333333333333</v>
      </c>
      <c r="G9" s="35">
        <f>IF(Calc!$BL$3="","",INDEX(Calc!$BG$70:$BG$669,Calc!$BL$3))</f>
        <v>-2.36595598845599</v>
      </c>
      <c r="H9" s="33">
        <f>IF(Calc!$BL$3="","",INDEX(Calc!$BH$70:$BH$669,Calc!$BL$3))</f>
        <v>6</v>
      </c>
      <c r="I9" s="32" t="str">
        <f>IF(Calc!$BL$3="","",INDEX(Calc!$BI$70:$BI$669,Calc!$BL$3))</f>
        <v>Below expected for KS2</v>
      </c>
    </row>
    <row r="10">
      <c r="B10" s="31" t="str">
        <f>IF(Calc!$BL$4="","",INDEX(Calc!$BA$70:$BA$669,Calc!$BL$4)&amp;", "&amp;INDEX(Calc!$BB$70:$BB$669,Calc!$BL$4))</f>
        <v>Morgan, Zofia</v>
      </c>
      <c r="C10" s="32" t="str">
        <f>IF(Calc!$BL$4="","",INDEX(Calc!$BC$70:$BC$669,Calc!$BL$4))</f>
        <v>11S/Sc5</v>
      </c>
      <c r="D10" s="33">
        <f>IF(Calc!$BL$4="","",INDEX(Calc!$BD$70:$BD$669,Calc!$BL$4))</f>
        <v>3</v>
      </c>
      <c r="E10" s="33">
        <f>IF(Calc!$BL$4="","",INDEX(Calc!$BE$70:$BE$669,Calc!$BL$4))</f>
        <v>5</v>
      </c>
      <c r="F10" s="34">
        <f>IF(Calc!$BL$4="","",INDEX(Calc!$BF$70:$BF$669,Calc!$BL$4))</f>
        <v>1.6</v>
      </c>
      <c r="G10" s="35">
        <f>IF(Calc!$BL$4="","",INDEX(Calc!$BG$70:$BG$669,Calc!$BL$4))</f>
        <v>-1.85497113997114</v>
      </c>
      <c r="H10" s="33">
        <f>IF(Calc!$BL$4="","",INDEX(Calc!$BH$70:$BH$669,Calc!$BL$4))</f>
        <v>1</v>
      </c>
      <c r="I10" s="32" t="str">
        <f>IF(Calc!$BL$4="","",INDEX(Calc!$BI$70:$BI$669,Calc!$BL$4))</f>
        <v>Below expected for KS2</v>
      </c>
    </row>
    <row r="11">
      <c r="B11" s="31" t="str">
        <f>IF(Calc!$BL$5="","",INDEX(Calc!$BA$70:$BA$669,Calc!$BL$5)&amp;", "&amp;INDEX(Calc!$BB$70:$BB$669,Calc!$BL$5))</f>
        <v>Murphy, Ella</v>
      </c>
      <c r="C11" s="32" t="str">
        <f>IF(Calc!$BL$5="","",INDEX(Calc!$BC$70:$BC$669,Calc!$BL$5))</f>
        <v>11S/Sc2</v>
      </c>
      <c r="D11" s="33">
        <f>IF(Calc!$BL$5="","",INDEX(Calc!$BD$70:$BD$669,Calc!$BL$5))</f>
        <v>6</v>
      </c>
      <c r="E11" s="33">
        <f>IF(Calc!$BL$5="","",INDEX(Calc!$BE$70:$BE$669,Calc!$BL$5))</f>
        <v>5</v>
      </c>
      <c r="F11" s="34">
        <f>IF(Calc!$BL$5="","",INDEX(Calc!$BF$70:$BF$669,Calc!$BL$5))</f>
        <v>4</v>
      </c>
      <c r="G11" s="35">
        <f>IF(Calc!$BL$5="","",INDEX(Calc!$BG$70:$BG$669,Calc!$BL$5))</f>
        <v>-1.70156204906205</v>
      </c>
      <c r="H11" s="33">
        <f>IF(Calc!$BL$5="","",INDEX(Calc!$BH$70:$BH$669,Calc!$BL$5))</f>
        <v>4</v>
      </c>
      <c r="I11" s="32" t="str">
        <f>IF(Calc!$BL$5="","",INDEX(Calc!$BI$70:$BI$669,Calc!$BL$5))</f>
        <v>Below expected for KS2</v>
      </c>
    </row>
    <row r="12">
      <c r="B12" s="31" t="str">
        <f>IF(Calc!$BL$6="","",INDEX(Calc!$BA$70:$BA$669,Calc!$BL$6)&amp;", "&amp;INDEX(Calc!$BB$70:$BB$669,Calc!$BL$6))</f>
        <v>Begum, Freya</v>
      </c>
      <c r="C12" s="32" t="str">
        <f>IF(Calc!$BL$6="","",INDEX(Calc!$BC$70:$BC$669,Calc!$BL$6))</f>
        <v>11S/Sc5</v>
      </c>
      <c r="D12" s="33">
        <f>IF(Calc!$BL$6="","",INDEX(Calc!$BD$70:$BD$669,Calc!$BL$6))</f>
        <v>3</v>
      </c>
      <c r="E12" s="33">
        <f>IF(Calc!$BL$6="","",INDEX(Calc!$BE$70:$BE$669,Calc!$BL$6))</f>
        <v>6</v>
      </c>
      <c r="F12" s="34">
        <f>IF(Calc!$BL$6="","",INDEX(Calc!$BF$70:$BF$669,Calc!$BL$6))</f>
        <v>1.83333333333333</v>
      </c>
      <c r="G12" s="35">
        <f>IF(Calc!$BL$6="","",INDEX(Calc!$BG$70:$BG$669,Calc!$BL$6))</f>
        <v>-1.62163780663781</v>
      </c>
      <c r="H12" s="33">
        <f>IF(Calc!$BL$6="","",INDEX(Calc!$BH$70:$BH$669,Calc!$BL$6))</f>
        <v>2</v>
      </c>
      <c r="I12" s="32" t="str">
        <f>IF(Calc!$BL$6="","",INDEX(Calc!$BI$70:$BI$669,Calc!$BL$6))</f>
        <v>Below expected for KS2</v>
      </c>
    </row>
    <row r="13">
      <c r="B13" s="31" t="str">
        <f>IF(Calc!$BL$7="","",INDEX(Calc!$BA$70:$BA$669,Calc!$BL$7)&amp;", "&amp;INDEX(Calc!$BB$70:$BB$669,Calc!$BL$7))</f>
        <v>Morgan, Amara</v>
      </c>
      <c r="C13" s="32" t="str">
        <f>IF(Calc!$BL$7="","",INDEX(Calc!$BC$70:$BC$669,Calc!$BL$7))</f>
        <v>11S/Sc4</v>
      </c>
      <c r="D13" s="33">
        <f>IF(Calc!$BL$7="","",INDEX(Calc!$BD$70:$BD$669,Calc!$BL$7))</f>
        <v>5</v>
      </c>
      <c r="E13" s="33">
        <f>IF(Calc!$BL$7="","",INDEX(Calc!$BE$70:$BE$669,Calc!$BL$7))</f>
        <v>6</v>
      </c>
      <c r="F13" s="34">
        <f>IF(Calc!$BL$7="","",INDEX(Calc!$BF$70:$BF$669,Calc!$BL$7))</f>
        <v>3.33333333333333</v>
      </c>
      <c r="G13" s="35">
        <f>IF(Calc!$BL$7="","",INDEX(Calc!$BG$70:$BG$669,Calc!$BL$7))</f>
        <v>-1.61936507936508</v>
      </c>
      <c r="H13" s="33">
        <f>IF(Calc!$BL$7="","",INDEX(Calc!$BH$70:$BH$669,Calc!$BL$7))</f>
        <v>4</v>
      </c>
      <c r="I13" s="32" t="str">
        <f>IF(Calc!$BL$7="","",INDEX(Calc!$BI$70:$BI$669,Calc!$BL$7))</f>
        <v>Below expected for KS2</v>
      </c>
    </row>
    <row r="14">
      <c r="B14" s="31" t="str">
        <f>IF(Calc!$BL$8="","",INDEX(Calc!$BA$70:$BA$669,Calc!$BL$8)&amp;", "&amp;INDEX(Calc!$BB$70:$BB$669,Calc!$BL$8))</f>
        <v>Kelly, Niamh</v>
      </c>
      <c r="C14" s="32" t="str">
        <f>IF(Calc!$BL$8="","",INDEX(Calc!$BC$70:$BC$669,Calc!$BL$8))</f>
        <v>11S/Sc3</v>
      </c>
      <c r="D14" s="33">
        <f>IF(Calc!$BL$8="","",INDEX(Calc!$BD$70:$BD$669,Calc!$BL$8))</f>
        <v>8</v>
      </c>
      <c r="E14" s="33">
        <f>IF(Calc!$BL$8="","",INDEX(Calc!$BE$70:$BE$669,Calc!$BL$8))</f>
        <v>5</v>
      </c>
      <c r="F14" s="34">
        <f>IF(Calc!$BL$8="","",INDEX(Calc!$BF$70:$BF$669,Calc!$BL$8))</f>
        <v>5.6</v>
      </c>
      <c r="G14" s="35">
        <f>IF(Calc!$BL$8="","",INDEX(Calc!$BG$70:$BG$669,Calc!$BL$8))</f>
        <v>-1.59928932178932</v>
      </c>
      <c r="H14" s="33" t="str">
        <f>IF(Calc!$BL$8="","",INDEX(Calc!$BH$70:$BH$669,Calc!$BL$8))</f>
        <v/>
      </c>
      <c r="I14" s="32" t="str">
        <f>IF(Calc!$BL$8="","",INDEX(Calc!$BI$70:$BI$669,Calc!$BL$8))</f>
        <v>Below expected for KS2</v>
      </c>
    </row>
    <row r="15">
      <c r="B15" s="31" t="str">
        <f>IF(Calc!$BL$9="","",INDEX(Calc!$BA$70:$BA$669,Calc!$BL$9)&amp;", "&amp;INDEX(Calc!$BB$70:$BB$669,Calc!$BL$9))</f>
        <v>Williams, Amelia</v>
      </c>
      <c r="C15" s="32" t="str">
        <f>IF(Calc!$BL$9="","",INDEX(Calc!$BC$70:$BC$669,Calc!$BL$9))</f>
        <v>11S/Sc5</v>
      </c>
      <c r="D15" s="33">
        <f>IF(Calc!$BL$9="","",INDEX(Calc!$BD$70:$BD$669,Calc!$BL$9))</f>
        <v>4</v>
      </c>
      <c r="E15" s="33">
        <f>IF(Calc!$BL$9="","",INDEX(Calc!$BE$70:$BE$669,Calc!$BL$9))</f>
        <v>6</v>
      </c>
      <c r="F15" s="34">
        <f>IF(Calc!$BL$9="","",INDEX(Calc!$BF$70:$BF$669,Calc!$BL$9))</f>
        <v>2.66666666666667</v>
      </c>
      <c r="G15" s="35">
        <f>IF(Calc!$BL$9="","",INDEX(Calc!$BG$70:$BG$669,Calc!$BL$9))</f>
        <v>-1.53716810966811</v>
      </c>
      <c r="H15" s="33">
        <f>IF(Calc!$BL$9="","",INDEX(Calc!$BH$70:$BH$669,Calc!$BL$9))</f>
        <v>3</v>
      </c>
      <c r="I15" s="32" t="str">
        <f>IF(Calc!$BL$9="","",INDEX(Calc!$BI$70:$BI$669,Calc!$BL$9))</f>
        <v>Below expected for KS2</v>
      </c>
    </row>
    <row r="16">
      <c r="B16" s="31" t="str">
        <f>IF(Calc!$BL$10="","",INDEX(Calc!$BA$70:$BA$669,Calc!$BL$10)&amp;", "&amp;INDEX(Calc!$BB$70:$BB$669,Calc!$BL$10))</f>
        <v>Kelly, Jacob</v>
      </c>
      <c r="C16" s="32" t="str">
        <f>IF(Calc!$BL$10="","",INDEX(Calc!$BC$70:$BC$669,Calc!$BL$10))</f>
        <v>11S/Sc2</v>
      </c>
      <c r="D16" s="33">
        <f>IF(Calc!$BL$10="","",INDEX(Calc!$BD$70:$BD$669,Calc!$BL$10))</f>
        <v>6</v>
      </c>
      <c r="E16" s="33">
        <f>IF(Calc!$BL$10="","",INDEX(Calc!$BE$70:$BE$669,Calc!$BL$10))</f>
        <v>6</v>
      </c>
      <c r="F16" s="34">
        <f>IF(Calc!$BL$10="","",INDEX(Calc!$BF$70:$BF$669,Calc!$BL$10))</f>
        <v>4.16666666666667</v>
      </c>
      <c r="G16" s="35">
        <f>IF(Calc!$BL$10="","",INDEX(Calc!$BG$70:$BG$669,Calc!$BL$10))</f>
        <v>-1.53489538239538</v>
      </c>
      <c r="H16" s="33">
        <f>IF(Calc!$BL$10="","",INDEX(Calc!$BH$70:$BH$669,Calc!$BL$10))</f>
        <v>5</v>
      </c>
      <c r="I16" s="32" t="str">
        <f>IF(Calc!$BL$10="","",INDEX(Calc!$BI$70:$BI$669,Calc!$BL$10))</f>
        <v>Below expected for KS2</v>
      </c>
    </row>
    <row r="17">
      <c r="B17" s="31" t="str">
        <f>IF(Calc!$BL$11="","",INDEX(Calc!$BA$70:$BA$669,Calc!$BL$11)&amp;", "&amp;INDEX(Calc!$BB$70:$BB$669,Calc!$BL$11))</f>
        <v>Williams, Sophie</v>
      </c>
      <c r="C17" s="32" t="str">
        <f>IF(Calc!$BL$11="","",INDEX(Calc!$BC$70:$BC$669,Calc!$BL$11))</f>
        <v>11S/Sc2</v>
      </c>
      <c r="D17" s="33">
        <f>IF(Calc!$BL$11="","",INDEX(Calc!$BD$70:$BD$669,Calc!$BL$11))</f>
        <v>8</v>
      </c>
      <c r="E17" s="33">
        <f>IF(Calc!$BL$11="","",INDEX(Calc!$BE$70:$BE$669,Calc!$BL$11))</f>
        <v>6</v>
      </c>
      <c r="F17" s="34">
        <f>IF(Calc!$BL$11="","",INDEX(Calc!$BF$70:$BF$669,Calc!$BL$11))</f>
        <v>5.66666666666667</v>
      </c>
      <c r="G17" s="35">
        <f>IF(Calc!$BL$11="","",INDEX(Calc!$BG$70:$BG$669,Calc!$BL$11))</f>
        <v>-1.53262265512265</v>
      </c>
      <c r="H17" s="33">
        <f>IF(Calc!$BL$11="","",INDEX(Calc!$BH$70:$BH$669,Calc!$BL$11))</f>
        <v>4</v>
      </c>
      <c r="I17" s="32" t="str">
        <f>IF(Calc!$BL$11="","",INDEX(Calc!$BI$70:$BI$669,Calc!$BL$11))</f>
        <v>Below expected for KS2</v>
      </c>
    </row>
    <row r="18">
      <c r="B18" s="31" t="str">
        <f>IF(Calc!$BL$12="","",INDEX(Calc!$BA$70:$BA$669,Calc!$BL$12)&amp;", "&amp;INDEX(Calc!$BB$70:$BB$669,Calc!$BL$12))</f>
        <v/>
      </c>
      <c r="C18" s="32" t="str">
        <f>IF(Calc!$BL$12="","",INDEX(Calc!$BC$70:$BC$669,Calc!$BL$12))</f>
        <v/>
      </c>
      <c r="D18" s="33" t="str">
        <f>IF(Calc!$BL$12="","",INDEX(Calc!$BD$70:$BD$669,Calc!$BL$12))</f>
        <v/>
      </c>
      <c r="E18" s="33" t="str">
        <f>IF(Calc!$BL$12="","",INDEX(Calc!$BE$70:$BE$669,Calc!$BL$12))</f>
        <v/>
      </c>
      <c r="F18" s="34" t="str">
        <f>IF(Calc!$BL$12="","",INDEX(Calc!$BF$70:$BF$669,Calc!$BL$12))</f>
        <v/>
      </c>
      <c r="G18" s="35" t="str">
        <f>IF(Calc!$BL$12="","",INDEX(Calc!$BG$70:$BG$669,Calc!$BL$12))</f>
        <v/>
      </c>
      <c r="H18" s="33" t="str">
        <f>IF(Calc!$BL$12="","",INDEX(Calc!$BH$70:$BH$669,Calc!$BL$12))</f>
        <v/>
      </c>
      <c r="I18" s="32" t="str">
        <f>IF(Calc!$BL$12="","",INDEX(Calc!$BI$70:$BI$669,Calc!$BL$12))</f>
        <v/>
      </c>
    </row>
    <row r="19">
      <c r="B19" s="31" t="str">
        <f>IF(Calc!$BL$13="","",INDEX(Calc!$BA$70:$BA$669,Calc!$BL$13)&amp;", "&amp;INDEX(Calc!$BB$70:$BB$669,Calc!$BL$13))</f>
        <v/>
      </c>
      <c r="C19" s="32" t="str">
        <f>IF(Calc!$BL$13="","",INDEX(Calc!$BC$70:$BC$669,Calc!$BL$13))</f>
        <v/>
      </c>
      <c r="D19" s="33" t="str">
        <f>IF(Calc!$BL$13="","",INDEX(Calc!$BD$70:$BD$669,Calc!$BL$13))</f>
        <v/>
      </c>
      <c r="E19" s="33" t="str">
        <f>IF(Calc!$BL$13="","",INDEX(Calc!$BE$70:$BE$669,Calc!$BL$13))</f>
        <v/>
      </c>
      <c r="F19" s="34" t="str">
        <f>IF(Calc!$BL$13="","",INDEX(Calc!$BF$70:$BF$669,Calc!$BL$13))</f>
        <v/>
      </c>
      <c r="G19" s="35" t="str">
        <f>IF(Calc!$BL$13="","",INDEX(Calc!$BG$70:$BG$669,Calc!$BL$13))</f>
        <v/>
      </c>
      <c r="H19" s="33" t="str">
        <f>IF(Calc!$BL$13="","",INDEX(Calc!$BH$70:$BH$669,Calc!$BL$13))</f>
        <v/>
      </c>
      <c r="I19" s="32" t="str">
        <f>IF(Calc!$BL$13="","",INDEX(Calc!$BI$70:$BI$669,Calc!$BL$13))</f>
        <v/>
      </c>
    </row>
    <row r="20">
      <c r="B20" s="31" t="str">
        <f>IF(Calc!$BL$14="","",INDEX(Calc!$BA$70:$BA$669,Calc!$BL$14)&amp;", "&amp;INDEX(Calc!$BB$70:$BB$669,Calc!$BL$14))</f>
        <v/>
      </c>
      <c r="C20" s="32" t="str">
        <f>IF(Calc!$BL$14="","",INDEX(Calc!$BC$70:$BC$669,Calc!$BL$14))</f>
        <v/>
      </c>
      <c r="D20" s="33" t="str">
        <f>IF(Calc!$BL$14="","",INDEX(Calc!$BD$70:$BD$669,Calc!$BL$14))</f>
        <v/>
      </c>
      <c r="E20" s="33" t="str">
        <f>IF(Calc!$BL$14="","",INDEX(Calc!$BE$70:$BE$669,Calc!$BL$14))</f>
        <v/>
      </c>
      <c r="F20" s="34" t="str">
        <f>IF(Calc!$BL$14="","",INDEX(Calc!$BF$70:$BF$669,Calc!$BL$14))</f>
        <v/>
      </c>
      <c r="G20" s="35" t="str">
        <f>IF(Calc!$BL$14="","",INDEX(Calc!$BG$70:$BG$669,Calc!$BL$14))</f>
        <v/>
      </c>
      <c r="H20" s="33" t="str">
        <f>IF(Calc!$BL$14="","",INDEX(Calc!$BH$70:$BH$669,Calc!$BL$14))</f>
        <v/>
      </c>
      <c r="I20" s="32" t="str">
        <f>IF(Calc!$BL$14="","",INDEX(Calc!$BI$70:$BI$669,Calc!$BL$14))</f>
        <v/>
      </c>
    </row>
    <row r="21">
      <c r="B21" s="31" t="str">
        <f>IF(Calc!$BL$15="","",INDEX(Calc!$BA$70:$BA$669,Calc!$BL$15)&amp;", "&amp;INDEX(Calc!$BB$70:$BB$669,Calc!$BL$15))</f>
        <v/>
      </c>
      <c r="C21" s="32" t="str">
        <f>IF(Calc!$BL$15="","",INDEX(Calc!$BC$70:$BC$669,Calc!$BL$15))</f>
        <v/>
      </c>
      <c r="D21" s="33" t="str">
        <f>IF(Calc!$BL$15="","",INDEX(Calc!$BD$70:$BD$669,Calc!$BL$15))</f>
        <v/>
      </c>
      <c r="E21" s="33" t="str">
        <f>IF(Calc!$BL$15="","",INDEX(Calc!$BE$70:$BE$669,Calc!$BL$15))</f>
        <v/>
      </c>
      <c r="F21" s="34" t="str">
        <f>IF(Calc!$BL$15="","",INDEX(Calc!$BF$70:$BF$669,Calc!$BL$15))</f>
        <v/>
      </c>
      <c r="G21" s="35" t="str">
        <f>IF(Calc!$BL$15="","",INDEX(Calc!$BG$70:$BG$669,Calc!$BL$15))</f>
        <v/>
      </c>
      <c r="H21" s="33" t="str">
        <f>IF(Calc!$BL$15="","",INDEX(Calc!$BH$70:$BH$669,Calc!$BL$15))</f>
        <v/>
      </c>
      <c r="I21" s="32" t="str">
        <f>IF(Calc!$BL$15="","",INDEX(Calc!$BI$70:$BI$669,Calc!$BL$15))</f>
        <v/>
      </c>
    </row>
    <row r="22">
      <c r="B22" s="31" t="str">
        <f>IF(Calc!$BL$16="","",INDEX(Calc!$BA$70:$BA$669,Calc!$BL$16)&amp;", "&amp;INDEX(Calc!$BB$70:$BB$669,Calc!$BL$16))</f>
        <v/>
      </c>
      <c r="C22" s="32" t="str">
        <f>IF(Calc!$BL$16="","",INDEX(Calc!$BC$70:$BC$669,Calc!$BL$16))</f>
        <v/>
      </c>
      <c r="D22" s="33" t="str">
        <f>IF(Calc!$BL$16="","",INDEX(Calc!$BD$70:$BD$669,Calc!$BL$16))</f>
        <v/>
      </c>
      <c r="E22" s="33" t="str">
        <f>IF(Calc!$BL$16="","",INDEX(Calc!$BE$70:$BE$669,Calc!$BL$16))</f>
        <v/>
      </c>
      <c r="F22" s="34" t="str">
        <f>IF(Calc!$BL$16="","",INDEX(Calc!$BF$70:$BF$669,Calc!$BL$16))</f>
        <v/>
      </c>
      <c r="G22" s="35" t="str">
        <f>IF(Calc!$BL$16="","",INDEX(Calc!$BG$70:$BG$669,Calc!$BL$16))</f>
        <v/>
      </c>
      <c r="H22" s="33" t="str">
        <f>IF(Calc!$BL$16="","",INDEX(Calc!$BH$70:$BH$669,Calc!$BL$16))</f>
        <v/>
      </c>
      <c r="I22" s="32" t="str">
        <f>IF(Calc!$BL$16="","",INDEX(Calc!$BI$70:$BI$669,Calc!$BL$16))</f>
        <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11">
    <outlinePr summaryBelow="1" summaryRight="1"/>
    <pageSetUpPr/>
  </sheetPr>
  <dimension ref="A1:Y107"/>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 width="6.7" customWidth="1" min="24" max="24"/>
    <col width="6.7" customWidth="1" min="25" max="25"/>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4B05 - Homeostasis
Raw Score</t>
        </is>
      </c>
      <c r="O1" s="63" t="inlineStr">
        <is>
          <t>4B05 - Homeostasis
Stanine</t>
        </is>
      </c>
      <c r="P1" s="64" t="inlineStr">
        <is>
          <t>4C09 - Organic Chemistry
Raw Score</t>
        </is>
      </c>
      <c r="Q1" s="64" t="inlineStr">
        <is>
          <t>4C09 - Organic Chemistry
Stanine</t>
        </is>
      </c>
      <c r="R1" s="63" t="inlineStr">
        <is>
          <t>4P06 - Waves
Raw Score</t>
        </is>
      </c>
      <c r="S1" s="63" t="inlineStr">
        <is>
          <t>4P06 - Waves
Stanine</t>
        </is>
      </c>
      <c r="T1" s="64" t="inlineStr">
        <is>
          <t>4B06 - Inheritance
Raw Score</t>
        </is>
      </c>
      <c r="U1" s="64" t="inlineStr">
        <is>
          <t>4B06 - Inheritance
Stanine</t>
        </is>
      </c>
      <c r="V1" s="63" t="inlineStr">
        <is>
          <t>4C10 - Chemical Analysis
Raw Score</t>
        </is>
      </c>
      <c r="W1" s="63" t="inlineStr">
        <is>
          <t>4C10 - Chemical Analysis
Stanine</t>
        </is>
      </c>
      <c r="X1" s="64" t="inlineStr">
        <is>
          <t>4P07 - Magnetism
Raw Score</t>
        </is>
      </c>
      <c r="Y1" s="64" t="inlineStr">
        <is>
          <t>4P07 - Magnetism
Stanine</t>
        </is>
      </c>
    </row>
    <row r="2">
      <c r="A2" s="65" t="inlineStr">
        <is>
          <t>X906171632213</t>
        </is>
      </c>
      <c r="B2" s="65" t="inlineStr">
        <is>
          <t>Begum</t>
        </is>
      </c>
      <c r="C2" s="65" t="inlineStr">
        <is>
          <t>Maisie</t>
        </is>
      </c>
      <c r="D2" s="66" t="inlineStr">
        <is>
          <t>F</t>
        </is>
      </c>
      <c r="E2" s="66" t="inlineStr">
        <is>
          <t>E</t>
        </is>
      </c>
      <c r="F2" s="66" t="inlineStr">
        <is>
          <t>N</t>
        </is>
      </c>
      <c r="G2" s="34" t="n">
        <v>98.40000000000001</v>
      </c>
      <c r="H2" s="34" t="n">
        <v>103</v>
      </c>
      <c r="I2" s="67">
        <f>IF(ISNUMBER(tblY11[[#This Row],[Avg KS2]]),IFERROR(VLOOKUP(ROUND(STANDARDIZE(tblY11[[#This Row],[Avg KS2]],AVERAGE(tblY11[[Avg KS2]]),_xlfn.STDEV.P(tblY11[[Avg KS2]])),9),_Stanine,2),5),"")</f>
        <v>4</v>
      </c>
      <c r="J2" s="66" t="inlineStr">
        <is>
          <t>11S/Sc1</t>
        </is>
      </c>
      <c r="K2" s="67">
        <f>IF(tblY11[[#This Row],[Preferred Last name]]="","",COUNTIFS($N$1:$ZZ$1,"*"&amp;CHAR(10)&amp;"Stanine",$N2:$ZZ2,"&gt;=1"))</f>
        <v>6</v>
      </c>
      <c r="L2" s="68">
        <f>IFERROR(AVERAGEIF($N$1:$ZZ$1,"*"&amp;CHAR(10)&amp;"Stanine",$N2:$ZZ2),"")</f>
        <v>4.66666666666667</v>
      </c>
      <c r="M2" s="69">
        <f>IF(AND(ISNUMBER(tblY11[[#This Row],[Mean Stanine]]),ISNUMBER(tblY11[[#This Row],[Avg KS2 Band]]),ISNUMBER(SlopeY11)),tblY11[[#This Row],[Mean Stanine]]-(InterceptY11+SlopeY11*tblY11[[#This Row],[Avg KS2 Band]]),"")</f>
        <v>0.462831890331891</v>
      </c>
      <c r="N2" s="66" t="n">
        <v>19</v>
      </c>
      <c r="O2" s="67">
        <f>IF(ISNUMBER(tblY11[[#This Row],[4B05 - Homeostasis
Raw Score]]),IFERROR(VLOOKUP(ROUND(STANDARDIZE(tblY11[[#This Row],[4B05 - Homeostasis
Raw Score]],AVERAGE(tblY11[[4B05 - Homeostasis
Raw Score]]),_xlfn.STDEV.P(tblY11[[4B05 - Homeostasis
Raw Score]])),9),_Stanine,2),5),"")</f>
        <v>5</v>
      </c>
      <c r="P2" s="66" t="n">
        <v>13</v>
      </c>
      <c r="Q2" s="67">
        <f>IF(ISNUMBER(tblY11[[#This Row],[4C09 - Organic Chemistry
Raw Score]]),IFERROR(VLOOKUP(ROUND(STANDARDIZE(tblY11[[#This Row],[4C09 - Organic Chemistry
Raw Score]],AVERAGE(tblY11[[4C09 - Organic Chemistry
Raw Score]]),_xlfn.STDEV.P(tblY11[[4C09 - Organic Chemistry
Raw Score]])),9),_Stanine,2),5),"")</f>
        <v>4</v>
      </c>
      <c r="R2" s="66" t="n">
        <v>17</v>
      </c>
      <c r="S2" s="67">
        <f>IF(ISNUMBER(tblY11[[#This Row],[4P06 - Waves
Raw Score]]),IFERROR(VLOOKUP(ROUND(STANDARDIZE(tblY11[[#This Row],[4P06 - Waves
Raw Score]],AVERAGE(tblY11[[4P06 - Waves
Raw Score]]),_xlfn.STDEV.P(tblY11[[4P06 - Waves
Raw Score]])),9),_Stanine,2),5),"")</f>
        <v>4</v>
      </c>
      <c r="T2" s="66" t="n">
        <v>20</v>
      </c>
      <c r="U2" s="67">
        <f>IF(ISNUMBER(tblY11[[#This Row],[4B06 - Inheritance
Raw Score]]),IFERROR(VLOOKUP(ROUND(STANDARDIZE(tblY11[[#This Row],[4B06 - Inheritance
Raw Score]],AVERAGE(tblY11[[4B06 - Inheritance
Raw Score]]),_xlfn.STDEV.P(tblY11[[4B06 - Inheritance
Raw Score]])),9),_Stanine,2),5),"")</f>
        <v>5</v>
      </c>
      <c r="V2" s="66" t="n">
        <v>14</v>
      </c>
      <c r="W2" s="67">
        <f>IF(ISNUMBER(tblY11[[#This Row],[4C10 - Chemical Analysis
Raw Score]]),IFERROR(VLOOKUP(ROUND(STANDARDIZE(tblY11[[#This Row],[4C10 - Chemical Analysis
Raw Score]],AVERAGE(tblY11[[4C10 - Chemical Analysis
Raw Score]]),_xlfn.STDEV.P(tblY11[[4C10 - Chemical Analysis
Raw Score]])),9),_Stanine,2),5),"")</f>
        <v>5</v>
      </c>
      <c r="X2" s="66" t="n">
        <v>15</v>
      </c>
      <c r="Y2" s="67">
        <f>IF(ISNUMBER(tblY11[[#This Row],[4P07 - Magnetism
Raw Score]]),IFERROR(VLOOKUP(ROUND(STANDARDIZE(tblY11[[#This Row],[4P07 - Magnetism
Raw Score]],AVERAGE(tblY11[[4P07 - Magnetism
Raw Score]]),_xlfn.STDEV.P(tblY11[[4P07 - Magnetism
Raw Score]])),9),_Stanine,2),5),"")</f>
        <v>5</v>
      </c>
    </row>
    <row r="3">
      <c r="A3" s="65" t="inlineStr">
        <is>
          <t>X903228599986</t>
        </is>
      </c>
      <c r="B3" s="65" t="inlineStr">
        <is>
          <t>Begum</t>
        </is>
      </c>
      <c r="C3" s="65" t="inlineStr">
        <is>
          <t>Rosie</t>
        </is>
      </c>
      <c r="D3" s="66" t="inlineStr">
        <is>
          <t>F</t>
        </is>
      </c>
      <c r="E3" s="66" t="inlineStr">
        <is>
          <t>N</t>
        </is>
      </c>
      <c r="F3" s="66" t="inlineStr">
        <is>
          <t>Y</t>
        </is>
      </c>
      <c r="G3" s="34" t="n">
        <v>95</v>
      </c>
      <c r="H3" s="34" t="n">
        <v>105</v>
      </c>
      <c r="I3" s="67">
        <f>IF(ISNUMBER(tblY11[[#This Row],[Avg KS2]]),IFERROR(VLOOKUP(ROUND(STANDARDIZE(tblY11[[#This Row],[Avg KS2]],AVERAGE(tblY11[[Avg KS2]]),_xlfn.STDEV.P(tblY11[[Avg KS2]])),9),_Stanine,2),5),"")</f>
        <v>5</v>
      </c>
      <c r="J3" s="66" t="inlineStr">
        <is>
          <t>11S/Sc1</t>
        </is>
      </c>
      <c r="K3" s="67">
        <f>IF(tblY11[[#This Row],[Preferred Last name]]="","",COUNTIFS($N$1:$ZZ$1,"*"&amp;CHAR(10)&amp;"Stanine",$N3:$ZZ3,"&gt;=1"))</f>
        <v>6</v>
      </c>
      <c r="L3" s="68">
        <f>IFERROR(AVERAGEIF($N$1:$ZZ$1,"*"&amp;CHAR(10)&amp;"Stanine",$N3:$ZZ3),"")</f>
        <v>4.5</v>
      </c>
      <c r="M3" s="69">
        <f>IF(AND(ISNUMBER(tblY11[[#This Row],[Mean Stanine]]),ISNUMBER(tblY11[[#This Row],[Avg KS2 Band]]),ISNUMBER(SlopeY11)),tblY11[[#This Row],[Mean Stanine]]-(InterceptY11+SlopeY11*tblY11[[#This Row],[Avg KS2 Band]]),"")</f>
        <v>-0.452698412698412</v>
      </c>
      <c r="N3" s="66" t="n">
        <v>20</v>
      </c>
      <c r="O3" s="67">
        <f>IF(ISNUMBER(tblY11[[#This Row],[4B05 - Homeostasis
Raw Score]]),IFERROR(VLOOKUP(ROUND(STANDARDIZE(tblY11[[#This Row],[4B05 - Homeostasis
Raw Score]],AVERAGE(tblY11[[4B05 - Homeostasis
Raw Score]]),_xlfn.STDEV.P(tblY11[[4B05 - Homeostasis
Raw Score]])),9),_Stanine,2),5),"")</f>
        <v>5</v>
      </c>
      <c r="P3" s="66" t="n">
        <v>13</v>
      </c>
      <c r="Q3" s="67">
        <f>IF(ISNUMBER(tblY11[[#This Row],[4C09 - Organic Chemistry
Raw Score]]),IFERROR(VLOOKUP(ROUND(STANDARDIZE(tblY11[[#This Row],[4C09 - Organic Chemistry
Raw Score]],AVERAGE(tblY11[[4C09 - Organic Chemistry
Raw Score]]),_xlfn.STDEV.P(tblY11[[4C09 - Organic Chemistry
Raw Score]])),9),_Stanine,2),5),"")</f>
        <v>4</v>
      </c>
      <c r="R3" s="66" t="n">
        <v>20</v>
      </c>
      <c r="S3" s="67">
        <f>IF(ISNUMBER(tblY11[[#This Row],[4P06 - Waves
Raw Score]]),IFERROR(VLOOKUP(ROUND(STANDARDIZE(tblY11[[#This Row],[4P06 - Waves
Raw Score]],AVERAGE(tblY11[[4P06 - Waves
Raw Score]]),_xlfn.STDEV.P(tblY11[[4P06 - Waves
Raw Score]])),9),_Stanine,2),5),"")</f>
        <v>5</v>
      </c>
      <c r="T3" s="66" t="n">
        <v>19</v>
      </c>
      <c r="U3" s="67">
        <f>IF(ISNUMBER(tblY11[[#This Row],[4B06 - Inheritance
Raw Score]]),IFERROR(VLOOKUP(ROUND(STANDARDIZE(tblY11[[#This Row],[4B06 - Inheritance
Raw Score]],AVERAGE(tblY11[[4B06 - Inheritance
Raw Score]]),_xlfn.STDEV.P(tblY11[[4B06 - Inheritance
Raw Score]])),9),_Stanine,2),5),"")</f>
        <v>5</v>
      </c>
      <c r="V3" s="66" t="n">
        <v>11</v>
      </c>
      <c r="W3" s="67">
        <f>IF(ISNUMBER(tblY11[[#This Row],[4C10 - Chemical Analysis
Raw Score]]),IFERROR(VLOOKUP(ROUND(STANDARDIZE(tblY11[[#This Row],[4C10 - Chemical Analysis
Raw Score]],AVERAGE(tblY11[[4C10 - Chemical Analysis
Raw Score]]),_xlfn.STDEV.P(tblY11[[4C10 - Chemical Analysis
Raw Score]])),9),_Stanine,2),5),"")</f>
        <v>4</v>
      </c>
      <c r="X3" s="66" t="n">
        <v>13</v>
      </c>
      <c r="Y3" s="67">
        <f>IF(ISNUMBER(tblY11[[#This Row],[4P07 - Magnetism
Raw Score]]),IFERROR(VLOOKUP(ROUND(STANDARDIZE(tblY11[[#This Row],[4P07 - Magnetism
Raw Score]],AVERAGE(tblY11[[4P07 - Magnetism
Raw Score]]),_xlfn.STDEV.P(tblY11[[4P07 - Magnetism
Raw Score]])),9),_Stanine,2),5),"")</f>
        <v>4</v>
      </c>
    </row>
    <row r="4">
      <c r="A4" s="65" t="inlineStr">
        <is>
          <t>X905876831829</t>
        </is>
      </c>
      <c r="B4" s="65" t="inlineStr">
        <is>
          <t>Bennett</t>
        </is>
      </c>
      <c r="C4" s="65" t="inlineStr">
        <is>
          <t>George</t>
        </is>
      </c>
      <c r="D4" s="66" t="inlineStr">
        <is>
          <t>M</t>
        </is>
      </c>
      <c r="E4" s="66" t="n"/>
      <c r="F4" s="66" t="inlineStr">
        <is>
          <t>Y</t>
        </is>
      </c>
      <c r="G4" s="34" t="n">
        <v>84.59999999999999</v>
      </c>
      <c r="H4" s="34" t="n">
        <v>110</v>
      </c>
      <c r="I4" s="67">
        <f>IF(ISNUMBER(tblY11[[#This Row],[Avg KS2]]),IFERROR(VLOOKUP(ROUND(STANDARDIZE(tblY11[[#This Row],[Avg KS2]],AVERAGE(tblY11[[Avg KS2]]),_xlfn.STDEV.P(tblY11[[Avg KS2]])),9),_Stanine,2),5),"")</f>
        <v>7</v>
      </c>
      <c r="J4" s="66" t="inlineStr">
        <is>
          <t>11S/Sc1</t>
        </is>
      </c>
      <c r="K4" s="67">
        <f>IF(tblY11[[#This Row],[Preferred Last name]]="","",COUNTIFS($N$1:$ZZ$1,"*"&amp;CHAR(10)&amp;"Stanine",$N4:$ZZ4,"&gt;=1"))</f>
        <v>6</v>
      </c>
      <c r="L4" s="68">
        <f>IFERROR(AVERAGEIF($N$1:$ZZ$1,"*"&amp;CHAR(10)&amp;"Stanine",$N4:$ZZ4),"")</f>
        <v>6.33333333333333</v>
      </c>
      <c r="M4" s="69">
        <f>IF(AND(ISNUMBER(tblY11[[#This Row],[Mean Stanine]]),ISNUMBER(tblY11[[#This Row],[Avg KS2 Band]]),ISNUMBER(SlopeY11)),tblY11[[#This Row],[Mean Stanine]]-(InterceptY11+SlopeY11*tblY11[[#This Row],[Avg KS2 Band]]),"")</f>
        <v>-0.117092352092352</v>
      </c>
      <c r="N4" s="66" t="n">
        <v>30</v>
      </c>
      <c r="O4" s="67">
        <f>IF(ISNUMBER(tblY11[[#This Row],[4B05 - Homeostasis
Raw Score]]),IFERROR(VLOOKUP(ROUND(STANDARDIZE(tblY11[[#This Row],[4B05 - Homeostasis
Raw Score]],AVERAGE(tblY11[[4B05 - Homeostasis
Raw Score]]),_xlfn.STDEV.P(tblY11[[4B05 - Homeostasis
Raw Score]])),9),_Stanine,2),5),"")</f>
        <v>7</v>
      </c>
      <c r="P4" s="66" t="n">
        <v>17</v>
      </c>
      <c r="Q4" s="67">
        <f>IF(ISNUMBER(tblY11[[#This Row],[4C09 - Organic Chemistry
Raw Score]]),IFERROR(VLOOKUP(ROUND(STANDARDIZE(tblY11[[#This Row],[4C09 - Organic Chemistry
Raw Score]],AVERAGE(tblY11[[4C09 - Organic Chemistry
Raw Score]]),_xlfn.STDEV.P(tblY11[[4C09 - Organic Chemistry
Raw Score]])),9),_Stanine,2),5),"")</f>
        <v>5</v>
      </c>
      <c r="R4" s="66" t="n">
        <v>31</v>
      </c>
      <c r="S4" s="67">
        <f>IF(ISNUMBER(tblY11[[#This Row],[4P06 - Waves
Raw Score]]),IFERROR(VLOOKUP(ROUND(STANDARDIZE(tblY11[[#This Row],[4P06 - Waves
Raw Score]],AVERAGE(tblY11[[4P06 - Waves
Raw Score]]),_xlfn.STDEV.P(tblY11[[4P06 - Waves
Raw Score]])),9),_Stanine,2),5),"")</f>
        <v>7</v>
      </c>
      <c r="T4" s="66" t="n">
        <v>25</v>
      </c>
      <c r="U4" s="67">
        <f>IF(ISNUMBER(tblY11[[#This Row],[4B06 - Inheritance
Raw Score]]),IFERROR(VLOOKUP(ROUND(STANDARDIZE(tblY11[[#This Row],[4B06 - Inheritance
Raw Score]],AVERAGE(tblY11[[4B06 - Inheritance
Raw Score]]),_xlfn.STDEV.P(tblY11[[4B06 - Inheritance
Raw Score]])),9),_Stanine,2),5),"")</f>
        <v>6</v>
      </c>
      <c r="V4" s="66" t="n">
        <v>21</v>
      </c>
      <c r="W4" s="67">
        <f>IF(ISNUMBER(tblY11[[#This Row],[4C10 - Chemical Analysis
Raw Score]]),IFERROR(VLOOKUP(ROUND(STANDARDIZE(tblY11[[#This Row],[4C10 - Chemical Analysis
Raw Score]],AVERAGE(tblY11[[4C10 - Chemical Analysis
Raw Score]]),_xlfn.STDEV.P(tblY11[[4C10 - Chemical Analysis
Raw Score]])),9),_Stanine,2),5),"")</f>
        <v>7</v>
      </c>
      <c r="X4" s="66" t="n">
        <v>21</v>
      </c>
      <c r="Y4" s="67">
        <f>IF(ISNUMBER(tblY11[[#This Row],[4P07 - Magnetism
Raw Score]]),IFERROR(VLOOKUP(ROUND(STANDARDIZE(tblY11[[#This Row],[4P07 - Magnetism
Raw Score]],AVERAGE(tblY11[[4P07 - Magnetism
Raw Score]]),_xlfn.STDEV.P(tblY11[[4P07 - Magnetism
Raw Score]])),9),_Stanine,2),5),"")</f>
        <v>6</v>
      </c>
    </row>
    <row r="5">
      <c r="A5" s="65" t="inlineStr">
        <is>
          <t>X906891673493</t>
        </is>
      </c>
      <c r="B5" s="65" t="inlineStr">
        <is>
          <t>Clarke</t>
        </is>
      </c>
      <c r="C5" s="65" t="inlineStr">
        <is>
          <t>Niamh</t>
        </is>
      </c>
      <c r="D5" s="66" t="inlineStr">
        <is>
          <t>M</t>
        </is>
      </c>
      <c r="E5" s="66" t="inlineStr">
        <is>
          <t>N</t>
        </is>
      </c>
      <c r="F5" s="66" t="inlineStr">
        <is>
          <t>Y</t>
        </is>
      </c>
      <c r="G5" s="34" t="n">
        <v>90.5</v>
      </c>
      <c r="H5" s="34" t="n">
        <v>114.5</v>
      </c>
      <c r="I5" s="67">
        <f>IF(ISNUMBER(tblY11[[#This Row],[Avg KS2]]),IFERROR(VLOOKUP(ROUND(STANDARDIZE(tblY11[[#This Row],[Avg KS2]],AVERAGE(tblY11[[Avg KS2]]),_xlfn.STDEV.P(tblY11[[Avg KS2]])),9),_Stanine,2),5),"")</f>
        <v>8</v>
      </c>
      <c r="J5" s="66" t="inlineStr">
        <is>
          <t>11S/Sc1</t>
        </is>
      </c>
      <c r="K5" s="67">
        <f>IF(tblY11[[#This Row],[Preferred Last name]]="","",COUNTIFS($N$1:$ZZ$1,"*"&amp;CHAR(10)&amp;"Stanine",$N5:$ZZ5,"&gt;=1"))</f>
        <v>6</v>
      </c>
      <c r="L5" s="68">
        <f>IFERROR(AVERAGEIF($N$1:$ZZ$1,"*"&amp;CHAR(10)&amp;"Stanine",$N5:$ZZ5),"")</f>
        <v>9</v>
      </c>
      <c r="M5" s="69">
        <f>IF(AND(ISNUMBER(tblY11[[#This Row],[Mean Stanine]]),ISNUMBER(tblY11[[#This Row],[Avg KS2 Band]]),ISNUMBER(SlopeY11)),tblY11[[#This Row],[Mean Stanine]]-(InterceptY11+SlopeY11*tblY11[[#This Row],[Avg KS2 Band]]),"")</f>
        <v>1.80071067821068</v>
      </c>
      <c r="N5" s="66" t="n">
        <v>36</v>
      </c>
      <c r="O5" s="67">
        <f>IF(ISNUMBER(tblY11[[#This Row],[4B05 - Homeostasis
Raw Score]]),IFERROR(VLOOKUP(ROUND(STANDARDIZE(tblY11[[#This Row],[4B05 - Homeostasis
Raw Score]],AVERAGE(tblY11[[4B05 - Homeostasis
Raw Score]]),_xlfn.STDEV.P(tblY11[[4B05 - Homeostasis
Raw Score]])),9),_Stanine,2),5),"")</f>
        <v>9</v>
      </c>
      <c r="P5" s="66" t="n">
        <v>30</v>
      </c>
      <c r="Q5" s="67">
        <f>IF(ISNUMBER(tblY11[[#This Row],[4C09 - Organic Chemistry
Raw Score]]),IFERROR(VLOOKUP(ROUND(STANDARDIZE(tblY11[[#This Row],[4C09 - Organic Chemistry
Raw Score]],AVERAGE(tblY11[[4C09 - Organic Chemistry
Raw Score]]),_xlfn.STDEV.P(tblY11[[4C09 - Organic Chemistry
Raw Score]])),9),_Stanine,2),5),"")</f>
        <v>9</v>
      </c>
      <c r="R5" s="66" t="n">
        <v>36</v>
      </c>
      <c r="S5" s="67">
        <f>IF(ISNUMBER(tblY11[[#This Row],[4P06 - Waves
Raw Score]]),IFERROR(VLOOKUP(ROUND(STANDARDIZE(tblY11[[#This Row],[4P06 - Waves
Raw Score]],AVERAGE(tblY11[[4P06 - Waves
Raw Score]]),_xlfn.STDEV.P(tblY11[[4P06 - Waves
Raw Score]])),9),_Stanine,2),5),"")</f>
        <v>9</v>
      </c>
      <c r="T5" s="66" t="n">
        <v>39</v>
      </c>
      <c r="U5" s="67">
        <f>IF(ISNUMBER(tblY11[[#This Row],[4B06 - Inheritance
Raw Score]]),IFERROR(VLOOKUP(ROUND(STANDARDIZE(tblY11[[#This Row],[4B06 - Inheritance
Raw Score]],AVERAGE(tblY11[[4B06 - Inheritance
Raw Score]]),_xlfn.STDEV.P(tblY11[[4B06 - Inheritance
Raw Score]])),9),_Stanine,2),5),"")</f>
        <v>9</v>
      </c>
      <c r="V5" s="66" t="n">
        <v>27</v>
      </c>
      <c r="W5" s="67">
        <f>IF(ISNUMBER(tblY11[[#This Row],[4C10 - Chemical Analysis
Raw Score]]),IFERROR(VLOOKUP(ROUND(STANDARDIZE(tblY11[[#This Row],[4C10 - Chemical Analysis
Raw Score]],AVERAGE(tblY11[[4C10 - Chemical Analysis
Raw Score]]),_xlfn.STDEV.P(tblY11[[4C10 - Chemical Analysis
Raw Score]])),9),_Stanine,2),5),"")</f>
        <v>9</v>
      </c>
      <c r="X5" s="66" t="n">
        <v>30</v>
      </c>
      <c r="Y5" s="67">
        <f>IF(ISNUMBER(tblY11[[#This Row],[4P07 - Magnetism
Raw Score]]),IFERROR(VLOOKUP(ROUND(STANDARDIZE(tblY11[[#This Row],[4P07 - Magnetism
Raw Score]],AVERAGE(tblY11[[4P07 - Magnetism
Raw Score]]),_xlfn.STDEV.P(tblY11[[4P07 - Magnetism
Raw Score]])),9),_Stanine,2),5),"")</f>
        <v>9</v>
      </c>
    </row>
    <row r="6">
      <c r="A6" s="65" t="inlineStr">
        <is>
          <t>X903864717117</t>
        </is>
      </c>
      <c r="B6" s="65" t="inlineStr">
        <is>
          <t>Cooper</t>
        </is>
      </c>
      <c r="C6" s="65" t="inlineStr">
        <is>
          <t>Ava</t>
        </is>
      </c>
      <c r="D6" s="66" t="inlineStr">
        <is>
          <t>F</t>
        </is>
      </c>
      <c r="E6" s="66" t="inlineStr">
        <is>
          <t>N</t>
        </is>
      </c>
      <c r="F6" s="66" t="inlineStr">
        <is>
          <t>Y</t>
        </is>
      </c>
      <c r="G6" s="34" t="n">
        <v>95.2</v>
      </c>
      <c r="H6" s="34" t="n">
        <v>105</v>
      </c>
      <c r="I6" s="67">
        <f>IF(ISNUMBER(tblY11[[#This Row],[Avg KS2]]),IFERROR(VLOOKUP(ROUND(STANDARDIZE(tblY11[[#This Row],[Avg KS2]],AVERAGE(tblY11[[Avg KS2]]),_xlfn.STDEV.P(tblY11[[Avg KS2]])),9),_Stanine,2),5),"")</f>
        <v>5</v>
      </c>
      <c r="J6" s="66" t="inlineStr">
        <is>
          <t>11S/Sc1</t>
        </is>
      </c>
      <c r="K6" s="67">
        <f>IF(tblY11[[#This Row],[Preferred Last name]]="","",COUNTIFS($N$1:$ZZ$1,"*"&amp;CHAR(10)&amp;"Stanine",$N6:$ZZ6,"&gt;=1"))</f>
        <v>5</v>
      </c>
      <c r="L6" s="68">
        <f>IFERROR(AVERAGEIF($N$1:$ZZ$1,"*"&amp;CHAR(10)&amp;"Stanine",$N6:$ZZ6),"")</f>
        <v>6</v>
      </c>
      <c r="M6" s="69">
        <f>IF(AND(ISNUMBER(tblY11[[#This Row],[Mean Stanine]]),ISNUMBER(tblY11[[#This Row],[Avg KS2 Band]]),ISNUMBER(SlopeY11)),tblY11[[#This Row],[Mean Stanine]]-(InterceptY11+SlopeY11*tblY11[[#This Row],[Avg KS2 Band]]),"")</f>
        <v>1.04730158730159</v>
      </c>
      <c r="N6" s="66" t="n">
        <v>27</v>
      </c>
      <c r="O6" s="67">
        <f>IF(ISNUMBER(tblY11[[#This Row],[4B05 - Homeostasis
Raw Score]]),IFERROR(VLOOKUP(ROUND(STANDARDIZE(tblY11[[#This Row],[4B05 - Homeostasis
Raw Score]],AVERAGE(tblY11[[4B05 - Homeostasis
Raw Score]]),_xlfn.STDEV.P(tblY11[[4B05 - Homeostasis
Raw Score]])),9),_Stanine,2),5),"")</f>
        <v>6</v>
      </c>
      <c r="P6" s="66" t="inlineStr">
        <is>
          <t>A</t>
        </is>
      </c>
      <c r="Q6" s="67" t="str">
        <f>IF(ISNUMBER(tblY11[[#This Row],[4C09 - Organic Chemistry
Raw Score]]),IFERROR(VLOOKUP(ROUND(STANDARDIZE(tblY11[[#This Row],[4C09 - Organic Chemistry
Raw Score]],AVERAGE(tblY11[[4C09 - Organic Chemistry
Raw Score]]),_xlfn.STDEV.P(tblY11[[4C09 - Organic Chemistry
Raw Score]])),9),_Stanine,2),5),"")</f>
        <v/>
      </c>
      <c r="R6" s="66" t="n">
        <v>29</v>
      </c>
      <c r="S6" s="67">
        <f>IF(ISNUMBER(tblY11[[#This Row],[4P06 - Waves
Raw Score]]),IFERROR(VLOOKUP(ROUND(STANDARDIZE(tblY11[[#This Row],[4P06 - Waves
Raw Score]],AVERAGE(tblY11[[4P06 - Waves
Raw Score]]),_xlfn.STDEV.P(tblY11[[4P06 - Waves
Raw Score]])),9),_Stanine,2),5),"")</f>
        <v>7</v>
      </c>
      <c r="T6" s="66" t="n">
        <v>25</v>
      </c>
      <c r="U6" s="67">
        <f>IF(ISNUMBER(tblY11[[#This Row],[4B06 - Inheritance
Raw Score]]),IFERROR(VLOOKUP(ROUND(STANDARDIZE(tblY11[[#This Row],[4B06 - Inheritance
Raw Score]],AVERAGE(tblY11[[4B06 - Inheritance
Raw Score]]),_xlfn.STDEV.P(tblY11[[4B06 - Inheritance
Raw Score]])),9),_Stanine,2),5),"")</f>
        <v>6</v>
      </c>
      <c r="V6" s="66" t="n">
        <v>18</v>
      </c>
      <c r="W6" s="67">
        <f>IF(ISNUMBER(tblY11[[#This Row],[4C10 - Chemical Analysis
Raw Score]]),IFERROR(VLOOKUP(ROUND(STANDARDIZE(tblY11[[#This Row],[4C10 - Chemical Analysis
Raw Score]],AVERAGE(tblY11[[4C10 - Chemical Analysis
Raw Score]]),_xlfn.STDEV.P(tblY11[[4C10 - Chemical Analysis
Raw Score]])),9),_Stanine,2),5),"")</f>
        <v>6</v>
      </c>
      <c r="X6" s="66" t="n">
        <v>17</v>
      </c>
      <c r="Y6" s="67">
        <f>IF(ISNUMBER(tblY11[[#This Row],[4P07 - Magnetism
Raw Score]]),IFERROR(VLOOKUP(ROUND(STANDARDIZE(tblY11[[#This Row],[4P07 - Magnetism
Raw Score]],AVERAGE(tblY11[[4P07 - Magnetism
Raw Score]]),_xlfn.STDEV.P(tblY11[[4P07 - Magnetism
Raw Score]])),9),_Stanine,2),5),"")</f>
        <v>5</v>
      </c>
    </row>
    <row r="7">
      <c r="A7" s="65" t="inlineStr">
        <is>
          <t>X909997518665</t>
        </is>
      </c>
      <c r="B7" s="65" t="inlineStr">
        <is>
          <t>Cooper</t>
        </is>
      </c>
      <c r="C7" s="65" t="inlineStr">
        <is>
          <t>Lewis</t>
        </is>
      </c>
      <c r="D7" s="66" t="inlineStr">
        <is>
          <t>M</t>
        </is>
      </c>
      <c r="E7" s="66" t="inlineStr">
        <is>
          <t>N</t>
        </is>
      </c>
      <c r="F7" s="66" t="inlineStr">
        <is>
          <t>N</t>
        </is>
      </c>
      <c r="G7" s="34" t="n">
        <v>90.2</v>
      </c>
      <c r="H7" s="34" t="n">
        <v>105</v>
      </c>
      <c r="I7" s="67">
        <f>IF(ISNUMBER(tblY11[[#This Row],[Avg KS2]]),IFERROR(VLOOKUP(ROUND(STANDARDIZE(tblY11[[#This Row],[Avg KS2]],AVERAGE(tblY11[[Avg KS2]]),_xlfn.STDEV.P(tblY11[[Avg KS2]])),9),_Stanine,2),5),"")</f>
        <v>5</v>
      </c>
      <c r="J7" s="66" t="inlineStr">
        <is>
          <t>11S/Sc1</t>
        </is>
      </c>
      <c r="K7" s="67">
        <f>IF(tblY11[[#This Row],[Preferred Last name]]="","",COUNTIFS($N$1:$ZZ$1,"*"&amp;CHAR(10)&amp;"Stanine",$N7:$ZZ7,"&gt;=1"))</f>
        <v>5</v>
      </c>
      <c r="L7" s="68">
        <f>IFERROR(AVERAGEIF($N$1:$ZZ$1,"*"&amp;CHAR(10)&amp;"Stanine",$N7:$ZZ7),"")</f>
        <v>4.8</v>
      </c>
      <c r="M7" s="69">
        <f>IF(AND(ISNUMBER(tblY11[[#This Row],[Mean Stanine]]),ISNUMBER(tblY11[[#This Row],[Avg KS2 Band]]),ISNUMBER(SlopeY11)),tblY11[[#This Row],[Mean Stanine]]-(InterceptY11+SlopeY11*tblY11[[#This Row],[Avg KS2 Band]]),"")</f>
        <v>-0.152698412698412</v>
      </c>
      <c r="N7" s="66" t="inlineStr">
        <is>
          <t>A</t>
        </is>
      </c>
      <c r="O7" s="67" t="str">
        <f>IF(ISNUMBER(tblY11[[#This Row],[4B05 - Homeostasis
Raw Score]]),IFERROR(VLOOKUP(ROUND(STANDARDIZE(tblY11[[#This Row],[4B05 - Homeostasis
Raw Score]],AVERAGE(tblY11[[4B05 - Homeostasis
Raw Score]]),_xlfn.STDEV.P(tblY11[[4B05 - Homeostasis
Raw Score]])),9),_Stanine,2),5),"")</f>
        <v/>
      </c>
      <c r="P7" s="66" t="n">
        <v>16</v>
      </c>
      <c r="Q7" s="67">
        <f>IF(ISNUMBER(tblY11[[#This Row],[4C09 - Organic Chemistry
Raw Score]]),IFERROR(VLOOKUP(ROUND(STANDARDIZE(tblY11[[#This Row],[4C09 - Organic Chemistry
Raw Score]],AVERAGE(tblY11[[4C09 - Organic Chemistry
Raw Score]]),_xlfn.STDEV.P(tblY11[[4C09 - Organic Chemistry
Raw Score]])),9),_Stanine,2),5),"")</f>
        <v>5</v>
      </c>
      <c r="R7" s="66" t="n">
        <v>20</v>
      </c>
      <c r="S7" s="67">
        <f>IF(ISNUMBER(tblY11[[#This Row],[4P06 - Waves
Raw Score]]),IFERROR(VLOOKUP(ROUND(STANDARDIZE(tblY11[[#This Row],[4P06 - Waves
Raw Score]],AVERAGE(tblY11[[4P06 - Waves
Raw Score]]),_xlfn.STDEV.P(tblY11[[4P06 - Waves
Raw Score]])),9),_Stanine,2),5),"")</f>
        <v>5</v>
      </c>
      <c r="T7" s="66" t="n">
        <v>17</v>
      </c>
      <c r="U7" s="67">
        <f>IF(ISNUMBER(tblY11[[#This Row],[4B06 - Inheritance
Raw Score]]),IFERROR(VLOOKUP(ROUND(STANDARDIZE(tblY11[[#This Row],[4B06 - Inheritance
Raw Score]],AVERAGE(tblY11[[4B06 - Inheritance
Raw Score]]),_xlfn.STDEV.P(tblY11[[4B06 - Inheritance
Raw Score]])),9),_Stanine,2),5),"")</f>
        <v>5</v>
      </c>
      <c r="V7" s="66" t="n">
        <v>13</v>
      </c>
      <c r="W7" s="67">
        <f>IF(ISNUMBER(tblY11[[#This Row],[4C10 - Chemical Analysis
Raw Score]]),IFERROR(VLOOKUP(ROUND(STANDARDIZE(tblY11[[#This Row],[4C10 - Chemical Analysis
Raw Score]],AVERAGE(tblY11[[4C10 - Chemical Analysis
Raw Score]]),_xlfn.STDEV.P(tblY11[[4C10 - Chemical Analysis
Raw Score]])),9),_Stanine,2),5),"")</f>
        <v>5</v>
      </c>
      <c r="X7" s="66" t="n">
        <v>12</v>
      </c>
      <c r="Y7" s="67">
        <f>IF(ISNUMBER(tblY11[[#This Row],[4P07 - Magnetism
Raw Score]]),IFERROR(VLOOKUP(ROUND(STANDARDIZE(tblY11[[#This Row],[4P07 - Magnetism
Raw Score]],AVERAGE(tblY11[[4P07 - Magnetism
Raw Score]]),_xlfn.STDEV.P(tblY11[[4P07 - Magnetism
Raw Score]])),9),_Stanine,2),5),"")</f>
        <v>4</v>
      </c>
    </row>
    <row r="8">
      <c r="A8" s="65" t="inlineStr">
        <is>
          <t>X903259072589</t>
        </is>
      </c>
      <c r="B8" s="65" t="inlineStr">
        <is>
          <t>Evans</t>
        </is>
      </c>
      <c r="C8" s="65" t="inlineStr">
        <is>
          <t>Hannah</t>
        </is>
      </c>
      <c r="D8" s="66" t="inlineStr">
        <is>
          <t>M</t>
        </is>
      </c>
      <c r="E8" s="66" t="n"/>
      <c r="F8" s="66" t="inlineStr">
        <is>
          <t>N</t>
        </is>
      </c>
      <c r="G8" s="34" t="n">
        <v>94</v>
      </c>
      <c r="H8" s="34" t="n">
        <v>106.5</v>
      </c>
      <c r="I8" s="67">
        <f>IF(ISNUMBER(tblY11[[#This Row],[Avg KS2]]),IFERROR(VLOOKUP(ROUND(STANDARDIZE(tblY11[[#This Row],[Avg KS2]],AVERAGE(tblY11[[Avg KS2]]),_xlfn.STDEV.P(tblY11[[Avg KS2]])),9),_Stanine,2),5),"")</f>
        <v>6</v>
      </c>
      <c r="J8" s="66" t="inlineStr">
        <is>
          <t>11S/Sc1</t>
        </is>
      </c>
      <c r="K8" s="67">
        <f>IF(tblY11[[#This Row],[Preferred Last name]]="","",COUNTIFS($N$1:$ZZ$1,"*"&amp;CHAR(10)&amp;"Stanine",$N8:$ZZ8,"&gt;=1"))</f>
        <v>6</v>
      </c>
      <c r="L8" s="68">
        <f>IFERROR(AVERAGEIF($N$1:$ZZ$1,"*"&amp;CHAR(10)&amp;"Stanine",$N8:$ZZ8),"")</f>
        <v>6.16666666666667</v>
      </c>
      <c r="M8" s="69">
        <f>IF(AND(ISNUMBER(tblY11[[#This Row],[Mean Stanine]]),ISNUMBER(tblY11[[#This Row],[Avg KS2 Band]]),ISNUMBER(SlopeY11)),tblY11[[#This Row],[Mean Stanine]]-(InterceptY11+SlopeY11*tblY11[[#This Row],[Avg KS2 Band]]),"")</f>
        <v>0.465104617604618</v>
      </c>
      <c r="N8" s="66" t="n">
        <v>28</v>
      </c>
      <c r="O8" s="67">
        <f>IF(ISNUMBER(tblY11[[#This Row],[4B05 - Homeostasis
Raw Score]]),IFERROR(VLOOKUP(ROUND(STANDARDIZE(tblY11[[#This Row],[4B05 - Homeostasis
Raw Score]],AVERAGE(tblY11[[4B05 - Homeostasis
Raw Score]]),_xlfn.STDEV.P(tblY11[[4B05 - Homeostasis
Raw Score]])),9),_Stanine,2),5),"")</f>
        <v>7</v>
      </c>
      <c r="P8" s="66" t="n">
        <v>21</v>
      </c>
      <c r="Q8" s="67">
        <f>IF(ISNUMBER(tblY11[[#This Row],[4C09 - Organic Chemistry
Raw Score]]),IFERROR(VLOOKUP(ROUND(STANDARDIZE(tblY11[[#This Row],[4C09 - Organic Chemistry
Raw Score]],AVERAGE(tblY11[[4C09 - Organic Chemistry
Raw Score]]),_xlfn.STDEV.P(tblY11[[4C09 - Organic Chemistry
Raw Score]])),9),_Stanine,2),5),"")</f>
        <v>6</v>
      </c>
      <c r="R8" s="66" t="n">
        <v>28</v>
      </c>
      <c r="S8" s="67">
        <f>IF(ISNUMBER(tblY11[[#This Row],[4P06 - Waves
Raw Score]]),IFERROR(VLOOKUP(ROUND(STANDARDIZE(tblY11[[#This Row],[4P06 - Waves
Raw Score]],AVERAGE(tblY11[[4P06 - Waves
Raw Score]]),_xlfn.STDEV.P(tblY11[[4P06 - Waves
Raw Score]])),9),_Stanine,2),5),"")</f>
        <v>7</v>
      </c>
      <c r="T8" s="66" t="n">
        <v>20</v>
      </c>
      <c r="U8" s="67">
        <f>IF(ISNUMBER(tblY11[[#This Row],[4B06 - Inheritance
Raw Score]]),IFERROR(VLOOKUP(ROUND(STANDARDIZE(tblY11[[#This Row],[4B06 - Inheritance
Raw Score]],AVERAGE(tblY11[[4B06 - Inheritance
Raw Score]]),_xlfn.STDEV.P(tblY11[[4B06 - Inheritance
Raw Score]])),9),_Stanine,2),5),"")</f>
        <v>5</v>
      </c>
      <c r="V8" s="66" t="n">
        <v>15</v>
      </c>
      <c r="W8" s="67">
        <f>IF(ISNUMBER(tblY11[[#This Row],[4C10 - Chemical Analysis
Raw Score]]),IFERROR(VLOOKUP(ROUND(STANDARDIZE(tblY11[[#This Row],[4C10 - Chemical Analysis
Raw Score]],AVERAGE(tblY11[[4C10 - Chemical Analysis
Raw Score]]),_xlfn.STDEV.P(tblY11[[4C10 - Chemical Analysis
Raw Score]])),9),_Stanine,2),5),"")</f>
        <v>5</v>
      </c>
      <c r="X8" s="66" t="n">
        <v>23</v>
      </c>
      <c r="Y8" s="67">
        <f>IF(ISNUMBER(tblY11[[#This Row],[4P07 - Magnetism
Raw Score]]),IFERROR(VLOOKUP(ROUND(STANDARDIZE(tblY11[[#This Row],[4P07 - Magnetism
Raw Score]],AVERAGE(tblY11[[4P07 - Magnetism
Raw Score]]),_xlfn.STDEV.P(tblY11[[4P07 - Magnetism
Raw Score]])),9),_Stanine,2),5),"")</f>
        <v>7</v>
      </c>
    </row>
    <row r="9">
      <c r="A9" s="65" t="inlineStr">
        <is>
          <t>X909288970022</t>
        </is>
      </c>
      <c r="B9" s="65" t="inlineStr">
        <is>
          <t>Hall</t>
        </is>
      </c>
      <c r="C9" s="65" t="inlineStr">
        <is>
          <t>Amara</t>
        </is>
      </c>
      <c r="D9" s="66" t="inlineStr">
        <is>
          <t>M</t>
        </is>
      </c>
      <c r="E9" s="66" t="n"/>
      <c r="F9" s="66" t="inlineStr">
        <is>
          <t>Y</t>
        </is>
      </c>
      <c r="G9" s="34" t="n">
        <v>85.90000000000001</v>
      </c>
      <c r="H9" s="34" t="n">
        <v>107</v>
      </c>
      <c r="I9" s="67">
        <f>IF(ISNUMBER(tblY11[[#This Row],[Avg KS2]]),IFERROR(VLOOKUP(ROUND(STANDARDIZE(tblY11[[#This Row],[Avg KS2]],AVERAGE(tblY11[[Avg KS2]]),_xlfn.STDEV.P(tblY11[[Avg KS2]])),9),_Stanine,2),5),"")</f>
        <v>6</v>
      </c>
      <c r="J9" s="66" t="inlineStr">
        <is>
          <t>11S/Sc1</t>
        </is>
      </c>
      <c r="K9" s="67">
        <f>IF(tblY11[[#This Row],[Preferred Last name]]="","",COUNTIFS($N$1:$ZZ$1,"*"&amp;CHAR(10)&amp;"Stanine",$N9:$ZZ9,"&gt;=1"))</f>
        <v>5</v>
      </c>
      <c r="L9" s="68">
        <f>IFERROR(AVERAGEIF($N$1:$ZZ$1,"*"&amp;CHAR(10)&amp;"Stanine",$N9:$ZZ9),"")</f>
        <v>5.8</v>
      </c>
      <c r="M9" s="69">
        <f>IF(AND(ISNUMBER(tblY11[[#This Row],[Mean Stanine]]),ISNUMBER(tblY11[[#This Row],[Avg KS2 Band]]),ISNUMBER(SlopeY11)),tblY11[[#This Row],[Mean Stanine]]-(InterceptY11+SlopeY11*tblY11[[#This Row],[Avg KS2 Band]]),"")</f>
        <v>0.0984379509379512</v>
      </c>
      <c r="N9" s="66" t="n">
        <v>23</v>
      </c>
      <c r="O9" s="67">
        <f>IF(ISNUMBER(tblY11[[#This Row],[4B05 - Homeostasis
Raw Score]]),IFERROR(VLOOKUP(ROUND(STANDARDIZE(tblY11[[#This Row],[4B05 - Homeostasis
Raw Score]],AVERAGE(tblY11[[4B05 - Homeostasis
Raw Score]]),_xlfn.STDEV.P(tblY11[[4B05 - Homeostasis
Raw Score]])),9),_Stanine,2),5),"")</f>
        <v>6</v>
      </c>
      <c r="P9" s="66" t="n">
        <v>16</v>
      </c>
      <c r="Q9" s="67">
        <f>IF(ISNUMBER(tblY11[[#This Row],[4C09 - Organic Chemistry
Raw Score]]),IFERROR(VLOOKUP(ROUND(STANDARDIZE(tblY11[[#This Row],[4C09 - Organic Chemistry
Raw Score]],AVERAGE(tblY11[[4C09 - Organic Chemistry
Raw Score]]),_xlfn.STDEV.P(tblY11[[4C09 - Organic Chemistry
Raw Score]])),9),_Stanine,2),5),"")</f>
        <v>5</v>
      </c>
      <c r="R9" s="66" t="n">
        <v>26</v>
      </c>
      <c r="S9" s="67">
        <f>IF(ISNUMBER(tblY11[[#This Row],[4P06 - Waves
Raw Score]]),IFERROR(VLOOKUP(ROUND(STANDARDIZE(tblY11[[#This Row],[4P06 - Waves
Raw Score]],AVERAGE(tblY11[[4P06 - Waves
Raw Score]]),_xlfn.STDEV.P(tblY11[[4P06 - Waves
Raw Score]])),9),_Stanine,2),5),"")</f>
        <v>6</v>
      </c>
      <c r="T9" s="66" t="n">
        <v>25</v>
      </c>
      <c r="U9" s="67">
        <f>IF(ISNUMBER(tblY11[[#This Row],[4B06 - Inheritance
Raw Score]]),IFERROR(VLOOKUP(ROUND(STANDARDIZE(tblY11[[#This Row],[4B06 - Inheritance
Raw Score]],AVERAGE(tblY11[[4B06 - Inheritance
Raw Score]]),_xlfn.STDEV.P(tblY11[[4B06 - Inheritance
Raw Score]])),9),_Stanine,2),5),"")</f>
        <v>6</v>
      </c>
      <c r="V9" s="66" t="n">
        <v>17</v>
      </c>
      <c r="W9" s="67">
        <f>IF(ISNUMBER(tblY11[[#This Row],[4C10 - Chemical Analysis
Raw Score]]),IFERROR(VLOOKUP(ROUND(STANDARDIZE(tblY11[[#This Row],[4C10 - Chemical Analysis
Raw Score]],AVERAGE(tblY11[[4C10 - Chemical Analysis
Raw Score]]),_xlfn.STDEV.P(tblY11[[4C10 - Chemical Analysis
Raw Score]])),9),_Stanine,2),5),"")</f>
        <v>6</v>
      </c>
      <c r="X9" s="66" t="inlineStr">
        <is>
          <t>A</t>
        </is>
      </c>
      <c r="Y9" s="67" t="str">
        <f>IF(ISNUMBER(tblY11[[#This Row],[4P07 - Magnetism
Raw Score]]),IFERROR(VLOOKUP(ROUND(STANDARDIZE(tblY11[[#This Row],[4P07 - Magnetism
Raw Score]],AVERAGE(tblY11[[4P07 - Magnetism
Raw Score]]),_xlfn.STDEV.P(tblY11[[4P07 - Magnetism
Raw Score]])),9),_Stanine,2),5),"")</f>
        <v/>
      </c>
    </row>
    <row r="10">
      <c r="A10" s="65" t="inlineStr">
        <is>
          <t>X900498885225</t>
        </is>
      </c>
      <c r="B10" s="65" t="inlineStr">
        <is>
          <t>Harrison</t>
        </is>
      </c>
      <c r="C10" s="65" t="inlineStr">
        <is>
          <t>Ella</t>
        </is>
      </c>
      <c r="D10" s="66" t="inlineStr">
        <is>
          <t>M</t>
        </is>
      </c>
      <c r="E10" s="66" t="inlineStr">
        <is>
          <t>N</t>
        </is>
      </c>
      <c r="F10" s="66" t="inlineStr">
        <is>
          <t>N</t>
        </is>
      </c>
      <c r="G10" s="34" t="n">
        <v>97.40000000000001</v>
      </c>
      <c r="H10" s="34" t="n">
        <v>109</v>
      </c>
      <c r="I10" s="67">
        <f>IF(ISNUMBER(tblY11[[#This Row],[Avg KS2]]),IFERROR(VLOOKUP(ROUND(STANDARDIZE(tblY11[[#This Row],[Avg KS2]],AVERAGE(tblY11[[Avg KS2]]),_xlfn.STDEV.P(tblY11[[Avg KS2]])),9),_Stanine,2),5),"")</f>
        <v>6</v>
      </c>
      <c r="J10" s="66" t="inlineStr">
        <is>
          <t>11S/Sc1</t>
        </is>
      </c>
      <c r="K10" s="67">
        <f>IF(tblY11[[#This Row],[Preferred Last name]]="","",COUNTIFS($N$1:$ZZ$1,"*"&amp;CHAR(10)&amp;"Stanine",$N10:$ZZ10,"&gt;=1"))</f>
        <v>6</v>
      </c>
      <c r="L10" s="68">
        <f>IFERROR(AVERAGEIF($N$1:$ZZ$1,"*"&amp;CHAR(10)&amp;"Stanine",$N10:$ZZ10),"")</f>
        <v>6.5</v>
      </c>
      <c r="M10" s="69">
        <f>IF(AND(ISNUMBER(tblY11[[#This Row],[Mean Stanine]]),ISNUMBER(tblY11[[#This Row],[Avg KS2 Band]]),ISNUMBER(SlopeY11)),tblY11[[#This Row],[Mean Stanine]]-(InterceptY11+SlopeY11*tblY11[[#This Row],[Avg KS2 Band]]),"")</f>
        <v>0.798437950937951</v>
      </c>
      <c r="N10" s="66" t="n">
        <v>31</v>
      </c>
      <c r="O10" s="67">
        <f>IF(ISNUMBER(tblY11[[#This Row],[4B05 - Homeostasis
Raw Score]]),IFERROR(VLOOKUP(ROUND(STANDARDIZE(tblY11[[#This Row],[4B05 - Homeostasis
Raw Score]],AVERAGE(tblY11[[4B05 - Homeostasis
Raw Score]]),_xlfn.STDEV.P(tblY11[[4B05 - Homeostasis
Raw Score]])),9),_Stanine,2),5),"")</f>
        <v>7</v>
      </c>
      <c r="P10" s="66" t="n">
        <v>19</v>
      </c>
      <c r="Q10" s="67">
        <f>IF(ISNUMBER(tblY11[[#This Row],[4C09 - Organic Chemistry
Raw Score]]),IFERROR(VLOOKUP(ROUND(STANDARDIZE(tblY11[[#This Row],[4C09 - Organic Chemistry
Raw Score]],AVERAGE(tblY11[[4C09 - Organic Chemistry
Raw Score]]),_xlfn.STDEV.P(tblY11[[4C09 - Organic Chemistry
Raw Score]])),9),_Stanine,2),5),"")</f>
        <v>6</v>
      </c>
      <c r="R10" s="66" t="n">
        <v>28</v>
      </c>
      <c r="S10" s="67">
        <f>IF(ISNUMBER(tblY11[[#This Row],[4P06 - Waves
Raw Score]]),IFERROR(VLOOKUP(ROUND(STANDARDIZE(tblY11[[#This Row],[4P06 - Waves
Raw Score]],AVERAGE(tblY11[[4P06 - Waves
Raw Score]]),_xlfn.STDEV.P(tblY11[[4P06 - Waves
Raw Score]])),9),_Stanine,2),5),"")</f>
        <v>7</v>
      </c>
      <c r="T10" s="66" t="n">
        <v>23</v>
      </c>
      <c r="U10" s="67">
        <f>IF(ISNUMBER(tblY11[[#This Row],[4B06 - Inheritance
Raw Score]]),IFERROR(VLOOKUP(ROUND(STANDARDIZE(tblY11[[#This Row],[4B06 - Inheritance
Raw Score]],AVERAGE(tblY11[[4B06 - Inheritance
Raw Score]]),_xlfn.STDEV.P(tblY11[[4B06 - Inheritance
Raw Score]])),9),_Stanine,2),5),"")</f>
        <v>6</v>
      </c>
      <c r="V10" s="66" t="n">
        <v>22</v>
      </c>
      <c r="W10" s="67">
        <f>IF(ISNUMBER(tblY11[[#This Row],[4C10 - Chemical Analysis
Raw Score]]),IFERROR(VLOOKUP(ROUND(STANDARDIZE(tblY11[[#This Row],[4C10 - Chemical Analysis
Raw Score]],AVERAGE(tblY11[[4C10 - Chemical Analysis
Raw Score]]),_xlfn.STDEV.P(tblY11[[4C10 - Chemical Analysis
Raw Score]])),9),_Stanine,2),5),"")</f>
        <v>7</v>
      </c>
      <c r="X10" s="66" t="n">
        <v>21</v>
      </c>
      <c r="Y10" s="67">
        <f>IF(ISNUMBER(tblY11[[#This Row],[4P07 - Magnetism
Raw Score]]),IFERROR(VLOOKUP(ROUND(STANDARDIZE(tblY11[[#This Row],[4P07 - Magnetism
Raw Score]],AVERAGE(tblY11[[4P07 - Magnetism
Raw Score]]),_xlfn.STDEV.P(tblY11[[4P07 - Magnetism
Raw Score]])),9),_Stanine,2),5),"")</f>
        <v>6</v>
      </c>
    </row>
    <row r="11">
      <c r="A11" s="65" t="inlineStr">
        <is>
          <t>X909635200089</t>
        </is>
      </c>
      <c r="B11" s="65" t="inlineStr">
        <is>
          <t>Hussain</t>
        </is>
      </c>
      <c r="C11" s="65" t="inlineStr">
        <is>
          <t>Freya</t>
        </is>
      </c>
      <c r="D11" s="66" t="inlineStr">
        <is>
          <t>F</t>
        </is>
      </c>
      <c r="E11" s="66" t="inlineStr">
        <is>
          <t>N</t>
        </is>
      </c>
      <c r="F11" s="66" t="inlineStr">
        <is>
          <t>N</t>
        </is>
      </c>
      <c r="G11" s="34" t="n">
        <v>84.40000000000001</v>
      </c>
      <c r="H11" s="34" t="n">
        <v>115.5</v>
      </c>
      <c r="I11" s="67">
        <f>IF(ISNUMBER(tblY11[[#This Row],[Avg KS2]]),IFERROR(VLOOKUP(ROUND(STANDARDIZE(tblY11[[#This Row],[Avg KS2]],AVERAGE(tblY11[[Avg KS2]]),_xlfn.STDEV.P(tblY11[[Avg KS2]])),9),_Stanine,2),5),"")</f>
        <v>8</v>
      </c>
      <c r="J11" s="66" t="inlineStr">
        <is>
          <t>11S/Sc1</t>
        </is>
      </c>
      <c r="K11" s="67">
        <f>IF(tblY11[[#This Row],[Preferred Last name]]="","",COUNTIFS($N$1:$ZZ$1,"*"&amp;CHAR(10)&amp;"Stanine",$N11:$ZZ11,"&gt;=1"))</f>
        <v>6</v>
      </c>
      <c r="L11" s="68">
        <f>IFERROR(AVERAGEIF($N$1:$ZZ$1,"*"&amp;CHAR(10)&amp;"Stanine",$N11:$ZZ11),"")</f>
        <v>7.83333333333333</v>
      </c>
      <c r="M11" s="69">
        <f>IF(AND(ISNUMBER(tblY11[[#This Row],[Mean Stanine]]),ISNUMBER(tblY11[[#This Row],[Avg KS2 Band]]),ISNUMBER(SlopeY11)),tblY11[[#This Row],[Mean Stanine]]-(InterceptY11+SlopeY11*tblY11[[#This Row],[Avg KS2 Band]]),"")</f>
        <v>0.634044011544011</v>
      </c>
      <c r="N11" s="66" t="n">
        <v>34</v>
      </c>
      <c r="O11" s="67">
        <f>IF(ISNUMBER(tblY11[[#This Row],[4B05 - Homeostasis
Raw Score]]),IFERROR(VLOOKUP(ROUND(STANDARDIZE(tblY11[[#This Row],[4B05 - Homeostasis
Raw Score]],AVERAGE(tblY11[[4B05 - Homeostasis
Raw Score]]),_xlfn.STDEV.P(tblY11[[4B05 - Homeostasis
Raw Score]])),9),_Stanine,2),5),"")</f>
        <v>8</v>
      </c>
      <c r="P11" s="66" t="n">
        <v>26</v>
      </c>
      <c r="Q11" s="67">
        <f>IF(ISNUMBER(tblY11[[#This Row],[4C09 - Organic Chemistry
Raw Score]]),IFERROR(VLOOKUP(ROUND(STANDARDIZE(tblY11[[#This Row],[4C09 - Organic Chemistry
Raw Score]],AVERAGE(tblY11[[4C09 - Organic Chemistry
Raw Score]]),_xlfn.STDEV.P(tblY11[[4C09 - Organic Chemistry
Raw Score]])),9),_Stanine,2),5),"")</f>
        <v>8</v>
      </c>
      <c r="R11" s="66" t="n">
        <v>30</v>
      </c>
      <c r="S11" s="67">
        <f>IF(ISNUMBER(tblY11[[#This Row],[4P06 - Waves
Raw Score]]),IFERROR(VLOOKUP(ROUND(STANDARDIZE(tblY11[[#This Row],[4P06 - Waves
Raw Score]],AVERAGE(tblY11[[4P06 - Waves
Raw Score]]),_xlfn.STDEV.P(tblY11[[4P06 - Waves
Raw Score]])),9),_Stanine,2),5),"")</f>
        <v>7</v>
      </c>
      <c r="T11" s="66" t="n">
        <v>34</v>
      </c>
      <c r="U11" s="67">
        <f>IF(ISNUMBER(tblY11[[#This Row],[4B06 - Inheritance
Raw Score]]),IFERROR(VLOOKUP(ROUND(STANDARDIZE(tblY11[[#This Row],[4B06 - Inheritance
Raw Score]],AVERAGE(tblY11[[4B06 - Inheritance
Raw Score]]),_xlfn.STDEV.P(tblY11[[4B06 - Inheritance
Raw Score]])),9),_Stanine,2),5),"")</f>
        <v>8</v>
      </c>
      <c r="V11" s="66" t="n">
        <v>25</v>
      </c>
      <c r="W11" s="67">
        <f>IF(ISNUMBER(tblY11[[#This Row],[4C10 - Chemical Analysis
Raw Score]]),IFERROR(VLOOKUP(ROUND(STANDARDIZE(tblY11[[#This Row],[4C10 - Chemical Analysis
Raw Score]],AVERAGE(tblY11[[4C10 - Chemical Analysis
Raw Score]]),_xlfn.STDEV.P(tblY11[[4C10 - Chemical Analysis
Raw Score]])),9),_Stanine,2),5),"")</f>
        <v>8</v>
      </c>
      <c r="X11" s="66" t="n">
        <v>28</v>
      </c>
      <c r="Y11" s="67">
        <f>IF(ISNUMBER(tblY11[[#This Row],[4P07 - Magnetism
Raw Score]]),IFERROR(VLOOKUP(ROUND(STANDARDIZE(tblY11[[#This Row],[4P07 - Magnetism
Raw Score]],AVERAGE(tblY11[[4P07 - Magnetism
Raw Score]]),_xlfn.STDEV.P(tblY11[[4P07 - Magnetism
Raw Score]])),9),_Stanine,2),5),"")</f>
        <v>8</v>
      </c>
    </row>
    <row r="12">
      <c r="A12" s="65" t="inlineStr">
        <is>
          <t>X909497123663</t>
        </is>
      </c>
      <c r="B12" s="65" t="inlineStr">
        <is>
          <t>Hussain</t>
        </is>
      </c>
      <c r="C12" s="65" t="inlineStr">
        <is>
          <t>Hollie</t>
        </is>
      </c>
      <c r="D12" s="66" t="inlineStr">
        <is>
          <t>M</t>
        </is>
      </c>
      <c r="E12" s="66" t="inlineStr">
        <is>
          <t>K</t>
        </is>
      </c>
      <c r="F12" s="66" t="inlineStr">
        <is>
          <t>N</t>
        </is>
      </c>
      <c r="G12" s="34" t="n">
        <v>92.90000000000001</v>
      </c>
      <c r="H12" s="34" t="inlineStr">
        <is>
          <t>No Data</t>
        </is>
      </c>
      <c r="I12" s="67" t="str">
        <f>IF(ISNUMBER(tblY11[[#This Row],[Avg KS2]]),IFERROR(VLOOKUP(ROUND(STANDARDIZE(tblY11[[#This Row],[Avg KS2]],AVERAGE(tblY11[[Avg KS2]]),_xlfn.STDEV.P(tblY11[[Avg KS2]])),9),_Stanine,2),5),"")</f>
        <v/>
      </c>
      <c r="J12" s="66" t="inlineStr">
        <is>
          <t>11S/Sc1</t>
        </is>
      </c>
      <c r="K12" s="67">
        <f>IF(tblY11[[#This Row],[Preferred Last name]]="","",COUNTIFS($N$1:$ZZ$1,"*"&amp;CHAR(10)&amp;"Stanine",$N12:$ZZ12,"&gt;=1"))</f>
        <v>5</v>
      </c>
      <c r="L12" s="68">
        <f>IFERROR(AVERAGEIF($N$1:$ZZ$1,"*"&amp;CHAR(10)&amp;"Stanine",$N12:$ZZ12),"")</f>
        <v>7</v>
      </c>
      <c r="M12" s="69" t="str">
        <f>IF(AND(ISNUMBER(tblY11[[#This Row],[Mean Stanine]]),ISNUMBER(tblY11[[#This Row],[Avg KS2 Band]]),ISNUMBER(SlopeY11)),tblY11[[#This Row],[Mean Stanine]]-(InterceptY11+SlopeY11*tblY11[[#This Row],[Avg KS2 Band]]),"")</f>
        <v/>
      </c>
      <c r="N12" s="66" t="n">
        <v>28</v>
      </c>
      <c r="O12" s="67">
        <f>IF(ISNUMBER(tblY11[[#This Row],[4B05 - Homeostasis
Raw Score]]),IFERROR(VLOOKUP(ROUND(STANDARDIZE(tblY11[[#This Row],[4B05 - Homeostasis
Raw Score]],AVERAGE(tblY11[[4B05 - Homeostasis
Raw Score]]),_xlfn.STDEV.P(tblY11[[4B05 - Homeostasis
Raw Score]])),9),_Stanine,2),5),"")</f>
        <v>7</v>
      </c>
      <c r="P12" s="66" t="n">
        <v>22</v>
      </c>
      <c r="Q12" s="67">
        <f>IF(ISNUMBER(tblY11[[#This Row],[4C09 - Organic Chemistry
Raw Score]]),IFERROR(VLOOKUP(ROUND(STANDARDIZE(tblY11[[#This Row],[4C09 - Organic Chemistry
Raw Score]],AVERAGE(tblY11[[4C09 - Organic Chemistry
Raw Score]]),_xlfn.STDEV.P(tblY11[[4C09 - Organic Chemistry
Raw Score]])),9),_Stanine,2),5),"")</f>
        <v>7</v>
      </c>
      <c r="R12" s="66" t="n">
        <v>28</v>
      </c>
      <c r="S12" s="67">
        <f>IF(ISNUMBER(tblY11[[#This Row],[4P06 - Waves
Raw Score]]),IFERROR(VLOOKUP(ROUND(STANDARDIZE(tblY11[[#This Row],[4P06 - Waves
Raw Score]],AVERAGE(tblY11[[4P06 - Waves
Raw Score]]),_xlfn.STDEV.P(tblY11[[4P06 - Waves
Raw Score]])),9),_Stanine,2),5),"")</f>
        <v>7</v>
      </c>
      <c r="T12" s="66" t="inlineStr">
        <is>
          <t>A</t>
        </is>
      </c>
      <c r="U12" s="67" t="str">
        <f>IF(ISNUMBER(tblY11[[#This Row],[4B06 - Inheritance
Raw Score]]),IFERROR(VLOOKUP(ROUND(STANDARDIZE(tblY11[[#This Row],[4B06 - Inheritance
Raw Score]],AVERAGE(tblY11[[4B06 - Inheritance
Raw Score]]),_xlfn.STDEV.P(tblY11[[4B06 - Inheritance
Raw Score]])),9),_Stanine,2),5),"")</f>
        <v/>
      </c>
      <c r="V12" s="66" t="n">
        <v>22</v>
      </c>
      <c r="W12" s="67">
        <f>IF(ISNUMBER(tblY11[[#This Row],[4C10 - Chemical Analysis
Raw Score]]),IFERROR(VLOOKUP(ROUND(STANDARDIZE(tblY11[[#This Row],[4C10 - Chemical Analysis
Raw Score]],AVERAGE(tblY11[[4C10 - Chemical Analysis
Raw Score]]),_xlfn.STDEV.P(tblY11[[4C10 - Chemical Analysis
Raw Score]])),9),_Stanine,2),5),"")</f>
        <v>7</v>
      </c>
      <c r="X12" s="66" t="n">
        <v>22</v>
      </c>
      <c r="Y12" s="67">
        <f>IF(ISNUMBER(tblY11[[#This Row],[4P07 - Magnetism
Raw Score]]),IFERROR(VLOOKUP(ROUND(STANDARDIZE(tblY11[[#This Row],[4P07 - Magnetism
Raw Score]],AVERAGE(tblY11[[4P07 - Magnetism
Raw Score]]),_xlfn.STDEV.P(tblY11[[4P07 - Magnetism
Raw Score]])),9),_Stanine,2),5),"")</f>
        <v>7</v>
      </c>
    </row>
    <row r="13">
      <c r="A13" s="65" t="inlineStr">
        <is>
          <t>X907431289912</t>
        </is>
      </c>
      <c r="B13" s="65" t="inlineStr">
        <is>
          <t>Jones</t>
        </is>
      </c>
      <c r="C13" s="65" t="inlineStr">
        <is>
          <t>Nia</t>
        </is>
      </c>
      <c r="D13" s="66" t="inlineStr">
        <is>
          <t>F</t>
        </is>
      </c>
      <c r="E13" s="66" t="n"/>
      <c r="F13" s="66" t="inlineStr">
        <is>
          <t>N</t>
        </is>
      </c>
      <c r="G13" s="34" t="n">
        <v>100</v>
      </c>
      <c r="H13" s="34" t="n">
        <v>111.5</v>
      </c>
      <c r="I13" s="67">
        <f>IF(ISNUMBER(tblY11[[#This Row],[Avg KS2]]),IFERROR(VLOOKUP(ROUND(STANDARDIZE(tblY11[[#This Row],[Avg KS2]],AVERAGE(tblY11[[Avg KS2]]),_xlfn.STDEV.P(tblY11[[Avg KS2]])),9),_Stanine,2),5),"")</f>
        <v>7</v>
      </c>
      <c r="J13" s="66" t="inlineStr">
        <is>
          <t>11S/Sc1</t>
        </is>
      </c>
      <c r="K13" s="67">
        <f>IF(tblY11[[#This Row],[Preferred Last name]]="","",COUNTIFS($N$1:$ZZ$1,"*"&amp;CHAR(10)&amp;"Stanine",$N13:$ZZ13,"&gt;=1"))</f>
        <v>6</v>
      </c>
      <c r="L13" s="68">
        <f>IFERROR(AVERAGEIF($N$1:$ZZ$1,"*"&amp;CHAR(10)&amp;"Stanine",$N13:$ZZ13),"")</f>
        <v>7.33333333333333</v>
      </c>
      <c r="M13" s="69">
        <f>IF(AND(ISNUMBER(tblY11[[#This Row],[Mean Stanine]]),ISNUMBER(tblY11[[#This Row],[Avg KS2 Band]]),ISNUMBER(SlopeY11)),tblY11[[#This Row],[Mean Stanine]]-(InterceptY11+SlopeY11*tblY11[[#This Row],[Avg KS2 Band]]),"")</f>
        <v>0.882907647907648</v>
      </c>
      <c r="N13" s="66" t="n">
        <v>25</v>
      </c>
      <c r="O13" s="67">
        <f>IF(ISNUMBER(tblY11[[#This Row],[4B05 - Homeostasis
Raw Score]]),IFERROR(VLOOKUP(ROUND(STANDARDIZE(tblY11[[#This Row],[4B05 - Homeostasis
Raw Score]],AVERAGE(tblY11[[4B05 - Homeostasis
Raw Score]]),_xlfn.STDEV.P(tblY11[[4B05 - Homeostasis
Raw Score]])),9),_Stanine,2),5),"")</f>
        <v>6</v>
      </c>
      <c r="P13" s="66" t="n">
        <v>22</v>
      </c>
      <c r="Q13" s="67">
        <f>IF(ISNUMBER(tblY11[[#This Row],[4C09 - Organic Chemistry
Raw Score]]),IFERROR(VLOOKUP(ROUND(STANDARDIZE(tblY11[[#This Row],[4C09 - Organic Chemistry
Raw Score]],AVERAGE(tblY11[[4C09 - Organic Chemistry
Raw Score]]),_xlfn.STDEV.P(tblY11[[4C09 - Organic Chemistry
Raw Score]])),9),_Stanine,2),5),"")</f>
        <v>7</v>
      </c>
      <c r="R13" s="66" t="n">
        <v>33</v>
      </c>
      <c r="S13" s="67">
        <f>IF(ISNUMBER(tblY11[[#This Row],[4P06 - Waves
Raw Score]]),IFERROR(VLOOKUP(ROUND(STANDARDIZE(tblY11[[#This Row],[4P06 - Waves
Raw Score]],AVERAGE(tblY11[[4P06 - Waves
Raw Score]]),_xlfn.STDEV.P(tblY11[[4P06 - Waves
Raw Score]])),9),_Stanine,2),5),"")</f>
        <v>8</v>
      </c>
      <c r="T13" s="66" t="n">
        <v>32</v>
      </c>
      <c r="U13" s="67">
        <f>IF(ISNUMBER(tblY11[[#This Row],[4B06 - Inheritance
Raw Score]]),IFERROR(VLOOKUP(ROUND(STANDARDIZE(tblY11[[#This Row],[4B06 - Inheritance
Raw Score]],AVERAGE(tblY11[[4B06 - Inheritance
Raw Score]]),_xlfn.STDEV.P(tblY11[[4B06 - Inheritance
Raw Score]])),9),_Stanine,2),5),"")</f>
        <v>8</v>
      </c>
      <c r="V13" s="66" t="n">
        <v>20</v>
      </c>
      <c r="W13" s="67">
        <f>IF(ISNUMBER(tblY11[[#This Row],[4C10 - Chemical Analysis
Raw Score]]),IFERROR(VLOOKUP(ROUND(STANDARDIZE(tblY11[[#This Row],[4C10 - Chemical Analysis
Raw Score]],AVERAGE(tblY11[[4C10 - Chemical Analysis
Raw Score]]),_xlfn.STDEV.P(tblY11[[4C10 - Chemical Analysis
Raw Score]])),9),_Stanine,2),5),"")</f>
        <v>7</v>
      </c>
      <c r="X13" s="66" t="n">
        <v>25</v>
      </c>
      <c r="Y13" s="67">
        <f>IF(ISNUMBER(tblY11[[#This Row],[4P07 - Magnetism
Raw Score]]),IFERROR(VLOOKUP(ROUND(STANDARDIZE(tblY11[[#This Row],[4P07 - Magnetism
Raw Score]],AVERAGE(tblY11[[4P07 - Magnetism
Raw Score]]),_xlfn.STDEV.P(tblY11[[4P07 - Magnetism
Raw Score]])),9),_Stanine,2),5),"")</f>
        <v>8</v>
      </c>
    </row>
    <row r="14">
      <c r="A14" s="65" t="inlineStr">
        <is>
          <t>X902463891635</t>
        </is>
      </c>
      <c r="B14" s="65" t="inlineStr">
        <is>
          <t>Jones</t>
        </is>
      </c>
      <c r="C14" s="65" t="inlineStr">
        <is>
          <t>Poppy</t>
        </is>
      </c>
      <c r="D14" s="66" t="inlineStr">
        <is>
          <t>M</t>
        </is>
      </c>
      <c r="E14" s="66" t="inlineStr">
        <is>
          <t>N</t>
        </is>
      </c>
      <c r="F14" s="66" t="inlineStr">
        <is>
          <t>N</t>
        </is>
      </c>
      <c r="G14" s="34" t="n">
        <v>94.8</v>
      </c>
      <c r="H14" s="34" t="n">
        <v>116.5</v>
      </c>
      <c r="I14" s="67">
        <f>IF(ISNUMBER(tblY11[[#This Row],[Avg KS2]]),IFERROR(VLOOKUP(ROUND(STANDARDIZE(tblY11[[#This Row],[Avg KS2]],AVERAGE(tblY11[[Avg KS2]]),_xlfn.STDEV.P(tblY11[[Avg KS2]])),9),_Stanine,2),5),"")</f>
        <v>9</v>
      </c>
      <c r="J14" s="66" t="inlineStr">
        <is>
          <t>11S/Sc1</t>
        </is>
      </c>
      <c r="K14" s="67">
        <f>IF(tblY11[[#This Row],[Preferred Last name]]="","",COUNTIFS($N$1:$ZZ$1,"*"&amp;CHAR(10)&amp;"Stanine",$N14:$ZZ14,"&gt;=1"))</f>
        <v>6</v>
      </c>
      <c r="L14" s="68">
        <f>IFERROR(AVERAGEIF($N$1:$ZZ$1,"*"&amp;CHAR(10)&amp;"Stanine",$N14:$ZZ14),"")</f>
        <v>7</v>
      </c>
      <c r="M14" s="69">
        <f>IF(AND(ISNUMBER(tblY11[[#This Row],[Mean Stanine]]),ISNUMBER(tblY11[[#This Row],[Avg KS2 Band]]),ISNUMBER(SlopeY11)),tblY11[[#This Row],[Mean Stanine]]-(InterceptY11+SlopeY11*tblY11[[#This Row],[Avg KS2 Band]]),"")</f>
        <v>-0.948152958152958</v>
      </c>
      <c r="N14" s="66" t="n">
        <v>31</v>
      </c>
      <c r="O14" s="67">
        <f>IF(ISNUMBER(tblY11[[#This Row],[4B05 - Homeostasis
Raw Score]]),IFERROR(VLOOKUP(ROUND(STANDARDIZE(tblY11[[#This Row],[4B05 - Homeostasis
Raw Score]],AVERAGE(tblY11[[4B05 - Homeostasis
Raw Score]]),_xlfn.STDEV.P(tblY11[[4B05 - Homeostasis
Raw Score]])),9),_Stanine,2),5),"")</f>
        <v>7</v>
      </c>
      <c r="P14" s="66" t="n">
        <v>24</v>
      </c>
      <c r="Q14" s="67">
        <f>IF(ISNUMBER(tblY11[[#This Row],[4C09 - Organic Chemistry
Raw Score]]),IFERROR(VLOOKUP(ROUND(STANDARDIZE(tblY11[[#This Row],[4C09 - Organic Chemistry
Raw Score]],AVERAGE(tblY11[[4C09 - Organic Chemistry
Raw Score]]),_xlfn.STDEV.P(tblY11[[4C09 - Organic Chemistry
Raw Score]])),9),_Stanine,2),5),"")</f>
        <v>7</v>
      </c>
      <c r="R14" s="66" t="n">
        <v>28</v>
      </c>
      <c r="S14" s="67">
        <f>IF(ISNUMBER(tblY11[[#This Row],[4P06 - Waves
Raw Score]]),IFERROR(VLOOKUP(ROUND(STANDARDIZE(tblY11[[#This Row],[4P06 - Waves
Raw Score]],AVERAGE(tblY11[[4P06 - Waves
Raw Score]]),_xlfn.STDEV.P(tblY11[[4P06 - Waves
Raw Score]])),9),_Stanine,2),5),"")</f>
        <v>7</v>
      </c>
      <c r="T14" s="66" t="n">
        <v>31</v>
      </c>
      <c r="U14" s="67">
        <f>IF(ISNUMBER(tblY11[[#This Row],[4B06 - Inheritance
Raw Score]]),IFERROR(VLOOKUP(ROUND(STANDARDIZE(tblY11[[#This Row],[4B06 - Inheritance
Raw Score]],AVERAGE(tblY11[[4B06 - Inheritance
Raw Score]]),_xlfn.STDEV.P(tblY11[[4B06 - Inheritance
Raw Score]])),9),_Stanine,2),5),"")</f>
        <v>8</v>
      </c>
      <c r="V14" s="66" t="n">
        <v>22</v>
      </c>
      <c r="W14" s="67">
        <f>IF(ISNUMBER(tblY11[[#This Row],[4C10 - Chemical Analysis
Raw Score]]),IFERROR(VLOOKUP(ROUND(STANDARDIZE(tblY11[[#This Row],[4C10 - Chemical Analysis
Raw Score]],AVERAGE(tblY11[[4C10 - Chemical Analysis
Raw Score]]),_xlfn.STDEV.P(tblY11[[4C10 - Chemical Analysis
Raw Score]])),9),_Stanine,2),5),"")</f>
        <v>7</v>
      </c>
      <c r="X14" s="66" t="n">
        <v>19</v>
      </c>
      <c r="Y14" s="67">
        <f>IF(ISNUMBER(tblY11[[#This Row],[4P07 - Magnetism
Raw Score]]),IFERROR(VLOOKUP(ROUND(STANDARDIZE(tblY11[[#This Row],[4P07 - Magnetism
Raw Score]],AVERAGE(tblY11[[4P07 - Magnetism
Raw Score]]),_xlfn.STDEV.P(tblY11[[4P07 - Magnetism
Raw Score]])),9),_Stanine,2),5),"")</f>
        <v>6</v>
      </c>
    </row>
    <row r="15">
      <c r="A15" s="65" t="inlineStr">
        <is>
          <t>X908668621618</t>
        </is>
      </c>
      <c r="B15" s="65" t="inlineStr">
        <is>
          <t>Lewis</t>
        </is>
      </c>
      <c r="C15" s="65" t="inlineStr">
        <is>
          <t>Jacob</t>
        </is>
      </c>
      <c r="D15" s="66" t="inlineStr">
        <is>
          <t>M</t>
        </is>
      </c>
      <c r="E15" s="66" t="n"/>
      <c r="F15" s="66" t="inlineStr">
        <is>
          <t>Y</t>
        </is>
      </c>
      <c r="G15" s="34" t="n">
        <v>95.40000000000001</v>
      </c>
      <c r="H15" s="34" t="n">
        <v>112</v>
      </c>
      <c r="I15" s="67">
        <f>IF(ISNUMBER(tblY11[[#This Row],[Avg KS2]]),IFERROR(VLOOKUP(ROUND(STANDARDIZE(tblY11[[#This Row],[Avg KS2]],AVERAGE(tblY11[[Avg KS2]]),_xlfn.STDEV.P(tblY11[[Avg KS2]])),9),_Stanine,2),5),"")</f>
        <v>7</v>
      </c>
      <c r="J15" s="66" t="inlineStr">
        <is>
          <t>11S/Sc1</t>
        </is>
      </c>
      <c r="K15" s="67">
        <f>IF(tblY11[[#This Row],[Preferred Last name]]="","",COUNTIFS($N$1:$ZZ$1,"*"&amp;CHAR(10)&amp;"Stanine",$N15:$ZZ15,"&gt;=1"))</f>
        <v>6</v>
      </c>
      <c r="L15" s="68">
        <f>IFERROR(AVERAGEIF($N$1:$ZZ$1,"*"&amp;CHAR(10)&amp;"Stanine",$N15:$ZZ15),"")</f>
        <v>7</v>
      </c>
      <c r="M15" s="69">
        <f>IF(AND(ISNUMBER(tblY11[[#This Row],[Mean Stanine]]),ISNUMBER(tblY11[[#This Row],[Avg KS2 Band]]),ISNUMBER(SlopeY11)),tblY11[[#This Row],[Mean Stanine]]-(InterceptY11+SlopeY11*tblY11[[#This Row],[Avg KS2 Band]]),"")</f>
        <v>0.549574314574315</v>
      </c>
      <c r="N15" s="66" t="n">
        <v>24</v>
      </c>
      <c r="O15" s="67">
        <f>IF(ISNUMBER(tblY11[[#This Row],[4B05 - Homeostasis
Raw Score]]),IFERROR(VLOOKUP(ROUND(STANDARDIZE(tblY11[[#This Row],[4B05 - Homeostasis
Raw Score]],AVERAGE(tblY11[[4B05 - Homeostasis
Raw Score]]),_xlfn.STDEV.P(tblY11[[4B05 - Homeostasis
Raw Score]])),9),_Stanine,2),5),"")</f>
        <v>6</v>
      </c>
      <c r="P15" s="66" t="n">
        <v>22</v>
      </c>
      <c r="Q15" s="67">
        <f>IF(ISNUMBER(tblY11[[#This Row],[4C09 - Organic Chemistry
Raw Score]]),IFERROR(VLOOKUP(ROUND(STANDARDIZE(tblY11[[#This Row],[4C09 - Organic Chemistry
Raw Score]],AVERAGE(tblY11[[4C09 - Organic Chemistry
Raw Score]]),_xlfn.STDEV.P(tblY11[[4C09 - Organic Chemistry
Raw Score]])),9),_Stanine,2),5),"")</f>
        <v>7</v>
      </c>
      <c r="R15" s="66" t="n">
        <v>28</v>
      </c>
      <c r="S15" s="67">
        <f>IF(ISNUMBER(tblY11[[#This Row],[4P06 - Waves
Raw Score]]),IFERROR(VLOOKUP(ROUND(STANDARDIZE(tblY11[[#This Row],[4P06 - Waves
Raw Score]],AVERAGE(tblY11[[4P06 - Waves
Raw Score]]),_xlfn.STDEV.P(tblY11[[4P06 - Waves
Raw Score]])),9),_Stanine,2),5),"")</f>
        <v>7</v>
      </c>
      <c r="T15" s="66" t="n">
        <v>28</v>
      </c>
      <c r="U15" s="67">
        <f>IF(ISNUMBER(tblY11[[#This Row],[4B06 - Inheritance
Raw Score]]),IFERROR(VLOOKUP(ROUND(STANDARDIZE(tblY11[[#This Row],[4B06 - Inheritance
Raw Score]],AVERAGE(tblY11[[4B06 - Inheritance
Raw Score]]),_xlfn.STDEV.P(tblY11[[4B06 - Inheritance
Raw Score]])),9),_Stanine,2),5),"")</f>
        <v>7</v>
      </c>
      <c r="V15" s="66" t="n">
        <v>21</v>
      </c>
      <c r="W15" s="67">
        <f>IF(ISNUMBER(tblY11[[#This Row],[4C10 - Chemical Analysis
Raw Score]]),IFERROR(VLOOKUP(ROUND(STANDARDIZE(tblY11[[#This Row],[4C10 - Chemical Analysis
Raw Score]],AVERAGE(tblY11[[4C10 - Chemical Analysis
Raw Score]]),_xlfn.STDEV.P(tblY11[[4C10 - Chemical Analysis
Raw Score]])),9),_Stanine,2),5),"")</f>
        <v>7</v>
      </c>
      <c r="X15" s="66" t="n">
        <v>26</v>
      </c>
      <c r="Y15" s="67">
        <f>IF(ISNUMBER(tblY11[[#This Row],[4P07 - Magnetism
Raw Score]]),IFERROR(VLOOKUP(ROUND(STANDARDIZE(tblY11[[#This Row],[4P07 - Magnetism
Raw Score]],AVERAGE(tblY11[[4P07 - Magnetism
Raw Score]]),_xlfn.STDEV.P(tblY11[[4P07 - Magnetism
Raw Score]])),9),_Stanine,2),5),"")</f>
        <v>8</v>
      </c>
    </row>
    <row r="16">
      <c r="A16" s="65" t="inlineStr">
        <is>
          <t>X906862625921</t>
        </is>
      </c>
      <c r="B16" s="65" t="inlineStr">
        <is>
          <t>Morgan</t>
        </is>
      </c>
      <c r="C16" s="65" t="inlineStr">
        <is>
          <t>Arthur</t>
        </is>
      </c>
      <c r="D16" s="66" t="inlineStr">
        <is>
          <t>M</t>
        </is>
      </c>
      <c r="E16" s="66" t="n"/>
      <c r="F16" s="66" t="inlineStr">
        <is>
          <t>Y</t>
        </is>
      </c>
      <c r="G16" s="34" t="n">
        <v>100</v>
      </c>
      <c r="H16" s="34" t="n">
        <v>111.5</v>
      </c>
      <c r="I16" s="67">
        <f>IF(ISNUMBER(tblY11[[#This Row],[Avg KS2]]),IFERROR(VLOOKUP(ROUND(STANDARDIZE(tblY11[[#This Row],[Avg KS2]],AVERAGE(tblY11[[Avg KS2]]),_xlfn.STDEV.P(tblY11[[Avg KS2]])),9),_Stanine,2),5),"")</f>
        <v>7</v>
      </c>
      <c r="J16" s="66" t="inlineStr">
        <is>
          <t>11S/Sc1</t>
        </is>
      </c>
      <c r="K16" s="67">
        <f>IF(tblY11[[#This Row],[Preferred Last name]]="","",COUNTIFS($N$1:$ZZ$1,"*"&amp;CHAR(10)&amp;"Stanine",$N16:$ZZ16,"&gt;=1"))</f>
        <v>6</v>
      </c>
      <c r="L16" s="68">
        <f>IFERROR(AVERAGEIF($N$1:$ZZ$1,"*"&amp;CHAR(10)&amp;"Stanine",$N16:$ZZ16),"")</f>
        <v>6</v>
      </c>
      <c r="M16" s="69">
        <f>IF(AND(ISNUMBER(tblY11[[#This Row],[Mean Stanine]]),ISNUMBER(tblY11[[#This Row],[Avg KS2 Band]]),ISNUMBER(SlopeY11)),tblY11[[#This Row],[Mean Stanine]]-(InterceptY11+SlopeY11*tblY11[[#This Row],[Avg KS2 Band]]),"")</f>
        <v>-0.450425685425685</v>
      </c>
      <c r="N16" s="66" t="n">
        <v>26</v>
      </c>
      <c r="O16" s="67">
        <f>IF(ISNUMBER(tblY11[[#This Row],[4B05 - Homeostasis
Raw Score]]),IFERROR(VLOOKUP(ROUND(STANDARDIZE(tblY11[[#This Row],[4B05 - Homeostasis
Raw Score]],AVERAGE(tblY11[[4B05 - Homeostasis
Raw Score]]),_xlfn.STDEV.P(tblY11[[4B05 - Homeostasis
Raw Score]])),9),_Stanine,2),5),"")</f>
        <v>6</v>
      </c>
      <c r="P16" s="66" t="n">
        <v>18</v>
      </c>
      <c r="Q16" s="67">
        <f>IF(ISNUMBER(tblY11[[#This Row],[4C09 - Organic Chemistry
Raw Score]]),IFERROR(VLOOKUP(ROUND(STANDARDIZE(tblY11[[#This Row],[4C09 - Organic Chemistry
Raw Score]],AVERAGE(tblY11[[4C09 - Organic Chemistry
Raw Score]]),_xlfn.STDEV.P(tblY11[[4C09 - Organic Chemistry
Raw Score]])),9),_Stanine,2),5),"")</f>
        <v>5</v>
      </c>
      <c r="R16" s="66" t="n">
        <v>27</v>
      </c>
      <c r="S16" s="67">
        <f>IF(ISNUMBER(tblY11[[#This Row],[4P06 - Waves
Raw Score]]),IFERROR(VLOOKUP(ROUND(STANDARDIZE(tblY11[[#This Row],[4P06 - Waves
Raw Score]],AVERAGE(tblY11[[4P06 - Waves
Raw Score]]),_xlfn.STDEV.P(tblY11[[4P06 - Waves
Raw Score]])),9),_Stanine,2),5),"")</f>
        <v>6</v>
      </c>
      <c r="T16" s="66" t="n">
        <v>27</v>
      </c>
      <c r="U16" s="67">
        <f>IF(ISNUMBER(tblY11[[#This Row],[4B06 - Inheritance
Raw Score]]),IFERROR(VLOOKUP(ROUND(STANDARDIZE(tblY11[[#This Row],[4B06 - Inheritance
Raw Score]],AVERAGE(tblY11[[4B06 - Inheritance
Raw Score]]),_xlfn.STDEV.P(tblY11[[4B06 - Inheritance
Raw Score]])),9),_Stanine,2),5),"")</f>
        <v>7</v>
      </c>
      <c r="V16" s="66" t="n">
        <v>18</v>
      </c>
      <c r="W16" s="67">
        <f>IF(ISNUMBER(tblY11[[#This Row],[4C10 - Chemical Analysis
Raw Score]]),IFERROR(VLOOKUP(ROUND(STANDARDIZE(tblY11[[#This Row],[4C10 - Chemical Analysis
Raw Score]],AVERAGE(tblY11[[4C10 - Chemical Analysis
Raw Score]]),_xlfn.STDEV.P(tblY11[[4C10 - Chemical Analysis
Raw Score]])),9),_Stanine,2),5),"")</f>
        <v>6</v>
      </c>
      <c r="X16" s="66" t="n">
        <v>21</v>
      </c>
      <c r="Y16" s="67">
        <f>IF(ISNUMBER(tblY11[[#This Row],[4P07 - Magnetism
Raw Score]]),IFERROR(VLOOKUP(ROUND(STANDARDIZE(tblY11[[#This Row],[4P07 - Magnetism
Raw Score]],AVERAGE(tblY11[[4P07 - Magnetism
Raw Score]]),_xlfn.STDEV.P(tblY11[[4P07 - Magnetism
Raw Score]])),9),_Stanine,2),5),"")</f>
        <v>6</v>
      </c>
    </row>
    <row r="17">
      <c r="A17" s="65" t="inlineStr">
        <is>
          <t>X903537190065</t>
        </is>
      </c>
      <c r="B17" s="65" t="inlineStr">
        <is>
          <t>Morgan</t>
        </is>
      </c>
      <c r="C17" s="65" t="inlineStr">
        <is>
          <t>Megan</t>
        </is>
      </c>
      <c r="D17" s="66" t="inlineStr">
        <is>
          <t>F</t>
        </is>
      </c>
      <c r="E17" s="66" t="inlineStr">
        <is>
          <t>K</t>
        </is>
      </c>
      <c r="F17" s="66" t="inlineStr">
        <is>
          <t>N</t>
        </is>
      </c>
      <c r="G17" s="34" t="n">
        <v>100</v>
      </c>
      <c r="H17" s="34" t="n">
        <v>114</v>
      </c>
      <c r="I17" s="67">
        <f>IF(ISNUMBER(tblY11[[#This Row],[Avg KS2]]),IFERROR(VLOOKUP(ROUND(STANDARDIZE(tblY11[[#This Row],[Avg KS2]],AVERAGE(tblY11[[Avg KS2]]),_xlfn.STDEV.P(tblY11[[Avg KS2]])),9),_Stanine,2),5),"")</f>
        <v>8</v>
      </c>
      <c r="J17" s="66" t="inlineStr">
        <is>
          <t>11S/Sc1</t>
        </is>
      </c>
      <c r="K17" s="67">
        <f>IF(tblY11[[#This Row],[Preferred Last name]]="","",COUNTIFS($N$1:$ZZ$1,"*"&amp;CHAR(10)&amp;"Stanine",$N17:$ZZ17,"&gt;=1"))</f>
        <v>6</v>
      </c>
      <c r="L17" s="68">
        <f>IFERROR(AVERAGEIF($N$1:$ZZ$1,"*"&amp;CHAR(10)&amp;"Stanine",$N17:$ZZ17),"")</f>
        <v>5.83333333333333</v>
      </c>
      <c r="M17" s="69">
        <f>IF(AND(ISNUMBER(tblY11[[#This Row],[Mean Stanine]]),ISNUMBER(tblY11[[#This Row],[Avg KS2 Band]]),ISNUMBER(SlopeY11)),tblY11[[#This Row],[Mean Stanine]]-(InterceptY11+SlopeY11*tblY11[[#This Row],[Avg KS2 Band]]),"")</f>
        <v>-1.36595598845599</v>
      </c>
      <c r="N17" s="66" t="n">
        <v>26</v>
      </c>
      <c r="O17" s="67">
        <f>IF(ISNUMBER(tblY11[[#This Row],[4B05 - Homeostasis
Raw Score]]),IFERROR(VLOOKUP(ROUND(STANDARDIZE(tblY11[[#This Row],[4B05 - Homeostasis
Raw Score]],AVERAGE(tblY11[[4B05 - Homeostasis
Raw Score]]),_xlfn.STDEV.P(tblY11[[4B05 - Homeostasis
Raw Score]])),9),_Stanine,2),5),"")</f>
        <v>6</v>
      </c>
      <c r="P17" s="66" t="n">
        <v>23</v>
      </c>
      <c r="Q17" s="67">
        <f>IF(ISNUMBER(tblY11[[#This Row],[4C09 - Organic Chemistry
Raw Score]]),IFERROR(VLOOKUP(ROUND(STANDARDIZE(tblY11[[#This Row],[4C09 - Organic Chemistry
Raw Score]],AVERAGE(tblY11[[4C09 - Organic Chemistry
Raw Score]]),_xlfn.STDEV.P(tblY11[[4C09 - Organic Chemistry
Raw Score]])),9),_Stanine,2),5),"")</f>
        <v>7</v>
      </c>
      <c r="R17" s="66" t="n">
        <v>27</v>
      </c>
      <c r="S17" s="67">
        <f>IF(ISNUMBER(tblY11[[#This Row],[4P06 - Waves
Raw Score]]),IFERROR(VLOOKUP(ROUND(STANDARDIZE(tblY11[[#This Row],[4P06 - Waves
Raw Score]],AVERAGE(tblY11[[4P06 - Waves
Raw Score]]),_xlfn.STDEV.P(tblY11[[4P06 - Waves
Raw Score]])),9),_Stanine,2),5),"")</f>
        <v>6</v>
      </c>
      <c r="T17" s="66" t="n">
        <v>24</v>
      </c>
      <c r="U17" s="67">
        <f>IF(ISNUMBER(tblY11[[#This Row],[4B06 - Inheritance
Raw Score]]),IFERROR(VLOOKUP(ROUND(STANDARDIZE(tblY11[[#This Row],[4B06 - Inheritance
Raw Score]],AVERAGE(tblY11[[4B06 - Inheritance
Raw Score]]),_xlfn.STDEV.P(tblY11[[4B06 - Inheritance
Raw Score]])),9),_Stanine,2),5),"")</f>
        <v>6</v>
      </c>
      <c r="V17" s="66" t="n">
        <v>14</v>
      </c>
      <c r="W17" s="67">
        <f>IF(ISNUMBER(tblY11[[#This Row],[4C10 - Chemical Analysis
Raw Score]]),IFERROR(VLOOKUP(ROUND(STANDARDIZE(tblY11[[#This Row],[4C10 - Chemical Analysis
Raw Score]],AVERAGE(tblY11[[4C10 - Chemical Analysis
Raw Score]]),_xlfn.STDEV.P(tblY11[[4C10 - Chemical Analysis
Raw Score]])),9),_Stanine,2),5),"")</f>
        <v>5</v>
      </c>
      <c r="X17" s="66" t="n">
        <v>16</v>
      </c>
      <c r="Y17" s="67">
        <f>IF(ISNUMBER(tblY11[[#This Row],[4P07 - Magnetism
Raw Score]]),IFERROR(VLOOKUP(ROUND(STANDARDIZE(tblY11[[#This Row],[4P07 - Magnetism
Raw Score]],AVERAGE(tblY11[[4P07 - Magnetism
Raw Score]]),_xlfn.STDEV.P(tblY11[[4P07 - Magnetism
Raw Score]])),9),_Stanine,2),5),"")</f>
        <v>5</v>
      </c>
    </row>
    <row r="18">
      <c r="A18" s="65" t="inlineStr">
        <is>
          <t>X909163166491</t>
        </is>
      </c>
      <c r="B18" s="65" t="inlineStr">
        <is>
          <t>Murphy</t>
        </is>
      </c>
      <c r="C18" s="65" t="inlineStr">
        <is>
          <t>Mia</t>
        </is>
      </c>
      <c r="D18" s="66" t="inlineStr">
        <is>
          <t>F</t>
        </is>
      </c>
      <c r="E18" s="66" t="n"/>
      <c r="F18" s="66" t="inlineStr">
        <is>
          <t>N</t>
        </is>
      </c>
      <c r="G18" s="34" t="n">
        <v>91.59999999999999</v>
      </c>
      <c r="H18" s="34" t="n">
        <v>109.5</v>
      </c>
      <c r="I18" s="67">
        <f>IF(ISNUMBER(tblY11[[#This Row],[Avg KS2]]),IFERROR(VLOOKUP(ROUND(STANDARDIZE(tblY11[[#This Row],[Avg KS2]],AVERAGE(tblY11[[Avg KS2]]),_xlfn.STDEV.P(tblY11[[Avg KS2]])),9),_Stanine,2),5),"")</f>
        <v>7</v>
      </c>
      <c r="J18" s="66" t="inlineStr">
        <is>
          <t>11S/Sc1</t>
        </is>
      </c>
      <c r="K18" s="67">
        <f>IF(tblY11[[#This Row],[Preferred Last name]]="","",COUNTIFS($N$1:$ZZ$1,"*"&amp;CHAR(10)&amp;"Stanine",$N18:$ZZ18,"&gt;=1"))</f>
        <v>6</v>
      </c>
      <c r="L18" s="68">
        <f>IFERROR(AVERAGEIF($N$1:$ZZ$1,"*"&amp;CHAR(10)&amp;"Stanine",$N18:$ZZ18),"")</f>
        <v>6.16666666666667</v>
      </c>
      <c r="M18" s="69">
        <f>IF(AND(ISNUMBER(tblY11[[#This Row],[Mean Stanine]]),ISNUMBER(tblY11[[#This Row],[Avg KS2 Band]]),ISNUMBER(SlopeY11)),tblY11[[#This Row],[Mean Stanine]]-(InterceptY11+SlopeY11*tblY11[[#This Row],[Avg KS2 Band]]),"")</f>
        <v>-0.283759018759018</v>
      </c>
      <c r="N18" s="66" t="n">
        <v>22</v>
      </c>
      <c r="O18" s="67">
        <f>IF(ISNUMBER(tblY11[[#This Row],[4B05 - Homeostasis
Raw Score]]),IFERROR(VLOOKUP(ROUND(STANDARDIZE(tblY11[[#This Row],[4B05 - Homeostasis
Raw Score]],AVERAGE(tblY11[[4B05 - Homeostasis
Raw Score]]),_xlfn.STDEV.P(tblY11[[4B05 - Homeostasis
Raw Score]])),9),_Stanine,2),5),"")</f>
        <v>5</v>
      </c>
      <c r="P18" s="66" t="n">
        <v>16</v>
      </c>
      <c r="Q18" s="67">
        <f>IF(ISNUMBER(tblY11[[#This Row],[4C09 - Organic Chemistry
Raw Score]]),IFERROR(VLOOKUP(ROUND(STANDARDIZE(tblY11[[#This Row],[4C09 - Organic Chemistry
Raw Score]],AVERAGE(tblY11[[4C09 - Organic Chemistry
Raw Score]]),_xlfn.STDEV.P(tblY11[[4C09 - Organic Chemistry
Raw Score]])),9),_Stanine,2),5),"")</f>
        <v>5</v>
      </c>
      <c r="R18" s="66" t="n">
        <v>28</v>
      </c>
      <c r="S18" s="67">
        <f>IF(ISNUMBER(tblY11[[#This Row],[4P06 - Waves
Raw Score]]),IFERROR(VLOOKUP(ROUND(STANDARDIZE(tblY11[[#This Row],[4P06 - Waves
Raw Score]],AVERAGE(tblY11[[4P06 - Waves
Raw Score]]),_xlfn.STDEV.P(tblY11[[4P06 - Waves
Raw Score]])),9),_Stanine,2),5),"")</f>
        <v>7</v>
      </c>
      <c r="T18" s="66" t="n">
        <v>29</v>
      </c>
      <c r="U18" s="67">
        <f>IF(ISNUMBER(tblY11[[#This Row],[4B06 - Inheritance
Raw Score]]),IFERROR(VLOOKUP(ROUND(STANDARDIZE(tblY11[[#This Row],[4B06 - Inheritance
Raw Score]],AVERAGE(tblY11[[4B06 - Inheritance
Raw Score]]),_xlfn.STDEV.P(tblY11[[4B06 - Inheritance
Raw Score]])),9),_Stanine,2),5),"")</f>
        <v>7</v>
      </c>
      <c r="V18" s="66" t="n">
        <v>21</v>
      </c>
      <c r="W18" s="67">
        <f>IF(ISNUMBER(tblY11[[#This Row],[4C10 - Chemical Analysis
Raw Score]]),IFERROR(VLOOKUP(ROUND(STANDARDIZE(tblY11[[#This Row],[4C10 - Chemical Analysis
Raw Score]],AVERAGE(tblY11[[4C10 - Chemical Analysis
Raw Score]]),_xlfn.STDEV.P(tblY11[[4C10 - Chemical Analysis
Raw Score]])),9),_Stanine,2),5),"")</f>
        <v>7</v>
      </c>
      <c r="X18" s="66" t="n">
        <v>20</v>
      </c>
      <c r="Y18" s="67">
        <f>IF(ISNUMBER(tblY11[[#This Row],[4P07 - Magnetism
Raw Score]]),IFERROR(VLOOKUP(ROUND(STANDARDIZE(tblY11[[#This Row],[4P07 - Magnetism
Raw Score]],AVERAGE(tblY11[[4P07 - Magnetism
Raw Score]]),_xlfn.STDEV.P(tblY11[[4P07 - Magnetism
Raw Score]])),9),_Stanine,2),5),"")</f>
        <v>6</v>
      </c>
    </row>
    <row r="19">
      <c r="A19" s="65" t="inlineStr">
        <is>
          <t>X901888530749</t>
        </is>
      </c>
      <c r="B19" s="65" t="inlineStr">
        <is>
          <t>Nowak</t>
        </is>
      </c>
      <c r="C19" s="65" t="inlineStr">
        <is>
          <t>Freya</t>
        </is>
      </c>
      <c r="D19" s="66" t="inlineStr">
        <is>
          <t>F</t>
        </is>
      </c>
      <c r="E19" s="66" t="n"/>
      <c r="F19" s="66" t="inlineStr">
        <is>
          <t>N</t>
        </is>
      </c>
      <c r="G19" s="34" t="n">
        <v>88.8</v>
      </c>
      <c r="H19" s="34" t="n">
        <v>107</v>
      </c>
      <c r="I19" s="67">
        <f>IF(ISNUMBER(tblY11[[#This Row],[Avg KS2]]),IFERROR(VLOOKUP(ROUND(STANDARDIZE(tblY11[[#This Row],[Avg KS2]],AVERAGE(tblY11[[Avg KS2]]),_xlfn.STDEV.P(tblY11[[Avg KS2]])),9),_Stanine,2),5),"")</f>
        <v>6</v>
      </c>
      <c r="J19" s="66" t="inlineStr">
        <is>
          <t>11S/Sc1</t>
        </is>
      </c>
      <c r="K19" s="67">
        <f>IF(tblY11[[#This Row],[Preferred Last name]]="","",COUNTIFS($N$1:$ZZ$1,"*"&amp;CHAR(10)&amp;"Stanine",$N19:$ZZ19,"&gt;=1"))</f>
        <v>6</v>
      </c>
      <c r="L19" s="68">
        <f>IFERROR(AVERAGEIF($N$1:$ZZ$1,"*"&amp;CHAR(10)&amp;"Stanine",$N19:$ZZ19),"")</f>
        <v>7.16666666666667</v>
      </c>
      <c r="M19" s="69">
        <f>IF(AND(ISNUMBER(tblY11[[#This Row],[Mean Stanine]]),ISNUMBER(tblY11[[#This Row],[Avg KS2 Band]]),ISNUMBER(SlopeY11)),tblY11[[#This Row],[Mean Stanine]]-(InterceptY11+SlopeY11*tblY11[[#This Row],[Avg KS2 Band]]),"")</f>
        <v>1.46510461760462</v>
      </c>
      <c r="N19" s="66" t="n">
        <v>32</v>
      </c>
      <c r="O19" s="67">
        <f>IF(ISNUMBER(tblY11[[#This Row],[4B05 - Homeostasis
Raw Score]]),IFERROR(VLOOKUP(ROUND(STANDARDIZE(tblY11[[#This Row],[4B05 - Homeostasis
Raw Score]],AVERAGE(tblY11[[4B05 - Homeostasis
Raw Score]]),_xlfn.STDEV.P(tblY11[[4B05 - Homeostasis
Raw Score]])),9),_Stanine,2),5),"")</f>
        <v>8</v>
      </c>
      <c r="P19" s="66" t="n">
        <v>24</v>
      </c>
      <c r="Q19" s="67">
        <f>IF(ISNUMBER(tblY11[[#This Row],[4C09 - Organic Chemistry
Raw Score]]),IFERROR(VLOOKUP(ROUND(STANDARDIZE(tblY11[[#This Row],[4C09 - Organic Chemistry
Raw Score]],AVERAGE(tblY11[[4C09 - Organic Chemistry
Raw Score]]),_xlfn.STDEV.P(tblY11[[4C09 - Organic Chemistry
Raw Score]])),9),_Stanine,2),5),"")</f>
        <v>7</v>
      </c>
      <c r="R19" s="66" t="n">
        <v>29</v>
      </c>
      <c r="S19" s="67">
        <f>IF(ISNUMBER(tblY11[[#This Row],[4P06 - Waves
Raw Score]]),IFERROR(VLOOKUP(ROUND(STANDARDIZE(tblY11[[#This Row],[4P06 - Waves
Raw Score]],AVERAGE(tblY11[[4P06 - Waves
Raw Score]]),_xlfn.STDEV.P(tblY11[[4P06 - Waves
Raw Score]])),9),_Stanine,2),5),"")</f>
        <v>7</v>
      </c>
      <c r="T19" s="66" t="n">
        <v>27</v>
      </c>
      <c r="U19" s="67">
        <f>IF(ISNUMBER(tblY11[[#This Row],[4B06 - Inheritance
Raw Score]]),IFERROR(VLOOKUP(ROUND(STANDARDIZE(tblY11[[#This Row],[4B06 - Inheritance
Raw Score]],AVERAGE(tblY11[[4B06 - Inheritance
Raw Score]]),_xlfn.STDEV.P(tblY11[[4B06 - Inheritance
Raw Score]])),9),_Stanine,2),5),"")</f>
        <v>7</v>
      </c>
      <c r="V19" s="66" t="n">
        <v>19</v>
      </c>
      <c r="W19" s="67">
        <f>IF(ISNUMBER(tblY11[[#This Row],[4C10 - Chemical Analysis
Raw Score]]),IFERROR(VLOOKUP(ROUND(STANDARDIZE(tblY11[[#This Row],[4C10 - Chemical Analysis
Raw Score]],AVERAGE(tblY11[[4C10 - Chemical Analysis
Raw Score]]),_xlfn.STDEV.P(tblY11[[4C10 - Chemical Analysis
Raw Score]])),9),_Stanine,2),5),"")</f>
        <v>6</v>
      </c>
      <c r="X19" s="66" t="n">
        <v>26</v>
      </c>
      <c r="Y19" s="67">
        <f>IF(ISNUMBER(tblY11[[#This Row],[4P07 - Magnetism
Raw Score]]),IFERROR(VLOOKUP(ROUND(STANDARDIZE(tblY11[[#This Row],[4P07 - Magnetism
Raw Score]],AVERAGE(tblY11[[4P07 - Magnetism
Raw Score]]),_xlfn.STDEV.P(tblY11[[4P07 - Magnetism
Raw Score]])),9),_Stanine,2),5),"")</f>
        <v>8</v>
      </c>
    </row>
    <row r="20">
      <c r="A20" s="65" t="inlineStr">
        <is>
          <t>X904693150008</t>
        </is>
      </c>
      <c r="B20" s="65" t="inlineStr">
        <is>
          <t>Okafor</t>
        </is>
      </c>
      <c r="C20" s="65" t="inlineStr">
        <is>
          <t>Zara</t>
        </is>
      </c>
      <c r="D20" s="66" t="inlineStr">
        <is>
          <t>M</t>
        </is>
      </c>
      <c r="E20" s="66" t="inlineStr">
        <is>
          <t>N</t>
        </is>
      </c>
      <c r="F20" s="66" t="inlineStr">
        <is>
          <t>Y</t>
        </is>
      </c>
      <c r="G20" s="34" t="n">
        <v>97.09999999999999</v>
      </c>
      <c r="H20" s="34" t="n">
        <v>119.5</v>
      </c>
      <c r="I20" s="67">
        <f>IF(ISNUMBER(tblY11[[#This Row],[Avg KS2]]),IFERROR(VLOOKUP(ROUND(STANDARDIZE(tblY11[[#This Row],[Avg KS2]],AVERAGE(tblY11[[Avg KS2]]),_xlfn.STDEV.P(tblY11[[Avg KS2]])),9),_Stanine,2),5),"")</f>
        <v>9</v>
      </c>
      <c r="J20" s="66" t="inlineStr">
        <is>
          <t>11S/Sc1</t>
        </is>
      </c>
      <c r="K20" s="67">
        <f>IF(tblY11[[#This Row],[Preferred Last name]]="","",COUNTIFS($N$1:$ZZ$1,"*"&amp;CHAR(10)&amp;"Stanine",$N20:$ZZ20,"&gt;=1"))</f>
        <v>6</v>
      </c>
      <c r="L20" s="68">
        <f>IFERROR(AVERAGEIF($N$1:$ZZ$1,"*"&amp;CHAR(10)&amp;"Stanine",$N20:$ZZ20),"")</f>
        <v>9</v>
      </c>
      <c r="M20" s="69">
        <f>IF(AND(ISNUMBER(tblY11[[#This Row],[Mean Stanine]]),ISNUMBER(tblY11[[#This Row],[Avg KS2 Band]]),ISNUMBER(SlopeY11)),tblY11[[#This Row],[Mean Stanine]]-(InterceptY11+SlopeY11*tblY11[[#This Row],[Avg KS2 Band]]),"")</f>
        <v>1.05184704184704</v>
      </c>
      <c r="N20" s="66" t="n">
        <v>39</v>
      </c>
      <c r="O20" s="67">
        <f>IF(ISNUMBER(tblY11[[#This Row],[4B05 - Homeostasis
Raw Score]]),IFERROR(VLOOKUP(ROUND(STANDARDIZE(tblY11[[#This Row],[4B05 - Homeostasis
Raw Score]],AVERAGE(tblY11[[4B05 - Homeostasis
Raw Score]]),_xlfn.STDEV.P(tblY11[[4B05 - Homeostasis
Raw Score]])),9),_Stanine,2),5),"")</f>
        <v>9</v>
      </c>
      <c r="P20" s="66" t="n">
        <v>31</v>
      </c>
      <c r="Q20" s="67">
        <f>IF(ISNUMBER(tblY11[[#This Row],[4C09 - Organic Chemistry
Raw Score]]),IFERROR(VLOOKUP(ROUND(STANDARDIZE(tblY11[[#This Row],[4C09 - Organic Chemistry
Raw Score]],AVERAGE(tblY11[[4C09 - Organic Chemistry
Raw Score]]),_xlfn.STDEV.P(tblY11[[4C09 - Organic Chemistry
Raw Score]])),9),_Stanine,2),5),"")</f>
        <v>9</v>
      </c>
      <c r="R20" s="66" t="n">
        <v>37</v>
      </c>
      <c r="S20" s="67">
        <f>IF(ISNUMBER(tblY11[[#This Row],[4P06 - Waves
Raw Score]]),IFERROR(VLOOKUP(ROUND(STANDARDIZE(tblY11[[#This Row],[4P06 - Waves
Raw Score]],AVERAGE(tblY11[[4P06 - Waves
Raw Score]]),_xlfn.STDEV.P(tblY11[[4P06 - Waves
Raw Score]])),9),_Stanine,2),5),"")</f>
        <v>9</v>
      </c>
      <c r="T20" s="66" t="n">
        <v>37</v>
      </c>
      <c r="U20" s="67">
        <f>IF(ISNUMBER(tblY11[[#This Row],[4B06 - Inheritance
Raw Score]]),IFERROR(VLOOKUP(ROUND(STANDARDIZE(tblY11[[#This Row],[4B06 - Inheritance
Raw Score]],AVERAGE(tblY11[[4B06 - Inheritance
Raw Score]]),_xlfn.STDEV.P(tblY11[[4B06 - Inheritance
Raw Score]])),9),_Stanine,2),5),"")</f>
        <v>9</v>
      </c>
      <c r="V20" s="66" t="n">
        <v>29</v>
      </c>
      <c r="W20" s="67">
        <f>IF(ISNUMBER(tblY11[[#This Row],[4C10 - Chemical Analysis
Raw Score]]),IFERROR(VLOOKUP(ROUND(STANDARDIZE(tblY11[[#This Row],[4C10 - Chemical Analysis
Raw Score]],AVERAGE(tblY11[[4C10 - Chemical Analysis
Raw Score]]),_xlfn.STDEV.P(tblY11[[4C10 - Chemical Analysis
Raw Score]])),9),_Stanine,2),5),"")</f>
        <v>9</v>
      </c>
      <c r="X20" s="66" t="n">
        <v>31</v>
      </c>
      <c r="Y20" s="67">
        <f>IF(ISNUMBER(tblY11[[#This Row],[4P07 - Magnetism
Raw Score]]),IFERROR(VLOOKUP(ROUND(STANDARDIZE(tblY11[[#This Row],[4P07 - Magnetism
Raw Score]],AVERAGE(tblY11[[4P07 - Magnetism
Raw Score]]),_xlfn.STDEV.P(tblY11[[4P07 - Magnetism
Raw Score]])),9),_Stanine,2),5),"")</f>
        <v>9</v>
      </c>
    </row>
    <row r="21">
      <c r="A21" s="65" t="inlineStr">
        <is>
          <t>X901531381762</t>
        </is>
      </c>
      <c r="B21" s="65" t="inlineStr">
        <is>
          <t>Patel</t>
        </is>
      </c>
      <c r="C21" s="65" t="inlineStr">
        <is>
          <t>Maisie</t>
        </is>
      </c>
      <c r="D21" s="66" t="inlineStr">
        <is>
          <t>F</t>
        </is>
      </c>
      <c r="E21" s="66" t="n"/>
      <c r="F21" s="66" t="inlineStr">
        <is>
          <t>N</t>
        </is>
      </c>
      <c r="G21" s="34" t="n">
        <v>89.59999999999999</v>
      </c>
      <c r="H21" s="34" t="n">
        <v>116</v>
      </c>
      <c r="I21" s="67">
        <f>IF(ISNUMBER(tblY11[[#This Row],[Avg KS2]]),IFERROR(VLOOKUP(ROUND(STANDARDIZE(tblY11[[#This Row],[Avg KS2]],AVERAGE(tblY11[[Avg KS2]]),_xlfn.STDEV.P(tblY11[[Avg KS2]])),9),_Stanine,2),5),"")</f>
        <v>9</v>
      </c>
      <c r="J21" s="66" t="inlineStr">
        <is>
          <t>11S/Sc1</t>
        </is>
      </c>
      <c r="K21" s="67">
        <f>IF(tblY11[[#This Row],[Preferred Last name]]="","",COUNTIFS($N$1:$ZZ$1,"*"&amp;CHAR(10)&amp;"Stanine",$N21:$ZZ21,"&gt;=1"))</f>
        <v>5</v>
      </c>
      <c r="L21" s="68">
        <f>IFERROR(AVERAGEIF($N$1:$ZZ$1,"*"&amp;CHAR(10)&amp;"Stanine",$N21:$ZZ21),"")</f>
        <v>8</v>
      </c>
      <c r="M21" s="69">
        <f>IF(AND(ISNUMBER(tblY11[[#This Row],[Mean Stanine]]),ISNUMBER(tblY11[[#This Row],[Avg KS2 Band]]),ISNUMBER(SlopeY11)),tblY11[[#This Row],[Mean Stanine]]-(InterceptY11+SlopeY11*tblY11[[#This Row],[Avg KS2 Band]]),"")</f>
        <v>0.0518470418470418</v>
      </c>
      <c r="N21" s="66" t="n">
        <v>35</v>
      </c>
      <c r="O21" s="67">
        <f>IF(ISNUMBER(tblY11[[#This Row],[4B05 - Homeostasis
Raw Score]]),IFERROR(VLOOKUP(ROUND(STANDARDIZE(tblY11[[#This Row],[4B05 - Homeostasis
Raw Score]],AVERAGE(tblY11[[4B05 - Homeostasis
Raw Score]]),_xlfn.STDEV.P(tblY11[[4B05 - Homeostasis
Raw Score]])),9),_Stanine,2),5),"")</f>
        <v>8</v>
      </c>
      <c r="P21" s="66" t="inlineStr">
        <is>
          <t>A</t>
        </is>
      </c>
      <c r="Q21" s="67" t="str">
        <f>IF(ISNUMBER(tblY11[[#This Row],[4C09 - Organic Chemistry
Raw Score]]),IFERROR(VLOOKUP(ROUND(STANDARDIZE(tblY11[[#This Row],[4C09 - Organic Chemistry
Raw Score]],AVERAGE(tblY11[[4C09 - Organic Chemistry
Raw Score]]),_xlfn.STDEV.P(tblY11[[4C09 - Organic Chemistry
Raw Score]])),9),_Stanine,2),5),"")</f>
        <v/>
      </c>
      <c r="R21" s="66" t="n">
        <v>34</v>
      </c>
      <c r="S21" s="67">
        <f>IF(ISNUMBER(tblY11[[#This Row],[4P06 - Waves
Raw Score]]),IFERROR(VLOOKUP(ROUND(STANDARDIZE(tblY11[[#This Row],[4P06 - Waves
Raw Score]],AVERAGE(tblY11[[4P06 - Waves
Raw Score]]),_xlfn.STDEV.P(tblY11[[4P06 - Waves
Raw Score]])),9),_Stanine,2),5),"")</f>
        <v>8</v>
      </c>
      <c r="T21" s="66" t="n">
        <v>34</v>
      </c>
      <c r="U21" s="67">
        <f>IF(ISNUMBER(tblY11[[#This Row],[4B06 - Inheritance
Raw Score]]),IFERROR(VLOOKUP(ROUND(STANDARDIZE(tblY11[[#This Row],[4B06 - Inheritance
Raw Score]],AVERAGE(tblY11[[4B06 - Inheritance
Raw Score]]),_xlfn.STDEV.P(tblY11[[4B06 - Inheritance
Raw Score]])),9),_Stanine,2),5),"")</f>
        <v>8</v>
      </c>
      <c r="V21" s="66" t="n">
        <v>25</v>
      </c>
      <c r="W21" s="67">
        <f>IF(ISNUMBER(tblY11[[#This Row],[4C10 - Chemical Analysis
Raw Score]]),IFERROR(VLOOKUP(ROUND(STANDARDIZE(tblY11[[#This Row],[4C10 - Chemical Analysis
Raw Score]],AVERAGE(tblY11[[4C10 - Chemical Analysis
Raw Score]]),_xlfn.STDEV.P(tblY11[[4C10 - Chemical Analysis
Raw Score]])),9),_Stanine,2),5),"")</f>
        <v>8</v>
      </c>
      <c r="X21" s="66" t="n">
        <v>28</v>
      </c>
      <c r="Y21" s="67">
        <f>IF(ISNUMBER(tblY11[[#This Row],[4P07 - Magnetism
Raw Score]]),IFERROR(VLOOKUP(ROUND(STANDARDIZE(tblY11[[#This Row],[4P07 - Magnetism
Raw Score]],AVERAGE(tblY11[[4P07 - Magnetism
Raw Score]]),_xlfn.STDEV.P(tblY11[[4P07 - Magnetism
Raw Score]])),9),_Stanine,2),5),"")</f>
        <v>8</v>
      </c>
    </row>
    <row r="22">
      <c r="A22" s="65" t="inlineStr">
        <is>
          <t>X909292221719</t>
        </is>
      </c>
      <c r="B22" s="65" t="inlineStr">
        <is>
          <t>Robinson</t>
        </is>
      </c>
      <c r="C22" s="65" t="inlineStr">
        <is>
          <t>Jacob</t>
        </is>
      </c>
      <c r="D22" s="66" t="inlineStr">
        <is>
          <t>M</t>
        </is>
      </c>
      <c r="E22" s="66" t="inlineStr">
        <is>
          <t>N</t>
        </is>
      </c>
      <c r="F22" s="66" t="inlineStr">
        <is>
          <t>N</t>
        </is>
      </c>
      <c r="G22" s="34" t="n">
        <v>94.2</v>
      </c>
      <c r="H22" s="34" t="n">
        <v>108.5</v>
      </c>
      <c r="I22" s="67">
        <f>IF(ISNUMBER(tblY11[[#This Row],[Avg KS2]]),IFERROR(VLOOKUP(ROUND(STANDARDIZE(tblY11[[#This Row],[Avg KS2]],AVERAGE(tblY11[[Avg KS2]]),_xlfn.STDEV.P(tblY11[[Avg KS2]])),9),_Stanine,2),5),"")</f>
        <v>6</v>
      </c>
      <c r="J22" s="66" t="inlineStr">
        <is>
          <t>11S/Sc1</t>
        </is>
      </c>
      <c r="K22" s="67">
        <f>IF(tblY11[[#This Row],[Preferred Last name]]="","",COUNTIFS($N$1:$ZZ$1,"*"&amp;CHAR(10)&amp;"Stanine",$N22:$ZZ22,"&gt;=1"))</f>
        <v>6</v>
      </c>
      <c r="L22" s="68">
        <f>IFERROR(AVERAGEIF($N$1:$ZZ$1,"*"&amp;CHAR(10)&amp;"Stanine",$N22:$ZZ22),"")</f>
        <v>5.83333333333333</v>
      </c>
      <c r="M22" s="69">
        <f>IF(AND(ISNUMBER(tblY11[[#This Row],[Mean Stanine]]),ISNUMBER(tblY11[[#This Row],[Avg KS2 Band]]),ISNUMBER(SlopeY11)),tblY11[[#This Row],[Mean Stanine]]-(InterceptY11+SlopeY11*tblY11[[#This Row],[Avg KS2 Band]]),"")</f>
        <v>0.131771284271284</v>
      </c>
      <c r="N22" s="66" t="n">
        <v>29</v>
      </c>
      <c r="O22" s="67">
        <f>IF(ISNUMBER(tblY11[[#This Row],[4B05 - Homeostasis
Raw Score]]),IFERROR(VLOOKUP(ROUND(STANDARDIZE(tblY11[[#This Row],[4B05 - Homeostasis
Raw Score]],AVERAGE(tblY11[[4B05 - Homeostasis
Raw Score]]),_xlfn.STDEV.P(tblY11[[4B05 - Homeostasis
Raw Score]])),9),_Stanine,2),5),"")</f>
        <v>7</v>
      </c>
      <c r="P22" s="66" t="n">
        <v>18</v>
      </c>
      <c r="Q22" s="67">
        <f>IF(ISNUMBER(tblY11[[#This Row],[4C09 - Organic Chemistry
Raw Score]]),IFERROR(VLOOKUP(ROUND(STANDARDIZE(tblY11[[#This Row],[4C09 - Organic Chemistry
Raw Score]],AVERAGE(tblY11[[4C09 - Organic Chemistry
Raw Score]]),_xlfn.STDEV.P(tblY11[[4C09 - Organic Chemistry
Raw Score]])),9),_Stanine,2),5),"")</f>
        <v>5</v>
      </c>
      <c r="R22" s="66" t="n">
        <v>27</v>
      </c>
      <c r="S22" s="67">
        <f>IF(ISNUMBER(tblY11[[#This Row],[4P06 - Waves
Raw Score]]),IFERROR(VLOOKUP(ROUND(STANDARDIZE(tblY11[[#This Row],[4P06 - Waves
Raw Score]],AVERAGE(tblY11[[4P06 - Waves
Raw Score]]),_xlfn.STDEV.P(tblY11[[4P06 - Waves
Raw Score]])),9),_Stanine,2),5),"")</f>
        <v>6</v>
      </c>
      <c r="T22" s="66" t="n">
        <v>26</v>
      </c>
      <c r="U22" s="67">
        <f>IF(ISNUMBER(tblY11[[#This Row],[4B06 - Inheritance
Raw Score]]),IFERROR(VLOOKUP(ROUND(STANDARDIZE(tblY11[[#This Row],[4B06 - Inheritance
Raw Score]],AVERAGE(tblY11[[4B06 - Inheritance
Raw Score]]),_xlfn.STDEV.P(tblY11[[4B06 - Inheritance
Raw Score]])),9),_Stanine,2),5),"")</f>
        <v>7</v>
      </c>
      <c r="V22" s="66" t="n">
        <v>16</v>
      </c>
      <c r="W22" s="67">
        <f>IF(ISNUMBER(tblY11[[#This Row],[4C10 - Chemical Analysis
Raw Score]]),IFERROR(VLOOKUP(ROUND(STANDARDIZE(tblY11[[#This Row],[4C10 - Chemical Analysis
Raw Score]],AVERAGE(tblY11[[4C10 - Chemical Analysis
Raw Score]]),_xlfn.STDEV.P(tblY11[[4C10 - Chemical Analysis
Raw Score]])),9),_Stanine,2),5),"")</f>
        <v>6</v>
      </c>
      <c r="X22" s="66" t="n">
        <v>11</v>
      </c>
      <c r="Y22" s="67">
        <f>IF(ISNUMBER(tblY11[[#This Row],[4P07 - Magnetism
Raw Score]]),IFERROR(VLOOKUP(ROUND(STANDARDIZE(tblY11[[#This Row],[4P07 - Magnetism
Raw Score]],AVERAGE(tblY11[[4P07 - Magnetism
Raw Score]]),_xlfn.STDEV.P(tblY11[[4P07 - Magnetism
Raw Score]])),9),_Stanine,2),5),"")</f>
        <v>4</v>
      </c>
    </row>
    <row r="23">
      <c r="A23" s="65" t="inlineStr">
        <is>
          <t>X904526038918</t>
        </is>
      </c>
      <c r="B23" s="65" t="inlineStr">
        <is>
          <t>Shaw</t>
        </is>
      </c>
      <c r="C23" s="65" t="inlineStr">
        <is>
          <t>Grace</t>
        </is>
      </c>
      <c r="D23" s="66" t="inlineStr">
        <is>
          <t>M</t>
        </is>
      </c>
      <c r="E23" s="66" t="inlineStr">
        <is>
          <t>N</t>
        </is>
      </c>
      <c r="F23" s="66" t="inlineStr">
        <is>
          <t>N</t>
        </is>
      </c>
      <c r="G23" s="34" t="n">
        <v>96.3</v>
      </c>
      <c r="H23" s="34" t="n">
        <v>102</v>
      </c>
      <c r="I23" s="67">
        <f>IF(ISNUMBER(tblY11[[#This Row],[Avg KS2]]),IFERROR(VLOOKUP(ROUND(STANDARDIZE(tblY11[[#This Row],[Avg KS2]],AVERAGE(tblY11[[Avg KS2]]),_xlfn.STDEV.P(tblY11[[Avg KS2]])),9),_Stanine,2),5),"")</f>
        <v>4</v>
      </c>
      <c r="J23" s="66" t="inlineStr">
        <is>
          <t>11S/Sc1</t>
        </is>
      </c>
      <c r="K23" s="67">
        <f>IF(tblY11[[#This Row],[Preferred Last name]]="","",COUNTIFS($N$1:$ZZ$1,"*"&amp;CHAR(10)&amp;"Stanine",$N23:$ZZ23,"&gt;=1"))</f>
        <v>6</v>
      </c>
      <c r="L23" s="68">
        <f>IFERROR(AVERAGEIF($N$1:$ZZ$1,"*"&amp;CHAR(10)&amp;"Stanine",$N23:$ZZ23),"")</f>
        <v>7.33333333333333</v>
      </c>
      <c r="M23" s="69">
        <f>IF(AND(ISNUMBER(tblY11[[#This Row],[Mean Stanine]]),ISNUMBER(tblY11[[#This Row],[Avg KS2 Band]]),ISNUMBER(SlopeY11)),tblY11[[#This Row],[Mean Stanine]]-(InterceptY11+SlopeY11*tblY11[[#This Row],[Avg KS2 Band]]),"")</f>
        <v>3.12949855699856</v>
      </c>
      <c r="N23" s="66" t="n">
        <v>31</v>
      </c>
      <c r="O23" s="67">
        <f>IF(ISNUMBER(tblY11[[#This Row],[4B05 - Homeostasis
Raw Score]]),IFERROR(VLOOKUP(ROUND(STANDARDIZE(tblY11[[#This Row],[4B05 - Homeostasis
Raw Score]],AVERAGE(tblY11[[4B05 - Homeostasis
Raw Score]]),_xlfn.STDEV.P(tblY11[[4B05 - Homeostasis
Raw Score]])),9),_Stanine,2),5),"")</f>
        <v>7</v>
      </c>
      <c r="P23" s="66" t="n">
        <v>28</v>
      </c>
      <c r="Q23" s="67">
        <f>IF(ISNUMBER(tblY11[[#This Row],[4C09 - Organic Chemistry
Raw Score]]),IFERROR(VLOOKUP(ROUND(STANDARDIZE(tblY11[[#This Row],[4C09 - Organic Chemistry
Raw Score]],AVERAGE(tblY11[[4C09 - Organic Chemistry
Raw Score]]),_xlfn.STDEV.P(tblY11[[4C09 - Organic Chemistry
Raw Score]])),9),_Stanine,2),5),"")</f>
        <v>8</v>
      </c>
      <c r="R23" s="66" t="n">
        <v>33</v>
      </c>
      <c r="S23" s="67">
        <f>IF(ISNUMBER(tblY11[[#This Row],[4P06 - Waves
Raw Score]]),IFERROR(VLOOKUP(ROUND(STANDARDIZE(tblY11[[#This Row],[4P06 - Waves
Raw Score]],AVERAGE(tblY11[[4P06 - Waves
Raw Score]]),_xlfn.STDEV.P(tblY11[[4P06 - Waves
Raw Score]])),9),_Stanine,2),5),"")</f>
        <v>8</v>
      </c>
      <c r="T23" s="66" t="n">
        <v>30</v>
      </c>
      <c r="U23" s="67">
        <f>IF(ISNUMBER(tblY11[[#This Row],[4B06 - Inheritance
Raw Score]]),IFERROR(VLOOKUP(ROUND(STANDARDIZE(tblY11[[#This Row],[4B06 - Inheritance
Raw Score]],AVERAGE(tblY11[[4B06 - Inheritance
Raw Score]]),_xlfn.STDEV.P(tblY11[[4B06 - Inheritance
Raw Score]])),9),_Stanine,2),5),"")</f>
        <v>7</v>
      </c>
      <c r="V23" s="66" t="n">
        <v>21</v>
      </c>
      <c r="W23" s="67">
        <f>IF(ISNUMBER(tblY11[[#This Row],[4C10 - Chemical Analysis
Raw Score]]),IFERROR(VLOOKUP(ROUND(STANDARDIZE(tblY11[[#This Row],[4C10 - Chemical Analysis
Raw Score]],AVERAGE(tblY11[[4C10 - Chemical Analysis
Raw Score]]),_xlfn.STDEV.P(tblY11[[4C10 - Chemical Analysis
Raw Score]])),9),_Stanine,2),5),"")</f>
        <v>7</v>
      </c>
      <c r="X23" s="66" t="n">
        <v>22</v>
      </c>
      <c r="Y23" s="67">
        <f>IF(ISNUMBER(tblY11[[#This Row],[4P07 - Magnetism
Raw Score]]),IFERROR(VLOOKUP(ROUND(STANDARDIZE(tblY11[[#This Row],[4P07 - Magnetism
Raw Score]],AVERAGE(tblY11[[4P07 - Magnetism
Raw Score]]),_xlfn.STDEV.P(tblY11[[4P07 - Magnetism
Raw Score]])),9),_Stanine,2),5),"")</f>
        <v>7</v>
      </c>
    </row>
    <row r="24">
      <c r="A24" s="65" t="inlineStr">
        <is>
          <t>X902396198485</t>
        </is>
      </c>
      <c r="B24" s="65" t="inlineStr">
        <is>
          <t>Thompson</t>
        </is>
      </c>
      <c r="C24" s="65" t="inlineStr">
        <is>
          <t>Rosie</t>
        </is>
      </c>
      <c r="D24" s="66" t="inlineStr">
        <is>
          <t>F</t>
        </is>
      </c>
      <c r="E24" s="66" t="n"/>
      <c r="F24" s="66" t="inlineStr">
        <is>
          <t>N</t>
        </is>
      </c>
      <c r="G24" s="34" t="n">
        <v>100</v>
      </c>
      <c r="H24" s="34" t="n">
        <v>105</v>
      </c>
      <c r="I24" s="67">
        <f>IF(ISNUMBER(tblY11[[#This Row],[Avg KS2]]),IFERROR(VLOOKUP(ROUND(STANDARDIZE(tblY11[[#This Row],[Avg KS2]],AVERAGE(tblY11[[Avg KS2]]),_xlfn.STDEV.P(tblY11[[Avg KS2]])),9),_Stanine,2),5),"")</f>
        <v>5</v>
      </c>
      <c r="J24" s="66" t="inlineStr">
        <is>
          <t>11S/Sc1</t>
        </is>
      </c>
      <c r="K24" s="67">
        <f>IF(tblY11[[#This Row],[Preferred Last name]]="","",COUNTIFS($N$1:$ZZ$1,"*"&amp;CHAR(10)&amp;"Stanine",$N24:$ZZ24,"&gt;=1"))</f>
        <v>6</v>
      </c>
      <c r="L24" s="68">
        <f>IFERROR(AVERAGEIF($N$1:$ZZ$1,"*"&amp;CHAR(10)&amp;"Stanine",$N24:$ZZ24),"")</f>
        <v>8.33333333333333</v>
      </c>
      <c r="M24" s="69">
        <f>IF(AND(ISNUMBER(tblY11[[#This Row],[Mean Stanine]]),ISNUMBER(tblY11[[#This Row],[Avg KS2 Band]]),ISNUMBER(SlopeY11)),tblY11[[#This Row],[Mean Stanine]]-(InterceptY11+SlopeY11*tblY11[[#This Row],[Avg KS2 Band]]),"")</f>
        <v>3.38063492063492</v>
      </c>
      <c r="N24" s="66" t="n">
        <v>33</v>
      </c>
      <c r="O24" s="67">
        <f>IF(ISNUMBER(tblY11[[#This Row],[4B05 - Homeostasis
Raw Score]]),IFERROR(VLOOKUP(ROUND(STANDARDIZE(tblY11[[#This Row],[4B05 - Homeostasis
Raw Score]],AVERAGE(tblY11[[4B05 - Homeostasis
Raw Score]]),_xlfn.STDEV.P(tblY11[[4B05 - Homeostasis
Raw Score]])),9),_Stanine,2),5),"")</f>
        <v>8</v>
      </c>
      <c r="P24" s="66" t="n">
        <v>28</v>
      </c>
      <c r="Q24" s="67">
        <f>IF(ISNUMBER(tblY11[[#This Row],[4C09 - Organic Chemistry
Raw Score]]),IFERROR(VLOOKUP(ROUND(STANDARDIZE(tblY11[[#This Row],[4C09 - Organic Chemistry
Raw Score]],AVERAGE(tblY11[[4C09 - Organic Chemistry
Raw Score]]),_xlfn.STDEV.P(tblY11[[4C09 - Organic Chemistry
Raw Score]])),9),_Stanine,2),5),"")</f>
        <v>8</v>
      </c>
      <c r="R24" s="66" t="n">
        <v>34</v>
      </c>
      <c r="S24" s="67">
        <f>IF(ISNUMBER(tblY11[[#This Row],[4P06 - Waves
Raw Score]]),IFERROR(VLOOKUP(ROUND(STANDARDIZE(tblY11[[#This Row],[4P06 - Waves
Raw Score]],AVERAGE(tblY11[[4P06 - Waves
Raw Score]]),_xlfn.STDEV.P(tblY11[[4P06 - Waves
Raw Score]])),9),_Stanine,2),5),"")</f>
        <v>8</v>
      </c>
      <c r="T24" s="66" t="n">
        <v>37</v>
      </c>
      <c r="U24" s="67">
        <f>IF(ISNUMBER(tblY11[[#This Row],[4B06 - Inheritance
Raw Score]]),IFERROR(VLOOKUP(ROUND(STANDARDIZE(tblY11[[#This Row],[4B06 - Inheritance
Raw Score]],AVERAGE(tblY11[[4B06 - Inheritance
Raw Score]]),_xlfn.STDEV.P(tblY11[[4B06 - Inheritance
Raw Score]])),9),_Stanine,2),5),"")</f>
        <v>9</v>
      </c>
      <c r="V24" s="66" t="n">
        <v>24</v>
      </c>
      <c r="W24" s="67">
        <f>IF(ISNUMBER(tblY11[[#This Row],[4C10 - Chemical Analysis
Raw Score]]),IFERROR(VLOOKUP(ROUND(STANDARDIZE(tblY11[[#This Row],[4C10 - Chemical Analysis
Raw Score]],AVERAGE(tblY11[[4C10 - Chemical Analysis
Raw Score]]),_xlfn.STDEV.P(tblY11[[4C10 - Chemical Analysis
Raw Score]])),9),_Stanine,2),5),"")</f>
        <v>8</v>
      </c>
      <c r="X24" s="66" t="n">
        <v>31</v>
      </c>
      <c r="Y24" s="67">
        <f>IF(ISNUMBER(tblY11[[#This Row],[4P07 - Magnetism
Raw Score]]),IFERROR(VLOOKUP(ROUND(STANDARDIZE(tblY11[[#This Row],[4P07 - Magnetism
Raw Score]],AVERAGE(tblY11[[4P07 - Magnetism
Raw Score]]),_xlfn.STDEV.P(tblY11[[4P07 - Magnetism
Raw Score]])),9),_Stanine,2),5),"")</f>
        <v>9</v>
      </c>
    </row>
    <row r="25">
      <c r="A25" s="65" t="inlineStr">
        <is>
          <t>X902506721232</t>
        </is>
      </c>
      <c r="B25" s="65" t="inlineStr">
        <is>
          <t>Turner</t>
        </is>
      </c>
      <c r="C25" s="65" t="inlineStr">
        <is>
          <t>Isla</t>
        </is>
      </c>
      <c r="D25" s="66" t="inlineStr">
        <is>
          <t>M</t>
        </is>
      </c>
      <c r="E25" s="66" t="inlineStr">
        <is>
          <t>K</t>
        </is>
      </c>
      <c r="F25" s="66" t="inlineStr">
        <is>
          <t>N</t>
        </is>
      </c>
      <c r="G25" s="34" t="n">
        <v>100</v>
      </c>
      <c r="H25" s="34" t="n">
        <v>108.5</v>
      </c>
      <c r="I25" s="67">
        <f>IF(ISNUMBER(tblY11[[#This Row],[Avg KS2]]),IFERROR(VLOOKUP(ROUND(STANDARDIZE(tblY11[[#This Row],[Avg KS2]],AVERAGE(tblY11[[Avg KS2]]),_xlfn.STDEV.P(tblY11[[Avg KS2]])),9),_Stanine,2),5),"")</f>
        <v>6</v>
      </c>
      <c r="J25" s="66" t="inlineStr">
        <is>
          <t>11S/Sc1</t>
        </is>
      </c>
      <c r="K25" s="67">
        <f>IF(tblY11[[#This Row],[Preferred Last name]]="","",COUNTIFS($N$1:$ZZ$1,"*"&amp;CHAR(10)&amp;"Stanine",$N25:$ZZ25,"&gt;=1"))</f>
        <v>6</v>
      </c>
      <c r="L25" s="68">
        <f>IFERROR(AVERAGEIF($N$1:$ZZ$1,"*"&amp;CHAR(10)&amp;"Stanine",$N25:$ZZ25),"")</f>
        <v>7.83333333333333</v>
      </c>
      <c r="M25" s="69">
        <f>IF(AND(ISNUMBER(tblY11[[#This Row],[Mean Stanine]]),ISNUMBER(tblY11[[#This Row],[Avg KS2 Band]]),ISNUMBER(SlopeY11)),tblY11[[#This Row],[Mean Stanine]]-(InterceptY11+SlopeY11*tblY11[[#This Row],[Avg KS2 Band]]),"")</f>
        <v>2.13177128427128</v>
      </c>
      <c r="N25" s="66" t="n">
        <v>33</v>
      </c>
      <c r="O25" s="67">
        <f>IF(ISNUMBER(tblY11[[#This Row],[4B05 - Homeostasis
Raw Score]]),IFERROR(VLOOKUP(ROUND(STANDARDIZE(tblY11[[#This Row],[4B05 - Homeostasis
Raw Score]],AVERAGE(tblY11[[4B05 - Homeostasis
Raw Score]]),_xlfn.STDEV.P(tblY11[[4B05 - Homeostasis
Raw Score]])),9),_Stanine,2),5),"")</f>
        <v>8</v>
      </c>
      <c r="P25" s="66" t="n">
        <v>26</v>
      </c>
      <c r="Q25" s="67">
        <f>IF(ISNUMBER(tblY11[[#This Row],[4C09 - Organic Chemistry
Raw Score]]),IFERROR(VLOOKUP(ROUND(STANDARDIZE(tblY11[[#This Row],[4C09 - Organic Chemistry
Raw Score]],AVERAGE(tblY11[[4C09 - Organic Chemistry
Raw Score]]),_xlfn.STDEV.P(tblY11[[4C09 - Organic Chemistry
Raw Score]])),9),_Stanine,2),5),"")</f>
        <v>8</v>
      </c>
      <c r="R25" s="66" t="n">
        <v>33</v>
      </c>
      <c r="S25" s="67">
        <f>IF(ISNUMBER(tblY11[[#This Row],[4P06 - Waves
Raw Score]]),IFERROR(VLOOKUP(ROUND(STANDARDIZE(tblY11[[#This Row],[4P06 - Waves
Raw Score]],AVERAGE(tblY11[[4P06 - Waves
Raw Score]]),_xlfn.STDEV.P(tblY11[[4P06 - Waves
Raw Score]])),9),_Stanine,2),5),"")</f>
        <v>8</v>
      </c>
      <c r="T25" s="66" t="n">
        <v>28</v>
      </c>
      <c r="U25" s="67">
        <f>IF(ISNUMBER(tblY11[[#This Row],[4B06 - Inheritance
Raw Score]]),IFERROR(VLOOKUP(ROUND(STANDARDIZE(tblY11[[#This Row],[4B06 - Inheritance
Raw Score]],AVERAGE(tblY11[[4B06 - Inheritance
Raw Score]]),_xlfn.STDEV.P(tblY11[[4B06 - Inheritance
Raw Score]])),9),_Stanine,2),5),"")</f>
        <v>7</v>
      </c>
      <c r="V25" s="66" t="n">
        <v>23</v>
      </c>
      <c r="W25" s="67">
        <f>IF(ISNUMBER(tblY11[[#This Row],[4C10 - Chemical Analysis
Raw Score]]),IFERROR(VLOOKUP(ROUND(STANDARDIZE(tblY11[[#This Row],[4C10 - Chemical Analysis
Raw Score]],AVERAGE(tblY11[[4C10 - Chemical Analysis
Raw Score]]),_xlfn.STDEV.P(tblY11[[4C10 - Chemical Analysis
Raw Score]])),9),_Stanine,2),5),"")</f>
        <v>8</v>
      </c>
      <c r="X25" s="66" t="n">
        <v>26</v>
      </c>
      <c r="Y25" s="67">
        <f>IF(ISNUMBER(tblY11[[#This Row],[4P07 - Magnetism
Raw Score]]),IFERROR(VLOOKUP(ROUND(STANDARDIZE(tblY11[[#This Row],[4P07 - Magnetism
Raw Score]],AVERAGE(tblY11[[4P07 - Magnetism
Raw Score]]),_xlfn.STDEV.P(tblY11[[4P07 - Magnetism
Raw Score]])),9),_Stanine,2),5),"")</f>
        <v>8</v>
      </c>
    </row>
    <row r="26">
      <c r="A26" s="65" t="inlineStr">
        <is>
          <t>X900367955878</t>
        </is>
      </c>
      <c r="B26" s="65" t="inlineStr">
        <is>
          <t>Walker</t>
        </is>
      </c>
      <c r="C26" s="65" t="inlineStr">
        <is>
          <t>Oscar</t>
        </is>
      </c>
      <c r="D26" s="66" t="inlineStr">
        <is>
          <t>F</t>
        </is>
      </c>
      <c r="E26" s="66" t="n"/>
      <c r="F26" s="66" t="inlineStr">
        <is>
          <t>N</t>
        </is>
      </c>
      <c r="G26" s="34" t="n">
        <v>98.3</v>
      </c>
      <c r="H26" s="34" t="n">
        <v>107</v>
      </c>
      <c r="I26" s="67">
        <f>IF(ISNUMBER(tblY11[[#This Row],[Avg KS2]]),IFERROR(VLOOKUP(ROUND(STANDARDIZE(tblY11[[#This Row],[Avg KS2]],AVERAGE(tblY11[[Avg KS2]]),_xlfn.STDEV.P(tblY11[[Avg KS2]])),9),_Stanine,2),5),"")</f>
        <v>6</v>
      </c>
      <c r="J26" s="66" t="inlineStr">
        <is>
          <t>11S/Sc1</t>
        </is>
      </c>
      <c r="K26" s="67">
        <f>IF(tblY11[[#This Row],[Preferred Last name]]="","",COUNTIFS($N$1:$ZZ$1,"*"&amp;CHAR(10)&amp;"Stanine",$N26:$ZZ26,"&gt;=1"))</f>
        <v>6</v>
      </c>
      <c r="L26" s="68">
        <f>IFERROR(AVERAGEIF($N$1:$ZZ$1,"*"&amp;CHAR(10)&amp;"Stanine",$N26:$ZZ26),"")</f>
        <v>7.5</v>
      </c>
      <c r="M26" s="69">
        <f>IF(AND(ISNUMBER(tblY11[[#This Row],[Mean Stanine]]),ISNUMBER(tblY11[[#This Row],[Avg KS2 Band]]),ISNUMBER(SlopeY11)),tblY11[[#This Row],[Mean Stanine]]-(InterceptY11+SlopeY11*tblY11[[#This Row],[Avg KS2 Band]]),"")</f>
        <v>1.79843795093795</v>
      </c>
      <c r="N26" s="66" t="n">
        <v>35</v>
      </c>
      <c r="O26" s="67">
        <f>IF(ISNUMBER(tblY11[[#This Row],[4B05 - Homeostasis
Raw Score]]),IFERROR(VLOOKUP(ROUND(STANDARDIZE(tblY11[[#This Row],[4B05 - Homeostasis
Raw Score]],AVERAGE(tblY11[[4B05 - Homeostasis
Raw Score]]),_xlfn.STDEV.P(tblY11[[4B05 - Homeostasis
Raw Score]])),9),_Stanine,2),5),"")</f>
        <v>8</v>
      </c>
      <c r="P26" s="66" t="n">
        <v>25</v>
      </c>
      <c r="Q26" s="67">
        <f>IF(ISNUMBER(tblY11[[#This Row],[4C09 - Organic Chemistry
Raw Score]]),IFERROR(VLOOKUP(ROUND(STANDARDIZE(tblY11[[#This Row],[4C09 - Organic Chemistry
Raw Score]],AVERAGE(tblY11[[4C09 - Organic Chemistry
Raw Score]]),_xlfn.STDEV.P(tblY11[[4C09 - Organic Chemistry
Raw Score]])),9),_Stanine,2),5),"")</f>
        <v>7</v>
      </c>
      <c r="R26" s="66" t="n">
        <v>33</v>
      </c>
      <c r="S26" s="67">
        <f>IF(ISNUMBER(tblY11[[#This Row],[4P06 - Waves
Raw Score]]),IFERROR(VLOOKUP(ROUND(STANDARDIZE(tblY11[[#This Row],[4P06 - Waves
Raw Score]],AVERAGE(tblY11[[4P06 - Waves
Raw Score]]),_xlfn.STDEV.P(tblY11[[4P06 - Waves
Raw Score]])),9),_Stanine,2),5),"")</f>
        <v>8</v>
      </c>
      <c r="T26" s="66" t="n">
        <v>29</v>
      </c>
      <c r="U26" s="67">
        <f>IF(ISNUMBER(tblY11[[#This Row],[4B06 - Inheritance
Raw Score]]),IFERROR(VLOOKUP(ROUND(STANDARDIZE(tblY11[[#This Row],[4B06 - Inheritance
Raw Score]],AVERAGE(tblY11[[4B06 - Inheritance
Raw Score]]),_xlfn.STDEV.P(tblY11[[4B06 - Inheritance
Raw Score]])),9),_Stanine,2),5),"")</f>
        <v>7</v>
      </c>
      <c r="V26" s="66" t="n">
        <v>23</v>
      </c>
      <c r="W26" s="67">
        <f>IF(ISNUMBER(tblY11[[#This Row],[4C10 - Chemical Analysis
Raw Score]]),IFERROR(VLOOKUP(ROUND(STANDARDIZE(tblY11[[#This Row],[4C10 - Chemical Analysis
Raw Score]],AVERAGE(tblY11[[4C10 - Chemical Analysis
Raw Score]]),_xlfn.STDEV.P(tblY11[[4C10 - Chemical Analysis
Raw Score]])),9),_Stanine,2),5),"")</f>
        <v>8</v>
      </c>
      <c r="X26" s="66" t="n">
        <v>22</v>
      </c>
      <c r="Y26" s="67">
        <f>IF(ISNUMBER(tblY11[[#This Row],[4P07 - Magnetism
Raw Score]]),IFERROR(VLOOKUP(ROUND(STANDARDIZE(tblY11[[#This Row],[4P07 - Magnetism
Raw Score]],AVERAGE(tblY11[[4P07 - Magnetism
Raw Score]]),_xlfn.STDEV.P(tblY11[[4P07 - Magnetism
Raw Score]])),9),_Stanine,2),5),"")</f>
        <v>7</v>
      </c>
    </row>
    <row r="27">
      <c r="A27" s="65" t="inlineStr">
        <is>
          <t>X905562398261</t>
        </is>
      </c>
      <c r="B27" s="65" t="inlineStr">
        <is>
          <t>Ward</t>
        </is>
      </c>
      <c r="C27" s="65" t="inlineStr">
        <is>
          <t>Aisha</t>
        </is>
      </c>
      <c r="D27" s="66" t="inlineStr">
        <is>
          <t>F</t>
        </is>
      </c>
      <c r="E27" s="66" t="inlineStr">
        <is>
          <t>K</t>
        </is>
      </c>
      <c r="F27" s="66" t="inlineStr">
        <is>
          <t>N</t>
        </is>
      </c>
      <c r="G27" s="34" t="n">
        <v>95.59999999999999</v>
      </c>
      <c r="H27" s="34" t="n">
        <v>109</v>
      </c>
      <c r="I27" s="67">
        <f>IF(ISNUMBER(tblY11[[#This Row],[Avg KS2]]),IFERROR(VLOOKUP(ROUND(STANDARDIZE(tblY11[[#This Row],[Avg KS2]],AVERAGE(tblY11[[Avg KS2]]),_xlfn.STDEV.P(tblY11[[Avg KS2]])),9),_Stanine,2),5),"")</f>
        <v>6</v>
      </c>
      <c r="J27" s="66" t="inlineStr">
        <is>
          <t>11S/Sc1</t>
        </is>
      </c>
      <c r="K27" s="67">
        <f>IF(tblY11[[#This Row],[Preferred Last name]]="","",COUNTIFS($N$1:$ZZ$1,"*"&amp;CHAR(10)&amp;"Stanine",$N27:$ZZ27,"&gt;=1"))</f>
        <v>6</v>
      </c>
      <c r="L27" s="68">
        <f>IFERROR(AVERAGEIF($N$1:$ZZ$1,"*"&amp;CHAR(10)&amp;"Stanine",$N27:$ZZ27),"")</f>
        <v>7</v>
      </c>
      <c r="M27" s="69">
        <f>IF(AND(ISNUMBER(tblY11[[#This Row],[Mean Stanine]]),ISNUMBER(tblY11[[#This Row],[Avg KS2 Band]]),ISNUMBER(SlopeY11)),tblY11[[#This Row],[Mean Stanine]]-(InterceptY11+SlopeY11*tblY11[[#This Row],[Avg KS2 Band]]),"")</f>
        <v>1.29843795093795</v>
      </c>
      <c r="N27" s="66" t="n">
        <v>25</v>
      </c>
      <c r="O27" s="67">
        <f>IF(ISNUMBER(tblY11[[#This Row],[4B05 - Homeostasis
Raw Score]]),IFERROR(VLOOKUP(ROUND(STANDARDIZE(tblY11[[#This Row],[4B05 - Homeostasis
Raw Score]],AVERAGE(tblY11[[4B05 - Homeostasis
Raw Score]]),_xlfn.STDEV.P(tblY11[[4B05 - Homeostasis
Raw Score]])),9),_Stanine,2),5),"")</f>
        <v>6</v>
      </c>
      <c r="P27" s="66" t="n">
        <v>23</v>
      </c>
      <c r="Q27" s="67">
        <f>IF(ISNUMBER(tblY11[[#This Row],[4C09 - Organic Chemistry
Raw Score]]),IFERROR(VLOOKUP(ROUND(STANDARDIZE(tblY11[[#This Row],[4C09 - Organic Chemistry
Raw Score]],AVERAGE(tblY11[[4C09 - Organic Chemistry
Raw Score]]),_xlfn.STDEV.P(tblY11[[4C09 - Organic Chemistry
Raw Score]])),9),_Stanine,2),5),"")</f>
        <v>7</v>
      </c>
      <c r="R27" s="66" t="n">
        <v>29</v>
      </c>
      <c r="S27" s="67">
        <f>IF(ISNUMBER(tblY11[[#This Row],[4P06 - Waves
Raw Score]]),IFERROR(VLOOKUP(ROUND(STANDARDIZE(tblY11[[#This Row],[4P06 - Waves
Raw Score]],AVERAGE(tblY11[[4P06 - Waves
Raw Score]]),_xlfn.STDEV.P(tblY11[[4P06 - Waves
Raw Score]])),9),_Stanine,2),5),"")</f>
        <v>7</v>
      </c>
      <c r="T27" s="66" t="n">
        <v>32</v>
      </c>
      <c r="U27" s="67">
        <f>IF(ISNUMBER(tblY11[[#This Row],[4B06 - Inheritance
Raw Score]]),IFERROR(VLOOKUP(ROUND(STANDARDIZE(tblY11[[#This Row],[4B06 - Inheritance
Raw Score]],AVERAGE(tblY11[[4B06 - Inheritance
Raw Score]]),_xlfn.STDEV.P(tblY11[[4B06 - Inheritance
Raw Score]])),9),_Stanine,2),5),"")</f>
        <v>8</v>
      </c>
      <c r="V27" s="66" t="n">
        <v>17</v>
      </c>
      <c r="W27" s="67">
        <f>IF(ISNUMBER(tblY11[[#This Row],[4C10 - Chemical Analysis
Raw Score]]),IFERROR(VLOOKUP(ROUND(STANDARDIZE(tblY11[[#This Row],[4C10 - Chemical Analysis
Raw Score]],AVERAGE(tblY11[[4C10 - Chemical Analysis
Raw Score]]),_xlfn.STDEV.P(tblY11[[4C10 - Chemical Analysis
Raw Score]])),9),_Stanine,2),5),"")</f>
        <v>6</v>
      </c>
      <c r="X27" s="66" t="n">
        <v>25</v>
      </c>
      <c r="Y27" s="67">
        <f>IF(ISNUMBER(tblY11[[#This Row],[4P07 - Magnetism
Raw Score]]),IFERROR(VLOOKUP(ROUND(STANDARDIZE(tblY11[[#This Row],[4P07 - Magnetism
Raw Score]],AVERAGE(tblY11[[4P07 - Magnetism
Raw Score]]),_xlfn.STDEV.P(tblY11[[4P07 - Magnetism
Raw Score]])),9),_Stanine,2),5),"")</f>
        <v>8</v>
      </c>
    </row>
    <row r="28">
      <c r="A28" s="65" t="inlineStr">
        <is>
          <t>X902928527373</t>
        </is>
      </c>
      <c r="B28" s="65" t="inlineStr">
        <is>
          <t>Wright</t>
        </is>
      </c>
      <c r="C28" s="65" t="inlineStr">
        <is>
          <t>Amara</t>
        </is>
      </c>
      <c r="D28" s="66" t="inlineStr">
        <is>
          <t>M</t>
        </is>
      </c>
      <c r="E28" s="66" t="inlineStr">
        <is>
          <t>N</t>
        </is>
      </c>
      <c r="F28" s="66" t="inlineStr">
        <is>
          <t>N</t>
        </is>
      </c>
      <c r="G28" s="34" t="n">
        <v>96.3</v>
      </c>
      <c r="H28" s="34" t="n">
        <v>113.5</v>
      </c>
      <c r="I28" s="67">
        <f>IF(ISNUMBER(tblY11[[#This Row],[Avg KS2]]),IFERROR(VLOOKUP(ROUND(STANDARDIZE(tblY11[[#This Row],[Avg KS2]],AVERAGE(tblY11[[Avg KS2]]),_xlfn.STDEV.P(tblY11[[Avg KS2]])),9),_Stanine,2),5),"")</f>
        <v>8</v>
      </c>
      <c r="J28" s="66" t="inlineStr">
        <is>
          <t>11S/Sc1</t>
        </is>
      </c>
      <c r="K28" s="67">
        <f>IF(tblY11[[#This Row],[Preferred Last name]]="","",COUNTIFS($N$1:$ZZ$1,"*"&amp;CHAR(10)&amp;"Stanine",$N28:$ZZ28,"&gt;=1"))</f>
        <v>6</v>
      </c>
      <c r="L28" s="68">
        <f>IFERROR(AVERAGEIF($N$1:$ZZ$1,"*"&amp;CHAR(10)&amp;"Stanine",$N28:$ZZ28),"")</f>
        <v>7.83333333333333</v>
      </c>
      <c r="M28" s="69">
        <f>IF(AND(ISNUMBER(tblY11[[#This Row],[Mean Stanine]]),ISNUMBER(tblY11[[#This Row],[Avg KS2 Band]]),ISNUMBER(SlopeY11)),tblY11[[#This Row],[Mean Stanine]]-(InterceptY11+SlopeY11*tblY11[[#This Row],[Avg KS2 Band]]),"")</f>
        <v>0.634044011544011</v>
      </c>
      <c r="N28" s="66" t="n">
        <v>31</v>
      </c>
      <c r="O28" s="67">
        <f>IF(ISNUMBER(tblY11[[#This Row],[4B05 - Homeostasis
Raw Score]]),IFERROR(VLOOKUP(ROUND(STANDARDIZE(tblY11[[#This Row],[4B05 - Homeostasis
Raw Score]],AVERAGE(tblY11[[4B05 - Homeostasis
Raw Score]]),_xlfn.STDEV.P(tblY11[[4B05 - Homeostasis
Raw Score]])),9),_Stanine,2),5),"")</f>
        <v>7</v>
      </c>
      <c r="P28" s="66" t="n">
        <v>28</v>
      </c>
      <c r="Q28" s="67">
        <f>IF(ISNUMBER(tblY11[[#This Row],[4C09 - Organic Chemistry
Raw Score]]),IFERROR(VLOOKUP(ROUND(STANDARDIZE(tblY11[[#This Row],[4C09 - Organic Chemistry
Raw Score]],AVERAGE(tblY11[[4C09 - Organic Chemistry
Raw Score]]),_xlfn.STDEV.P(tblY11[[4C09 - Organic Chemistry
Raw Score]])),9),_Stanine,2),5),"")</f>
        <v>8</v>
      </c>
      <c r="R28" s="66" t="n">
        <v>30</v>
      </c>
      <c r="S28" s="67">
        <f>IF(ISNUMBER(tblY11[[#This Row],[4P06 - Waves
Raw Score]]),IFERROR(VLOOKUP(ROUND(STANDARDIZE(tblY11[[#This Row],[4P06 - Waves
Raw Score]],AVERAGE(tblY11[[4P06 - Waves
Raw Score]]),_xlfn.STDEV.P(tblY11[[4P06 - Waves
Raw Score]])),9),_Stanine,2),5),"")</f>
        <v>7</v>
      </c>
      <c r="T28" s="66" t="n">
        <v>32</v>
      </c>
      <c r="U28" s="67">
        <f>IF(ISNUMBER(tblY11[[#This Row],[4B06 - Inheritance
Raw Score]]),IFERROR(VLOOKUP(ROUND(STANDARDIZE(tblY11[[#This Row],[4B06 - Inheritance
Raw Score]],AVERAGE(tblY11[[4B06 - Inheritance
Raw Score]]),_xlfn.STDEV.P(tblY11[[4B06 - Inheritance
Raw Score]])),9),_Stanine,2),5),"")</f>
        <v>8</v>
      </c>
      <c r="V28" s="66" t="n">
        <v>23</v>
      </c>
      <c r="W28" s="67">
        <f>IF(ISNUMBER(tblY11[[#This Row],[4C10 - Chemical Analysis
Raw Score]]),IFERROR(VLOOKUP(ROUND(STANDARDIZE(tblY11[[#This Row],[4C10 - Chemical Analysis
Raw Score]],AVERAGE(tblY11[[4C10 - Chemical Analysis
Raw Score]]),_xlfn.STDEV.P(tblY11[[4C10 - Chemical Analysis
Raw Score]])),9),_Stanine,2),5),"")</f>
        <v>8</v>
      </c>
      <c r="X28" s="66" t="n">
        <v>30</v>
      </c>
      <c r="Y28" s="67">
        <f>IF(ISNUMBER(tblY11[[#This Row],[4P07 - Magnetism
Raw Score]]),IFERROR(VLOOKUP(ROUND(STANDARDIZE(tblY11[[#This Row],[4P07 - Magnetism
Raw Score]],AVERAGE(tblY11[[4P07 - Magnetism
Raw Score]]),_xlfn.STDEV.P(tblY11[[4P07 - Magnetism
Raw Score]])),9),_Stanine,2),5),"")</f>
        <v>9</v>
      </c>
    </row>
    <row r="29">
      <c r="A29" s="65" t="inlineStr">
        <is>
          <t>X907183905816</t>
        </is>
      </c>
      <c r="B29" s="65" t="inlineStr">
        <is>
          <t>Wright</t>
        </is>
      </c>
      <c r="C29" s="65" t="inlineStr">
        <is>
          <t>Hollie</t>
        </is>
      </c>
      <c r="D29" s="66" t="inlineStr">
        <is>
          <t>F</t>
        </is>
      </c>
      <c r="E29" s="66" t="inlineStr">
        <is>
          <t>N</t>
        </is>
      </c>
      <c r="F29" s="66" t="inlineStr">
        <is>
          <t>N</t>
        </is>
      </c>
      <c r="G29" s="34" t="n">
        <v>90.8</v>
      </c>
      <c r="H29" s="34" t="n">
        <v>112.5</v>
      </c>
      <c r="I29" s="67">
        <f>IF(ISNUMBER(tblY11[[#This Row],[Avg KS2]]),IFERROR(VLOOKUP(ROUND(STANDARDIZE(tblY11[[#This Row],[Avg KS2]],AVERAGE(tblY11[[Avg KS2]]),_xlfn.STDEV.P(tblY11[[Avg KS2]])),9),_Stanine,2),5),"")</f>
        <v>7</v>
      </c>
      <c r="J29" s="66" t="inlineStr">
        <is>
          <t>11S/Sc1</t>
        </is>
      </c>
      <c r="K29" s="67">
        <f>IF(tblY11[[#This Row],[Preferred Last name]]="","",COUNTIFS($N$1:$ZZ$1,"*"&amp;CHAR(10)&amp;"Stanine",$N29:$ZZ29,"&gt;=1"))</f>
        <v>6</v>
      </c>
      <c r="L29" s="68">
        <f>IFERROR(AVERAGEIF($N$1:$ZZ$1,"*"&amp;CHAR(10)&amp;"Stanine",$N29:$ZZ29),"")</f>
        <v>6.33333333333333</v>
      </c>
      <c r="M29" s="69">
        <f>IF(AND(ISNUMBER(tblY11[[#This Row],[Mean Stanine]]),ISNUMBER(tblY11[[#This Row],[Avg KS2 Band]]),ISNUMBER(SlopeY11)),tblY11[[#This Row],[Mean Stanine]]-(InterceptY11+SlopeY11*tblY11[[#This Row],[Avg KS2 Band]]),"")</f>
        <v>-0.117092352092352</v>
      </c>
      <c r="N29" s="66" t="n">
        <v>34</v>
      </c>
      <c r="O29" s="67">
        <f>IF(ISNUMBER(tblY11[[#This Row],[4B05 - Homeostasis
Raw Score]]),IFERROR(VLOOKUP(ROUND(STANDARDIZE(tblY11[[#This Row],[4B05 - Homeostasis
Raw Score]],AVERAGE(tblY11[[4B05 - Homeostasis
Raw Score]]),_xlfn.STDEV.P(tblY11[[4B05 - Homeostasis
Raw Score]])),9),_Stanine,2),5),"")</f>
        <v>8</v>
      </c>
      <c r="P29" s="66" t="n">
        <v>21</v>
      </c>
      <c r="Q29" s="67">
        <f>IF(ISNUMBER(tblY11[[#This Row],[4C09 - Organic Chemistry
Raw Score]]),IFERROR(VLOOKUP(ROUND(STANDARDIZE(tblY11[[#This Row],[4C09 - Organic Chemistry
Raw Score]],AVERAGE(tblY11[[4C09 - Organic Chemistry
Raw Score]]),_xlfn.STDEV.P(tblY11[[4C09 - Organic Chemistry
Raw Score]])),9),_Stanine,2),5),"")</f>
        <v>6</v>
      </c>
      <c r="R29" s="66" t="n">
        <v>25</v>
      </c>
      <c r="S29" s="67">
        <f>IF(ISNUMBER(tblY11[[#This Row],[4P06 - Waves
Raw Score]]),IFERROR(VLOOKUP(ROUND(STANDARDIZE(tblY11[[#This Row],[4P06 - Waves
Raw Score]],AVERAGE(tblY11[[4P06 - Waves
Raw Score]]),_xlfn.STDEV.P(tblY11[[4P06 - Waves
Raw Score]])),9),_Stanine,2),5),"")</f>
        <v>6</v>
      </c>
      <c r="T29" s="66" t="n">
        <v>25</v>
      </c>
      <c r="U29" s="67">
        <f>IF(ISNUMBER(tblY11[[#This Row],[4B06 - Inheritance
Raw Score]]),IFERROR(VLOOKUP(ROUND(STANDARDIZE(tblY11[[#This Row],[4B06 - Inheritance
Raw Score]],AVERAGE(tblY11[[4B06 - Inheritance
Raw Score]]),_xlfn.STDEV.P(tblY11[[4B06 - Inheritance
Raw Score]])),9),_Stanine,2),5),"")</f>
        <v>6</v>
      </c>
      <c r="V29" s="66" t="n">
        <v>17</v>
      </c>
      <c r="W29" s="67">
        <f>IF(ISNUMBER(tblY11[[#This Row],[4C10 - Chemical Analysis
Raw Score]]),IFERROR(VLOOKUP(ROUND(STANDARDIZE(tblY11[[#This Row],[4C10 - Chemical Analysis
Raw Score]],AVERAGE(tblY11[[4C10 - Chemical Analysis
Raw Score]]),_xlfn.STDEV.P(tblY11[[4C10 - Chemical Analysis
Raw Score]])),9),_Stanine,2),5),"")</f>
        <v>6</v>
      </c>
      <c r="X29" s="66" t="n">
        <v>20</v>
      </c>
      <c r="Y29" s="67">
        <f>IF(ISNUMBER(tblY11[[#This Row],[4P07 - Magnetism
Raw Score]]),IFERROR(VLOOKUP(ROUND(STANDARDIZE(tblY11[[#This Row],[4P07 - Magnetism
Raw Score]],AVERAGE(tblY11[[4P07 - Magnetism
Raw Score]]),_xlfn.STDEV.P(tblY11[[4P07 - Magnetism
Raw Score]])),9),_Stanine,2),5),"")</f>
        <v>6</v>
      </c>
    </row>
    <row r="30">
      <c r="A30" s="65" t="inlineStr">
        <is>
          <t>X902000020807</t>
        </is>
      </c>
      <c r="B30" s="65" t="inlineStr">
        <is>
          <t>Cooper</t>
        </is>
      </c>
      <c r="C30" s="65" t="inlineStr">
        <is>
          <t>Dylan</t>
        </is>
      </c>
      <c r="D30" s="66" t="inlineStr">
        <is>
          <t>F</t>
        </is>
      </c>
      <c r="E30" s="66" t="n"/>
      <c r="F30" s="66" t="inlineStr">
        <is>
          <t>N</t>
        </is>
      </c>
      <c r="G30" s="34" t="n">
        <v>98.7</v>
      </c>
      <c r="H30" s="34" t="n">
        <v>104.5</v>
      </c>
      <c r="I30" s="67">
        <f>IF(ISNUMBER(tblY11[[#This Row],[Avg KS2]]),IFERROR(VLOOKUP(ROUND(STANDARDIZE(tblY11[[#This Row],[Avg KS2]],AVERAGE(tblY11[[Avg KS2]]),_xlfn.STDEV.P(tblY11[[Avg KS2]])),9),_Stanine,2),5),"")</f>
        <v>5</v>
      </c>
      <c r="J30" s="66" t="inlineStr">
        <is>
          <t>11S/Sc2</t>
        </is>
      </c>
      <c r="K30" s="67">
        <f>IF(tblY11[[#This Row],[Preferred Last name]]="","",COUNTIFS($N$1:$ZZ$1,"*"&amp;CHAR(10)&amp;"Stanine",$N30:$ZZ30,"&gt;=1"))</f>
        <v>6</v>
      </c>
      <c r="L30" s="68">
        <f>IFERROR(AVERAGEIF($N$1:$ZZ$1,"*"&amp;CHAR(10)&amp;"Stanine",$N30:$ZZ30),"")</f>
        <v>5.33333333333333</v>
      </c>
      <c r="M30" s="69">
        <f>IF(AND(ISNUMBER(tblY11[[#This Row],[Mean Stanine]]),ISNUMBER(tblY11[[#This Row],[Avg KS2 Band]]),ISNUMBER(SlopeY11)),tblY11[[#This Row],[Mean Stanine]]-(InterceptY11+SlopeY11*tblY11[[#This Row],[Avg KS2 Band]]),"")</f>
        <v>0.380634920634921</v>
      </c>
      <c r="N30" s="66" t="n">
        <v>27</v>
      </c>
      <c r="O30" s="67">
        <f>IF(ISNUMBER(tblY11[[#This Row],[4B05 - Homeostasis
Raw Score]]),IFERROR(VLOOKUP(ROUND(STANDARDIZE(tblY11[[#This Row],[4B05 - Homeostasis
Raw Score]],AVERAGE(tblY11[[4B05 - Homeostasis
Raw Score]]),_xlfn.STDEV.P(tblY11[[4B05 - Homeostasis
Raw Score]])),9),_Stanine,2),5),"")</f>
        <v>6</v>
      </c>
      <c r="P30" s="66" t="n">
        <v>14</v>
      </c>
      <c r="Q30" s="67">
        <f>IF(ISNUMBER(tblY11[[#This Row],[4C09 - Organic Chemistry
Raw Score]]),IFERROR(VLOOKUP(ROUND(STANDARDIZE(tblY11[[#This Row],[4C09 - Organic Chemistry
Raw Score]],AVERAGE(tblY11[[4C09 - Organic Chemistry
Raw Score]]),_xlfn.STDEV.P(tblY11[[4C09 - Organic Chemistry
Raw Score]])),9),_Stanine,2),5),"")</f>
        <v>4</v>
      </c>
      <c r="R30" s="66" t="n">
        <v>25</v>
      </c>
      <c r="S30" s="67">
        <f>IF(ISNUMBER(tblY11[[#This Row],[4P06 - Waves
Raw Score]]),IFERROR(VLOOKUP(ROUND(STANDARDIZE(tblY11[[#This Row],[4P06 - Waves
Raw Score]],AVERAGE(tblY11[[4P06 - Waves
Raw Score]]),_xlfn.STDEV.P(tblY11[[4P06 - Waves
Raw Score]])),9),_Stanine,2),5),"")</f>
        <v>6</v>
      </c>
      <c r="T30" s="66" t="n">
        <v>20</v>
      </c>
      <c r="U30" s="67">
        <f>IF(ISNUMBER(tblY11[[#This Row],[4B06 - Inheritance
Raw Score]]),IFERROR(VLOOKUP(ROUND(STANDARDIZE(tblY11[[#This Row],[4B06 - Inheritance
Raw Score]],AVERAGE(tblY11[[4B06 - Inheritance
Raw Score]]),_xlfn.STDEV.P(tblY11[[4B06 - Inheritance
Raw Score]])),9),_Stanine,2),5),"")</f>
        <v>5</v>
      </c>
      <c r="V30" s="66" t="n">
        <v>17</v>
      </c>
      <c r="W30" s="67">
        <f>IF(ISNUMBER(tblY11[[#This Row],[4C10 - Chemical Analysis
Raw Score]]),IFERROR(VLOOKUP(ROUND(STANDARDIZE(tblY11[[#This Row],[4C10 - Chemical Analysis
Raw Score]],AVERAGE(tblY11[[4C10 - Chemical Analysis
Raw Score]]),_xlfn.STDEV.P(tblY11[[4C10 - Chemical Analysis
Raw Score]])),9),_Stanine,2),5),"")</f>
        <v>6</v>
      </c>
      <c r="X30" s="66" t="n">
        <v>17</v>
      </c>
      <c r="Y30" s="67">
        <f>IF(ISNUMBER(tblY11[[#This Row],[4P07 - Magnetism
Raw Score]]),IFERROR(VLOOKUP(ROUND(STANDARDIZE(tblY11[[#This Row],[4P07 - Magnetism
Raw Score]],AVERAGE(tblY11[[4P07 - Magnetism
Raw Score]]),_xlfn.STDEV.P(tblY11[[4P07 - Magnetism
Raw Score]])),9),_Stanine,2),5),"")</f>
        <v>5</v>
      </c>
    </row>
    <row r="31">
      <c r="A31" s="65" t="inlineStr">
        <is>
          <t>X907544749939</t>
        </is>
      </c>
      <c r="B31" s="65" t="inlineStr">
        <is>
          <t>Cooper</t>
        </is>
      </c>
      <c r="C31" s="65" t="inlineStr">
        <is>
          <t>Noah</t>
        </is>
      </c>
      <c r="D31" s="66" t="inlineStr">
        <is>
          <t>F</t>
        </is>
      </c>
      <c r="E31" s="66" t="inlineStr">
        <is>
          <t>N</t>
        </is>
      </c>
      <c r="F31" s="66" t="inlineStr">
        <is>
          <t>Y</t>
        </is>
      </c>
      <c r="G31" s="34" t="n">
        <v>86.59999999999999</v>
      </c>
      <c r="H31" s="34" t="n">
        <v>109</v>
      </c>
      <c r="I31" s="67">
        <f>IF(ISNUMBER(tblY11[[#This Row],[Avg KS2]]),IFERROR(VLOOKUP(ROUND(STANDARDIZE(tblY11[[#This Row],[Avg KS2]],AVERAGE(tblY11[[Avg KS2]]),_xlfn.STDEV.P(tblY11[[Avg KS2]])),9),_Stanine,2),5),"")</f>
        <v>6</v>
      </c>
      <c r="J31" s="66" t="inlineStr">
        <is>
          <t>11S/Sc2</t>
        </is>
      </c>
      <c r="K31" s="67">
        <f>IF(tblY11[[#This Row],[Preferred Last name]]="","",COUNTIFS($N$1:$ZZ$1,"*"&amp;CHAR(10)&amp;"Stanine",$N31:$ZZ31,"&gt;=1"))</f>
        <v>6</v>
      </c>
      <c r="L31" s="68">
        <f>IFERROR(AVERAGEIF($N$1:$ZZ$1,"*"&amp;CHAR(10)&amp;"Stanine",$N31:$ZZ31),"")</f>
        <v>6.16666666666667</v>
      </c>
      <c r="M31" s="69">
        <f>IF(AND(ISNUMBER(tblY11[[#This Row],[Mean Stanine]]),ISNUMBER(tblY11[[#This Row],[Avg KS2 Band]]),ISNUMBER(SlopeY11)),tblY11[[#This Row],[Mean Stanine]]-(InterceptY11+SlopeY11*tblY11[[#This Row],[Avg KS2 Band]]),"")</f>
        <v>0.465104617604618</v>
      </c>
      <c r="N31" s="66" t="n">
        <v>24</v>
      </c>
      <c r="O31" s="67">
        <f>IF(ISNUMBER(tblY11[[#This Row],[4B05 - Homeostasis
Raw Score]]),IFERROR(VLOOKUP(ROUND(STANDARDIZE(tblY11[[#This Row],[4B05 - Homeostasis
Raw Score]],AVERAGE(tblY11[[4B05 - Homeostasis
Raw Score]]),_xlfn.STDEV.P(tblY11[[4B05 - Homeostasis
Raw Score]])),9),_Stanine,2),5),"")</f>
        <v>6</v>
      </c>
      <c r="P31" s="66" t="n">
        <v>24</v>
      </c>
      <c r="Q31" s="67">
        <f>IF(ISNUMBER(tblY11[[#This Row],[4C09 - Organic Chemistry
Raw Score]]),IFERROR(VLOOKUP(ROUND(STANDARDIZE(tblY11[[#This Row],[4C09 - Organic Chemistry
Raw Score]],AVERAGE(tblY11[[4C09 - Organic Chemistry
Raw Score]]),_xlfn.STDEV.P(tblY11[[4C09 - Organic Chemistry
Raw Score]])),9),_Stanine,2),5),"")</f>
        <v>7</v>
      </c>
      <c r="R31" s="66" t="n">
        <v>32</v>
      </c>
      <c r="S31" s="67">
        <f>IF(ISNUMBER(tblY11[[#This Row],[4P06 - Waves
Raw Score]]),IFERROR(VLOOKUP(ROUND(STANDARDIZE(tblY11[[#This Row],[4P06 - Waves
Raw Score]],AVERAGE(tblY11[[4P06 - Waves
Raw Score]]),_xlfn.STDEV.P(tblY11[[4P06 - Waves
Raw Score]])),9),_Stanine,2),5),"")</f>
        <v>8</v>
      </c>
      <c r="T31" s="66" t="n">
        <v>21</v>
      </c>
      <c r="U31" s="67">
        <f>IF(ISNUMBER(tblY11[[#This Row],[4B06 - Inheritance
Raw Score]]),IFERROR(VLOOKUP(ROUND(STANDARDIZE(tblY11[[#This Row],[4B06 - Inheritance
Raw Score]],AVERAGE(tblY11[[4B06 - Inheritance
Raw Score]]),_xlfn.STDEV.P(tblY11[[4B06 - Inheritance
Raw Score]])),9),_Stanine,2),5),"")</f>
        <v>5</v>
      </c>
      <c r="V31" s="66" t="n">
        <v>14</v>
      </c>
      <c r="W31" s="67">
        <f>IF(ISNUMBER(tblY11[[#This Row],[4C10 - Chemical Analysis
Raw Score]]),IFERROR(VLOOKUP(ROUND(STANDARDIZE(tblY11[[#This Row],[4C10 - Chemical Analysis
Raw Score]],AVERAGE(tblY11[[4C10 - Chemical Analysis
Raw Score]]),_xlfn.STDEV.P(tblY11[[4C10 - Chemical Analysis
Raw Score]])),9),_Stanine,2),5),"")</f>
        <v>5</v>
      </c>
      <c r="X31" s="66" t="n">
        <v>20</v>
      </c>
      <c r="Y31" s="67">
        <f>IF(ISNUMBER(tblY11[[#This Row],[4P07 - Magnetism
Raw Score]]),IFERROR(VLOOKUP(ROUND(STANDARDIZE(tblY11[[#This Row],[4P07 - Magnetism
Raw Score]],AVERAGE(tblY11[[4P07 - Magnetism
Raw Score]]),_xlfn.STDEV.P(tblY11[[4P07 - Magnetism
Raw Score]])),9),_Stanine,2),5),"")</f>
        <v>6</v>
      </c>
    </row>
    <row r="32">
      <c r="A32" s="65" t="inlineStr">
        <is>
          <t>X905048833441</t>
        </is>
      </c>
      <c r="B32" s="65" t="inlineStr">
        <is>
          <t>Evans</t>
        </is>
      </c>
      <c r="C32" s="65" t="inlineStr">
        <is>
          <t>Arthur</t>
        </is>
      </c>
      <c r="D32" s="66" t="inlineStr">
        <is>
          <t>M</t>
        </is>
      </c>
      <c r="E32" s="66" t="n"/>
      <c r="F32" s="66" t="inlineStr">
        <is>
          <t>N</t>
        </is>
      </c>
      <c r="G32" s="34" t="n">
        <v>88</v>
      </c>
      <c r="H32" s="34" t="n">
        <v>99</v>
      </c>
      <c r="I32" s="67">
        <f>IF(ISNUMBER(tblY11[[#This Row],[Avg KS2]]),IFERROR(VLOOKUP(ROUND(STANDARDIZE(tblY11[[#This Row],[Avg KS2]],AVERAGE(tblY11[[Avg KS2]]),_xlfn.STDEV.P(tblY11[[Avg KS2]])),9),_Stanine,2),5),"")</f>
        <v>3</v>
      </c>
      <c r="J32" s="66" t="inlineStr">
        <is>
          <t>11S/Sc2</t>
        </is>
      </c>
      <c r="K32" s="67">
        <f>IF(tblY11[[#This Row],[Preferred Last name]]="","",COUNTIFS($N$1:$ZZ$1,"*"&amp;CHAR(10)&amp;"Stanine",$N32:$ZZ32,"&gt;=1"))</f>
        <v>6</v>
      </c>
      <c r="L32" s="68">
        <f>IFERROR(AVERAGEIF($N$1:$ZZ$1,"*"&amp;CHAR(10)&amp;"Stanine",$N32:$ZZ32),"")</f>
        <v>4</v>
      </c>
      <c r="M32" s="69">
        <f>IF(AND(ISNUMBER(tblY11[[#This Row],[Mean Stanine]]),ISNUMBER(tblY11[[#This Row],[Avg KS2 Band]]),ISNUMBER(SlopeY11)),tblY11[[#This Row],[Mean Stanine]]-(InterceptY11+SlopeY11*tblY11[[#This Row],[Avg KS2 Band]]),"")</f>
        <v>0.545028860028861</v>
      </c>
      <c r="N32" s="66" t="n">
        <v>19</v>
      </c>
      <c r="O32" s="67">
        <f>IF(ISNUMBER(tblY11[[#This Row],[4B05 - Homeostasis
Raw Score]]),IFERROR(VLOOKUP(ROUND(STANDARDIZE(tblY11[[#This Row],[4B05 - Homeostasis
Raw Score]],AVERAGE(tblY11[[4B05 - Homeostasis
Raw Score]]),_xlfn.STDEV.P(tblY11[[4B05 - Homeostasis
Raw Score]])),9),_Stanine,2),5),"")</f>
        <v>5</v>
      </c>
      <c r="P32" s="66" t="n">
        <v>10</v>
      </c>
      <c r="Q32" s="67">
        <f>IF(ISNUMBER(tblY11[[#This Row],[4C09 - Organic Chemistry
Raw Score]]),IFERROR(VLOOKUP(ROUND(STANDARDIZE(tblY11[[#This Row],[4C09 - Organic Chemistry
Raw Score]],AVERAGE(tblY11[[4C09 - Organic Chemistry
Raw Score]]),_xlfn.STDEV.P(tblY11[[4C09 - Organic Chemistry
Raw Score]])),9),_Stanine,2),5),"")</f>
        <v>3</v>
      </c>
      <c r="R32" s="66" t="n">
        <v>16</v>
      </c>
      <c r="S32" s="67">
        <f>IF(ISNUMBER(tblY11[[#This Row],[4P06 - Waves
Raw Score]]),IFERROR(VLOOKUP(ROUND(STANDARDIZE(tblY11[[#This Row],[4P06 - Waves
Raw Score]],AVERAGE(tblY11[[4P06 - Waves
Raw Score]]),_xlfn.STDEV.P(tblY11[[4P06 - Waves
Raw Score]])),9),_Stanine,2),5),"")</f>
        <v>4</v>
      </c>
      <c r="T32" s="66" t="n">
        <v>16</v>
      </c>
      <c r="U32" s="67">
        <f>IF(ISNUMBER(tblY11[[#This Row],[4B06 - Inheritance
Raw Score]]),IFERROR(VLOOKUP(ROUND(STANDARDIZE(tblY11[[#This Row],[4B06 - Inheritance
Raw Score]],AVERAGE(tblY11[[4B06 - Inheritance
Raw Score]]),_xlfn.STDEV.P(tblY11[[4B06 - Inheritance
Raw Score]])),9),_Stanine,2),5),"")</f>
        <v>4</v>
      </c>
      <c r="V32" s="66" t="n">
        <v>11</v>
      </c>
      <c r="W32" s="67">
        <f>IF(ISNUMBER(tblY11[[#This Row],[4C10 - Chemical Analysis
Raw Score]]),IFERROR(VLOOKUP(ROUND(STANDARDIZE(tblY11[[#This Row],[4C10 - Chemical Analysis
Raw Score]],AVERAGE(tblY11[[4C10 - Chemical Analysis
Raw Score]]),_xlfn.STDEV.P(tblY11[[4C10 - Chemical Analysis
Raw Score]])),9),_Stanine,2),5),"")</f>
        <v>4</v>
      </c>
      <c r="X32" s="66" t="n">
        <v>11</v>
      </c>
      <c r="Y32" s="67">
        <f>IF(ISNUMBER(tblY11[[#This Row],[4P07 - Magnetism
Raw Score]]),IFERROR(VLOOKUP(ROUND(STANDARDIZE(tblY11[[#This Row],[4P07 - Magnetism
Raw Score]],AVERAGE(tblY11[[4P07 - Magnetism
Raw Score]]),_xlfn.STDEV.P(tblY11[[4P07 - Magnetism
Raw Score]])),9),_Stanine,2),5),"")</f>
        <v>4</v>
      </c>
    </row>
    <row r="33">
      <c r="A33" s="65" t="inlineStr">
        <is>
          <t>X904005331541</t>
        </is>
      </c>
      <c r="B33" s="65" t="inlineStr">
        <is>
          <t>Harrison</t>
        </is>
      </c>
      <c r="C33" s="65" t="inlineStr">
        <is>
          <t>Arjun</t>
        </is>
      </c>
      <c r="D33" s="66" t="inlineStr">
        <is>
          <t>F</t>
        </is>
      </c>
      <c r="E33" s="66" t="n"/>
      <c r="F33" s="66" t="inlineStr">
        <is>
          <t>Y</t>
        </is>
      </c>
      <c r="G33" s="34" t="n">
        <v>82.8</v>
      </c>
      <c r="H33" s="34" t="n">
        <v>106</v>
      </c>
      <c r="I33" s="67">
        <f>IF(ISNUMBER(tblY11[[#This Row],[Avg KS2]]),IFERROR(VLOOKUP(ROUND(STANDARDIZE(tblY11[[#This Row],[Avg KS2]],AVERAGE(tblY11[[Avg KS2]]),_xlfn.STDEV.P(tblY11[[Avg KS2]])),9),_Stanine,2),5),"")</f>
        <v>5</v>
      </c>
      <c r="J33" s="66" t="inlineStr">
        <is>
          <t>11S/Sc2</t>
        </is>
      </c>
      <c r="K33" s="67">
        <f>IF(tblY11[[#This Row],[Preferred Last name]]="","",COUNTIFS($N$1:$ZZ$1,"*"&amp;CHAR(10)&amp;"Stanine",$N33:$ZZ33,"&gt;=1"))</f>
        <v>5</v>
      </c>
      <c r="L33" s="68">
        <f>IFERROR(AVERAGEIF($N$1:$ZZ$1,"*"&amp;CHAR(10)&amp;"Stanine",$N33:$ZZ33),"")</f>
        <v>4.4</v>
      </c>
      <c r="M33" s="69">
        <f>IF(AND(ISNUMBER(tblY11[[#This Row],[Mean Stanine]]),ISNUMBER(tblY11[[#This Row],[Avg KS2 Band]]),ISNUMBER(SlopeY11)),tblY11[[#This Row],[Mean Stanine]]-(InterceptY11+SlopeY11*tblY11[[#This Row],[Avg KS2 Band]]),"")</f>
        <v>-0.552698412698412</v>
      </c>
      <c r="N33" s="66" t="inlineStr">
        <is>
          <t>A</t>
        </is>
      </c>
      <c r="O33" s="67" t="str">
        <f>IF(ISNUMBER(tblY11[[#This Row],[4B05 - Homeostasis
Raw Score]]),IFERROR(VLOOKUP(ROUND(STANDARDIZE(tblY11[[#This Row],[4B05 - Homeostasis
Raw Score]],AVERAGE(tblY11[[4B05 - Homeostasis
Raw Score]]),_xlfn.STDEV.P(tblY11[[4B05 - Homeostasis
Raw Score]])),9),_Stanine,2),5),"")</f>
        <v/>
      </c>
      <c r="P33" s="66" t="n">
        <v>20</v>
      </c>
      <c r="Q33" s="67">
        <f>IF(ISNUMBER(tblY11[[#This Row],[4C09 - Organic Chemistry
Raw Score]]),IFERROR(VLOOKUP(ROUND(STANDARDIZE(tblY11[[#This Row],[4C09 - Organic Chemistry
Raw Score]],AVERAGE(tblY11[[4C09 - Organic Chemistry
Raw Score]]),_xlfn.STDEV.P(tblY11[[4C09 - Organic Chemistry
Raw Score]])),9),_Stanine,2),5),"")</f>
        <v>6</v>
      </c>
      <c r="R33" s="66" t="n">
        <v>16</v>
      </c>
      <c r="S33" s="67">
        <f>IF(ISNUMBER(tblY11[[#This Row],[4P06 - Waves
Raw Score]]),IFERROR(VLOOKUP(ROUND(STANDARDIZE(tblY11[[#This Row],[4P06 - Waves
Raw Score]],AVERAGE(tblY11[[4P06 - Waves
Raw Score]]),_xlfn.STDEV.P(tblY11[[4P06 - Waves
Raw Score]])),9),_Stanine,2),5),"")</f>
        <v>4</v>
      </c>
      <c r="T33" s="66" t="n">
        <v>12</v>
      </c>
      <c r="U33" s="67">
        <f>IF(ISNUMBER(tblY11[[#This Row],[4B06 - Inheritance
Raw Score]]),IFERROR(VLOOKUP(ROUND(STANDARDIZE(tblY11[[#This Row],[4B06 - Inheritance
Raw Score]],AVERAGE(tblY11[[4B06 - Inheritance
Raw Score]]),_xlfn.STDEV.P(tblY11[[4B06 - Inheritance
Raw Score]])),9),_Stanine,2),5),"")</f>
        <v>4</v>
      </c>
      <c r="V33" s="66" t="n">
        <v>11</v>
      </c>
      <c r="W33" s="67">
        <f>IF(ISNUMBER(tblY11[[#This Row],[4C10 - Chemical Analysis
Raw Score]]),IFERROR(VLOOKUP(ROUND(STANDARDIZE(tblY11[[#This Row],[4C10 - Chemical Analysis
Raw Score]],AVERAGE(tblY11[[4C10 - Chemical Analysis
Raw Score]]),_xlfn.STDEV.P(tblY11[[4C10 - Chemical Analysis
Raw Score]])),9),_Stanine,2),5),"")</f>
        <v>4</v>
      </c>
      <c r="X33" s="66" t="n">
        <v>12</v>
      </c>
      <c r="Y33" s="67">
        <f>IF(ISNUMBER(tblY11[[#This Row],[4P07 - Magnetism
Raw Score]]),IFERROR(VLOOKUP(ROUND(STANDARDIZE(tblY11[[#This Row],[4P07 - Magnetism
Raw Score]],AVERAGE(tblY11[[4P07 - Magnetism
Raw Score]]),_xlfn.STDEV.P(tblY11[[4P07 - Magnetism
Raw Score]])),9),_Stanine,2),5),"")</f>
        <v>4</v>
      </c>
    </row>
    <row r="34">
      <c r="A34" s="65" t="inlineStr">
        <is>
          <t>X904619825337</t>
        </is>
      </c>
      <c r="B34" s="65" t="inlineStr">
        <is>
          <t>Harrison</t>
        </is>
      </c>
      <c r="C34" s="65" t="inlineStr">
        <is>
          <t>Poppy</t>
        </is>
      </c>
      <c r="D34" s="66" t="inlineStr">
        <is>
          <t>F</t>
        </is>
      </c>
      <c r="E34" s="66" t="n"/>
      <c r="F34" s="66" t="inlineStr">
        <is>
          <t>N</t>
        </is>
      </c>
      <c r="G34" s="34" t="n">
        <v>99.7</v>
      </c>
      <c r="H34" s="34" t="n">
        <v>106</v>
      </c>
      <c r="I34" s="67">
        <f>IF(ISNUMBER(tblY11[[#This Row],[Avg KS2]]),IFERROR(VLOOKUP(ROUND(STANDARDIZE(tblY11[[#This Row],[Avg KS2]],AVERAGE(tblY11[[Avg KS2]]),_xlfn.STDEV.P(tblY11[[Avg KS2]])),9),_Stanine,2),5),"")</f>
        <v>5</v>
      </c>
      <c r="J34" s="66" t="inlineStr">
        <is>
          <t>11S/Sc2</t>
        </is>
      </c>
      <c r="K34" s="67">
        <f>IF(tblY11[[#This Row],[Preferred Last name]]="","",COUNTIFS($N$1:$ZZ$1,"*"&amp;CHAR(10)&amp;"Stanine",$N34:$ZZ34,"&gt;=1"))</f>
        <v>5</v>
      </c>
      <c r="L34" s="68">
        <f>IFERROR(AVERAGEIF($N$1:$ZZ$1,"*"&amp;CHAR(10)&amp;"Stanine",$N34:$ZZ34),"")</f>
        <v>5.8</v>
      </c>
      <c r="M34" s="69">
        <f>IF(AND(ISNUMBER(tblY11[[#This Row],[Mean Stanine]]),ISNUMBER(tblY11[[#This Row],[Avg KS2 Band]]),ISNUMBER(SlopeY11)),tblY11[[#This Row],[Mean Stanine]]-(InterceptY11+SlopeY11*tblY11[[#This Row],[Avg KS2 Band]]),"")</f>
        <v>0.847301587301588</v>
      </c>
      <c r="N34" s="66" t="n">
        <v>28</v>
      </c>
      <c r="O34" s="67">
        <f>IF(ISNUMBER(tblY11[[#This Row],[4B05 - Homeostasis
Raw Score]]),IFERROR(VLOOKUP(ROUND(STANDARDIZE(tblY11[[#This Row],[4B05 - Homeostasis
Raw Score]],AVERAGE(tblY11[[4B05 - Homeostasis
Raw Score]]),_xlfn.STDEV.P(tblY11[[4B05 - Homeostasis
Raw Score]])),9),_Stanine,2),5),"")</f>
        <v>7</v>
      </c>
      <c r="P34" s="66" t="n">
        <v>17</v>
      </c>
      <c r="Q34" s="67">
        <f>IF(ISNUMBER(tblY11[[#This Row],[4C09 - Organic Chemistry
Raw Score]]),IFERROR(VLOOKUP(ROUND(STANDARDIZE(tblY11[[#This Row],[4C09 - Organic Chemistry
Raw Score]],AVERAGE(tblY11[[4C09 - Organic Chemistry
Raw Score]]),_xlfn.STDEV.P(tblY11[[4C09 - Organic Chemistry
Raw Score]])),9),_Stanine,2),5),"")</f>
        <v>5</v>
      </c>
      <c r="R34" s="66" t="n">
        <v>25</v>
      </c>
      <c r="S34" s="67">
        <f>IF(ISNUMBER(tblY11[[#This Row],[4P06 - Waves
Raw Score]]),IFERROR(VLOOKUP(ROUND(STANDARDIZE(tblY11[[#This Row],[4P06 - Waves
Raw Score]],AVERAGE(tblY11[[4P06 - Waves
Raw Score]]),_xlfn.STDEV.P(tblY11[[4P06 - Waves
Raw Score]])),9),_Stanine,2),5),"")</f>
        <v>6</v>
      </c>
      <c r="T34" s="66" t="n">
        <v>16</v>
      </c>
      <c r="U34" s="67">
        <f>IF(ISNUMBER(tblY11[[#This Row],[4B06 - Inheritance
Raw Score]]),IFERROR(VLOOKUP(ROUND(STANDARDIZE(tblY11[[#This Row],[4B06 - Inheritance
Raw Score]],AVERAGE(tblY11[[4B06 - Inheritance
Raw Score]]),_xlfn.STDEV.P(tblY11[[4B06 - Inheritance
Raw Score]])),9),_Stanine,2),5),"")</f>
        <v>4</v>
      </c>
      <c r="V34" s="66" t="n">
        <v>21</v>
      </c>
      <c r="W34" s="67">
        <f>IF(ISNUMBER(tblY11[[#This Row],[4C10 - Chemical Analysis
Raw Score]]),IFERROR(VLOOKUP(ROUND(STANDARDIZE(tblY11[[#This Row],[4C10 - Chemical Analysis
Raw Score]],AVERAGE(tblY11[[4C10 - Chemical Analysis
Raw Score]]),_xlfn.STDEV.P(tblY11[[4C10 - Chemical Analysis
Raw Score]])),9),_Stanine,2),5),"")</f>
        <v>7</v>
      </c>
      <c r="X34" s="66" t="inlineStr">
        <is>
          <t>A</t>
        </is>
      </c>
      <c r="Y34" s="67" t="str">
        <f>IF(ISNUMBER(tblY11[[#This Row],[4P07 - Magnetism
Raw Score]]),IFERROR(VLOOKUP(ROUND(STANDARDIZE(tblY11[[#This Row],[4P07 - Magnetism
Raw Score]],AVERAGE(tblY11[[4P07 - Magnetism
Raw Score]]),_xlfn.STDEV.P(tblY11[[4P07 - Magnetism
Raw Score]])),9),_Stanine,2),5),"")</f>
        <v/>
      </c>
    </row>
    <row r="35">
      <c r="A35" s="65" t="inlineStr">
        <is>
          <t>X902773588099</t>
        </is>
      </c>
      <c r="B35" s="65" t="inlineStr">
        <is>
          <t>Jackson</t>
        </is>
      </c>
      <c r="C35" s="65" t="inlineStr">
        <is>
          <t>Priya</t>
        </is>
      </c>
      <c r="D35" s="66" t="inlineStr">
        <is>
          <t>M</t>
        </is>
      </c>
      <c r="E35" s="66" t="inlineStr">
        <is>
          <t>K</t>
        </is>
      </c>
      <c r="F35" s="66" t="inlineStr">
        <is>
          <t>N</t>
        </is>
      </c>
      <c r="G35" s="34" t="n">
        <v>87.90000000000001</v>
      </c>
      <c r="H35" s="34" t="n">
        <v>108</v>
      </c>
      <c r="I35" s="67">
        <f>IF(ISNUMBER(tblY11[[#This Row],[Avg KS2]]),IFERROR(VLOOKUP(ROUND(STANDARDIZE(tblY11[[#This Row],[Avg KS2]],AVERAGE(tblY11[[Avg KS2]]),_xlfn.STDEV.P(tblY11[[Avg KS2]])),9),_Stanine,2),5),"")</f>
        <v>6</v>
      </c>
      <c r="J35" s="66" t="inlineStr">
        <is>
          <t>11S/Sc2</t>
        </is>
      </c>
      <c r="K35" s="67">
        <f>IF(tblY11[[#This Row],[Preferred Last name]]="","",COUNTIFS($N$1:$ZZ$1,"*"&amp;CHAR(10)&amp;"Stanine",$N35:$ZZ35,"&gt;=1"))</f>
        <v>6</v>
      </c>
      <c r="L35" s="68">
        <f>IFERROR(AVERAGEIF($N$1:$ZZ$1,"*"&amp;CHAR(10)&amp;"Stanine",$N35:$ZZ35),"")</f>
        <v>5.33333333333333</v>
      </c>
      <c r="M35" s="69">
        <f>IF(AND(ISNUMBER(tblY11[[#This Row],[Mean Stanine]]),ISNUMBER(tblY11[[#This Row],[Avg KS2 Band]]),ISNUMBER(SlopeY11)),tblY11[[#This Row],[Mean Stanine]]-(InterceptY11+SlopeY11*tblY11[[#This Row],[Avg KS2 Band]]),"")</f>
        <v>-0.368228715728716</v>
      </c>
      <c r="N35" s="66" t="n">
        <v>20</v>
      </c>
      <c r="O35" s="67">
        <f>IF(ISNUMBER(tblY11[[#This Row],[4B05 - Homeostasis
Raw Score]]),IFERROR(VLOOKUP(ROUND(STANDARDIZE(tblY11[[#This Row],[4B05 - Homeostasis
Raw Score]],AVERAGE(tblY11[[4B05 - Homeostasis
Raw Score]]),_xlfn.STDEV.P(tblY11[[4B05 - Homeostasis
Raw Score]])),9),_Stanine,2),5),"")</f>
        <v>5</v>
      </c>
      <c r="P35" s="66" t="n">
        <v>17</v>
      </c>
      <c r="Q35" s="67">
        <f>IF(ISNUMBER(tblY11[[#This Row],[4C09 - Organic Chemistry
Raw Score]]),IFERROR(VLOOKUP(ROUND(STANDARDIZE(tblY11[[#This Row],[4C09 - Organic Chemistry
Raw Score]],AVERAGE(tblY11[[4C09 - Organic Chemistry
Raw Score]]),_xlfn.STDEV.P(tblY11[[4C09 - Organic Chemistry
Raw Score]])),9),_Stanine,2),5),"")</f>
        <v>5</v>
      </c>
      <c r="R35" s="66" t="n">
        <v>27</v>
      </c>
      <c r="S35" s="67">
        <f>IF(ISNUMBER(tblY11[[#This Row],[4P06 - Waves
Raw Score]]),IFERROR(VLOOKUP(ROUND(STANDARDIZE(tblY11[[#This Row],[4P06 - Waves
Raw Score]],AVERAGE(tblY11[[4P06 - Waves
Raw Score]]),_xlfn.STDEV.P(tblY11[[4P06 - Waves
Raw Score]])),9),_Stanine,2),5),"")</f>
        <v>6</v>
      </c>
      <c r="T35" s="66" t="n">
        <v>16</v>
      </c>
      <c r="U35" s="67">
        <f>IF(ISNUMBER(tblY11[[#This Row],[4B06 - Inheritance
Raw Score]]),IFERROR(VLOOKUP(ROUND(STANDARDIZE(tblY11[[#This Row],[4B06 - Inheritance
Raw Score]],AVERAGE(tblY11[[4B06 - Inheritance
Raw Score]]),_xlfn.STDEV.P(tblY11[[4B06 - Inheritance
Raw Score]])),9),_Stanine,2),5),"")</f>
        <v>4</v>
      </c>
      <c r="V35" s="66" t="n">
        <v>18</v>
      </c>
      <c r="W35" s="67">
        <f>IF(ISNUMBER(tblY11[[#This Row],[4C10 - Chemical Analysis
Raw Score]]),IFERROR(VLOOKUP(ROUND(STANDARDIZE(tblY11[[#This Row],[4C10 - Chemical Analysis
Raw Score]],AVERAGE(tblY11[[4C10 - Chemical Analysis
Raw Score]]),_xlfn.STDEV.P(tblY11[[4C10 - Chemical Analysis
Raw Score]])),9),_Stanine,2),5),"")</f>
        <v>6</v>
      </c>
      <c r="X35" s="66" t="n">
        <v>19</v>
      </c>
      <c r="Y35" s="67">
        <f>IF(ISNUMBER(tblY11[[#This Row],[4P07 - Magnetism
Raw Score]]),IFERROR(VLOOKUP(ROUND(STANDARDIZE(tblY11[[#This Row],[4P07 - Magnetism
Raw Score]],AVERAGE(tblY11[[4P07 - Magnetism
Raw Score]]),_xlfn.STDEV.P(tblY11[[4P07 - Magnetism
Raw Score]])),9),_Stanine,2),5),"")</f>
        <v>6</v>
      </c>
    </row>
    <row r="36">
      <c r="A36" s="65" t="inlineStr">
        <is>
          <t>X903343935139</t>
        </is>
      </c>
      <c r="B36" s="65" t="inlineStr">
        <is>
          <t>Jones</t>
        </is>
      </c>
      <c r="C36" s="65" t="inlineStr">
        <is>
          <t>Seren</t>
        </is>
      </c>
      <c r="D36" s="66" t="inlineStr">
        <is>
          <t>M</t>
        </is>
      </c>
      <c r="E36" s="66" t="inlineStr">
        <is>
          <t>N</t>
        </is>
      </c>
      <c r="F36" s="66" t="inlineStr">
        <is>
          <t>N</t>
        </is>
      </c>
      <c r="G36" s="34" t="n">
        <v>86.90000000000001</v>
      </c>
      <c r="H36" s="34" t="n">
        <v>108.5</v>
      </c>
      <c r="I36" s="67">
        <f>IF(ISNUMBER(tblY11[[#This Row],[Avg KS2]]),IFERROR(VLOOKUP(ROUND(STANDARDIZE(tblY11[[#This Row],[Avg KS2]],AVERAGE(tblY11[[Avg KS2]]),_xlfn.STDEV.P(tblY11[[Avg KS2]])),9),_Stanine,2),5),"")</f>
        <v>6</v>
      </c>
      <c r="J36" s="66" t="inlineStr">
        <is>
          <t>11S/Sc2</t>
        </is>
      </c>
      <c r="K36" s="67">
        <f>IF(tblY11[[#This Row],[Preferred Last name]]="","",COUNTIFS($N$1:$ZZ$1,"*"&amp;CHAR(10)&amp;"Stanine",$N36:$ZZ36,"&gt;=1"))</f>
        <v>6</v>
      </c>
      <c r="L36" s="68">
        <f>IFERROR(AVERAGEIF($N$1:$ZZ$1,"*"&amp;CHAR(10)&amp;"Stanine",$N36:$ZZ36),"")</f>
        <v>6.66666666666667</v>
      </c>
      <c r="M36" s="69">
        <f>IF(AND(ISNUMBER(tblY11[[#This Row],[Mean Stanine]]),ISNUMBER(tblY11[[#This Row],[Avg KS2 Band]]),ISNUMBER(SlopeY11)),tblY11[[#This Row],[Mean Stanine]]-(InterceptY11+SlopeY11*tblY11[[#This Row],[Avg KS2 Band]]),"")</f>
        <v>0.965104617604618</v>
      </c>
      <c r="N36" s="66" t="n">
        <v>30</v>
      </c>
      <c r="O36" s="67">
        <f>IF(ISNUMBER(tblY11[[#This Row],[4B05 - Homeostasis
Raw Score]]),IFERROR(VLOOKUP(ROUND(STANDARDIZE(tblY11[[#This Row],[4B05 - Homeostasis
Raw Score]],AVERAGE(tblY11[[4B05 - Homeostasis
Raw Score]]),_xlfn.STDEV.P(tblY11[[4B05 - Homeostasis
Raw Score]])),9),_Stanine,2),5),"")</f>
        <v>7</v>
      </c>
      <c r="P36" s="66" t="n">
        <v>22</v>
      </c>
      <c r="Q36" s="67">
        <f>IF(ISNUMBER(tblY11[[#This Row],[4C09 - Organic Chemistry
Raw Score]]),IFERROR(VLOOKUP(ROUND(STANDARDIZE(tblY11[[#This Row],[4C09 - Organic Chemistry
Raw Score]],AVERAGE(tblY11[[4C09 - Organic Chemistry
Raw Score]]),_xlfn.STDEV.P(tblY11[[4C09 - Organic Chemistry
Raw Score]])),9),_Stanine,2),5),"")</f>
        <v>7</v>
      </c>
      <c r="R36" s="66" t="n">
        <v>30</v>
      </c>
      <c r="S36" s="67">
        <f>IF(ISNUMBER(tblY11[[#This Row],[4P06 - Waves
Raw Score]]),IFERROR(VLOOKUP(ROUND(STANDARDIZE(tblY11[[#This Row],[4P06 - Waves
Raw Score]],AVERAGE(tblY11[[4P06 - Waves
Raw Score]]),_xlfn.STDEV.P(tblY11[[4P06 - Waves
Raw Score]])),9),_Stanine,2),5),"")</f>
        <v>7</v>
      </c>
      <c r="T36" s="66" t="n">
        <v>23</v>
      </c>
      <c r="U36" s="67">
        <f>IF(ISNUMBER(tblY11[[#This Row],[4B06 - Inheritance
Raw Score]]),IFERROR(VLOOKUP(ROUND(STANDARDIZE(tblY11[[#This Row],[4B06 - Inheritance
Raw Score]],AVERAGE(tblY11[[4B06 - Inheritance
Raw Score]]),_xlfn.STDEV.P(tblY11[[4B06 - Inheritance
Raw Score]])),9),_Stanine,2),5),"")</f>
        <v>6</v>
      </c>
      <c r="V36" s="66" t="n">
        <v>21</v>
      </c>
      <c r="W36" s="67">
        <f>IF(ISNUMBER(tblY11[[#This Row],[4C10 - Chemical Analysis
Raw Score]]),IFERROR(VLOOKUP(ROUND(STANDARDIZE(tblY11[[#This Row],[4C10 - Chemical Analysis
Raw Score]],AVERAGE(tblY11[[4C10 - Chemical Analysis
Raw Score]]),_xlfn.STDEV.P(tblY11[[4C10 - Chemical Analysis
Raw Score]])),9),_Stanine,2),5),"")</f>
        <v>7</v>
      </c>
      <c r="X36" s="66" t="n">
        <v>18</v>
      </c>
      <c r="Y36" s="67">
        <f>IF(ISNUMBER(tblY11[[#This Row],[4P07 - Magnetism
Raw Score]]),IFERROR(VLOOKUP(ROUND(STANDARDIZE(tblY11[[#This Row],[4P07 - Magnetism
Raw Score]],AVERAGE(tblY11[[4P07 - Magnetism
Raw Score]]),_xlfn.STDEV.P(tblY11[[4P07 - Magnetism
Raw Score]])),9),_Stanine,2),5),"")</f>
        <v>6</v>
      </c>
    </row>
    <row r="37">
      <c r="A37" s="65" t="inlineStr">
        <is>
          <t>X900103700329</t>
        </is>
      </c>
      <c r="B37" s="65" t="inlineStr">
        <is>
          <t>Kelly</t>
        </is>
      </c>
      <c r="C37" s="65" t="inlineStr">
        <is>
          <t>Amara</t>
        </is>
      </c>
      <c r="D37" s="66" t="inlineStr">
        <is>
          <t>F</t>
        </is>
      </c>
      <c r="E37" s="66" t="n"/>
      <c r="F37" s="66" t="inlineStr">
        <is>
          <t>N</t>
        </is>
      </c>
      <c r="G37" s="34" t="n">
        <v>92.7</v>
      </c>
      <c r="H37" s="34" t="n">
        <v>110</v>
      </c>
      <c r="I37" s="67">
        <f>IF(ISNUMBER(tblY11[[#This Row],[Avg KS2]]),IFERROR(VLOOKUP(ROUND(STANDARDIZE(tblY11[[#This Row],[Avg KS2]],AVERAGE(tblY11[[Avg KS2]]),_xlfn.STDEV.P(tblY11[[Avg KS2]])),9),_Stanine,2),5),"")</f>
        <v>7</v>
      </c>
      <c r="J37" s="66" t="inlineStr">
        <is>
          <t>11S/Sc2</t>
        </is>
      </c>
      <c r="K37" s="67">
        <f>IF(tblY11[[#This Row],[Preferred Last name]]="","",COUNTIFS($N$1:$ZZ$1,"*"&amp;CHAR(10)&amp;"Stanine",$N37:$ZZ37,"&gt;=1"))</f>
        <v>6</v>
      </c>
      <c r="L37" s="68">
        <f>IFERROR(AVERAGEIF($N$1:$ZZ$1,"*"&amp;CHAR(10)&amp;"Stanine",$N37:$ZZ37),"")</f>
        <v>7</v>
      </c>
      <c r="M37" s="69">
        <f>IF(AND(ISNUMBER(tblY11[[#This Row],[Mean Stanine]]),ISNUMBER(tblY11[[#This Row],[Avg KS2 Band]]),ISNUMBER(SlopeY11)),tblY11[[#This Row],[Mean Stanine]]-(InterceptY11+SlopeY11*tblY11[[#This Row],[Avg KS2 Band]]),"")</f>
        <v>0.549574314574315</v>
      </c>
      <c r="N37" s="66" t="n">
        <v>31</v>
      </c>
      <c r="O37" s="67">
        <f>IF(ISNUMBER(tblY11[[#This Row],[4B05 - Homeostasis
Raw Score]]),IFERROR(VLOOKUP(ROUND(STANDARDIZE(tblY11[[#This Row],[4B05 - Homeostasis
Raw Score]],AVERAGE(tblY11[[4B05 - Homeostasis
Raw Score]]),_xlfn.STDEV.P(tblY11[[4B05 - Homeostasis
Raw Score]])),9),_Stanine,2),5),"")</f>
        <v>7</v>
      </c>
      <c r="P37" s="66" t="n">
        <v>23</v>
      </c>
      <c r="Q37" s="67">
        <f>IF(ISNUMBER(tblY11[[#This Row],[4C09 - Organic Chemistry
Raw Score]]),IFERROR(VLOOKUP(ROUND(STANDARDIZE(tblY11[[#This Row],[4C09 - Organic Chemistry
Raw Score]],AVERAGE(tblY11[[4C09 - Organic Chemistry
Raw Score]]),_xlfn.STDEV.P(tblY11[[4C09 - Organic Chemistry
Raw Score]])),9),_Stanine,2),5),"")</f>
        <v>7</v>
      </c>
      <c r="R37" s="66" t="n">
        <v>30</v>
      </c>
      <c r="S37" s="67">
        <f>IF(ISNUMBER(tblY11[[#This Row],[4P06 - Waves
Raw Score]]),IFERROR(VLOOKUP(ROUND(STANDARDIZE(tblY11[[#This Row],[4P06 - Waves
Raw Score]],AVERAGE(tblY11[[4P06 - Waves
Raw Score]]),_xlfn.STDEV.P(tblY11[[4P06 - Waves
Raw Score]])),9),_Stanine,2),5),"")</f>
        <v>7</v>
      </c>
      <c r="T37" s="66" t="n">
        <v>30</v>
      </c>
      <c r="U37" s="67">
        <f>IF(ISNUMBER(tblY11[[#This Row],[4B06 - Inheritance
Raw Score]]),IFERROR(VLOOKUP(ROUND(STANDARDIZE(tblY11[[#This Row],[4B06 - Inheritance
Raw Score]],AVERAGE(tblY11[[4B06 - Inheritance
Raw Score]]),_xlfn.STDEV.P(tblY11[[4B06 - Inheritance
Raw Score]])),9),_Stanine,2),5),"")</f>
        <v>7</v>
      </c>
      <c r="V37" s="66" t="n">
        <v>20</v>
      </c>
      <c r="W37" s="67">
        <f>IF(ISNUMBER(tblY11[[#This Row],[4C10 - Chemical Analysis
Raw Score]]),IFERROR(VLOOKUP(ROUND(STANDARDIZE(tblY11[[#This Row],[4C10 - Chemical Analysis
Raw Score]],AVERAGE(tblY11[[4C10 - Chemical Analysis
Raw Score]]),_xlfn.STDEV.P(tblY11[[4C10 - Chemical Analysis
Raw Score]])),9),_Stanine,2),5),"")</f>
        <v>7</v>
      </c>
      <c r="X37" s="66" t="n">
        <v>24</v>
      </c>
      <c r="Y37" s="67">
        <f>IF(ISNUMBER(tblY11[[#This Row],[4P07 - Magnetism
Raw Score]]),IFERROR(VLOOKUP(ROUND(STANDARDIZE(tblY11[[#This Row],[4P07 - Magnetism
Raw Score]],AVERAGE(tblY11[[4P07 - Magnetism
Raw Score]]),_xlfn.STDEV.P(tblY11[[4P07 - Magnetism
Raw Score]])),9),_Stanine,2),5),"")</f>
        <v>7</v>
      </c>
    </row>
    <row r="38">
      <c r="A38" s="65" t="inlineStr">
        <is>
          <t>X903699254773</t>
        </is>
      </c>
      <c r="B38" s="65" t="inlineStr">
        <is>
          <t>Kelly</t>
        </is>
      </c>
      <c r="C38" s="65" t="inlineStr">
        <is>
          <t>Jacob</t>
        </is>
      </c>
      <c r="D38" s="66" t="inlineStr">
        <is>
          <t>M</t>
        </is>
      </c>
      <c r="E38" s="66" t="n"/>
      <c r="F38" s="66" t="inlineStr">
        <is>
          <t>N</t>
        </is>
      </c>
      <c r="G38" s="34" t="n">
        <v>92.7</v>
      </c>
      <c r="H38" s="34" t="n">
        <v>106.5</v>
      </c>
      <c r="I38" s="67">
        <f>IF(ISNUMBER(tblY11[[#This Row],[Avg KS2]]),IFERROR(VLOOKUP(ROUND(STANDARDIZE(tblY11[[#This Row],[Avg KS2]],AVERAGE(tblY11[[Avg KS2]]),_xlfn.STDEV.P(tblY11[[Avg KS2]])),9),_Stanine,2),5),"")</f>
        <v>6</v>
      </c>
      <c r="J38" s="66" t="inlineStr">
        <is>
          <t>11S/Sc2</t>
        </is>
      </c>
      <c r="K38" s="67">
        <f>IF(tblY11[[#This Row],[Preferred Last name]]="","",COUNTIFS($N$1:$ZZ$1,"*"&amp;CHAR(10)&amp;"Stanine",$N38:$ZZ38,"&gt;=1"))</f>
        <v>6</v>
      </c>
      <c r="L38" s="68">
        <f>IFERROR(AVERAGEIF($N$1:$ZZ$1,"*"&amp;CHAR(10)&amp;"Stanine",$N38:$ZZ38),"")</f>
        <v>4.16666666666667</v>
      </c>
      <c r="M38" s="69">
        <f>IF(AND(ISNUMBER(tblY11[[#This Row],[Mean Stanine]]),ISNUMBER(tblY11[[#This Row],[Avg KS2 Band]]),ISNUMBER(SlopeY11)),tblY11[[#This Row],[Mean Stanine]]-(InterceptY11+SlopeY11*tblY11[[#This Row],[Avg KS2 Band]]),"")</f>
        <v>-1.53489538239538</v>
      </c>
      <c r="N38" s="66" t="n">
        <v>16</v>
      </c>
      <c r="O38" s="67">
        <f>IF(ISNUMBER(tblY11[[#This Row],[4B05 - Homeostasis
Raw Score]]),IFERROR(VLOOKUP(ROUND(STANDARDIZE(tblY11[[#This Row],[4B05 - Homeostasis
Raw Score]],AVERAGE(tblY11[[4B05 - Homeostasis
Raw Score]]),_xlfn.STDEV.P(tblY11[[4B05 - Homeostasis
Raw Score]])),9),_Stanine,2),5),"")</f>
        <v>4</v>
      </c>
      <c r="P38" s="66" t="n">
        <v>14</v>
      </c>
      <c r="Q38" s="67">
        <f>IF(ISNUMBER(tblY11[[#This Row],[4C09 - Organic Chemistry
Raw Score]]),IFERROR(VLOOKUP(ROUND(STANDARDIZE(tblY11[[#This Row],[4C09 - Organic Chemistry
Raw Score]],AVERAGE(tblY11[[4C09 - Organic Chemistry
Raw Score]]),_xlfn.STDEV.P(tblY11[[4C09 - Organic Chemistry
Raw Score]])),9),_Stanine,2),5),"")</f>
        <v>4</v>
      </c>
      <c r="R38" s="66" t="n">
        <v>16</v>
      </c>
      <c r="S38" s="67">
        <f>IF(ISNUMBER(tblY11[[#This Row],[4P06 - Waves
Raw Score]]),IFERROR(VLOOKUP(ROUND(STANDARDIZE(tblY11[[#This Row],[4P06 - Waves
Raw Score]],AVERAGE(tblY11[[4P06 - Waves
Raw Score]]),_xlfn.STDEV.P(tblY11[[4P06 - Waves
Raw Score]])),9),_Stanine,2),5),"")</f>
        <v>4</v>
      </c>
      <c r="T38" s="66" t="n">
        <v>15</v>
      </c>
      <c r="U38" s="67">
        <f>IF(ISNUMBER(tblY11[[#This Row],[4B06 - Inheritance
Raw Score]]),IFERROR(VLOOKUP(ROUND(STANDARDIZE(tblY11[[#This Row],[4B06 - Inheritance
Raw Score]],AVERAGE(tblY11[[4B06 - Inheritance
Raw Score]]),_xlfn.STDEV.P(tblY11[[4B06 - Inheritance
Raw Score]])),9),_Stanine,2),5),"")</f>
        <v>4</v>
      </c>
      <c r="V38" s="66" t="n">
        <v>11</v>
      </c>
      <c r="W38" s="67">
        <f>IF(ISNUMBER(tblY11[[#This Row],[4C10 - Chemical Analysis
Raw Score]]),IFERROR(VLOOKUP(ROUND(STANDARDIZE(tblY11[[#This Row],[4C10 - Chemical Analysis
Raw Score]],AVERAGE(tblY11[[4C10 - Chemical Analysis
Raw Score]]),_xlfn.STDEV.P(tblY11[[4C10 - Chemical Analysis
Raw Score]])),9),_Stanine,2),5),"")</f>
        <v>4</v>
      </c>
      <c r="X38" s="66" t="n">
        <v>16</v>
      </c>
      <c r="Y38" s="67">
        <f>IF(ISNUMBER(tblY11[[#This Row],[4P07 - Magnetism
Raw Score]]),IFERROR(VLOOKUP(ROUND(STANDARDIZE(tblY11[[#This Row],[4P07 - Magnetism
Raw Score]],AVERAGE(tblY11[[4P07 - Magnetism
Raw Score]]),_xlfn.STDEV.P(tblY11[[4P07 - Magnetism
Raw Score]])),9),_Stanine,2),5),"")</f>
        <v>5</v>
      </c>
    </row>
    <row r="39">
      <c r="A39" s="65" t="inlineStr">
        <is>
          <t>X906207452548</t>
        </is>
      </c>
      <c r="B39" s="65" t="inlineStr">
        <is>
          <t>Kowalski</t>
        </is>
      </c>
      <c r="C39" s="65" t="inlineStr">
        <is>
          <t>Lewis</t>
        </is>
      </c>
      <c r="D39" s="66" t="inlineStr">
        <is>
          <t>M</t>
        </is>
      </c>
      <c r="E39" s="66" t="inlineStr">
        <is>
          <t>K</t>
        </is>
      </c>
      <c r="F39" s="66" t="inlineStr">
        <is>
          <t>Y</t>
        </is>
      </c>
      <c r="G39" s="34" t="n">
        <v>86.5</v>
      </c>
      <c r="H39" s="34" t="n">
        <v>103</v>
      </c>
      <c r="I39" s="67">
        <f>IF(ISNUMBER(tblY11[[#This Row],[Avg KS2]]),IFERROR(VLOOKUP(ROUND(STANDARDIZE(tblY11[[#This Row],[Avg KS2]],AVERAGE(tblY11[[Avg KS2]]),_xlfn.STDEV.P(tblY11[[Avg KS2]])),9),_Stanine,2),5),"")</f>
        <v>4</v>
      </c>
      <c r="J39" s="66" t="inlineStr">
        <is>
          <t>11S/Sc2</t>
        </is>
      </c>
      <c r="K39" s="67">
        <f>IF(tblY11[[#This Row],[Preferred Last name]]="","",COUNTIFS($N$1:$ZZ$1,"*"&amp;CHAR(10)&amp;"Stanine",$N39:$ZZ39,"&gt;=1"))</f>
        <v>6</v>
      </c>
      <c r="L39" s="68">
        <f>IFERROR(AVERAGEIF($N$1:$ZZ$1,"*"&amp;CHAR(10)&amp;"Stanine",$N39:$ZZ39),"")</f>
        <v>4</v>
      </c>
      <c r="M39" s="69">
        <f>IF(AND(ISNUMBER(tblY11[[#This Row],[Mean Stanine]]),ISNUMBER(tblY11[[#This Row],[Avg KS2 Band]]),ISNUMBER(SlopeY11)),tblY11[[#This Row],[Mean Stanine]]-(InterceptY11+SlopeY11*tblY11[[#This Row],[Avg KS2 Band]]),"")</f>
        <v>-0.203834776334776</v>
      </c>
      <c r="N39" s="66" t="n">
        <v>11</v>
      </c>
      <c r="O39" s="67">
        <f>IF(ISNUMBER(tblY11[[#This Row],[4B05 - Homeostasis
Raw Score]]),IFERROR(VLOOKUP(ROUND(STANDARDIZE(tblY11[[#This Row],[4B05 - Homeostasis
Raw Score]],AVERAGE(tblY11[[4B05 - Homeostasis
Raw Score]]),_xlfn.STDEV.P(tblY11[[4B05 - Homeostasis
Raw Score]])),9),_Stanine,2),5),"")</f>
        <v>3</v>
      </c>
      <c r="P39" s="66" t="n">
        <v>12</v>
      </c>
      <c r="Q39" s="67">
        <f>IF(ISNUMBER(tblY11[[#This Row],[4C09 - Organic Chemistry
Raw Score]]),IFERROR(VLOOKUP(ROUND(STANDARDIZE(tblY11[[#This Row],[4C09 - Organic Chemistry
Raw Score]],AVERAGE(tblY11[[4C09 - Organic Chemistry
Raw Score]]),_xlfn.STDEV.P(tblY11[[4C09 - Organic Chemistry
Raw Score]])),9),_Stanine,2),5),"")</f>
        <v>4</v>
      </c>
      <c r="R39" s="66" t="n">
        <v>18</v>
      </c>
      <c r="S39" s="67">
        <f>IF(ISNUMBER(tblY11[[#This Row],[4P06 - Waves
Raw Score]]),IFERROR(VLOOKUP(ROUND(STANDARDIZE(tblY11[[#This Row],[4P06 - Waves
Raw Score]],AVERAGE(tblY11[[4P06 - Waves
Raw Score]]),_xlfn.STDEV.P(tblY11[[4P06 - Waves
Raw Score]])),9),_Stanine,2),5),"")</f>
        <v>4</v>
      </c>
      <c r="T39" s="66" t="n">
        <v>11</v>
      </c>
      <c r="U39" s="67">
        <f>IF(ISNUMBER(tblY11[[#This Row],[4B06 - Inheritance
Raw Score]]),IFERROR(VLOOKUP(ROUND(STANDARDIZE(tblY11[[#This Row],[4B06 - Inheritance
Raw Score]],AVERAGE(tblY11[[4B06 - Inheritance
Raw Score]]),_xlfn.STDEV.P(tblY11[[4B06 - Inheritance
Raw Score]])),9),_Stanine,2),5),"")</f>
        <v>3</v>
      </c>
      <c r="V39" s="66" t="n">
        <v>13</v>
      </c>
      <c r="W39" s="67">
        <f>IF(ISNUMBER(tblY11[[#This Row],[4C10 - Chemical Analysis
Raw Score]]),IFERROR(VLOOKUP(ROUND(STANDARDIZE(tblY11[[#This Row],[4C10 - Chemical Analysis
Raw Score]],AVERAGE(tblY11[[4C10 - Chemical Analysis
Raw Score]]),_xlfn.STDEV.P(tblY11[[4C10 - Chemical Analysis
Raw Score]])),9),_Stanine,2),5),"")</f>
        <v>5</v>
      </c>
      <c r="X39" s="66" t="n">
        <v>14</v>
      </c>
      <c r="Y39" s="67">
        <f>IF(ISNUMBER(tblY11[[#This Row],[4P07 - Magnetism
Raw Score]]),IFERROR(VLOOKUP(ROUND(STANDARDIZE(tblY11[[#This Row],[4P07 - Magnetism
Raw Score]],AVERAGE(tblY11[[4P07 - Magnetism
Raw Score]]),_xlfn.STDEV.P(tblY11[[4P07 - Magnetism
Raw Score]])),9),_Stanine,2),5),"")</f>
        <v>5</v>
      </c>
    </row>
    <row r="40">
      <c r="A40" s="65" t="inlineStr">
        <is>
          <t>X906652881000</t>
        </is>
      </c>
      <c r="B40" s="65" t="inlineStr">
        <is>
          <t>Morgan</t>
        </is>
      </c>
      <c r="C40" s="65" t="inlineStr">
        <is>
          <t>George</t>
        </is>
      </c>
      <c r="D40" s="66" t="inlineStr">
        <is>
          <t>M</t>
        </is>
      </c>
      <c r="E40" s="66" t="n"/>
      <c r="F40" s="66" t="inlineStr">
        <is>
          <t>Y</t>
        </is>
      </c>
      <c r="G40" s="34" t="n">
        <v>89.09999999999999</v>
      </c>
      <c r="H40" s="34" t="n">
        <v>106.5</v>
      </c>
      <c r="I40" s="67">
        <f>IF(ISNUMBER(tblY11[[#This Row],[Avg KS2]]),IFERROR(VLOOKUP(ROUND(STANDARDIZE(tblY11[[#This Row],[Avg KS2]],AVERAGE(tblY11[[Avg KS2]]),_xlfn.STDEV.P(tblY11[[Avg KS2]])),9),_Stanine,2),5),"")</f>
        <v>6</v>
      </c>
      <c r="J40" s="66" t="inlineStr">
        <is>
          <t>11S/Sc2</t>
        </is>
      </c>
      <c r="K40" s="67">
        <f>IF(tblY11[[#This Row],[Preferred Last name]]="","",COUNTIFS($N$1:$ZZ$1,"*"&amp;CHAR(10)&amp;"Stanine",$N40:$ZZ40,"&gt;=1"))</f>
        <v>6</v>
      </c>
      <c r="L40" s="68">
        <f>IFERROR(AVERAGEIF($N$1:$ZZ$1,"*"&amp;CHAR(10)&amp;"Stanine",$N40:$ZZ40),"")</f>
        <v>5.33333333333333</v>
      </c>
      <c r="M40" s="69">
        <f>IF(AND(ISNUMBER(tblY11[[#This Row],[Mean Stanine]]),ISNUMBER(tblY11[[#This Row],[Avg KS2 Band]]),ISNUMBER(SlopeY11)),tblY11[[#This Row],[Mean Stanine]]-(InterceptY11+SlopeY11*tblY11[[#This Row],[Avg KS2 Band]]),"")</f>
        <v>-0.368228715728716</v>
      </c>
      <c r="N40" s="66" t="n">
        <v>25</v>
      </c>
      <c r="O40" s="67">
        <f>IF(ISNUMBER(tblY11[[#This Row],[4B05 - Homeostasis
Raw Score]]),IFERROR(VLOOKUP(ROUND(STANDARDIZE(tblY11[[#This Row],[4B05 - Homeostasis
Raw Score]],AVERAGE(tblY11[[4B05 - Homeostasis
Raw Score]]),_xlfn.STDEV.P(tblY11[[4B05 - Homeostasis
Raw Score]])),9),_Stanine,2),5),"")</f>
        <v>6</v>
      </c>
      <c r="P40" s="66" t="n">
        <v>17</v>
      </c>
      <c r="Q40" s="67">
        <f>IF(ISNUMBER(tblY11[[#This Row],[4C09 - Organic Chemistry
Raw Score]]),IFERROR(VLOOKUP(ROUND(STANDARDIZE(tblY11[[#This Row],[4C09 - Organic Chemistry
Raw Score]],AVERAGE(tblY11[[4C09 - Organic Chemistry
Raw Score]]),_xlfn.STDEV.P(tblY11[[4C09 - Organic Chemistry
Raw Score]])),9),_Stanine,2),5),"")</f>
        <v>5</v>
      </c>
      <c r="R40" s="66" t="n">
        <v>23</v>
      </c>
      <c r="S40" s="67">
        <f>IF(ISNUMBER(tblY11[[#This Row],[4P06 - Waves
Raw Score]]),IFERROR(VLOOKUP(ROUND(STANDARDIZE(tblY11[[#This Row],[4P06 - Waves
Raw Score]],AVERAGE(tblY11[[4P06 - Waves
Raw Score]]),_xlfn.STDEV.P(tblY11[[4P06 - Waves
Raw Score]])),9),_Stanine,2),5),"")</f>
        <v>5</v>
      </c>
      <c r="T40" s="66" t="n">
        <v>26</v>
      </c>
      <c r="U40" s="67">
        <f>IF(ISNUMBER(tblY11[[#This Row],[4B06 - Inheritance
Raw Score]]),IFERROR(VLOOKUP(ROUND(STANDARDIZE(tblY11[[#This Row],[4B06 - Inheritance
Raw Score]],AVERAGE(tblY11[[4B06 - Inheritance
Raw Score]]),_xlfn.STDEV.P(tblY11[[4B06 - Inheritance
Raw Score]])),9),_Stanine,2),5),"")</f>
        <v>7</v>
      </c>
      <c r="V40" s="66" t="n">
        <v>12</v>
      </c>
      <c r="W40" s="67">
        <f>IF(ISNUMBER(tblY11[[#This Row],[4C10 - Chemical Analysis
Raw Score]]),IFERROR(VLOOKUP(ROUND(STANDARDIZE(tblY11[[#This Row],[4C10 - Chemical Analysis
Raw Score]],AVERAGE(tblY11[[4C10 - Chemical Analysis
Raw Score]]),_xlfn.STDEV.P(tblY11[[4C10 - Chemical Analysis
Raw Score]])),9),_Stanine,2),5),"")</f>
        <v>4</v>
      </c>
      <c r="X40" s="66" t="n">
        <v>16</v>
      </c>
      <c r="Y40" s="67">
        <f>IF(ISNUMBER(tblY11[[#This Row],[4P07 - Magnetism
Raw Score]]),IFERROR(VLOOKUP(ROUND(STANDARDIZE(tblY11[[#This Row],[4P07 - Magnetism
Raw Score]],AVERAGE(tblY11[[4P07 - Magnetism
Raw Score]]),_xlfn.STDEV.P(tblY11[[4P07 - Magnetism
Raw Score]])),9),_Stanine,2),5),"")</f>
        <v>5</v>
      </c>
    </row>
    <row r="41">
      <c r="A41" s="65" t="inlineStr">
        <is>
          <t>X908923094331</t>
        </is>
      </c>
      <c r="B41" s="65" t="inlineStr">
        <is>
          <t>Morgan</t>
        </is>
      </c>
      <c r="C41" s="65" t="inlineStr">
        <is>
          <t>Noah</t>
        </is>
      </c>
      <c r="D41" s="66" t="inlineStr">
        <is>
          <t>M</t>
        </is>
      </c>
      <c r="E41" s="66" t="inlineStr">
        <is>
          <t>N</t>
        </is>
      </c>
      <c r="F41" s="66" t="inlineStr">
        <is>
          <t>Y</t>
        </is>
      </c>
      <c r="G41" s="34" t="n">
        <v>94.8</v>
      </c>
      <c r="H41" s="34" t="n">
        <v>102</v>
      </c>
      <c r="I41" s="67">
        <f>IF(ISNUMBER(tblY11[[#This Row],[Avg KS2]]),IFERROR(VLOOKUP(ROUND(STANDARDIZE(tblY11[[#This Row],[Avg KS2]],AVERAGE(tblY11[[Avg KS2]]),_xlfn.STDEV.P(tblY11[[Avg KS2]])),9),_Stanine,2),5),"")</f>
        <v>4</v>
      </c>
      <c r="J41" s="66" t="inlineStr">
        <is>
          <t>11S/Sc2</t>
        </is>
      </c>
      <c r="K41" s="67">
        <f>IF(tblY11[[#This Row],[Preferred Last name]]="","",COUNTIFS($N$1:$ZZ$1,"*"&amp;CHAR(10)&amp;"Stanine",$N41:$ZZ41,"&gt;=1"))</f>
        <v>6</v>
      </c>
      <c r="L41" s="68">
        <f>IFERROR(AVERAGEIF($N$1:$ZZ$1,"*"&amp;CHAR(10)&amp;"Stanine",$N41:$ZZ41),"")</f>
        <v>4.5</v>
      </c>
      <c r="M41" s="69">
        <f>IF(AND(ISNUMBER(tblY11[[#This Row],[Mean Stanine]]),ISNUMBER(tblY11[[#This Row],[Avg KS2 Band]]),ISNUMBER(SlopeY11)),tblY11[[#This Row],[Mean Stanine]]-(InterceptY11+SlopeY11*tblY11[[#This Row],[Avg KS2 Band]]),"")</f>
        <v>0.296165223665224</v>
      </c>
      <c r="N41" s="66" t="n">
        <v>20</v>
      </c>
      <c r="O41" s="67">
        <f>IF(ISNUMBER(tblY11[[#This Row],[4B05 - Homeostasis
Raw Score]]),IFERROR(VLOOKUP(ROUND(STANDARDIZE(tblY11[[#This Row],[4B05 - Homeostasis
Raw Score]],AVERAGE(tblY11[[4B05 - Homeostasis
Raw Score]]),_xlfn.STDEV.P(tblY11[[4B05 - Homeostasis
Raw Score]])),9),_Stanine,2),5),"")</f>
        <v>5</v>
      </c>
      <c r="P41" s="66" t="n">
        <v>13</v>
      </c>
      <c r="Q41" s="67">
        <f>IF(ISNUMBER(tblY11[[#This Row],[4C09 - Organic Chemistry
Raw Score]]),IFERROR(VLOOKUP(ROUND(STANDARDIZE(tblY11[[#This Row],[4C09 - Organic Chemistry
Raw Score]],AVERAGE(tblY11[[4C09 - Organic Chemistry
Raw Score]]),_xlfn.STDEV.P(tblY11[[4C09 - Organic Chemistry
Raw Score]])),9),_Stanine,2),5),"")</f>
        <v>4</v>
      </c>
      <c r="R41" s="66" t="n">
        <v>22</v>
      </c>
      <c r="S41" s="67">
        <f>IF(ISNUMBER(tblY11[[#This Row],[4P06 - Waves
Raw Score]]),IFERROR(VLOOKUP(ROUND(STANDARDIZE(tblY11[[#This Row],[4P06 - Waves
Raw Score]],AVERAGE(tblY11[[4P06 - Waves
Raw Score]]),_xlfn.STDEV.P(tblY11[[4P06 - Waves
Raw Score]])),9),_Stanine,2),5),"")</f>
        <v>5</v>
      </c>
      <c r="T41" s="66" t="n">
        <v>16</v>
      </c>
      <c r="U41" s="67">
        <f>IF(ISNUMBER(tblY11[[#This Row],[4B06 - Inheritance
Raw Score]]),IFERROR(VLOOKUP(ROUND(STANDARDIZE(tblY11[[#This Row],[4B06 - Inheritance
Raw Score]],AVERAGE(tblY11[[4B06 - Inheritance
Raw Score]]),_xlfn.STDEV.P(tblY11[[4B06 - Inheritance
Raw Score]])),9),_Stanine,2),5),"")</f>
        <v>4</v>
      </c>
      <c r="V41" s="66" t="n">
        <v>16</v>
      </c>
      <c r="W41" s="67">
        <f>IF(ISNUMBER(tblY11[[#This Row],[4C10 - Chemical Analysis
Raw Score]]),IFERROR(VLOOKUP(ROUND(STANDARDIZE(tblY11[[#This Row],[4C10 - Chemical Analysis
Raw Score]],AVERAGE(tblY11[[4C10 - Chemical Analysis
Raw Score]]),_xlfn.STDEV.P(tblY11[[4C10 - Chemical Analysis
Raw Score]])),9),_Stanine,2),5),"")</f>
        <v>6</v>
      </c>
      <c r="X41" s="66" t="n">
        <v>10</v>
      </c>
      <c r="Y41" s="67">
        <f>IF(ISNUMBER(tblY11[[#This Row],[4P07 - Magnetism
Raw Score]]),IFERROR(VLOOKUP(ROUND(STANDARDIZE(tblY11[[#This Row],[4P07 - Magnetism
Raw Score]],AVERAGE(tblY11[[4P07 - Magnetism
Raw Score]]),_xlfn.STDEV.P(tblY11[[4P07 - Magnetism
Raw Score]])),9),_Stanine,2),5),"")</f>
        <v>3</v>
      </c>
    </row>
    <row r="42">
      <c r="A42" s="65" t="inlineStr">
        <is>
          <t>X903099779773</t>
        </is>
      </c>
      <c r="B42" s="65" t="inlineStr">
        <is>
          <t>Murphy</t>
        </is>
      </c>
      <c r="C42" s="65" t="inlineStr">
        <is>
          <t>Ella</t>
        </is>
      </c>
      <c r="D42" s="66" t="inlineStr">
        <is>
          <t>F</t>
        </is>
      </c>
      <c r="E42" s="66" t="n"/>
      <c r="F42" s="66" t="inlineStr">
        <is>
          <t>N</t>
        </is>
      </c>
      <c r="G42" s="34" t="n">
        <v>92.5</v>
      </c>
      <c r="H42" s="34" t="n">
        <v>108</v>
      </c>
      <c r="I42" s="67">
        <f>IF(ISNUMBER(tblY11[[#This Row],[Avg KS2]]),IFERROR(VLOOKUP(ROUND(STANDARDIZE(tblY11[[#This Row],[Avg KS2]],AVERAGE(tblY11[[Avg KS2]]),_xlfn.STDEV.P(tblY11[[Avg KS2]])),9),_Stanine,2),5),"")</f>
        <v>6</v>
      </c>
      <c r="J42" s="66" t="inlineStr">
        <is>
          <t>11S/Sc2</t>
        </is>
      </c>
      <c r="K42" s="67">
        <f>IF(tblY11[[#This Row],[Preferred Last name]]="","",COUNTIFS($N$1:$ZZ$1,"*"&amp;CHAR(10)&amp;"Stanine",$N42:$ZZ42,"&gt;=1"))</f>
        <v>5</v>
      </c>
      <c r="L42" s="68">
        <f>IFERROR(AVERAGEIF($N$1:$ZZ$1,"*"&amp;CHAR(10)&amp;"Stanine",$N42:$ZZ42),"")</f>
        <v>4</v>
      </c>
      <c r="M42" s="69">
        <f>IF(AND(ISNUMBER(tblY11[[#This Row],[Mean Stanine]]),ISNUMBER(tblY11[[#This Row],[Avg KS2 Band]]),ISNUMBER(SlopeY11)),tblY11[[#This Row],[Mean Stanine]]-(InterceptY11+SlopeY11*tblY11[[#This Row],[Avg KS2 Band]]),"")</f>
        <v>-1.70156204906205</v>
      </c>
      <c r="N42" s="66" t="n">
        <v>16</v>
      </c>
      <c r="O42" s="67">
        <f>IF(ISNUMBER(tblY11[[#This Row],[4B05 - Homeostasis
Raw Score]]),IFERROR(VLOOKUP(ROUND(STANDARDIZE(tblY11[[#This Row],[4B05 - Homeostasis
Raw Score]],AVERAGE(tblY11[[4B05 - Homeostasis
Raw Score]]),_xlfn.STDEV.P(tblY11[[4B05 - Homeostasis
Raw Score]])),9),_Stanine,2),5),"")</f>
        <v>4</v>
      </c>
      <c r="P42" s="66" t="n">
        <v>12</v>
      </c>
      <c r="Q42" s="67">
        <f>IF(ISNUMBER(tblY11[[#This Row],[4C09 - Organic Chemistry
Raw Score]]),IFERROR(VLOOKUP(ROUND(STANDARDIZE(tblY11[[#This Row],[4C09 - Organic Chemistry
Raw Score]],AVERAGE(tblY11[[4C09 - Organic Chemistry
Raw Score]]),_xlfn.STDEV.P(tblY11[[4C09 - Organic Chemistry
Raw Score]])),9),_Stanine,2),5),"")</f>
        <v>4</v>
      </c>
      <c r="R42" s="66" t="n">
        <v>18</v>
      </c>
      <c r="S42" s="67">
        <f>IF(ISNUMBER(tblY11[[#This Row],[4P06 - Waves
Raw Score]]),IFERROR(VLOOKUP(ROUND(STANDARDIZE(tblY11[[#This Row],[4P06 - Waves
Raw Score]],AVERAGE(tblY11[[4P06 - Waves
Raw Score]]),_xlfn.STDEV.P(tblY11[[4P06 - Waves
Raw Score]])),9),_Stanine,2),5),"")</f>
        <v>4</v>
      </c>
      <c r="T42" s="66" t="inlineStr">
        <is>
          <t>A</t>
        </is>
      </c>
      <c r="U42" s="67" t="str">
        <f>IF(ISNUMBER(tblY11[[#This Row],[4B06 - Inheritance
Raw Score]]),IFERROR(VLOOKUP(ROUND(STANDARDIZE(tblY11[[#This Row],[4B06 - Inheritance
Raw Score]],AVERAGE(tblY11[[4B06 - Inheritance
Raw Score]]),_xlfn.STDEV.P(tblY11[[4B06 - Inheritance
Raw Score]])),9),_Stanine,2),5),"")</f>
        <v/>
      </c>
      <c r="V42" s="66" t="n">
        <v>12</v>
      </c>
      <c r="W42" s="67">
        <f>IF(ISNUMBER(tblY11[[#This Row],[4C10 - Chemical Analysis
Raw Score]]),IFERROR(VLOOKUP(ROUND(STANDARDIZE(tblY11[[#This Row],[4C10 - Chemical Analysis
Raw Score]],AVERAGE(tblY11[[4C10 - Chemical Analysis
Raw Score]]),_xlfn.STDEV.P(tblY11[[4C10 - Chemical Analysis
Raw Score]])),9),_Stanine,2),5),"")</f>
        <v>4</v>
      </c>
      <c r="X42" s="66" t="n">
        <v>13</v>
      </c>
      <c r="Y42" s="67">
        <f>IF(ISNUMBER(tblY11[[#This Row],[4P07 - Magnetism
Raw Score]]),IFERROR(VLOOKUP(ROUND(STANDARDIZE(tblY11[[#This Row],[4P07 - Magnetism
Raw Score]],AVERAGE(tblY11[[4P07 - Magnetism
Raw Score]]),_xlfn.STDEV.P(tblY11[[4P07 - Magnetism
Raw Score]])),9),_Stanine,2),5),"")</f>
        <v>4</v>
      </c>
    </row>
    <row r="43">
      <c r="A43" s="65" t="inlineStr">
        <is>
          <t>X902465404778</t>
        </is>
      </c>
      <c r="B43" s="65" t="inlineStr">
        <is>
          <t>Nowak</t>
        </is>
      </c>
      <c r="C43" s="65" t="inlineStr">
        <is>
          <t>Megan</t>
        </is>
      </c>
      <c r="D43" s="66" t="inlineStr">
        <is>
          <t>M</t>
        </is>
      </c>
      <c r="E43" s="66" t="inlineStr">
        <is>
          <t>N</t>
        </is>
      </c>
      <c r="F43" s="66" t="inlineStr">
        <is>
          <t>N</t>
        </is>
      </c>
      <c r="G43" s="34" t="n">
        <v>85.5</v>
      </c>
      <c r="H43" s="34" t="n">
        <v>111.5</v>
      </c>
      <c r="I43" s="67">
        <f>IF(ISNUMBER(tblY11[[#This Row],[Avg KS2]]),IFERROR(VLOOKUP(ROUND(STANDARDIZE(tblY11[[#This Row],[Avg KS2]],AVERAGE(tblY11[[Avg KS2]]),_xlfn.STDEV.P(tblY11[[Avg KS2]])),9),_Stanine,2),5),"")</f>
        <v>7</v>
      </c>
      <c r="J43" s="66" t="inlineStr">
        <is>
          <t>11S/Sc2</t>
        </is>
      </c>
      <c r="K43" s="67">
        <f>IF(tblY11[[#This Row],[Preferred Last name]]="","",COUNTIFS($N$1:$ZZ$1,"*"&amp;CHAR(10)&amp;"Stanine",$N43:$ZZ43,"&gt;=1"))</f>
        <v>5</v>
      </c>
      <c r="L43" s="68">
        <f>IFERROR(AVERAGEIF($N$1:$ZZ$1,"*"&amp;CHAR(10)&amp;"Stanine",$N43:$ZZ43),"")</f>
        <v>6.2</v>
      </c>
      <c r="M43" s="69">
        <f>IF(AND(ISNUMBER(tblY11[[#This Row],[Mean Stanine]]),ISNUMBER(tblY11[[#This Row],[Avg KS2 Band]]),ISNUMBER(SlopeY11)),tblY11[[#This Row],[Mean Stanine]]-(InterceptY11+SlopeY11*tblY11[[#This Row],[Avg KS2 Band]]),"")</f>
        <v>-0.250425685425685</v>
      </c>
      <c r="N43" s="66" t="n">
        <v>25</v>
      </c>
      <c r="O43" s="67">
        <f>IF(ISNUMBER(tblY11[[#This Row],[4B05 - Homeostasis
Raw Score]]),IFERROR(VLOOKUP(ROUND(STANDARDIZE(tblY11[[#This Row],[4B05 - Homeostasis
Raw Score]],AVERAGE(tblY11[[4B05 - Homeostasis
Raw Score]]),_xlfn.STDEV.P(tblY11[[4B05 - Homeostasis
Raw Score]])),9),_Stanine,2),5),"")</f>
        <v>6</v>
      </c>
      <c r="P43" s="66" t="n">
        <v>24</v>
      </c>
      <c r="Q43" s="67">
        <f>IF(ISNUMBER(tblY11[[#This Row],[4C09 - Organic Chemistry
Raw Score]]),IFERROR(VLOOKUP(ROUND(STANDARDIZE(tblY11[[#This Row],[4C09 - Organic Chemistry
Raw Score]],AVERAGE(tblY11[[4C09 - Organic Chemistry
Raw Score]]),_xlfn.STDEV.P(tblY11[[4C09 - Organic Chemistry
Raw Score]])),9),_Stanine,2),5),"")</f>
        <v>7</v>
      </c>
      <c r="R43" s="66" t="n">
        <v>27</v>
      </c>
      <c r="S43" s="67">
        <f>IF(ISNUMBER(tblY11[[#This Row],[4P06 - Waves
Raw Score]]),IFERROR(VLOOKUP(ROUND(STANDARDIZE(tblY11[[#This Row],[4P06 - Waves
Raw Score]],AVERAGE(tblY11[[4P06 - Waves
Raw Score]]),_xlfn.STDEV.P(tblY11[[4P06 - Waves
Raw Score]])),9),_Stanine,2),5),"")</f>
        <v>6</v>
      </c>
      <c r="T43" s="66" t="n">
        <v>25</v>
      </c>
      <c r="U43" s="67">
        <f>IF(ISNUMBER(tblY11[[#This Row],[4B06 - Inheritance
Raw Score]]),IFERROR(VLOOKUP(ROUND(STANDARDIZE(tblY11[[#This Row],[4B06 - Inheritance
Raw Score]],AVERAGE(tblY11[[4B06 - Inheritance
Raw Score]]),_xlfn.STDEV.P(tblY11[[4B06 - Inheritance
Raw Score]])),9),_Stanine,2),5),"")</f>
        <v>6</v>
      </c>
      <c r="V43" s="66" t="n">
        <v>18</v>
      </c>
      <c r="W43" s="67">
        <f>IF(ISNUMBER(tblY11[[#This Row],[4C10 - Chemical Analysis
Raw Score]]),IFERROR(VLOOKUP(ROUND(STANDARDIZE(tblY11[[#This Row],[4C10 - Chemical Analysis
Raw Score]],AVERAGE(tblY11[[4C10 - Chemical Analysis
Raw Score]]),_xlfn.STDEV.P(tblY11[[4C10 - Chemical Analysis
Raw Score]])),9),_Stanine,2),5),"")</f>
        <v>6</v>
      </c>
      <c r="X43" s="66" t="inlineStr">
        <is>
          <t>A</t>
        </is>
      </c>
      <c r="Y43" s="67" t="str">
        <f>IF(ISNUMBER(tblY11[[#This Row],[4P07 - Magnetism
Raw Score]]),IFERROR(VLOOKUP(ROUND(STANDARDIZE(tblY11[[#This Row],[4P07 - Magnetism
Raw Score]],AVERAGE(tblY11[[4P07 - Magnetism
Raw Score]]),_xlfn.STDEV.P(tblY11[[4P07 - Magnetism
Raw Score]])),9),_Stanine,2),5),"")</f>
        <v/>
      </c>
    </row>
    <row r="44">
      <c r="A44" s="65" t="inlineStr">
        <is>
          <t>X908598437930</t>
        </is>
      </c>
      <c r="B44" s="65" t="inlineStr">
        <is>
          <t>Parker</t>
        </is>
      </c>
      <c r="C44" s="65" t="inlineStr">
        <is>
          <t>Lily</t>
        </is>
      </c>
      <c r="D44" s="66" t="inlineStr">
        <is>
          <t>F</t>
        </is>
      </c>
      <c r="E44" s="66" t="inlineStr">
        <is>
          <t>N</t>
        </is>
      </c>
      <c r="F44" s="66" t="inlineStr">
        <is>
          <t>N</t>
        </is>
      </c>
      <c r="G44" s="34" t="n">
        <v>100</v>
      </c>
      <c r="H44" s="34" t="n">
        <v>110.5</v>
      </c>
      <c r="I44" s="67">
        <f>IF(ISNUMBER(tblY11[[#This Row],[Avg KS2]]),IFERROR(VLOOKUP(ROUND(STANDARDIZE(tblY11[[#This Row],[Avg KS2]],AVERAGE(tblY11[[Avg KS2]]),_xlfn.STDEV.P(tblY11[[Avg KS2]])),9),_Stanine,2),5),"")</f>
        <v>7</v>
      </c>
      <c r="J44" s="66" t="inlineStr">
        <is>
          <t>11S/Sc2</t>
        </is>
      </c>
      <c r="K44" s="67">
        <f>IF(tblY11[[#This Row],[Preferred Last name]]="","",COUNTIFS($N$1:$ZZ$1,"*"&amp;CHAR(10)&amp;"Stanine",$N44:$ZZ44,"&gt;=1"))</f>
        <v>6</v>
      </c>
      <c r="L44" s="68">
        <f>IFERROR(AVERAGEIF($N$1:$ZZ$1,"*"&amp;CHAR(10)&amp;"Stanine",$N44:$ZZ44),"")</f>
        <v>6.33333333333333</v>
      </c>
      <c r="M44" s="69">
        <f>IF(AND(ISNUMBER(tblY11[[#This Row],[Mean Stanine]]),ISNUMBER(tblY11[[#This Row],[Avg KS2 Band]]),ISNUMBER(SlopeY11)),tblY11[[#This Row],[Mean Stanine]]-(InterceptY11+SlopeY11*tblY11[[#This Row],[Avg KS2 Band]]),"")</f>
        <v>-0.117092352092352</v>
      </c>
      <c r="N44" s="66" t="n">
        <v>24</v>
      </c>
      <c r="O44" s="67">
        <f>IF(ISNUMBER(tblY11[[#This Row],[4B05 - Homeostasis
Raw Score]]),IFERROR(VLOOKUP(ROUND(STANDARDIZE(tblY11[[#This Row],[4B05 - Homeostasis
Raw Score]],AVERAGE(tblY11[[4B05 - Homeostasis
Raw Score]]),_xlfn.STDEV.P(tblY11[[4B05 - Homeostasis
Raw Score]])),9),_Stanine,2),5),"")</f>
        <v>6</v>
      </c>
      <c r="P44" s="66" t="n">
        <v>24</v>
      </c>
      <c r="Q44" s="67">
        <f>IF(ISNUMBER(tblY11[[#This Row],[4C09 - Organic Chemistry
Raw Score]]),IFERROR(VLOOKUP(ROUND(STANDARDIZE(tblY11[[#This Row],[4C09 - Organic Chemistry
Raw Score]],AVERAGE(tblY11[[4C09 - Organic Chemistry
Raw Score]]),_xlfn.STDEV.P(tblY11[[4C09 - Organic Chemistry
Raw Score]])),9),_Stanine,2),5),"")</f>
        <v>7</v>
      </c>
      <c r="R44" s="66" t="n">
        <v>27</v>
      </c>
      <c r="S44" s="67">
        <f>IF(ISNUMBER(tblY11[[#This Row],[4P06 - Waves
Raw Score]]),IFERROR(VLOOKUP(ROUND(STANDARDIZE(tblY11[[#This Row],[4P06 - Waves
Raw Score]],AVERAGE(tblY11[[4P06 - Waves
Raw Score]]),_xlfn.STDEV.P(tblY11[[4P06 - Waves
Raw Score]])),9),_Stanine,2),5),"")</f>
        <v>6</v>
      </c>
      <c r="T44" s="66" t="n">
        <v>29</v>
      </c>
      <c r="U44" s="67">
        <f>IF(ISNUMBER(tblY11[[#This Row],[4B06 - Inheritance
Raw Score]]),IFERROR(VLOOKUP(ROUND(STANDARDIZE(tblY11[[#This Row],[4B06 - Inheritance
Raw Score]],AVERAGE(tblY11[[4B06 - Inheritance
Raw Score]]),_xlfn.STDEV.P(tblY11[[4B06 - Inheritance
Raw Score]])),9),_Stanine,2),5),"")</f>
        <v>7</v>
      </c>
      <c r="V44" s="66" t="n">
        <v>20</v>
      </c>
      <c r="W44" s="67">
        <f>IF(ISNUMBER(tblY11[[#This Row],[4C10 - Chemical Analysis
Raw Score]]),IFERROR(VLOOKUP(ROUND(STANDARDIZE(tblY11[[#This Row],[4C10 - Chemical Analysis
Raw Score]],AVERAGE(tblY11[[4C10 - Chemical Analysis
Raw Score]]),_xlfn.STDEV.P(tblY11[[4C10 - Chemical Analysis
Raw Score]])),9),_Stanine,2),5),"")</f>
        <v>7</v>
      </c>
      <c r="X44" s="66" t="n">
        <v>17</v>
      </c>
      <c r="Y44" s="67">
        <f>IF(ISNUMBER(tblY11[[#This Row],[4P07 - Magnetism
Raw Score]]),IFERROR(VLOOKUP(ROUND(STANDARDIZE(tblY11[[#This Row],[4P07 - Magnetism
Raw Score]],AVERAGE(tblY11[[4P07 - Magnetism
Raw Score]]),_xlfn.STDEV.P(tblY11[[4P07 - Magnetism
Raw Score]])),9),_Stanine,2),5),"")</f>
        <v>5</v>
      </c>
    </row>
    <row r="45">
      <c r="A45" s="65" t="inlineStr">
        <is>
          <t>X902160577297</t>
        </is>
      </c>
      <c r="B45" s="65" t="inlineStr">
        <is>
          <t>Pearson</t>
        </is>
      </c>
      <c r="C45" s="65" t="inlineStr">
        <is>
          <t>Ivy</t>
        </is>
      </c>
      <c r="D45" s="66" t="inlineStr">
        <is>
          <t>F</t>
        </is>
      </c>
      <c r="E45" s="66" t="inlineStr">
        <is>
          <t>N</t>
        </is>
      </c>
      <c r="F45" s="66" t="inlineStr">
        <is>
          <t>Y</t>
        </is>
      </c>
      <c r="G45" s="34" t="n">
        <v>90.59999999999999</v>
      </c>
      <c r="H45" s="34" t="n">
        <v>99</v>
      </c>
      <c r="I45" s="67">
        <f>IF(ISNUMBER(tblY11[[#This Row],[Avg KS2]]),IFERROR(VLOOKUP(ROUND(STANDARDIZE(tblY11[[#This Row],[Avg KS2]],AVERAGE(tblY11[[Avg KS2]]),_xlfn.STDEV.P(tblY11[[Avg KS2]])),9),_Stanine,2),5),"")</f>
        <v>3</v>
      </c>
      <c r="J45" s="66" t="inlineStr">
        <is>
          <t>11S/Sc2</t>
        </is>
      </c>
      <c r="K45" s="67">
        <f>IF(tblY11[[#This Row],[Preferred Last name]]="","",COUNTIFS($N$1:$ZZ$1,"*"&amp;CHAR(10)&amp;"Stanine",$N45:$ZZ45,"&gt;=1"))</f>
        <v>6</v>
      </c>
      <c r="L45" s="68">
        <f>IFERROR(AVERAGEIF($N$1:$ZZ$1,"*"&amp;CHAR(10)&amp;"Stanine",$N45:$ZZ45),"")</f>
        <v>3.16666666666667</v>
      </c>
      <c r="M45" s="69">
        <f>IF(AND(ISNUMBER(tblY11[[#This Row],[Mean Stanine]]),ISNUMBER(tblY11[[#This Row],[Avg KS2 Band]]),ISNUMBER(SlopeY11)),tblY11[[#This Row],[Mean Stanine]]-(InterceptY11+SlopeY11*tblY11[[#This Row],[Avg KS2 Band]]),"")</f>
        <v>-0.288304473304473</v>
      </c>
      <c r="N45" s="66" t="n">
        <v>10</v>
      </c>
      <c r="O45" s="67">
        <f>IF(ISNUMBER(tblY11[[#This Row],[4B05 - Homeostasis
Raw Score]]),IFERROR(VLOOKUP(ROUND(STANDARDIZE(tblY11[[#This Row],[4B05 - Homeostasis
Raw Score]],AVERAGE(tblY11[[4B05 - Homeostasis
Raw Score]]),_xlfn.STDEV.P(tblY11[[4B05 - Homeostasis
Raw Score]])),9),_Stanine,2),5),"")</f>
        <v>2</v>
      </c>
      <c r="P45" s="66" t="n">
        <v>11</v>
      </c>
      <c r="Q45" s="67">
        <f>IF(ISNUMBER(tblY11[[#This Row],[4C09 - Organic Chemistry
Raw Score]]),IFERROR(VLOOKUP(ROUND(STANDARDIZE(tblY11[[#This Row],[4C09 - Organic Chemistry
Raw Score]],AVERAGE(tblY11[[4C09 - Organic Chemistry
Raw Score]]),_xlfn.STDEV.P(tblY11[[4C09 - Organic Chemistry
Raw Score]])),9),_Stanine,2),5),"")</f>
        <v>4</v>
      </c>
      <c r="R45" s="66" t="n">
        <v>12</v>
      </c>
      <c r="S45" s="67">
        <f>IF(ISNUMBER(tblY11[[#This Row],[4P06 - Waves
Raw Score]]),IFERROR(VLOOKUP(ROUND(STANDARDIZE(tblY11[[#This Row],[4P06 - Waves
Raw Score]],AVERAGE(tblY11[[4P06 - Waves
Raw Score]]),_xlfn.STDEV.P(tblY11[[4P06 - Waves
Raw Score]])),9),_Stanine,2),5),"")</f>
        <v>3</v>
      </c>
      <c r="T45" s="66" t="n">
        <v>12</v>
      </c>
      <c r="U45" s="67">
        <f>IF(ISNUMBER(tblY11[[#This Row],[4B06 - Inheritance
Raw Score]]),IFERROR(VLOOKUP(ROUND(STANDARDIZE(tblY11[[#This Row],[4B06 - Inheritance
Raw Score]],AVERAGE(tblY11[[4B06 - Inheritance
Raw Score]]),_xlfn.STDEV.P(tblY11[[4B06 - Inheritance
Raw Score]])),9),_Stanine,2),5),"")</f>
        <v>4</v>
      </c>
      <c r="V45" s="66" t="n">
        <v>7</v>
      </c>
      <c r="W45" s="67">
        <f>IF(ISNUMBER(tblY11[[#This Row],[4C10 - Chemical Analysis
Raw Score]]),IFERROR(VLOOKUP(ROUND(STANDARDIZE(tblY11[[#This Row],[4C10 - Chemical Analysis
Raw Score]],AVERAGE(tblY11[[4C10 - Chemical Analysis
Raw Score]]),_xlfn.STDEV.P(tblY11[[4C10 - Chemical Analysis
Raw Score]])),9),_Stanine,2),5),"")</f>
        <v>3</v>
      </c>
      <c r="X45" s="66" t="n">
        <v>9</v>
      </c>
      <c r="Y45" s="67">
        <f>IF(ISNUMBER(tblY11[[#This Row],[4P07 - Magnetism
Raw Score]]),IFERROR(VLOOKUP(ROUND(STANDARDIZE(tblY11[[#This Row],[4P07 - Magnetism
Raw Score]],AVERAGE(tblY11[[4P07 - Magnetism
Raw Score]]),_xlfn.STDEV.P(tblY11[[4P07 - Magnetism
Raw Score]])),9),_Stanine,2),5),"")</f>
        <v>3</v>
      </c>
    </row>
    <row r="46">
      <c r="A46" s="65" t="inlineStr">
        <is>
          <t>X903191439685</t>
        </is>
      </c>
      <c r="B46" s="65" t="inlineStr">
        <is>
          <t>Price</t>
        </is>
      </c>
      <c r="C46" s="65" t="inlineStr">
        <is>
          <t>Oliver</t>
        </is>
      </c>
      <c r="D46" s="66" t="inlineStr">
        <is>
          <t>M</t>
        </is>
      </c>
      <c r="E46" s="66" t="inlineStr">
        <is>
          <t>N</t>
        </is>
      </c>
      <c r="F46" s="66" t="inlineStr">
        <is>
          <t>Y</t>
        </is>
      </c>
      <c r="G46" s="34" t="n">
        <v>96.59999999999999</v>
      </c>
      <c r="H46" s="34" t="n">
        <v>113.5</v>
      </c>
      <c r="I46" s="67">
        <f>IF(ISNUMBER(tblY11[[#This Row],[Avg KS2]]),IFERROR(VLOOKUP(ROUND(STANDARDIZE(tblY11[[#This Row],[Avg KS2]],AVERAGE(tblY11[[Avg KS2]]),_xlfn.STDEV.P(tblY11[[Avg KS2]])),9),_Stanine,2),5),"")</f>
        <v>8</v>
      </c>
      <c r="J46" s="66" t="inlineStr">
        <is>
          <t>11S/Sc2</t>
        </is>
      </c>
      <c r="K46" s="67">
        <f>IF(tblY11[[#This Row],[Preferred Last name]]="","",COUNTIFS($N$1:$ZZ$1,"*"&amp;CHAR(10)&amp;"Stanine",$N46:$ZZ46,"&gt;=1"))</f>
        <v>6</v>
      </c>
      <c r="L46" s="68">
        <f>IFERROR(AVERAGEIF($N$1:$ZZ$1,"*"&amp;CHAR(10)&amp;"Stanine",$N46:$ZZ46),"")</f>
        <v>4.83333333333333</v>
      </c>
      <c r="M46" s="69">
        <f>IF(AND(ISNUMBER(tblY11[[#This Row],[Mean Stanine]]),ISNUMBER(tblY11[[#This Row],[Avg KS2 Band]]),ISNUMBER(SlopeY11)),tblY11[[#This Row],[Mean Stanine]]-(InterceptY11+SlopeY11*tblY11[[#This Row],[Avg KS2 Band]]),"")</f>
        <v>-2.36595598845599</v>
      </c>
      <c r="N46" s="66" t="n">
        <v>20</v>
      </c>
      <c r="O46" s="67">
        <f>IF(ISNUMBER(tblY11[[#This Row],[4B05 - Homeostasis
Raw Score]]),IFERROR(VLOOKUP(ROUND(STANDARDIZE(tblY11[[#This Row],[4B05 - Homeostasis
Raw Score]],AVERAGE(tblY11[[4B05 - Homeostasis
Raw Score]]),_xlfn.STDEV.P(tblY11[[4B05 - Homeostasis
Raw Score]])),9),_Stanine,2),5),"")</f>
        <v>5</v>
      </c>
      <c r="P46" s="66" t="n">
        <v>14</v>
      </c>
      <c r="Q46" s="67">
        <f>IF(ISNUMBER(tblY11[[#This Row],[4C09 - Organic Chemistry
Raw Score]]),IFERROR(VLOOKUP(ROUND(STANDARDIZE(tblY11[[#This Row],[4C09 - Organic Chemistry
Raw Score]],AVERAGE(tblY11[[4C09 - Organic Chemistry
Raw Score]]),_xlfn.STDEV.P(tblY11[[4C09 - Organic Chemistry
Raw Score]])),9),_Stanine,2),5),"")</f>
        <v>4</v>
      </c>
      <c r="R46" s="66" t="n">
        <v>17</v>
      </c>
      <c r="S46" s="67">
        <f>IF(ISNUMBER(tblY11[[#This Row],[4P06 - Waves
Raw Score]]),IFERROR(VLOOKUP(ROUND(STANDARDIZE(tblY11[[#This Row],[4P06 - Waves
Raw Score]],AVERAGE(tblY11[[4P06 - Waves
Raw Score]]),_xlfn.STDEV.P(tblY11[[4P06 - Waves
Raw Score]])),9),_Stanine,2),5),"")</f>
        <v>4</v>
      </c>
      <c r="T46" s="66" t="n">
        <v>20</v>
      </c>
      <c r="U46" s="67">
        <f>IF(ISNUMBER(tblY11[[#This Row],[4B06 - Inheritance
Raw Score]]),IFERROR(VLOOKUP(ROUND(STANDARDIZE(tblY11[[#This Row],[4B06 - Inheritance
Raw Score]],AVERAGE(tblY11[[4B06 - Inheritance
Raw Score]]),_xlfn.STDEV.P(tblY11[[4B06 - Inheritance
Raw Score]])),9),_Stanine,2),5),"")</f>
        <v>5</v>
      </c>
      <c r="V46" s="66" t="n">
        <v>14</v>
      </c>
      <c r="W46" s="67">
        <f>IF(ISNUMBER(tblY11[[#This Row],[4C10 - Chemical Analysis
Raw Score]]),IFERROR(VLOOKUP(ROUND(STANDARDIZE(tblY11[[#This Row],[4C10 - Chemical Analysis
Raw Score]],AVERAGE(tblY11[[4C10 - Chemical Analysis
Raw Score]]),_xlfn.STDEV.P(tblY11[[4C10 - Chemical Analysis
Raw Score]])),9),_Stanine,2),5),"")</f>
        <v>5</v>
      </c>
      <c r="X46" s="66" t="n">
        <v>18</v>
      </c>
      <c r="Y46" s="67">
        <f>IF(ISNUMBER(tblY11[[#This Row],[4P07 - Magnetism
Raw Score]]),IFERROR(VLOOKUP(ROUND(STANDARDIZE(tblY11[[#This Row],[4P07 - Magnetism
Raw Score]],AVERAGE(tblY11[[4P07 - Magnetism
Raw Score]]),_xlfn.STDEV.P(tblY11[[4P07 - Magnetism
Raw Score]])),9),_Stanine,2),5),"")</f>
        <v>6</v>
      </c>
    </row>
    <row r="47">
      <c r="A47" s="65" t="inlineStr">
        <is>
          <t>X903027915498</t>
        </is>
      </c>
      <c r="B47" s="65" t="inlineStr">
        <is>
          <t>Shaw</t>
        </is>
      </c>
      <c r="C47" s="65" t="inlineStr">
        <is>
          <t>Arjun</t>
        </is>
      </c>
      <c r="D47" s="66" t="inlineStr">
        <is>
          <t>F</t>
        </is>
      </c>
      <c r="E47" s="66" t="n"/>
      <c r="F47" s="66" t="inlineStr">
        <is>
          <t>N</t>
        </is>
      </c>
      <c r="G47" s="34" t="n">
        <v>91.59999999999999</v>
      </c>
      <c r="H47" s="34" t="n">
        <v>109</v>
      </c>
      <c r="I47" s="67">
        <f>IF(ISNUMBER(tblY11[[#This Row],[Avg KS2]]),IFERROR(VLOOKUP(ROUND(STANDARDIZE(tblY11[[#This Row],[Avg KS2]],AVERAGE(tblY11[[Avg KS2]]),_xlfn.STDEV.P(tblY11[[Avg KS2]])),9),_Stanine,2),5),"")</f>
        <v>6</v>
      </c>
      <c r="J47" s="66" t="inlineStr">
        <is>
          <t>11S/Sc2</t>
        </is>
      </c>
      <c r="K47" s="67">
        <f>IF(tblY11[[#This Row],[Preferred Last name]]="","",COUNTIFS($N$1:$ZZ$1,"*"&amp;CHAR(10)&amp;"Stanine",$N47:$ZZ47,"&gt;=1"))</f>
        <v>6</v>
      </c>
      <c r="L47" s="68">
        <f>IFERROR(AVERAGEIF($N$1:$ZZ$1,"*"&amp;CHAR(10)&amp;"Stanine",$N47:$ZZ47),"")</f>
        <v>5.83333333333333</v>
      </c>
      <c r="M47" s="69">
        <f>IF(AND(ISNUMBER(tblY11[[#This Row],[Mean Stanine]]),ISNUMBER(tblY11[[#This Row],[Avg KS2 Band]]),ISNUMBER(SlopeY11)),tblY11[[#This Row],[Mean Stanine]]-(InterceptY11+SlopeY11*tblY11[[#This Row],[Avg KS2 Band]]),"")</f>
        <v>0.131771284271284</v>
      </c>
      <c r="N47" s="66" t="n">
        <v>17</v>
      </c>
      <c r="O47" s="67">
        <f>IF(ISNUMBER(tblY11[[#This Row],[4B05 - Homeostasis
Raw Score]]),IFERROR(VLOOKUP(ROUND(STANDARDIZE(tblY11[[#This Row],[4B05 - Homeostasis
Raw Score]],AVERAGE(tblY11[[4B05 - Homeostasis
Raw Score]]),_xlfn.STDEV.P(tblY11[[4B05 - Homeostasis
Raw Score]])),9),_Stanine,2),5),"")</f>
        <v>4</v>
      </c>
      <c r="P47" s="66" t="n">
        <v>23</v>
      </c>
      <c r="Q47" s="67">
        <f>IF(ISNUMBER(tblY11[[#This Row],[4C09 - Organic Chemistry
Raw Score]]),IFERROR(VLOOKUP(ROUND(STANDARDIZE(tblY11[[#This Row],[4C09 - Organic Chemistry
Raw Score]],AVERAGE(tblY11[[4C09 - Organic Chemistry
Raw Score]]),_xlfn.STDEV.P(tblY11[[4C09 - Organic Chemistry
Raw Score]])),9),_Stanine,2),5),"")</f>
        <v>7</v>
      </c>
      <c r="R47" s="66" t="n">
        <v>20</v>
      </c>
      <c r="S47" s="67">
        <f>IF(ISNUMBER(tblY11[[#This Row],[4P06 - Waves
Raw Score]]),IFERROR(VLOOKUP(ROUND(STANDARDIZE(tblY11[[#This Row],[4P06 - Waves
Raw Score]],AVERAGE(tblY11[[4P06 - Waves
Raw Score]]),_xlfn.STDEV.P(tblY11[[4P06 - Waves
Raw Score]])),9),_Stanine,2),5),"")</f>
        <v>5</v>
      </c>
      <c r="T47" s="66" t="n">
        <v>25</v>
      </c>
      <c r="U47" s="67">
        <f>IF(ISNUMBER(tblY11[[#This Row],[4B06 - Inheritance
Raw Score]]),IFERROR(VLOOKUP(ROUND(STANDARDIZE(tblY11[[#This Row],[4B06 - Inheritance
Raw Score]],AVERAGE(tblY11[[4B06 - Inheritance
Raw Score]]),_xlfn.STDEV.P(tblY11[[4B06 - Inheritance
Raw Score]])),9),_Stanine,2),5),"")</f>
        <v>6</v>
      </c>
      <c r="V47" s="66" t="n">
        <v>23</v>
      </c>
      <c r="W47" s="67">
        <f>IF(ISNUMBER(tblY11[[#This Row],[4C10 - Chemical Analysis
Raw Score]]),IFERROR(VLOOKUP(ROUND(STANDARDIZE(tblY11[[#This Row],[4C10 - Chemical Analysis
Raw Score]],AVERAGE(tblY11[[4C10 - Chemical Analysis
Raw Score]]),_xlfn.STDEV.P(tblY11[[4C10 - Chemical Analysis
Raw Score]])),9),_Stanine,2),5),"")</f>
        <v>8</v>
      </c>
      <c r="X47" s="66" t="n">
        <v>15</v>
      </c>
      <c r="Y47" s="67">
        <f>IF(ISNUMBER(tblY11[[#This Row],[4P07 - Magnetism
Raw Score]]),IFERROR(VLOOKUP(ROUND(STANDARDIZE(tblY11[[#This Row],[4P07 - Magnetism
Raw Score]],AVERAGE(tblY11[[4P07 - Magnetism
Raw Score]]),_xlfn.STDEV.P(tblY11[[4P07 - Magnetism
Raw Score]])),9),_Stanine,2),5),"")</f>
        <v>5</v>
      </c>
    </row>
    <row r="48">
      <c r="A48" s="65" t="inlineStr">
        <is>
          <t>X905105901795</t>
        </is>
      </c>
      <c r="B48" s="65" t="inlineStr">
        <is>
          <t>Taylor</t>
        </is>
      </c>
      <c r="C48" s="65" t="inlineStr">
        <is>
          <t>Maya</t>
        </is>
      </c>
      <c r="D48" s="66" t="inlineStr">
        <is>
          <t>F</t>
        </is>
      </c>
      <c r="E48" s="66" t="n"/>
      <c r="F48" s="66" t="inlineStr">
        <is>
          <t>N</t>
        </is>
      </c>
      <c r="G48" s="34" t="n">
        <v>97.59999999999999</v>
      </c>
      <c r="H48" s="34" t="n">
        <v>113</v>
      </c>
      <c r="I48" s="67">
        <f>IF(ISNUMBER(tblY11[[#This Row],[Avg KS2]]),IFERROR(VLOOKUP(ROUND(STANDARDIZE(tblY11[[#This Row],[Avg KS2]],AVERAGE(tblY11[[Avg KS2]]),_xlfn.STDEV.P(tblY11[[Avg KS2]])),9),_Stanine,2),5),"")</f>
        <v>8</v>
      </c>
      <c r="J48" s="66" t="inlineStr">
        <is>
          <t>11S/Sc2</t>
        </is>
      </c>
      <c r="K48" s="67">
        <f>IF(tblY11[[#This Row],[Preferred Last name]]="","",COUNTIFS($N$1:$ZZ$1,"*"&amp;CHAR(10)&amp;"Stanine",$N48:$ZZ48,"&gt;=1"))</f>
        <v>6</v>
      </c>
      <c r="L48" s="68">
        <f>IFERROR(AVERAGEIF($N$1:$ZZ$1,"*"&amp;CHAR(10)&amp;"Stanine",$N48:$ZZ48),"")</f>
        <v>8.33333333333333</v>
      </c>
      <c r="M48" s="69">
        <f>IF(AND(ISNUMBER(tblY11[[#This Row],[Mean Stanine]]),ISNUMBER(tblY11[[#This Row],[Avg KS2 Band]]),ISNUMBER(SlopeY11)),tblY11[[#This Row],[Mean Stanine]]-(InterceptY11+SlopeY11*tblY11[[#This Row],[Avg KS2 Band]]),"")</f>
        <v>1.13404401154401</v>
      </c>
      <c r="N48" s="66" t="n">
        <v>34</v>
      </c>
      <c r="O48" s="67">
        <f>IF(ISNUMBER(tblY11[[#This Row],[4B05 - Homeostasis
Raw Score]]),IFERROR(VLOOKUP(ROUND(STANDARDIZE(tblY11[[#This Row],[4B05 - Homeostasis
Raw Score]],AVERAGE(tblY11[[4B05 - Homeostasis
Raw Score]]),_xlfn.STDEV.P(tblY11[[4B05 - Homeostasis
Raw Score]])),9),_Stanine,2),5),"")</f>
        <v>8</v>
      </c>
      <c r="P48" s="66" t="n">
        <v>29</v>
      </c>
      <c r="Q48" s="67">
        <f>IF(ISNUMBER(tblY11[[#This Row],[4C09 - Organic Chemistry
Raw Score]]),IFERROR(VLOOKUP(ROUND(STANDARDIZE(tblY11[[#This Row],[4C09 - Organic Chemistry
Raw Score]],AVERAGE(tblY11[[4C09 - Organic Chemistry
Raw Score]]),_xlfn.STDEV.P(tblY11[[4C09 - Organic Chemistry
Raw Score]])),9),_Stanine,2),5),"")</f>
        <v>8</v>
      </c>
      <c r="R48" s="66" t="n">
        <v>32</v>
      </c>
      <c r="S48" s="67">
        <f>IF(ISNUMBER(tblY11[[#This Row],[4P06 - Waves
Raw Score]]),IFERROR(VLOOKUP(ROUND(STANDARDIZE(tblY11[[#This Row],[4P06 - Waves
Raw Score]],AVERAGE(tblY11[[4P06 - Waves
Raw Score]]),_xlfn.STDEV.P(tblY11[[4P06 - Waves
Raw Score]])),9),_Stanine,2),5),"")</f>
        <v>8</v>
      </c>
      <c r="T48" s="66" t="n">
        <v>34</v>
      </c>
      <c r="U48" s="67">
        <f>IF(ISNUMBER(tblY11[[#This Row],[4B06 - Inheritance
Raw Score]]),IFERROR(VLOOKUP(ROUND(STANDARDIZE(tblY11[[#This Row],[4B06 - Inheritance
Raw Score]],AVERAGE(tblY11[[4B06 - Inheritance
Raw Score]]),_xlfn.STDEV.P(tblY11[[4B06 - Inheritance
Raw Score]])),9),_Stanine,2),5),"")</f>
        <v>8</v>
      </c>
      <c r="V48" s="66" t="n">
        <v>26</v>
      </c>
      <c r="W48" s="67">
        <f>IF(ISNUMBER(tblY11[[#This Row],[4C10 - Chemical Analysis
Raw Score]]),IFERROR(VLOOKUP(ROUND(STANDARDIZE(tblY11[[#This Row],[4C10 - Chemical Analysis
Raw Score]],AVERAGE(tblY11[[4C10 - Chemical Analysis
Raw Score]]),_xlfn.STDEV.P(tblY11[[4C10 - Chemical Analysis
Raw Score]])),9),_Stanine,2),5),"")</f>
        <v>9</v>
      </c>
      <c r="X48" s="66" t="n">
        <v>30</v>
      </c>
      <c r="Y48" s="67">
        <f>IF(ISNUMBER(tblY11[[#This Row],[4P07 - Magnetism
Raw Score]]),IFERROR(VLOOKUP(ROUND(STANDARDIZE(tblY11[[#This Row],[4P07 - Magnetism
Raw Score]],AVERAGE(tblY11[[4P07 - Magnetism
Raw Score]]),_xlfn.STDEV.P(tblY11[[4P07 - Magnetism
Raw Score]])),9),_Stanine,2),5),"")</f>
        <v>9</v>
      </c>
    </row>
    <row r="49">
      <c r="A49" s="65" t="inlineStr">
        <is>
          <t>X904342656965</t>
        </is>
      </c>
      <c r="B49" s="65" t="inlineStr">
        <is>
          <t>Thompson</t>
        </is>
      </c>
      <c r="C49" s="65" t="inlineStr">
        <is>
          <t>Kai</t>
        </is>
      </c>
      <c r="D49" s="66" t="inlineStr">
        <is>
          <t>M</t>
        </is>
      </c>
      <c r="E49" s="66" t="n"/>
      <c r="F49" s="66" t="inlineStr">
        <is>
          <t>N</t>
        </is>
      </c>
      <c r="G49" s="34" t="n">
        <v>86.3</v>
      </c>
      <c r="H49" s="34" t="n">
        <v>102</v>
      </c>
      <c r="I49" s="67">
        <f>IF(ISNUMBER(tblY11[[#This Row],[Avg KS2]]),IFERROR(VLOOKUP(ROUND(STANDARDIZE(tblY11[[#This Row],[Avg KS2]],AVERAGE(tblY11[[Avg KS2]]),_xlfn.STDEV.P(tblY11[[Avg KS2]])),9),_Stanine,2),5),"")</f>
        <v>4</v>
      </c>
      <c r="J49" s="66" t="inlineStr">
        <is>
          <t>11S/Sc2</t>
        </is>
      </c>
      <c r="K49" s="67">
        <f>IF(tblY11[[#This Row],[Preferred Last name]]="","",COUNTIFS($N$1:$ZZ$1,"*"&amp;CHAR(10)&amp;"Stanine",$N49:$ZZ49,"&gt;=1"))</f>
        <v>6</v>
      </c>
      <c r="L49" s="68">
        <f>IFERROR(AVERAGEIF($N$1:$ZZ$1,"*"&amp;CHAR(10)&amp;"Stanine",$N49:$ZZ49),"")</f>
        <v>5.66666666666667</v>
      </c>
      <c r="M49" s="69">
        <f>IF(AND(ISNUMBER(tblY11[[#This Row],[Mean Stanine]]),ISNUMBER(tblY11[[#This Row],[Avg KS2 Band]]),ISNUMBER(SlopeY11)),tblY11[[#This Row],[Mean Stanine]]-(InterceptY11+SlopeY11*tblY11[[#This Row],[Avg KS2 Band]]),"")</f>
        <v>1.46283189033189</v>
      </c>
      <c r="N49" s="66" t="n">
        <v>27</v>
      </c>
      <c r="O49" s="67">
        <f>IF(ISNUMBER(tblY11[[#This Row],[4B05 - Homeostasis
Raw Score]]),IFERROR(VLOOKUP(ROUND(STANDARDIZE(tblY11[[#This Row],[4B05 - Homeostasis
Raw Score]],AVERAGE(tblY11[[4B05 - Homeostasis
Raw Score]]),_xlfn.STDEV.P(tblY11[[4B05 - Homeostasis
Raw Score]])),9),_Stanine,2),5),"")</f>
        <v>6</v>
      </c>
      <c r="P49" s="66" t="n">
        <v>16</v>
      </c>
      <c r="Q49" s="67">
        <f>IF(ISNUMBER(tblY11[[#This Row],[4C09 - Organic Chemistry
Raw Score]]),IFERROR(VLOOKUP(ROUND(STANDARDIZE(tblY11[[#This Row],[4C09 - Organic Chemistry
Raw Score]],AVERAGE(tblY11[[4C09 - Organic Chemistry
Raw Score]]),_xlfn.STDEV.P(tblY11[[4C09 - Organic Chemistry
Raw Score]])),9),_Stanine,2),5),"")</f>
        <v>5</v>
      </c>
      <c r="R49" s="66" t="n">
        <v>24</v>
      </c>
      <c r="S49" s="67">
        <f>IF(ISNUMBER(tblY11[[#This Row],[4P06 - Waves
Raw Score]]),IFERROR(VLOOKUP(ROUND(STANDARDIZE(tblY11[[#This Row],[4P06 - Waves
Raw Score]],AVERAGE(tblY11[[4P06 - Waves
Raw Score]]),_xlfn.STDEV.P(tblY11[[4P06 - Waves
Raw Score]])),9),_Stanine,2),5),"")</f>
        <v>6</v>
      </c>
      <c r="T49" s="66" t="n">
        <v>19</v>
      </c>
      <c r="U49" s="67">
        <f>IF(ISNUMBER(tblY11[[#This Row],[4B06 - Inheritance
Raw Score]]),IFERROR(VLOOKUP(ROUND(STANDARDIZE(tblY11[[#This Row],[4B06 - Inheritance
Raw Score]],AVERAGE(tblY11[[4B06 - Inheritance
Raw Score]]),_xlfn.STDEV.P(tblY11[[4B06 - Inheritance
Raw Score]])),9),_Stanine,2),5),"")</f>
        <v>5</v>
      </c>
      <c r="V49" s="66" t="n">
        <v>16</v>
      </c>
      <c r="W49" s="67">
        <f>IF(ISNUMBER(tblY11[[#This Row],[4C10 - Chemical Analysis
Raw Score]]),IFERROR(VLOOKUP(ROUND(STANDARDIZE(tblY11[[#This Row],[4C10 - Chemical Analysis
Raw Score]],AVERAGE(tblY11[[4C10 - Chemical Analysis
Raw Score]]),_xlfn.STDEV.P(tblY11[[4C10 - Chemical Analysis
Raw Score]])),9),_Stanine,2),5),"")</f>
        <v>6</v>
      </c>
      <c r="X49" s="66" t="n">
        <v>19</v>
      </c>
      <c r="Y49" s="67">
        <f>IF(ISNUMBER(tblY11[[#This Row],[4P07 - Magnetism
Raw Score]]),IFERROR(VLOOKUP(ROUND(STANDARDIZE(tblY11[[#This Row],[4P07 - Magnetism
Raw Score]],AVERAGE(tblY11[[4P07 - Magnetism
Raw Score]]),_xlfn.STDEV.P(tblY11[[4P07 - Magnetism
Raw Score]])),9),_Stanine,2),5),"")</f>
        <v>6</v>
      </c>
    </row>
    <row r="50">
      <c r="A50" s="65" t="inlineStr">
        <is>
          <t>X909494582794</t>
        </is>
      </c>
      <c r="B50" s="65" t="inlineStr">
        <is>
          <t>Walker</t>
        </is>
      </c>
      <c r="C50" s="65" t="inlineStr">
        <is>
          <t>Finley</t>
        </is>
      </c>
      <c r="D50" s="66" t="inlineStr">
        <is>
          <t>M</t>
        </is>
      </c>
      <c r="E50" s="66" t="inlineStr">
        <is>
          <t>K</t>
        </is>
      </c>
      <c r="F50" s="66" t="inlineStr">
        <is>
          <t>N</t>
        </is>
      </c>
      <c r="G50" s="34" t="n">
        <v>100</v>
      </c>
      <c r="H50" s="34" t="n">
        <v>101</v>
      </c>
      <c r="I50" s="67">
        <f>IF(ISNUMBER(tblY11[[#This Row],[Avg KS2]]),IFERROR(VLOOKUP(ROUND(STANDARDIZE(tblY11[[#This Row],[Avg KS2]],AVERAGE(tblY11[[Avg KS2]]),_xlfn.STDEV.P(tblY11[[Avg KS2]])),9),_Stanine,2),5),"")</f>
        <v>4</v>
      </c>
      <c r="J50" s="66" t="inlineStr">
        <is>
          <t>11S/Sc2</t>
        </is>
      </c>
      <c r="K50" s="67">
        <f>IF(tblY11[[#This Row],[Preferred Last name]]="","",COUNTIFS($N$1:$ZZ$1,"*"&amp;CHAR(10)&amp;"Stanine",$N50:$ZZ50,"&gt;=1"))</f>
        <v>5</v>
      </c>
      <c r="L50" s="68">
        <f>IFERROR(AVERAGEIF($N$1:$ZZ$1,"*"&amp;CHAR(10)&amp;"Stanine",$N50:$ZZ50),"")</f>
        <v>3.4</v>
      </c>
      <c r="M50" s="69">
        <f>IF(AND(ISNUMBER(tblY11[[#This Row],[Mean Stanine]]),ISNUMBER(tblY11[[#This Row],[Avg KS2 Band]]),ISNUMBER(SlopeY11)),tblY11[[#This Row],[Mean Stanine]]-(InterceptY11+SlopeY11*tblY11[[#This Row],[Avg KS2 Band]]),"")</f>
        <v>-0.803834776334776</v>
      </c>
      <c r="N50" s="66" t="n">
        <v>13</v>
      </c>
      <c r="O50" s="67">
        <f>IF(ISNUMBER(tblY11[[#This Row],[4B05 - Homeostasis
Raw Score]]),IFERROR(VLOOKUP(ROUND(STANDARDIZE(tblY11[[#This Row],[4B05 - Homeostasis
Raw Score]],AVERAGE(tblY11[[4B05 - Homeostasis
Raw Score]]),_xlfn.STDEV.P(tblY11[[4B05 - Homeostasis
Raw Score]])),9),_Stanine,2),5),"")</f>
        <v>3</v>
      </c>
      <c r="P50" s="66" t="n">
        <v>9</v>
      </c>
      <c r="Q50" s="67">
        <f>IF(ISNUMBER(tblY11[[#This Row],[4C09 - Organic Chemistry
Raw Score]]),IFERROR(VLOOKUP(ROUND(STANDARDIZE(tblY11[[#This Row],[4C09 - Organic Chemistry
Raw Score]],AVERAGE(tblY11[[4C09 - Organic Chemistry
Raw Score]]),_xlfn.STDEV.P(tblY11[[4C09 - Organic Chemistry
Raw Score]])),9),_Stanine,2),5),"")</f>
        <v>3</v>
      </c>
      <c r="R50" s="66" t="n">
        <v>18</v>
      </c>
      <c r="S50" s="67">
        <f>IF(ISNUMBER(tblY11[[#This Row],[4P06 - Waves
Raw Score]]),IFERROR(VLOOKUP(ROUND(STANDARDIZE(tblY11[[#This Row],[4P06 - Waves
Raw Score]],AVERAGE(tblY11[[4P06 - Waves
Raw Score]]),_xlfn.STDEV.P(tblY11[[4P06 - Waves
Raw Score]])),9),_Stanine,2),5),"")</f>
        <v>4</v>
      </c>
      <c r="T50" s="66" t="inlineStr">
        <is>
          <t>A</t>
        </is>
      </c>
      <c r="U50" s="67" t="str">
        <f>IF(ISNUMBER(tblY11[[#This Row],[4B06 - Inheritance
Raw Score]]),IFERROR(VLOOKUP(ROUND(STANDARDIZE(tblY11[[#This Row],[4B06 - Inheritance
Raw Score]],AVERAGE(tblY11[[4B06 - Inheritance
Raw Score]]),_xlfn.STDEV.P(tblY11[[4B06 - Inheritance
Raw Score]])),9),_Stanine,2),5),"")</f>
        <v/>
      </c>
      <c r="V50" s="66" t="n">
        <v>9</v>
      </c>
      <c r="W50" s="67">
        <f>IF(ISNUMBER(tblY11[[#This Row],[4C10 - Chemical Analysis
Raw Score]]),IFERROR(VLOOKUP(ROUND(STANDARDIZE(tblY11[[#This Row],[4C10 - Chemical Analysis
Raw Score]],AVERAGE(tblY11[[4C10 - Chemical Analysis
Raw Score]]),_xlfn.STDEV.P(tblY11[[4C10 - Chemical Analysis
Raw Score]])),9),_Stanine,2),5),"")</f>
        <v>3</v>
      </c>
      <c r="X50" s="66" t="n">
        <v>11</v>
      </c>
      <c r="Y50" s="67">
        <f>IF(ISNUMBER(tblY11[[#This Row],[4P07 - Magnetism
Raw Score]]),IFERROR(VLOOKUP(ROUND(STANDARDIZE(tblY11[[#This Row],[4P07 - Magnetism
Raw Score]],AVERAGE(tblY11[[4P07 - Magnetism
Raw Score]]),_xlfn.STDEV.P(tblY11[[4P07 - Magnetism
Raw Score]])),9),_Stanine,2),5),"")</f>
        <v>4</v>
      </c>
    </row>
    <row r="51">
      <c r="A51" s="65" t="inlineStr">
        <is>
          <t>X903562445350</t>
        </is>
      </c>
      <c r="B51" s="65" t="inlineStr">
        <is>
          <t>Walker</t>
        </is>
      </c>
      <c r="C51" s="65" t="inlineStr">
        <is>
          <t>Leo</t>
        </is>
      </c>
      <c r="D51" s="66" t="inlineStr">
        <is>
          <t>F</t>
        </is>
      </c>
      <c r="E51" s="66" t="inlineStr">
        <is>
          <t>N</t>
        </is>
      </c>
      <c r="F51" s="66" t="inlineStr">
        <is>
          <t>N</t>
        </is>
      </c>
      <c r="G51" s="34" t="n">
        <v>95.2</v>
      </c>
      <c r="H51" s="34" t="n">
        <v>106.5</v>
      </c>
      <c r="I51" s="67">
        <f>IF(ISNUMBER(tblY11[[#This Row],[Avg KS2]]),IFERROR(VLOOKUP(ROUND(STANDARDIZE(tblY11[[#This Row],[Avg KS2]],AVERAGE(tblY11[[Avg KS2]]),_xlfn.STDEV.P(tblY11[[Avg KS2]])),9),_Stanine,2),5),"")</f>
        <v>6</v>
      </c>
      <c r="J51" s="66" t="inlineStr">
        <is>
          <t>11S/Sc2</t>
        </is>
      </c>
      <c r="K51" s="67">
        <f>IF(tblY11[[#This Row],[Preferred Last name]]="","",COUNTIFS($N$1:$ZZ$1,"*"&amp;CHAR(10)&amp;"Stanine",$N51:$ZZ51,"&gt;=1"))</f>
        <v>6</v>
      </c>
      <c r="L51" s="68">
        <f>IFERROR(AVERAGEIF($N$1:$ZZ$1,"*"&amp;CHAR(10)&amp;"Stanine",$N51:$ZZ51),"")</f>
        <v>4.83333333333333</v>
      </c>
      <c r="M51" s="69">
        <f>IF(AND(ISNUMBER(tblY11[[#This Row],[Mean Stanine]]),ISNUMBER(tblY11[[#This Row],[Avg KS2 Band]]),ISNUMBER(SlopeY11)),tblY11[[#This Row],[Mean Stanine]]-(InterceptY11+SlopeY11*tblY11[[#This Row],[Avg KS2 Band]]),"")</f>
        <v>-0.868228715728716</v>
      </c>
      <c r="N51" s="66" t="n">
        <v>16</v>
      </c>
      <c r="O51" s="67">
        <f>IF(ISNUMBER(tblY11[[#This Row],[4B05 - Homeostasis
Raw Score]]),IFERROR(VLOOKUP(ROUND(STANDARDIZE(tblY11[[#This Row],[4B05 - Homeostasis
Raw Score]],AVERAGE(tblY11[[4B05 - Homeostasis
Raw Score]]),_xlfn.STDEV.P(tblY11[[4B05 - Homeostasis
Raw Score]])),9),_Stanine,2),5),"")</f>
        <v>4</v>
      </c>
      <c r="P51" s="66" t="n">
        <v>21</v>
      </c>
      <c r="Q51" s="67">
        <f>IF(ISNUMBER(tblY11[[#This Row],[4C09 - Organic Chemistry
Raw Score]]),IFERROR(VLOOKUP(ROUND(STANDARDIZE(tblY11[[#This Row],[4C09 - Organic Chemistry
Raw Score]],AVERAGE(tblY11[[4C09 - Organic Chemistry
Raw Score]]),_xlfn.STDEV.P(tblY11[[4C09 - Organic Chemistry
Raw Score]])),9),_Stanine,2),5),"")</f>
        <v>6</v>
      </c>
      <c r="R51" s="66" t="n">
        <v>23</v>
      </c>
      <c r="S51" s="67">
        <f>IF(ISNUMBER(tblY11[[#This Row],[4P06 - Waves
Raw Score]]),IFERROR(VLOOKUP(ROUND(STANDARDIZE(tblY11[[#This Row],[4P06 - Waves
Raw Score]],AVERAGE(tblY11[[4P06 - Waves
Raw Score]]),_xlfn.STDEV.P(tblY11[[4P06 - Waves
Raw Score]])),9),_Stanine,2),5),"")</f>
        <v>5</v>
      </c>
      <c r="T51" s="66" t="n">
        <v>14</v>
      </c>
      <c r="U51" s="67">
        <f>IF(ISNUMBER(tblY11[[#This Row],[4B06 - Inheritance
Raw Score]]),IFERROR(VLOOKUP(ROUND(STANDARDIZE(tblY11[[#This Row],[4B06 - Inheritance
Raw Score]],AVERAGE(tblY11[[4B06 - Inheritance
Raw Score]]),_xlfn.STDEV.P(tblY11[[4B06 - Inheritance
Raw Score]])),9),_Stanine,2),5),"")</f>
        <v>4</v>
      </c>
      <c r="V51" s="66" t="n">
        <v>13</v>
      </c>
      <c r="W51" s="67">
        <f>IF(ISNUMBER(tblY11[[#This Row],[4C10 - Chemical Analysis
Raw Score]]),IFERROR(VLOOKUP(ROUND(STANDARDIZE(tblY11[[#This Row],[4C10 - Chemical Analysis
Raw Score]],AVERAGE(tblY11[[4C10 - Chemical Analysis
Raw Score]]),_xlfn.STDEV.P(tblY11[[4C10 - Chemical Analysis
Raw Score]])),9),_Stanine,2),5),"")</f>
        <v>5</v>
      </c>
      <c r="X51" s="66" t="n">
        <v>14</v>
      </c>
      <c r="Y51" s="67">
        <f>IF(ISNUMBER(tblY11[[#This Row],[4P07 - Magnetism
Raw Score]]),IFERROR(VLOOKUP(ROUND(STANDARDIZE(tblY11[[#This Row],[4P07 - Magnetism
Raw Score]],AVERAGE(tblY11[[4P07 - Magnetism
Raw Score]]),_xlfn.STDEV.P(tblY11[[4P07 - Magnetism
Raw Score]])),9),_Stanine,2),5),"")</f>
        <v>5</v>
      </c>
    </row>
    <row r="52">
      <c r="A52" s="65" t="inlineStr">
        <is>
          <t>X904917722451</t>
        </is>
      </c>
      <c r="B52" s="65" t="inlineStr">
        <is>
          <t>White</t>
        </is>
      </c>
      <c r="C52" s="65" t="inlineStr">
        <is>
          <t>George</t>
        </is>
      </c>
      <c r="D52" s="66" t="inlineStr">
        <is>
          <t>M</t>
        </is>
      </c>
      <c r="E52" s="66" t="n"/>
      <c r="F52" s="66" t="inlineStr">
        <is>
          <t>N</t>
        </is>
      </c>
      <c r="G52" s="34" t="n">
        <v>94.09999999999999</v>
      </c>
      <c r="H52" s="34" t="n">
        <v>106.5</v>
      </c>
      <c r="I52" s="67">
        <f>IF(ISNUMBER(tblY11[[#This Row],[Avg KS2]]),IFERROR(VLOOKUP(ROUND(STANDARDIZE(tblY11[[#This Row],[Avg KS2]],AVERAGE(tblY11[[Avg KS2]]),_xlfn.STDEV.P(tblY11[[Avg KS2]])),9),_Stanine,2),5),"")</f>
        <v>6</v>
      </c>
      <c r="J52" s="66" t="inlineStr">
        <is>
          <t>11S/Sc2</t>
        </is>
      </c>
      <c r="K52" s="67">
        <f>IF(tblY11[[#This Row],[Preferred Last name]]="","",COUNTIFS($N$1:$ZZ$1,"*"&amp;CHAR(10)&amp;"Stanine",$N52:$ZZ52,"&gt;=1"))</f>
        <v>6</v>
      </c>
      <c r="L52" s="68">
        <f>IFERROR(AVERAGEIF($N$1:$ZZ$1,"*"&amp;CHAR(10)&amp;"Stanine",$N52:$ZZ52),"")</f>
        <v>5.16666666666667</v>
      </c>
      <c r="M52" s="69">
        <f>IF(AND(ISNUMBER(tblY11[[#This Row],[Mean Stanine]]),ISNUMBER(tblY11[[#This Row],[Avg KS2 Band]]),ISNUMBER(SlopeY11)),tblY11[[#This Row],[Mean Stanine]]-(InterceptY11+SlopeY11*tblY11[[#This Row],[Avg KS2 Band]]),"")</f>
        <v>-0.534895382395382</v>
      </c>
      <c r="N52" s="66" t="n">
        <v>25</v>
      </c>
      <c r="O52" s="67">
        <f>IF(ISNUMBER(tblY11[[#This Row],[4B05 - Homeostasis
Raw Score]]),IFERROR(VLOOKUP(ROUND(STANDARDIZE(tblY11[[#This Row],[4B05 - Homeostasis
Raw Score]],AVERAGE(tblY11[[4B05 - Homeostasis
Raw Score]]),_xlfn.STDEV.P(tblY11[[4B05 - Homeostasis
Raw Score]])),9),_Stanine,2),5),"")</f>
        <v>6</v>
      </c>
      <c r="P52" s="66" t="n">
        <v>22</v>
      </c>
      <c r="Q52" s="67">
        <f>IF(ISNUMBER(tblY11[[#This Row],[4C09 - Organic Chemistry
Raw Score]]),IFERROR(VLOOKUP(ROUND(STANDARDIZE(tblY11[[#This Row],[4C09 - Organic Chemistry
Raw Score]],AVERAGE(tblY11[[4C09 - Organic Chemistry
Raw Score]]),_xlfn.STDEV.P(tblY11[[4C09 - Organic Chemistry
Raw Score]])),9),_Stanine,2),5),"")</f>
        <v>7</v>
      </c>
      <c r="R52" s="66" t="n">
        <v>21</v>
      </c>
      <c r="S52" s="67">
        <f>IF(ISNUMBER(tblY11[[#This Row],[4P06 - Waves
Raw Score]]),IFERROR(VLOOKUP(ROUND(STANDARDIZE(tblY11[[#This Row],[4P06 - Waves
Raw Score]],AVERAGE(tblY11[[4P06 - Waves
Raw Score]]),_xlfn.STDEV.P(tblY11[[4P06 - Waves
Raw Score]])),9),_Stanine,2),5),"")</f>
        <v>5</v>
      </c>
      <c r="T52" s="66" t="n">
        <v>16</v>
      </c>
      <c r="U52" s="67">
        <f>IF(ISNUMBER(tblY11[[#This Row],[4B06 - Inheritance
Raw Score]]),IFERROR(VLOOKUP(ROUND(STANDARDIZE(tblY11[[#This Row],[4B06 - Inheritance
Raw Score]],AVERAGE(tblY11[[4B06 - Inheritance
Raw Score]]),_xlfn.STDEV.P(tblY11[[4B06 - Inheritance
Raw Score]])),9),_Stanine,2),5),"")</f>
        <v>4</v>
      </c>
      <c r="V52" s="66" t="n">
        <v>12</v>
      </c>
      <c r="W52" s="67">
        <f>IF(ISNUMBER(tblY11[[#This Row],[4C10 - Chemical Analysis
Raw Score]]),IFERROR(VLOOKUP(ROUND(STANDARDIZE(tblY11[[#This Row],[4C10 - Chemical Analysis
Raw Score]],AVERAGE(tblY11[[4C10 - Chemical Analysis
Raw Score]]),_xlfn.STDEV.P(tblY11[[4C10 - Chemical Analysis
Raw Score]])),9),_Stanine,2),5),"")</f>
        <v>4</v>
      </c>
      <c r="X52" s="66" t="n">
        <v>16</v>
      </c>
      <c r="Y52" s="67">
        <f>IF(ISNUMBER(tblY11[[#This Row],[4P07 - Magnetism
Raw Score]]),IFERROR(VLOOKUP(ROUND(STANDARDIZE(tblY11[[#This Row],[4P07 - Magnetism
Raw Score]],AVERAGE(tblY11[[4P07 - Magnetism
Raw Score]]),_xlfn.STDEV.P(tblY11[[4P07 - Magnetism
Raw Score]])),9),_Stanine,2),5),"")</f>
        <v>5</v>
      </c>
    </row>
    <row r="53">
      <c r="A53" s="65" t="inlineStr">
        <is>
          <t>X900079890749</t>
        </is>
      </c>
      <c r="B53" s="65" t="inlineStr">
        <is>
          <t>White</t>
        </is>
      </c>
      <c r="C53" s="65" t="inlineStr">
        <is>
          <t>Nia</t>
        </is>
      </c>
      <c r="D53" s="66" t="inlineStr">
        <is>
          <t>M</t>
        </is>
      </c>
      <c r="E53" s="66" t="n"/>
      <c r="F53" s="66" t="inlineStr">
        <is>
          <t>N</t>
        </is>
      </c>
      <c r="G53" s="34" t="n">
        <v>95.59999999999999</v>
      </c>
      <c r="H53" s="34" t="n">
        <v>107</v>
      </c>
      <c r="I53" s="67">
        <f>IF(ISNUMBER(tblY11[[#This Row],[Avg KS2]]),IFERROR(VLOOKUP(ROUND(STANDARDIZE(tblY11[[#This Row],[Avg KS2]],AVERAGE(tblY11[[Avg KS2]]),_xlfn.STDEV.P(tblY11[[Avg KS2]])),9),_Stanine,2),5),"")</f>
        <v>6</v>
      </c>
      <c r="J53" s="66" t="inlineStr">
        <is>
          <t>11S/Sc2</t>
        </is>
      </c>
      <c r="K53" s="67">
        <f>IF(tblY11[[#This Row],[Preferred Last name]]="","",COUNTIFS($N$1:$ZZ$1,"*"&amp;CHAR(10)&amp;"Stanine",$N53:$ZZ53,"&gt;=1"))</f>
        <v>5</v>
      </c>
      <c r="L53" s="68">
        <f>IFERROR(AVERAGEIF($N$1:$ZZ$1,"*"&amp;CHAR(10)&amp;"Stanine",$N53:$ZZ53),"")</f>
        <v>5</v>
      </c>
      <c r="M53" s="69">
        <f>IF(AND(ISNUMBER(tblY11[[#This Row],[Mean Stanine]]),ISNUMBER(tblY11[[#This Row],[Avg KS2 Band]]),ISNUMBER(SlopeY11)),tblY11[[#This Row],[Mean Stanine]]-(InterceptY11+SlopeY11*tblY11[[#This Row],[Avg KS2 Band]]),"")</f>
        <v>-0.701562049062049</v>
      </c>
      <c r="N53" s="66" t="n">
        <v>23</v>
      </c>
      <c r="O53" s="67">
        <f>IF(ISNUMBER(tblY11[[#This Row],[4B05 - Homeostasis
Raw Score]]),IFERROR(VLOOKUP(ROUND(STANDARDIZE(tblY11[[#This Row],[4B05 - Homeostasis
Raw Score]],AVERAGE(tblY11[[4B05 - Homeostasis
Raw Score]]),_xlfn.STDEV.P(tblY11[[4B05 - Homeostasis
Raw Score]])),9),_Stanine,2),5),"")</f>
        <v>6</v>
      </c>
      <c r="P53" s="66" t="n">
        <v>11</v>
      </c>
      <c r="Q53" s="67">
        <f>IF(ISNUMBER(tblY11[[#This Row],[4C09 - Organic Chemistry
Raw Score]]),IFERROR(VLOOKUP(ROUND(STANDARDIZE(tblY11[[#This Row],[4C09 - Organic Chemistry
Raw Score]],AVERAGE(tblY11[[4C09 - Organic Chemistry
Raw Score]]),_xlfn.STDEV.P(tblY11[[4C09 - Organic Chemistry
Raw Score]])),9),_Stanine,2),5),"")</f>
        <v>4</v>
      </c>
      <c r="R53" s="66" t="n">
        <v>22</v>
      </c>
      <c r="S53" s="67">
        <f>IF(ISNUMBER(tblY11[[#This Row],[4P06 - Waves
Raw Score]]),IFERROR(VLOOKUP(ROUND(STANDARDIZE(tblY11[[#This Row],[4P06 - Waves
Raw Score]],AVERAGE(tblY11[[4P06 - Waves
Raw Score]]),_xlfn.STDEV.P(tblY11[[4P06 - Waves
Raw Score]])),9),_Stanine,2),5),"")</f>
        <v>5</v>
      </c>
      <c r="T53" s="66" t="inlineStr">
        <is>
          <t>A</t>
        </is>
      </c>
      <c r="U53" s="67" t="str">
        <f>IF(ISNUMBER(tblY11[[#This Row],[4B06 - Inheritance
Raw Score]]),IFERROR(VLOOKUP(ROUND(STANDARDIZE(tblY11[[#This Row],[4B06 - Inheritance
Raw Score]],AVERAGE(tblY11[[4B06 - Inheritance
Raw Score]]),_xlfn.STDEV.P(tblY11[[4B06 - Inheritance
Raw Score]])),9),_Stanine,2),5),"")</f>
        <v/>
      </c>
      <c r="V53" s="66" t="n">
        <v>14</v>
      </c>
      <c r="W53" s="67">
        <f>IF(ISNUMBER(tblY11[[#This Row],[4C10 - Chemical Analysis
Raw Score]]),IFERROR(VLOOKUP(ROUND(STANDARDIZE(tblY11[[#This Row],[4C10 - Chemical Analysis
Raw Score]],AVERAGE(tblY11[[4C10 - Chemical Analysis
Raw Score]]),_xlfn.STDEV.P(tblY11[[4C10 - Chemical Analysis
Raw Score]])),9),_Stanine,2),5),"")</f>
        <v>5</v>
      </c>
      <c r="X53" s="66" t="n">
        <v>14</v>
      </c>
      <c r="Y53" s="67">
        <f>IF(ISNUMBER(tblY11[[#This Row],[4P07 - Magnetism
Raw Score]]),IFERROR(VLOOKUP(ROUND(STANDARDIZE(tblY11[[#This Row],[4P07 - Magnetism
Raw Score]],AVERAGE(tblY11[[4P07 - Magnetism
Raw Score]]),_xlfn.STDEV.P(tblY11[[4P07 - Magnetism
Raw Score]])),9),_Stanine,2),5),"")</f>
        <v>5</v>
      </c>
    </row>
    <row r="54">
      <c r="A54" s="65" t="inlineStr">
        <is>
          <t>X909065304882</t>
        </is>
      </c>
      <c r="B54" s="65" t="inlineStr">
        <is>
          <t>Williams</t>
        </is>
      </c>
      <c r="C54" s="65" t="inlineStr">
        <is>
          <t>Sophie</t>
        </is>
      </c>
      <c r="D54" s="66" t="inlineStr">
        <is>
          <t>M</t>
        </is>
      </c>
      <c r="E54" s="66" t="n"/>
      <c r="F54" s="66" t="inlineStr">
        <is>
          <t>N</t>
        </is>
      </c>
      <c r="G54" s="34" t="n">
        <v>100</v>
      </c>
      <c r="H54" s="34" t="n">
        <v>113.5</v>
      </c>
      <c r="I54" s="67">
        <f>IF(ISNUMBER(tblY11[[#This Row],[Avg KS2]]),IFERROR(VLOOKUP(ROUND(STANDARDIZE(tblY11[[#This Row],[Avg KS2]],AVERAGE(tblY11[[Avg KS2]]),_xlfn.STDEV.P(tblY11[[Avg KS2]])),9),_Stanine,2),5),"")</f>
        <v>8</v>
      </c>
      <c r="J54" s="66" t="inlineStr">
        <is>
          <t>11S/Sc2</t>
        </is>
      </c>
      <c r="K54" s="67">
        <f>IF(tblY11[[#This Row],[Preferred Last name]]="","",COUNTIFS($N$1:$ZZ$1,"*"&amp;CHAR(10)&amp;"Stanine",$N54:$ZZ54,"&gt;=1"))</f>
        <v>6</v>
      </c>
      <c r="L54" s="68">
        <f>IFERROR(AVERAGEIF($N$1:$ZZ$1,"*"&amp;CHAR(10)&amp;"Stanine",$N54:$ZZ54),"")</f>
        <v>5.66666666666667</v>
      </c>
      <c r="M54" s="69">
        <f>IF(AND(ISNUMBER(tblY11[[#This Row],[Mean Stanine]]),ISNUMBER(tblY11[[#This Row],[Avg KS2 Band]]),ISNUMBER(SlopeY11)),tblY11[[#This Row],[Mean Stanine]]-(InterceptY11+SlopeY11*tblY11[[#This Row],[Avg KS2 Band]]),"")</f>
        <v>-1.53262265512265</v>
      </c>
      <c r="N54" s="66" t="n">
        <v>26</v>
      </c>
      <c r="O54" s="67">
        <f>IF(ISNUMBER(tblY11[[#This Row],[4B05 - Homeostasis
Raw Score]]),IFERROR(VLOOKUP(ROUND(STANDARDIZE(tblY11[[#This Row],[4B05 - Homeostasis
Raw Score]],AVERAGE(tblY11[[4B05 - Homeostasis
Raw Score]]),_xlfn.STDEV.P(tblY11[[4B05 - Homeostasis
Raw Score]])),9),_Stanine,2),5),"")</f>
        <v>6</v>
      </c>
      <c r="P54" s="66" t="n">
        <v>22</v>
      </c>
      <c r="Q54" s="67">
        <f>IF(ISNUMBER(tblY11[[#This Row],[4C09 - Organic Chemistry
Raw Score]]),IFERROR(VLOOKUP(ROUND(STANDARDIZE(tblY11[[#This Row],[4C09 - Organic Chemistry
Raw Score]],AVERAGE(tblY11[[4C09 - Organic Chemistry
Raw Score]]),_xlfn.STDEV.P(tblY11[[4C09 - Organic Chemistry
Raw Score]])),9),_Stanine,2),5),"")</f>
        <v>7</v>
      </c>
      <c r="R54" s="66" t="n">
        <v>24</v>
      </c>
      <c r="S54" s="67">
        <f>IF(ISNUMBER(tblY11[[#This Row],[4P06 - Waves
Raw Score]]),IFERROR(VLOOKUP(ROUND(STANDARDIZE(tblY11[[#This Row],[4P06 - Waves
Raw Score]],AVERAGE(tblY11[[4P06 - Waves
Raw Score]]),_xlfn.STDEV.P(tblY11[[4P06 - Waves
Raw Score]])),9),_Stanine,2),5),"")</f>
        <v>6</v>
      </c>
      <c r="T54" s="66" t="n">
        <v>21</v>
      </c>
      <c r="U54" s="67">
        <f>IF(ISNUMBER(tblY11[[#This Row],[4B06 - Inheritance
Raw Score]]),IFERROR(VLOOKUP(ROUND(STANDARDIZE(tblY11[[#This Row],[4B06 - Inheritance
Raw Score]],AVERAGE(tblY11[[4B06 - Inheritance
Raw Score]]),_xlfn.STDEV.P(tblY11[[4B06 - Inheritance
Raw Score]])),9),_Stanine,2),5),"")</f>
        <v>5</v>
      </c>
      <c r="V54" s="66" t="n">
        <v>18</v>
      </c>
      <c r="W54" s="67">
        <f>IF(ISNUMBER(tblY11[[#This Row],[4C10 - Chemical Analysis
Raw Score]]),IFERROR(VLOOKUP(ROUND(STANDARDIZE(tblY11[[#This Row],[4C10 - Chemical Analysis
Raw Score]],AVERAGE(tblY11[[4C10 - Chemical Analysis
Raw Score]]),_xlfn.STDEV.P(tblY11[[4C10 - Chemical Analysis
Raw Score]])),9),_Stanine,2),5),"")</f>
        <v>6</v>
      </c>
      <c r="X54" s="66" t="n">
        <v>13</v>
      </c>
      <c r="Y54" s="67">
        <f>IF(ISNUMBER(tblY11[[#This Row],[4P07 - Magnetism
Raw Score]]),IFERROR(VLOOKUP(ROUND(STANDARDIZE(tblY11[[#This Row],[4P07 - Magnetism
Raw Score]],AVERAGE(tblY11[[4P07 - Magnetism
Raw Score]]),_xlfn.STDEV.P(tblY11[[4P07 - Magnetism
Raw Score]])),9),_Stanine,2),5),"")</f>
        <v>4</v>
      </c>
    </row>
    <row r="55">
      <c r="A55" s="65" t="inlineStr">
        <is>
          <t>X909771516637</t>
        </is>
      </c>
      <c r="B55" s="65" t="inlineStr">
        <is>
          <t>Wright</t>
        </is>
      </c>
      <c r="C55" s="65" t="inlineStr">
        <is>
          <t>Chidi</t>
        </is>
      </c>
      <c r="D55" s="66" t="inlineStr">
        <is>
          <t>M</t>
        </is>
      </c>
      <c r="E55" s="66" t="inlineStr">
        <is>
          <t>N</t>
        </is>
      </c>
      <c r="F55" s="66" t="inlineStr">
        <is>
          <t>N</t>
        </is>
      </c>
      <c r="G55" s="34" t="n">
        <v>100</v>
      </c>
      <c r="H55" s="34" t="n">
        <v>113.5</v>
      </c>
      <c r="I55" s="67">
        <f>IF(ISNUMBER(tblY11[[#This Row],[Avg KS2]]),IFERROR(VLOOKUP(ROUND(STANDARDIZE(tblY11[[#This Row],[Avg KS2]],AVERAGE(tblY11[[Avg KS2]]),_xlfn.STDEV.P(tblY11[[Avg KS2]])),9),_Stanine,2),5),"")</f>
        <v>8</v>
      </c>
      <c r="J55" s="66" t="inlineStr">
        <is>
          <t>11S/Sc2</t>
        </is>
      </c>
      <c r="K55" s="67">
        <f>IF(tblY11[[#This Row],[Preferred Last name]]="","",COUNTIFS($N$1:$ZZ$1,"*"&amp;CHAR(10)&amp;"Stanine",$N55:$ZZ55,"&gt;=1"))</f>
        <v>6</v>
      </c>
      <c r="L55" s="68">
        <f>IFERROR(AVERAGEIF($N$1:$ZZ$1,"*"&amp;CHAR(10)&amp;"Stanine",$N55:$ZZ55),"")</f>
        <v>6.83333333333333</v>
      </c>
      <c r="M55" s="69">
        <f>IF(AND(ISNUMBER(tblY11[[#This Row],[Mean Stanine]]),ISNUMBER(tblY11[[#This Row],[Avg KS2 Band]]),ISNUMBER(SlopeY11)),tblY11[[#This Row],[Mean Stanine]]-(InterceptY11+SlopeY11*tblY11[[#This Row],[Avg KS2 Band]]),"")</f>
        <v>-0.365955988455989</v>
      </c>
      <c r="N55" s="66" t="n">
        <v>27</v>
      </c>
      <c r="O55" s="67">
        <f>IF(ISNUMBER(tblY11[[#This Row],[4B05 - Homeostasis
Raw Score]]),IFERROR(VLOOKUP(ROUND(STANDARDIZE(tblY11[[#This Row],[4B05 - Homeostasis
Raw Score]],AVERAGE(tblY11[[4B05 - Homeostasis
Raw Score]]),_xlfn.STDEV.P(tblY11[[4B05 - Homeostasis
Raw Score]])),9),_Stanine,2),5),"")</f>
        <v>6</v>
      </c>
      <c r="P55" s="66" t="n">
        <v>24</v>
      </c>
      <c r="Q55" s="67">
        <f>IF(ISNUMBER(tblY11[[#This Row],[4C09 - Organic Chemistry
Raw Score]]),IFERROR(VLOOKUP(ROUND(STANDARDIZE(tblY11[[#This Row],[4C09 - Organic Chemistry
Raw Score]],AVERAGE(tblY11[[4C09 - Organic Chemistry
Raw Score]]),_xlfn.STDEV.P(tblY11[[4C09 - Organic Chemistry
Raw Score]])),9),_Stanine,2),5),"")</f>
        <v>7</v>
      </c>
      <c r="R55" s="66" t="n">
        <v>31</v>
      </c>
      <c r="S55" s="67">
        <f>IF(ISNUMBER(tblY11[[#This Row],[4P06 - Waves
Raw Score]]),IFERROR(VLOOKUP(ROUND(STANDARDIZE(tblY11[[#This Row],[4P06 - Waves
Raw Score]],AVERAGE(tblY11[[4P06 - Waves
Raw Score]]),_xlfn.STDEV.P(tblY11[[4P06 - Waves
Raw Score]])),9),_Stanine,2),5),"")</f>
        <v>7</v>
      </c>
      <c r="T55" s="66" t="n">
        <v>29</v>
      </c>
      <c r="U55" s="67">
        <f>IF(ISNUMBER(tblY11[[#This Row],[4B06 - Inheritance
Raw Score]]),IFERROR(VLOOKUP(ROUND(STANDARDIZE(tblY11[[#This Row],[4B06 - Inheritance
Raw Score]],AVERAGE(tblY11[[4B06 - Inheritance
Raw Score]]),_xlfn.STDEV.P(tblY11[[4B06 - Inheritance
Raw Score]])),9),_Stanine,2),5),"")</f>
        <v>7</v>
      </c>
      <c r="V55" s="66" t="n">
        <v>24</v>
      </c>
      <c r="W55" s="67">
        <f>IF(ISNUMBER(tblY11[[#This Row],[4C10 - Chemical Analysis
Raw Score]]),IFERROR(VLOOKUP(ROUND(STANDARDIZE(tblY11[[#This Row],[4C10 - Chemical Analysis
Raw Score]],AVERAGE(tblY11[[4C10 - Chemical Analysis
Raw Score]]),_xlfn.STDEV.P(tblY11[[4C10 - Chemical Analysis
Raw Score]])),9),_Stanine,2),5),"")</f>
        <v>8</v>
      </c>
      <c r="X55" s="66" t="n">
        <v>20</v>
      </c>
      <c r="Y55" s="67">
        <f>IF(ISNUMBER(tblY11[[#This Row],[4P07 - Magnetism
Raw Score]]),IFERROR(VLOOKUP(ROUND(STANDARDIZE(tblY11[[#This Row],[4P07 - Magnetism
Raw Score]],AVERAGE(tblY11[[4P07 - Magnetism
Raw Score]]),_xlfn.STDEV.P(tblY11[[4P07 - Magnetism
Raw Score]])),9),_Stanine,2),5),"")</f>
        <v>6</v>
      </c>
    </row>
    <row r="56">
      <c r="A56" s="65" t="inlineStr">
        <is>
          <t>X900358671002</t>
        </is>
      </c>
      <c r="B56" s="65" t="inlineStr">
        <is>
          <t>Cooper</t>
        </is>
      </c>
      <c r="C56" s="65" t="inlineStr">
        <is>
          <t>Sophie</t>
        </is>
      </c>
      <c r="D56" s="66" t="inlineStr">
        <is>
          <t>F</t>
        </is>
      </c>
      <c r="E56" s="66" t="inlineStr">
        <is>
          <t>N</t>
        </is>
      </c>
      <c r="F56" s="66" t="inlineStr">
        <is>
          <t>N</t>
        </is>
      </c>
      <c r="G56" s="34" t="n">
        <v>95.40000000000001</v>
      </c>
      <c r="H56" s="34" t="n">
        <v>92</v>
      </c>
      <c r="I56" s="67">
        <f>IF(ISNUMBER(tblY11[[#This Row],[Avg KS2]]),IFERROR(VLOOKUP(ROUND(STANDARDIZE(tblY11[[#This Row],[Avg KS2]],AVERAGE(tblY11[[Avg KS2]]),_xlfn.STDEV.P(tblY11[[Avg KS2]])),9),_Stanine,2),5),"")</f>
        <v>1</v>
      </c>
      <c r="J56" s="66" t="inlineStr">
        <is>
          <t>11S/Sc3</t>
        </is>
      </c>
      <c r="K56" s="67">
        <f>IF(tblY11[[#This Row],[Preferred Last name]]="","",COUNTIFS($N$1:$ZZ$1,"*"&amp;CHAR(10)&amp;"Stanine",$N56:$ZZ56,"&gt;=1"))</f>
        <v>5</v>
      </c>
      <c r="L56" s="68">
        <f>IFERROR(AVERAGEIF($N$1:$ZZ$1,"*"&amp;CHAR(10)&amp;"Stanine",$N56:$ZZ56),"")</f>
        <v>1.4</v>
      </c>
      <c r="M56" s="69">
        <f>IF(AND(ISNUMBER(tblY11[[#This Row],[Mean Stanine]]),ISNUMBER(tblY11[[#This Row],[Avg KS2 Band]]),ISNUMBER(SlopeY11)),tblY11[[#This Row],[Mean Stanine]]-(InterceptY11+SlopeY11*tblY11[[#This Row],[Avg KS2 Band]]),"")</f>
        <v>-0.557243867243867</v>
      </c>
      <c r="N56" s="66" t="n">
        <v>6</v>
      </c>
      <c r="O56" s="67">
        <f>IF(ISNUMBER(tblY11[[#This Row],[4B05 - Homeostasis
Raw Score]]),IFERROR(VLOOKUP(ROUND(STANDARDIZE(tblY11[[#This Row],[4B05 - Homeostasis
Raw Score]],AVERAGE(tblY11[[4B05 - Homeostasis
Raw Score]]),_xlfn.STDEV.P(tblY11[[4B05 - Homeostasis
Raw Score]])),9),_Stanine,2),5),"")</f>
        <v>2</v>
      </c>
      <c r="P56" s="66" t="n">
        <v>3</v>
      </c>
      <c r="Q56" s="67">
        <f>IF(ISNUMBER(tblY11[[#This Row],[4C09 - Organic Chemistry
Raw Score]]),IFERROR(VLOOKUP(ROUND(STANDARDIZE(tblY11[[#This Row],[4C09 - Organic Chemistry
Raw Score]],AVERAGE(tblY11[[4C09 - Organic Chemistry
Raw Score]]),_xlfn.STDEV.P(tblY11[[4C09 - Organic Chemistry
Raw Score]])),9),_Stanine,2),5),"")</f>
        <v>1</v>
      </c>
      <c r="R56" s="66" t="n">
        <v>6</v>
      </c>
      <c r="S56" s="67">
        <f>IF(ISNUMBER(tblY11[[#This Row],[4P06 - Waves
Raw Score]]),IFERROR(VLOOKUP(ROUND(STANDARDIZE(tblY11[[#This Row],[4P06 - Waves
Raw Score]],AVERAGE(tblY11[[4P06 - Waves
Raw Score]]),_xlfn.STDEV.P(tblY11[[4P06 - Waves
Raw Score]])),9),_Stanine,2),5),"")</f>
        <v>1</v>
      </c>
      <c r="T56" s="66" t="n">
        <v>5</v>
      </c>
      <c r="U56" s="67">
        <f>IF(ISNUMBER(tblY11[[#This Row],[4B06 - Inheritance
Raw Score]]),IFERROR(VLOOKUP(ROUND(STANDARDIZE(tblY11[[#This Row],[4B06 - Inheritance
Raw Score]],AVERAGE(tblY11[[4B06 - Inheritance
Raw Score]]),_xlfn.STDEV.P(tblY11[[4B06 - Inheritance
Raw Score]])),9),_Stanine,2),5),"")</f>
        <v>2</v>
      </c>
      <c r="V56" s="66" t="inlineStr">
        <is>
          <t>A</t>
        </is>
      </c>
      <c r="W56" s="67" t="str">
        <f>IF(ISNUMBER(tblY11[[#This Row],[4C10 - Chemical Analysis
Raw Score]]),IFERROR(VLOOKUP(ROUND(STANDARDIZE(tblY11[[#This Row],[4C10 - Chemical Analysis
Raw Score]],AVERAGE(tblY11[[4C10 - Chemical Analysis
Raw Score]]),_xlfn.STDEV.P(tblY11[[4C10 - Chemical Analysis
Raw Score]])),9),_Stanine,2),5),"")</f>
        <v/>
      </c>
      <c r="X56" s="66" t="n">
        <v>2</v>
      </c>
      <c r="Y56" s="67">
        <f>IF(ISNUMBER(tblY11[[#This Row],[4P07 - Magnetism
Raw Score]]),IFERROR(VLOOKUP(ROUND(STANDARDIZE(tblY11[[#This Row],[4P07 - Magnetism
Raw Score]],AVERAGE(tblY11[[4P07 - Magnetism
Raw Score]]),_xlfn.STDEV.P(tblY11[[4P07 - Magnetism
Raw Score]])),9),_Stanine,2),5),"")</f>
        <v>1</v>
      </c>
    </row>
    <row r="57">
      <c r="A57" s="65" t="inlineStr">
        <is>
          <t>X900827868774</t>
        </is>
      </c>
      <c r="B57" s="65" t="inlineStr">
        <is>
          <t>Edwards</t>
        </is>
      </c>
      <c r="C57" s="65" t="inlineStr">
        <is>
          <t>Oscar</t>
        </is>
      </c>
      <c r="D57" s="66" t="inlineStr">
        <is>
          <t>M</t>
        </is>
      </c>
      <c r="E57" s="66" t="inlineStr">
        <is>
          <t>N</t>
        </is>
      </c>
      <c r="F57" s="66" t="inlineStr">
        <is>
          <t>N</t>
        </is>
      </c>
      <c r="G57" s="34" t="n">
        <v>91.40000000000001</v>
      </c>
      <c r="H57" s="34" t="n">
        <v>99</v>
      </c>
      <c r="I57" s="67">
        <f>IF(ISNUMBER(tblY11[[#This Row],[Avg KS2]]),IFERROR(VLOOKUP(ROUND(STANDARDIZE(tblY11[[#This Row],[Avg KS2]],AVERAGE(tblY11[[Avg KS2]]),_xlfn.STDEV.P(tblY11[[Avg KS2]])),9),_Stanine,2),5),"")</f>
        <v>3</v>
      </c>
      <c r="J57" s="66" t="inlineStr">
        <is>
          <t>11S/Sc3</t>
        </is>
      </c>
      <c r="K57" s="67">
        <f>IF(tblY11[[#This Row],[Preferred Last name]]="","",COUNTIFS($N$1:$ZZ$1,"*"&amp;CHAR(10)&amp;"Stanine",$N57:$ZZ57,"&gt;=1"))</f>
        <v>6</v>
      </c>
      <c r="L57" s="68">
        <f>IFERROR(AVERAGEIF($N$1:$ZZ$1,"*"&amp;CHAR(10)&amp;"Stanine",$N57:$ZZ57),"")</f>
        <v>2.66666666666667</v>
      </c>
      <c r="M57" s="69">
        <f>IF(AND(ISNUMBER(tblY11[[#This Row],[Mean Stanine]]),ISNUMBER(tblY11[[#This Row],[Avg KS2 Band]]),ISNUMBER(SlopeY11)),tblY11[[#This Row],[Mean Stanine]]-(InterceptY11+SlopeY11*tblY11[[#This Row],[Avg KS2 Band]]),"")</f>
        <v>-0.788304473304473</v>
      </c>
      <c r="N57" s="66" t="n">
        <v>10</v>
      </c>
      <c r="O57" s="67">
        <f>IF(ISNUMBER(tblY11[[#This Row],[4B05 - Homeostasis
Raw Score]]),IFERROR(VLOOKUP(ROUND(STANDARDIZE(tblY11[[#This Row],[4B05 - Homeostasis
Raw Score]],AVERAGE(tblY11[[4B05 - Homeostasis
Raw Score]]),_xlfn.STDEV.P(tblY11[[4B05 - Homeostasis
Raw Score]])),9),_Stanine,2),5),"")</f>
        <v>2</v>
      </c>
      <c r="P57" s="66" t="n">
        <v>7</v>
      </c>
      <c r="Q57" s="67">
        <f>IF(ISNUMBER(tblY11[[#This Row],[4C09 - Organic Chemistry
Raw Score]]),IFERROR(VLOOKUP(ROUND(STANDARDIZE(tblY11[[#This Row],[4C09 - Organic Chemistry
Raw Score]],AVERAGE(tblY11[[4C09 - Organic Chemistry
Raw Score]]),_xlfn.STDEV.P(tblY11[[4C09 - Organic Chemistry
Raw Score]])),9),_Stanine,2),5),"")</f>
        <v>3</v>
      </c>
      <c r="R57" s="66" t="n">
        <v>12</v>
      </c>
      <c r="S57" s="67">
        <f>IF(ISNUMBER(tblY11[[#This Row],[4P06 - Waves
Raw Score]]),IFERROR(VLOOKUP(ROUND(STANDARDIZE(tblY11[[#This Row],[4P06 - Waves
Raw Score]],AVERAGE(tblY11[[4P06 - Waves
Raw Score]]),_xlfn.STDEV.P(tblY11[[4P06 - Waves
Raw Score]])),9),_Stanine,2),5),"")</f>
        <v>3</v>
      </c>
      <c r="T57" s="66" t="n">
        <v>6</v>
      </c>
      <c r="U57" s="67">
        <f>IF(ISNUMBER(tblY11[[#This Row],[4B06 - Inheritance
Raw Score]]),IFERROR(VLOOKUP(ROUND(STANDARDIZE(tblY11[[#This Row],[4B06 - Inheritance
Raw Score]],AVERAGE(tblY11[[4B06 - Inheritance
Raw Score]]),_xlfn.STDEV.P(tblY11[[4B06 - Inheritance
Raw Score]])),9),_Stanine,2),5),"")</f>
        <v>2</v>
      </c>
      <c r="V57" s="66" t="n">
        <v>7</v>
      </c>
      <c r="W57" s="67">
        <f>IF(ISNUMBER(tblY11[[#This Row],[4C10 - Chemical Analysis
Raw Score]]),IFERROR(VLOOKUP(ROUND(STANDARDIZE(tblY11[[#This Row],[4C10 - Chemical Analysis
Raw Score]],AVERAGE(tblY11[[4C10 - Chemical Analysis
Raw Score]]),_xlfn.STDEV.P(tblY11[[4C10 - Chemical Analysis
Raw Score]])),9),_Stanine,2),5),"")</f>
        <v>3</v>
      </c>
      <c r="X57" s="66" t="n">
        <v>7</v>
      </c>
      <c r="Y57" s="67">
        <f>IF(ISNUMBER(tblY11[[#This Row],[4P07 - Magnetism
Raw Score]]),IFERROR(VLOOKUP(ROUND(STANDARDIZE(tblY11[[#This Row],[4P07 - Magnetism
Raw Score]],AVERAGE(tblY11[[4P07 - Magnetism
Raw Score]]),_xlfn.STDEV.P(tblY11[[4P07 - Magnetism
Raw Score]])),9),_Stanine,2),5),"")</f>
        <v>3</v>
      </c>
    </row>
    <row r="58">
      <c r="A58" s="65" t="inlineStr">
        <is>
          <t>X907662594333</t>
        </is>
      </c>
      <c r="B58" s="65" t="inlineStr">
        <is>
          <t>Hall</t>
        </is>
      </c>
      <c r="C58" s="65" t="inlineStr">
        <is>
          <t>Chidi</t>
        </is>
      </c>
      <c r="D58" s="66" t="inlineStr">
        <is>
          <t>F</t>
        </is>
      </c>
      <c r="E58" s="66" t="inlineStr">
        <is>
          <t>N</t>
        </is>
      </c>
      <c r="F58" s="66" t="inlineStr">
        <is>
          <t>N</t>
        </is>
      </c>
      <c r="G58" s="34" t="n">
        <v>93.2</v>
      </c>
      <c r="H58" s="34" t="n">
        <v>107.5</v>
      </c>
      <c r="I58" s="67">
        <f>IF(ISNUMBER(tblY11[[#This Row],[Avg KS2]]),IFERROR(VLOOKUP(ROUND(STANDARDIZE(tblY11[[#This Row],[Avg KS2]],AVERAGE(tblY11[[Avg KS2]]),_xlfn.STDEV.P(tblY11[[Avg KS2]])),9),_Stanine,2),5),"")</f>
        <v>6</v>
      </c>
      <c r="J58" s="66" t="inlineStr">
        <is>
          <t>11S/Sc3</t>
        </is>
      </c>
      <c r="K58" s="67">
        <f>IF(tblY11[[#This Row],[Preferred Last name]]="","",COUNTIFS($N$1:$ZZ$1,"*"&amp;CHAR(10)&amp;"Stanine",$N58:$ZZ58,"&gt;=1"))</f>
        <v>6</v>
      </c>
      <c r="L58" s="68">
        <f>IFERROR(AVERAGEIF($N$1:$ZZ$1,"*"&amp;CHAR(10)&amp;"Stanine",$N58:$ZZ58),"")</f>
        <v>5.16666666666667</v>
      </c>
      <c r="M58" s="69">
        <f>IF(AND(ISNUMBER(tblY11[[#This Row],[Mean Stanine]]),ISNUMBER(tblY11[[#This Row],[Avg KS2 Band]]),ISNUMBER(SlopeY11)),tblY11[[#This Row],[Mean Stanine]]-(InterceptY11+SlopeY11*tblY11[[#This Row],[Avg KS2 Band]]),"")</f>
        <v>-0.534895382395382</v>
      </c>
      <c r="N58" s="66" t="n">
        <v>22</v>
      </c>
      <c r="O58" s="67">
        <f>IF(ISNUMBER(tblY11[[#This Row],[4B05 - Homeostasis
Raw Score]]),IFERROR(VLOOKUP(ROUND(STANDARDIZE(tblY11[[#This Row],[4B05 - Homeostasis
Raw Score]],AVERAGE(tblY11[[4B05 - Homeostasis
Raw Score]]),_xlfn.STDEV.P(tblY11[[4B05 - Homeostasis
Raw Score]])),9),_Stanine,2),5),"")</f>
        <v>5</v>
      </c>
      <c r="P58" s="66" t="n">
        <v>17</v>
      </c>
      <c r="Q58" s="67">
        <f>IF(ISNUMBER(tblY11[[#This Row],[4C09 - Organic Chemistry
Raw Score]]),IFERROR(VLOOKUP(ROUND(STANDARDIZE(tblY11[[#This Row],[4C09 - Organic Chemistry
Raw Score]],AVERAGE(tblY11[[4C09 - Organic Chemistry
Raw Score]]),_xlfn.STDEV.P(tblY11[[4C09 - Organic Chemistry
Raw Score]])),9),_Stanine,2),5),"")</f>
        <v>5</v>
      </c>
      <c r="R58" s="66" t="n">
        <v>23</v>
      </c>
      <c r="S58" s="67">
        <f>IF(ISNUMBER(tblY11[[#This Row],[4P06 - Waves
Raw Score]]),IFERROR(VLOOKUP(ROUND(STANDARDIZE(tblY11[[#This Row],[4P06 - Waves
Raw Score]],AVERAGE(tblY11[[4P06 - Waves
Raw Score]]),_xlfn.STDEV.P(tblY11[[4P06 - Waves
Raw Score]])),9),_Stanine,2),5),"")</f>
        <v>5</v>
      </c>
      <c r="T58" s="66" t="n">
        <v>17</v>
      </c>
      <c r="U58" s="67">
        <f>IF(ISNUMBER(tblY11[[#This Row],[4B06 - Inheritance
Raw Score]]),IFERROR(VLOOKUP(ROUND(STANDARDIZE(tblY11[[#This Row],[4B06 - Inheritance
Raw Score]],AVERAGE(tblY11[[4B06 - Inheritance
Raw Score]]),_xlfn.STDEV.P(tblY11[[4B06 - Inheritance
Raw Score]])),9),_Stanine,2),5),"")</f>
        <v>5</v>
      </c>
      <c r="V58" s="66" t="n">
        <v>19</v>
      </c>
      <c r="W58" s="67">
        <f>IF(ISNUMBER(tblY11[[#This Row],[4C10 - Chemical Analysis
Raw Score]]),IFERROR(VLOOKUP(ROUND(STANDARDIZE(tblY11[[#This Row],[4C10 - Chemical Analysis
Raw Score]],AVERAGE(tblY11[[4C10 - Chemical Analysis
Raw Score]]),_xlfn.STDEV.P(tblY11[[4C10 - Chemical Analysis
Raw Score]])),9),_Stanine,2),5),"")</f>
        <v>6</v>
      </c>
      <c r="X58" s="66" t="n">
        <v>14</v>
      </c>
      <c r="Y58" s="67">
        <f>IF(ISNUMBER(tblY11[[#This Row],[4P07 - Magnetism
Raw Score]]),IFERROR(VLOOKUP(ROUND(STANDARDIZE(tblY11[[#This Row],[4P07 - Magnetism
Raw Score]],AVERAGE(tblY11[[4P07 - Magnetism
Raw Score]]),_xlfn.STDEV.P(tblY11[[4P07 - Magnetism
Raw Score]])),9),_Stanine,2),5),"")</f>
        <v>5</v>
      </c>
    </row>
    <row r="59">
      <c r="A59" s="65" t="inlineStr">
        <is>
          <t>X906923019762</t>
        </is>
      </c>
      <c r="B59" s="65" t="inlineStr">
        <is>
          <t>Hall</t>
        </is>
      </c>
      <c r="C59" s="65" t="inlineStr">
        <is>
          <t>George</t>
        </is>
      </c>
      <c r="D59" s="66" t="inlineStr">
        <is>
          <t>M</t>
        </is>
      </c>
      <c r="E59" s="66" t="n"/>
      <c r="F59" s="66" t="inlineStr">
        <is>
          <t>N</t>
        </is>
      </c>
      <c r="G59" s="34" t="n">
        <v>74.59999999999999</v>
      </c>
      <c r="H59" s="34" t="n">
        <v>110.5</v>
      </c>
      <c r="I59" s="67">
        <f>IF(ISNUMBER(tblY11[[#This Row],[Avg KS2]]),IFERROR(VLOOKUP(ROUND(STANDARDIZE(tblY11[[#This Row],[Avg KS2]],AVERAGE(tblY11[[Avg KS2]]),_xlfn.STDEV.P(tblY11[[Avg KS2]])),9),_Stanine,2),5),"")</f>
        <v>7</v>
      </c>
      <c r="J59" s="66" t="inlineStr">
        <is>
          <t>11S/Sc3</t>
        </is>
      </c>
      <c r="K59" s="67">
        <f>IF(tblY11[[#This Row],[Preferred Last name]]="","",COUNTIFS($N$1:$ZZ$1,"*"&amp;CHAR(10)&amp;"Stanine",$N59:$ZZ59,"&gt;=1"))</f>
        <v>6</v>
      </c>
      <c r="L59" s="68">
        <f>IFERROR(AVERAGEIF($N$1:$ZZ$1,"*"&amp;CHAR(10)&amp;"Stanine",$N59:$ZZ59),"")</f>
        <v>6.16666666666667</v>
      </c>
      <c r="M59" s="69">
        <f>IF(AND(ISNUMBER(tblY11[[#This Row],[Mean Stanine]]),ISNUMBER(tblY11[[#This Row],[Avg KS2 Band]]),ISNUMBER(SlopeY11)),tblY11[[#This Row],[Mean Stanine]]-(InterceptY11+SlopeY11*tblY11[[#This Row],[Avg KS2 Band]]),"")</f>
        <v>-0.283759018759018</v>
      </c>
      <c r="N59" s="66" t="n">
        <v>29</v>
      </c>
      <c r="O59" s="67">
        <f>IF(ISNUMBER(tblY11[[#This Row],[4B05 - Homeostasis
Raw Score]]),IFERROR(VLOOKUP(ROUND(STANDARDIZE(tblY11[[#This Row],[4B05 - Homeostasis
Raw Score]],AVERAGE(tblY11[[4B05 - Homeostasis
Raw Score]]),_xlfn.STDEV.P(tblY11[[4B05 - Homeostasis
Raw Score]])),9),_Stanine,2),5),"")</f>
        <v>7</v>
      </c>
      <c r="P59" s="66" t="n">
        <v>16</v>
      </c>
      <c r="Q59" s="67">
        <f>IF(ISNUMBER(tblY11[[#This Row],[4C09 - Organic Chemistry
Raw Score]]),IFERROR(VLOOKUP(ROUND(STANDARDIZE(tblY11[[#This Row],[4C09 - Organic Chemistry
Raw Score]],AVERAGE(tblY11[[4C09 - Organic Chemistry
Raw Score]]),_xlfn.STDEV.P(tblY11[[4C09 - Organic Chemistry
Raw Score]])),9),_Stanine,2),5),"")</f>
        <v>5</v>
      </c>
      <c r="R59" s="66" t="n">
        <v>29</v>
      </c>
      <c r="S59" s="67">
        <f>IF(ISNUMBER(tblY11[[#This Row],[4P06 - Waves
Raw Score]]),IFERROR(VLOOKUP(ROUND(STANDARDIZE(tblY11[[#This Row],[4P06 - Waves
Raw Score]],AVERAGE(tblY11[[4P06 - Waves
Raw Score]]),_xlfn.STDEV.P(tblY11[[4P06 - Waves
Raw Score]])),9),_Stanine,2),5),"")</f>
        <v>7</v>
      </c>
      <c r="T59" s="66" t="n">
        <v>20</v>
      </c>
      <c r="U59" s="67">
        <f>IF(ISNUMBER(tblY11[[#This Row],[4B06 - Inheritance
Raw Score]]),IFERROR(VLOOKUP(ROUND(STANDARDIZE(tblY11[[#This Row],[4B06 - Inheritance
Raw Score]],AVERAGE(tblY11[[4B06 - Inheritance
Raw Score]]),_xlfn.STDEV.P(tblY11[[4B06 - Inheritance
Raw Score]])),9),_Stanine,2),5),"")</f>
        <v>5</v>
      </c>
      <c r="V59" s="66" t="n">
        <v>17</v>
      </c>
      <c r="W59" s="67">
        <f>IF(ISNUMBER(tblY11[[#This Row],[4C10 - Chemical Analysis
Raw Score]]),IFERROR(VLOOKUP(ROUND(STANDARDIZE(tblY11[[#This Row],[4C10 - Chemical Analysis
Raw Score]],AVERAGE(tblY11[[4C10 - Chemical Analysis
Raw Score]]),_xlfn.STDEV.P(tblY11[[4C10 - Chemical Analysis
Raw Score]])),9),_Stanine,2),5),"")</f>
        <v>6</v>
      </c>
      <c r="X59" s="66" t="n">
        <v>22</v>
      </c>
      <c r="Y59" s="67">
        <f>IF(ISNUMBER(tblY11[[#This Row],[4P07 - Magnetism
Raw Score]]),IFERROR(VLOOKUP(ROUND(STANDARDIZE(tblY11[[#This Row],[4P07 - Magnetism
Raw Score]],AVERAGE(tblY11[[4P07 - Magnetism
Raw Score]]),_xlfn.STDEV.P(tblY11[[4P07 - Magnetism
Raw Score]])),9),_Stanine,2),5),"")</f>
        <v>7</v>
      </c>
    </row>
    <row r="60">
      <c r="A60" s="65" t="inlineStr">
        <is>
          <t>X903457819127</t>
        </is>
      </c>
      <c r="B60" s="65" t="inlineStr">
        <is>
          <t>Jackson</t>
        </is>
      </c>
      <c r="C60" s="65" t="inlineStr">
        <is>
          <t>Ella</t>
        </is>
      </c>
      <c r="D60" s="66" t="inlineStr">
        <is>
          <t>F</t>
        </is>
      </c>
      <c r="E60" s="66" t="inlineStr">
        <is>
          <t>N</t>
        </is>
      </c>
      <c r="F60" s="66" t="inlineStr">
        <is>
          <t>Y</t>
        </is>
      </c>
      <c r="G60" s="34" t="n">
        <v>96.2</v>
      </c>
      <c r="H60" s="34" t="n">
        <v>113</v>
      </c>
      <c r="I60" s="67">
        <f>IF(ISNUMBER(tblY11[[#This Row],[Avg KS2]]),IFERROR(VLOOKUP(ROUND(STANDARDIZE(tblY11[[#This Row],[Avg KS2]],AVERAGE(tblY11[[Avg KS2]]),_xlfn.STDEV.P(tblY11[[Avg KS2]])),9),_Stanine,2),5),"")</f>
        <v>8</v>
      </c>
      <c r="J60" s="66" t="inlineStr">
        <is>
          <t>11S/Sc3</t>
        </is>
      </c>
      <c r="K60" s="67">
        <f>IF(tblY11[[#This Row],[Preferred Last name]]="","",COUNTIFS($N$1:$ZZ$1,"*"&amp;CHAR(10)&amp;"Stanine",$N60:$ZZ60,"&gt;=1"))</f>
        <v>6</v>
      </c>
      <c r="L60" s="68">
        <f>IFERROR(AVERAGEIF($N$1:$ZZ$1,"*"&amp;CHAR(10)&amp;"Stanine",$N60:$ZZ60),"")</f>
        <v>7.33333333333333</v>
      </c>
      <c r="M60" s="69">
        <f>IF(AND(ISNUMBER(tblY11[[#This Row],[Mean Stanine]]),ISNUMBER(tblY11[[#This Row],[Avg KS2 Band]]),ISNUMBER(SlopeY11)),tblY11[[#This Row],[Mean Stanine]]-(InterceptY11+SlopeY11*tblY11[[#This Row],[Avg KS2 Band]]),"")</f>
        <v>0.134044011544011</v>
      </c>
      <c r="N60" s="66" t="n">
        <v>29</v>
      </c>
      <c r="O60" s="67">
        <f>IF(ISNUMBER(tblY11[[#This Row],[4B05 - Homeostasis
Raw Score]]),IFERROR(VLOOKUP(ROUND(STANDARDIZE(tblY11[[#This Row],[4B05 - Homeostasis
Raw Score]],AVERAGE(tblY11[[4B05 - Homeostasis
Raw Score]]),_xlfn.STDEV.P(tblY11[[4B05 - Homeostasis
Raw Score]])),9),_Stanine,2),5),"")</f>
        <v>7</v>
      </c>
      <c r="P60" s="66" t="n">
        <v>25</v>
      </c>
      <c r="Q60" s="67">
        <f>IF(ISNUMBER(tblY11[[#This Row],[4C09 - Organic Chemistry
Raw Score]]),IFERROR(VLOOKUP(ROUND(STANDARDIZE(tblY11[[#This Row],[4C09 - Organic Chemistry
Raw Score]],AVERAGE(tblY11[[4C09 - Organic Chemistry
Raw Score]]),_xlfn.STDEV.P(tblY11[[4C09 - Organic Chemistry
Raw Score]])),9),_Stanine,2),5),"")</f>
        <v>7</v>
      </c>
      <c r="R60" s="66" t="n">
        <v>32</v>
      </c>
      <c r="S60" s="67">
        <f>IF(ISNUMBER(tblY11[[#This Row],[4P06 - Waves
Raw Score]]),IFERROR(VLOOKUP(ROUND(STANDARDIZE(tblY11[[#This Row],[4P06 - Waves
Raw Score]],AVERAGE(tblY11[[4P06 - Waves
Raw Score]]),_xlfn.STDEV.P(tblY11[[4P06 - Waves
Raw Score]])),9),_Stanine,2),5),"")</f>
        <v>8</v>
      </c>
      <c r="T60" s="66" t="n">
        <v>34</v>
      </c>
      <c r="U60" s="67">
        <f>IF(ISNUMBER(tblY11[[#This Row],[4B06 - Inheritance
Raw Score]]),IFERROR(VLOOKUP(ROUND(STANDARDIZE(tblY11[[#This Row],[4B06 - Inheritance
Raw Score]],AVERAGE(tblY11[[4B06 - Inheritance
Raw Score]]),_xlfn.STDEV.P(tblY11[[4B06 - Inheritance
Raw Score]])),9),_Stanine,2),5),"")</f>
        <v>8</v>
      </c>
      <c r="V60" s="66" t="n">
        <v>19</v>
      </c>
      <c r="W60" s="67">
        <f>IF(ISNUMBER(tblY11[[#This Row],[4C10 - Chemical Analysis
Raw Score]]),IFERROR(VLOOKUP(ROUND(STANDARDIZE(tblY11[[#This Row],[4C10 - Chemical Analysis
Raw Score]],AVERAGE(tblY11[[4C10 - Chemical Analysis
Raw Score]]),_xlfn.STDEV.P(tblY11[[4C10 - Chemical Analysis
Raw Score]])),9),_Stanine,2),5),"")</f>
        <v>6</v>
      </c>
      <c r="X60" s="66" t="n">
        <v>26</v>
      </c>
      <c r="Y60" s="67">
        <f>IF(ISNUMBER(tblY11[[#This Row],[4P07 - Magnetism
Raw Score]]),IFERROR(VLOOKUP(ROUND(STANDARDIZE(tblY11[[#This Row],[4P07 - Magnetism
Raw Score]],AVERAGE(tblY11[[4P07 - Magnetism
Raw Score]]),_xlfn.STDEV.P(tblY11[[4P07 - Magnetism
Raw Score]])),9),_Stanine,2),5),"")</f>
        <v>8</v>
      </c>
    </row>
    <row r="61">
      <c r="A61" s="65" t="inlineStr">
        <is>
          <t>X904618064567</t>
        </is>
      </c>
      <c r="B61" s="65" t="inlineStr">
        <is>
          <t>Jackson</t>
        </is>
      </c>
      <c r="C61" s="65" t="inlineStr">
        <is>
          <t>Theo</t>
        </is>
      </c>
      <c r="D61" s="66" t="inlineStr">
        <is>
          <t>M</t>
        </is>
      </c>
      <c r="E61" s="66" t="inlineStr">
        <is>
          <t>N</t>
        </is>
      </c>
      <c r="F61" s="66" t="inlineStr">
        <is>
          <t>Y</t>
        </is>
      </c>
      <c r="G61" s="34" t="n">
        <v>85.90000000000001</v>
      </c>
      <c r="H61" s="34" t="n">
        <v>108.5</v>
      </c>
      <c r="I61" s="67">
        <f>IF(ISNUMBER(tblY11[[#This Row],[Avg KS2]]),IFERROR(VLOOKUP(ROUND(STANDARDIZE(tblY11[[#This Row],[Avg KS2]],AVERAGE(tblY11[[Avg KS2]]),_xlfn.STDEV.P(tblY11[[Avg KS2]])),9),_Stanine,2),5),"")</f>
        <v>6</v>
      </c>
      <c r="J61" s="66" t="inlineStr">
        <is>
          <t>11S/Sc3</t>
        </is>
      </c>
      <c r="K61" s="67">
        <f>IF(tblY11[[#This Row],[Preferred Last name]]="","",COUNTIFS($N$1:$ZZ$1,"*"&amp;CHAR(10)&amp;"Stanine",$N61:$ZZ61,"&gt;=1"))</f>
        <v>6</v>
      </c>
      <c r="L61" s="68">
        <f>IFERROR(AVERAGEIF($N$1:$ZZ$1,"*"&amp;CHAR(10)&amp;"Stanine",$N61:$ZZ61),"")</f>
        <v>5.33333333333333</v>
      </c>
      <c r="M61" s="69">
        <f>IF(AND(ISNUMBER(tblY11[[#This Row],[Mean Stanine]]),ISNUMBER(tblY11[[#This Row],[Avg KS2 Band]]),ISNUMBER(SlopeY11)),tblY11[[#This Row],[Mean Stanine]]-(InterceptY11+SlopeY11*tblY11[[#This Row],[Avg KS2 Band]]),"")</f>
        <v>-0.368228715728716</v>
      </c>
      <c r="N61" s="66" t="n">
        <v>24</v>
      </c>
      <c r="O61" s="67">
        <f>IF(ISNUMBER(tblY11[[#This Row],[4B05 - Homeostasis
Raw Score]]),IFERROR(VLOOKUP(ROUND(STANDARDIZE(tblY11[[#This Row],[4B05 - Homeostasis
Raw Score]],AVERAGE(tblY11[[4B05 - Homeostasis
Raw Score]]),_xlfn.STDEV.P(tblY11[[4B05 - Homeostasis
Raw Score]])),9),_Stanine,2),5),"")</f>
        <v>6</v>
      </c>
      <c r="P61" s="66" t="n">
        <v>17</v>
      </c>
      <c r="Q61" s="67">
        <f>IF(ISNUMBER(tblY11[[#This Row],[4C09 - Organic Chemistry
Raw Score]]),IFERROR(VLOOKUP(ROUND(STANDARDIZE(tblY11[[#This Row],[4C09 - Organic Chemistry
Raw Score]],AVERAGE(tblY11[[4C09 - Organic Chemistry
Raw Score]]),_xlfn.STDEV.P(tblY11[[4C09 - Organic Chemistry
Raw Score]])),9),_Stanine,2),5),"")</f>
        <v>5</v>
      </c>
      <c r="R61" s="66" t="n">
        <v>22</v>
      </c>
      <c r="S61" s="67">
        <f>IF(ISNUMBER(tblY11[[#This Row],[4P06 - Waves
Raw Score]]),IFERROR(VLOOKUP(ROUND(STANDARDIZE(tblY11[[#This Row],[4P06 - Waves
Raw Score]],AVERAGE(tblY11[[4P06 - Waves
Raw Score]]),_xlfn.STDEV.P(tblY11[[4P06 - Waves
Raw Score]])),9),_Stanine,2),5),"")</f>
        <v>5</v>
      </c>
      <c r="T61" s="66" t="n">
        <v>22</v>
      </c>
      <c r="U61" s="67">
        <f>IF(ISNUMBER(tblY11[[#This Row],[4B06 - Inheritance
Raw Score]]),IFERROR(VLOOKUP(ROUND(STANDARDIZE(tblY11[[#This Row],[4B06 - Inheritance
Raw Score]],AVERAGE(tblY11[[4B06 - Inheritance
Raw Score]]),_xlfn.STDEV.P(tblY11[[4B06 - Inheritance
Raw Score]])),9),_Stanine,2),5),"")</f>
        <v>6</v>
      </c>
      <c r="V61" s="66" t="n">
        <v>15</v>
      </c>
      <c r="W61" s="67">
        <f>IF(ISNUMBER(tblY11[[#This Row],[4C10 - Chemical Analysis
Raw Score]]),IFERROR(VLOOKUP(ROUND(STANDARDIZE(tblY11[[#This Row],[4C10 - Chemical Analysis
Raw Score]],AVERAGE(tblY11[[4C10 - Chemical Analysis
Raw Score]]),_xlfn.STDEV.P(tblY11[[4C10 - Chemical Analysis
Raw Score]])),9),_Stanine,2),5),"")</f>
        <v>5</v>
      </c>
      <c r="X61" s="66" t="n">
        <v>14</v>
      </c>
      <c r="Y61" s="67">
        <f>IF(ISNUMBER(tblY11[[#This Row],[4P07 - Magnetism
Raw Score]]),IFERROR(VLOOKUP(ROUND(STANDARDIZE(tblY11[[#This Row],[4P07 - Magnetism
Raw Score]],AVERAGE(tblY11[[4P07 - Magnetism
Raw Score]]),_xlfn.STDEV.P(tblY11[[4P07 - Magnetism
Raw Score]])),9),_Stanine,2),5),"")</f>
        <v>5</v>
      </c>
    </row>
    <row r="62">
      <c r="A62" s="65" t="inlineStr">
        <is>
          <t>X905215869591</t>
        </is>
      </c>
      <c r="B62" s="65" t="inlineStr">
        <is>
          <t>Johnson</t>
        </is>
      </c>
      <c r="C62" s="65" t="inlineStr">
        <is>
          <t>Kai</t>
        </is>
      </c>
      <c r="D62" s="66" t="inlineStr">
        <is>
          <t>M</t>
        </is>
      </c>
      <c r="E62" s="66" t="n"/>
      <c r="F62" s="66" t="inlineStr">
        <is>
          <t>N</t>
        </is>
      </c>
      <c r="G62" s="34" t="n">
        <v>100</v>
      </c>
      <c r="H62" s="34" t="n">
        <v>106</v>
      </c>
      <c r="I62" s="67">
        <f>IF(ISNUMBER(tblY11[[#This Row],[Avg KS2]]),IFERROR(VLOOKUP(ROUND(STANDARDIZE(tblY11[[#This Row],[Avg KS2]],AVERAGE(tblY11[[Avg KS2]]),_xlfn.STDEV.P(tblY11[[Avg KS2]])),9),_Stanine,2),5),"")</f>
        <v>5</v>
      </c>
      <c r="J62" s="66" t="inlineStr">
        <is>
          <t>11S/Sc3</t>
        </is>
      </c>
      <c r="K62" s="67">
        <f>IF(tblY11[[#This Row],[Preferred Last name]]="","",COUNTIFS($N$1:$ZZ$1,"*"&amp;CHAR(10)&amp;"Stanine",$N62:$ZZ62,"&gt;=1"))</f>
        <v>6</v>
      </c>
      <c r="L62" s="68">
        <f>IFERROR(AVERAGEIF($N$1:$ZZ$1,"*"&amp;CHAR(10)&amp;"Stanine",$N62:$ZZ62),"")</f>
        <v>4.5</v>
      </c>
      <c r="M62" s="69">
        <f>IF(AND(ISNUMBER(tblY11[[#This Row],[Mean Stanine]]),ISNUMBER(tblY11[[#This Row],[Avg KS2 Band]]),ISNUMBER(SlopeY11)),tblY11[[#This Row],[Mean Stanine]]-(InterceptY11+SlopeY11*tblY11[[#This Row],[Avg KS2 Band]]),"")</f>
        <v>-0.452698412698412</v>
      </c>
      <c r="N62" s="66" t="n">
        <v>20</v>
      </c>
      <c r="O62" s="67">
        <f>IF(ISNUMBER(tblY11[[#This Row],[4B05 - Homeostasis
Raw Score]]),IFERROR(VLOOKUP(ROUND(STANDARDIZE(tblY11[[#This Row],[4B05 - Homeostasis
Raw Score]],AVERAGE(tblY11[[4B05 - Homeostasis
Raw Score]]),_xlfn.STDEV.P(tblY11[[4B05 - Homeostasis
Raw Score]])),9),_Stanine,2),5),"")</f>
        <v>5</v>
      </c>
      <c r="P62" s="66" t="n">
        <v>17</v>
      </c>
      <c r="Q62" s="67">
        <f>IF(ISNUMBER(tblY11[[#This Row],[4C09 - Organic Chemistry
Raw Score]]),IFERROR(VLOOKUP(ROUND(STANDARDIZE(tblY11[[#This Row],[4C09 - Organic Chemistry
Raw Score]],AVERAGE(tblY11[[4C09 - Organic Chemistry
Raw Score]]),_xlfn.STDEV.P(tblY11[[4C09 - Organic Chemistry
Raw Score]])),9),_Stanine,2),5),"")</f>
        <v>5</v>
      </c>
      <c r="R62" s="66" t="n">
        <v>21</v>
      </c>
      <c r="S62" s="67">
        <f>IF(ISNUMBER(tblY11[[#This Row],[4P06 - Waves
Raw Score]]),IFERROR(VLOOKUP(ROUND(STANDARDIZE(tblY11[[#This Row],[4P06 - Waves
Raw Score]],AVERAGE(tblY11[[4P06 - Waves
Raw Score]]),_xlfn.STDEV.P(tblY11[[4P06 - Waves
Raw Score]])),9),_Stanine,2),5),"")</f>
        <v>5</v>
      </c>
      <c r="T62" s="66" t="n">
        <v>14</v>
      </c>
      <c r="U62" s="67">
        <f>IF(ISNUMBER(tblY11[[#This Row],[4B06 - Inheritance
Raw Score]]),IFERROR(VLOOKUP(ROUND(STANDARDIZE(tblY11[[#This Row],[4B06 - Inheritance
Raw Score]],AVERAGE(tblY11[[4B06 - Inheritance
Raw Score]]),_xlfn.STDEV.P(tblY11[[4B06 - Inheritance
Raw Score]])),9),_Stanine,2),5),"")</f>
        <v>4</v>
      </c>
      <c r="V62" s="66" t="n">
        <v>9</v>
      </c>
      <c r="W62" s="67">
        <f>IF(ISNUMBER(tblY11[[#This Row],[4C10 - Chemical Analysis
Raw Score]]),IFERROR(VLOOKUP(ROUND(STANDARDIZE(tblY11[[#This Row],[4C10 - Chemical Analysis
Raw Score]],AVERAGE(tblY11[[4C10 - Chemical Analysis
Raw Score]]),_xlfn.STDEV.P(tblY11[[4C10 - Chemical Analysis
Raw Score]])),9),_Stanine,2),5),"")</f>
        <v>3</v>
      </c>
      <c r="X62" s="66" t="n">
        <v>16</v>
      </c>
      <c r="Y62" s="67">
        <f>IF(ISNUMBER(tblY11[[#This Row],[4P07 - Magnetism
Raw Score]]),IFERROR(VLOOKUP(ROUND(STANDARDIZE(tblY11[[#This Row],[4P07 - Magnetism
Raw Score]],AVERAGE(tblY11[[4P07 - Magnetism
Raw Score]]),_xlfn.STDEV.P(tblY11[[4P07 - Magnetism
Raw Score]])),9),_Stanine,2),5),"")</f>
        <v>5</v>
      </c>
    </row>
    <row r="63">
      <c r="A63" s="65" t="inlineStr">
        <is>
          <t>X907152404851</t>
        </is>
      </c>
      <c r="B63" s="65" t="inlineStr">
        <is>
          <t>Johnson</t>
        </is>
      </c>
      <c r="C63" s="65" t="inlineStr">
        <is>
          <t>Oscar</t>
        </is>
      </c>
      <c r="D63" s="66" t="inlineStr">
        <is>
          <t>M</t>
        </is>
      </c>
      <c r="E63" s="66" t="inlineStr">
        <is>
          <t>N</t>
        </is>
      </c>
      <c r="F63" s="66" t="inlineStr">
        <is>
          <t>N</t>
        </is>
      </c>
      <c r="G63" s="34" t="n">
        <v>99</v>
      </c>
      <c r="H63" s="34" t="n">
        <v>106</v>
      </c>
      <c r="I63" s="67">
        <f>IF(ISNUMBER(tblY11[[#This Row],[Avg KS2]]),IFERROR(VLOOKUP(ROUND(STANDARDIZE(tblY11[[#This Row],[Avg KS2]],AVERAGE(tblY11[[Avg KS2]]),_xlfn.STDEV.P(tblY11[[Avg KS2]])),9),_Stanine,2),5),"")</f>
        <v>5</v>
      </c>
      <c r="J63" s="66" t="inlineStr">
        <is>
          <t>11S/Sc3</t>
        </is>
      </c>
      <c r="K63" s="67">
        <f>IF(tblY11[[#This Row],[Preferred Last name]]="","",COUNTIFS($N$1:$ZZ$1,"*"&amp;CHAR(10)&amp;"Stanine",$N63:$ZZ63,"&gt;=1"))</f>
        <v>6</v>
      </c>
      <c r="L63" s="68">
        <f>IFERROR(AVERAGEIF($N$1:$ZZ$1,"*"&amp;CHAR(10)&amp;"Stanine",$N63:$ZZ63),"")</f>
        <v>4.66666666666667</v>
      </c>
      <c r="M63" s="69">
        <f>IF(AND(ISNUMBER(tblY11[[#This Row],[Mean Stanine]]),ISNUMBER(tblY11[[#This Row],[Avg KS2 Band]]),ISNUMBER(SlopeY11)),tblY11[[#This Row],[Mean Stanine]]-(InterceptY11+SlopeY11*tblY11[[#This Row],[Avg KS2 Band]]),"")</f>
        <v>-0.286031746031745</v>
      </c>
      <c r="N63" s="66" t="n">
        <v>21</v>
      </c>
      <c r="O63" s="67">
        <f>IF(ISNUMBER(tblY11[[#This Row],[4B05 - Homeostasis
Raw Score]]),IFERROR(VLOOKUP(ROUND(STANDARDIZE(tblY11[[#This Row],[4B05 - Homeostasis
Raw Score]],AVERAGE(tblY11[[4B05 - Homeostasis
Raw Score]]),_xlfn.STDEV.P(tblY11[[4B05 - Homeostasis
Raw Score]])),9),_Stanine,2),5),"")</f>
        <v>5</v>
      </c>
      <c r="P63" s="66" t="n">
        <v>17</v>
      </c>
      <c r="Q63" s="67">
        <f>IF(ISNUMBER(tblY11[[#This Row],[4C09 - Organic Chemistry
Raw Score]]),IFERROR(VLOOKUP(ROUND(STANDARDIZE(tblY11[[#This Row],[4C09 - Organic Chemistry
Raw Score]],AVERAGE(tblY11[[4C09 - Organic Chemistry
Raw Score]]),_xlfn.STDEV.P(tblY11[[4C09 - Organic Chemistry
Raw Score]])),9),_Stanine,2),5),"")</f>
        <v>5</v>
      </c>
      <c r="R63" s="66" t="n">
        <v>22</v>
      </c>
      <c r="S63" s="67">
        <f>IF(ISNUMBER(tblY11[[#This Row],[4P06 - Waves
Raw Score]]),IFERROR(VLOOKUP(ROUND(STANDARDIZE(tblY11[[#This Row],[4P06 - Waves
Raw Score]],AVERAGE(tblY11[[4P06 - Waves
Raw Score]]),_xlfn.STDEV.P(tblY11[[4P06 - Waves
Raw Score]])),9),_Stanine,2),5),"")</f>
        <v>5</v>
      </c>
      <c r="T63" s="66" t="n">
        <v>17</v>
      </c>
      <c r="U63" s="67">
        <f>IF(ISNUMBER(tblY11[[#This Row],[4B06 - Inheritance
Raw Score]]),IFERROR(VLOOKUP(ROUND(STANDARDIZE(tblY11[[#This Row],[4B06 - Inheritance
Raw Score]],AVERAGE(tblY11[[4B06 - Inheritance
Raw Score]]),_xlfn.STDEV.P(tblY11[[4B06 - Inheritance
Raw Score]])),9),_Stanine,2),5),"")</f>
        <v>5</v>
      </c>
      <c r="V63" s="66" t="n">
        <v>13</v>
      </c>
      <c r="W63" s="67">
        <f>IF(ISNUMBER(tblY11[[#This Row],[4C10 - Chemical Analysis
Raw Score]]),IFERROR(VLOOKUP(ROUND(STANDARDIZE(tblY11[[#This Row],[4C10 - Chemical Analysis
Raw Score]],AVERAGE(tblY11[[4C10 - Chemical Analysis
Raw Score]]),_xlfn.STDEV.P(tblY11[[4C10 - Chemical Analysis
Raw Score]])),9),_Stanine,2),5),"")</f>
        <v>5</v>
      </c>
      <c r="X63" s="66" t="n">
        <v>10</v>
      </c>
      <c r="Y63" s="67">
        <f>IF(ISNUMBER(tblY11[[#This Row],[4P07 - Magnetism
Raw Score]]),IFERROR(VLOOKUP(ROUND(STANDARDIZE(tblY11[[#This Row],[4P07 - Magnetism
Raw Score]],AVERAGE(tblY11[[4P07 - Magnetism
Raw Score]]),_xlfn.STDEV.P(tblY11[[4P07 - Magnetism
Raw Score]])),9),_Stanine,2),5),"")</f>
        <v>3</v>
      </c>
    </row>
    <row r="64">
      <c r="A64" s="65" t="inlineStr">
        <is>
          <t>X902311754431</t>
        </is>
      </c>
      <c r="B64" s="65" t="inlineStr">
        <is>
          <t>Kelly</t>
        </is>
      </c>
      <c r="C64" s="65" t="inlineStr">
        <is>
          <t>Niamh</t>
        </is>
      </c>
      <c r="D64" s="66" t="inlineStr">
        <is>
          <t>F</t>
        </is>
      </c>
      <c r="E64" s="66" t="inlineStr">
        <is>
          <t>E</t>
        </is>
      </c>
      <c r="F64" s="66" t="inlineStr">
        <is>
          <t>N</t>
        </is>
      </c>
      <c r="G64" s="34" t="n">
        <v>89.09999999999999</v>
      </c>
      <c r="H64" s="34" t="n">
        <v>113</v>
      </c>
      <c r="I64" s="67">
        <f>IF(ISNUMBER(tblY11[[#This Row],[Avg KS2]]),IFERROR(VLOOKUP(ROUND(STANDARDIZE(tblY11[[#This Row],[Avg KS2]],AVERAGE(tblY11[[Avg KS2]]),_xlfn.STDEV.P(tblY11[[Avg KS2]])),9),_Stanine,2),5),"")</f>
        <v>8</v>
      </c>
      <c r="J64" s="66" t="inlineStr">
        <is>
          <t>11S/Sc3</t>
        </is>
      </c>
      <c r="K64" s="67">
        <f>IF(tblY11[[#This Row],[Preferred Last name]]="","",COUNTIFS($N$1:$ZZ$1,"*"&amp;CHAR(10)&amp;"Stanine",$N64:$ZZ64,"&gt;=1"))</f>
        <v>5</v>
      </c>
      <c r="L64" s="68">
        <f>IFERROR(AVERAGEIF($N$1:$ZZ$1,"*"&amp;CHAR(10)&amp;"Stanine",$N64:$ZZ64),"")</f>
        <v>5.6</v>
      </c>
      <c r="M64" s="69">
        <f>IF(AND(ISNUMBER(tblY11[[#This Row],[Mean Stanine]]),ISNUMBER(tblY11[[#This Row],[Avg KS2 Band]]),ISNUMBER(SlopeY11)),tblY11[[#This Row],[Mean Stanine]]-(InterceptY11+SlopeY11*tblY11[[#This Row],[Avg KS2 Band]]),"")</f>
        <v>-1.59928932178932</v>
      </c>
      <c r="N64" s="66" t="n">
        <v>23</v>
      </c>
      <c r="O64" s="67">
        <f>IF(ISNUMBER(tblY11[[#This Row],[4B05 - Homeostasis
Raw Score]]),IFERROR(VLOOKUP(ROUND(STANDARDIZE(tblY11[[#This Row],[4B05 - Homeostasis
Raw Score]],AVERAGE(tblY11[[4B05 - Homeostasis
Raw Score]]),_xlfn.STDEV.P(tblY11[[4B05 - Homeostasis
Raw Score]])),9),_Stanine,2),5),"")</f>
        <v>6</v>
      </c>
      <c r="P64" s="66" t="n">
        <v>18</v>
      </c>
      <c r="Q64" s="67">
        <f>IF(ISNUMBER(tblY11[[#This Row],[4C09 - Organic Chemistry
Raw Score]]),IFERROR(VLOOKUP(ROUND(STANDARDIZE(tblY11[[#This Row],[4C09 - Organic Chemistry
Raw Score]],AVERAGE(tblY11[[4C09 - Organic Chemistry
Raw Score]]),_xlfn.STDEV.P(tblY11[[4C09 - Organic Chemistry
Raw Score]])),9),_Stanine,2),5),"")</f>
        <v>5</v>
      </c>
      <c r="R64" s="66" t="n">
        <v>23</v>
      </c>
      <c r="S64" s="67">
        <f>IF(ISNUMBER(tblY11[[#This Row],[4P06 - Waves
Raw Score]]),IFERROR(VLOOKUP(ROUND(STANDARDIZE(tblY11[[#This Row],[4P06 - Waves
Raw Score]],AVERAGE(tblY11[[4P06 - Waves
Raw Score]]),_xlfn.STDEV.P(tblY11[[4P06 - Waves
Raw Score]])),9),_Stanine,2),5),"")</f>
        <v>5</v>
      </c>
      <c r="T64" s="66" t="n">
        <v>21</v>
      </c>
      <c r="U64" s="67">
        <f>IF(ISNUMBER(tblY11[[#This Row],[4B06 - Inheritance
Raw Score]]),IFERROR(VLOOKUP(ROUND(STANDARDIZE(tblY11[[#This Row],[4B06 - Inheritance
Raw Score]],AVERAGE(tblY11[[4B06 - Inheritance
Raw Score]]),_xlfn.STDEV.P(tblY11[[4B06 - Inheritance
Raw Score]])),9),_Stanine,2),5),"")</f>
        <v>5</v>
      </c>
      <c r="V64" s="66" t="n">
        <v>20</v>
      </c>
      <c r="W64" s="67">
        <f>IF(ISNUMBER(tblY11[[#This Row],[4C10 - Chemical Analysis
Raw Score]]),IFERROR(VLOOKUP(ROUND(STANDARDIZE(tblY11[[#This Row],[4C10 - Chemical Analysis
Raw Score]],AVERAGE(tblY11[[4C10 - Chemical Analysis
Raw Score]]),_xlfn.STDEV.P(tblY11[[4C10 - Chemical Analysis
Raw Score]])),9),_Stanine,2),5),"")</f>
        <v>7</v>
      </c>
      <c r="X64" s="66" t="inlineStr">
        <is>
          <t>A</t>
        </is>
      </c>
      <c r="Y64" s="67" t="str">
        <f>IF(ISNUMBER(tblY11[[#This Row],[4P07 - Magnetism
Raw Score]]),IFERROR(VLOOKUP(ROUND(STANDARDIZE(tblY11[[#This Row],[4P07 - Magnetism
Raw Score]],AVERAGE(tblY11[[4P07 - Magnetism
Raw Score]]),_xlfn.STDEV.P(tblY11[[4P07 - Magnetism
Raw Score]])),9),_Stanine,2),5),"")</f>
        <v/>
      </c>
    </row>
    <row r="65">
      <c r="A65" s="65" t="inlineStr">
        <is>
          <t>X905004835111</t>
        </is>
      </c>
      <c r="B65" s="65" t="inlineStr">
        <is>
          <t>Khan</t>
        </is>
      </c>
      <c r="C65" s="65" t="inlineStr">
        <is>
          <t>Megan</t>
        </is>
      </c>
      <c r="D65" s="66" t="inlineStr">
        <is>
          <t>F</t>
        </is>
      </c>
      <c r="E65" s="66" t="inlineStr">
        <is>
          <t>N</t>
        </is>
      </c>
      <c r="F65" s="66" t="inlineStr">
        <is>
          <t>Y</t>
        </is>
      </c>
      <c r="G65" s="34" t="n">
        <v>100</v>
      </c>
      <c r="H65" s="34" t="n">
        <v>115</v>
      </c>
      <c r="I65" s="67">
        <f>IF(ISNUMBER(tblY11[[#This Row],[Avg KS2]]),IFERROR(VLOOKUP(ROUND(STANDARDIZE(tblY11[[#This Row],[Avg KS2]],AVERAGE(tblY11[[Avg KS2]]),_xlfn.STDEV.P(tblY11[[Avg KS2]])),9),_Stanine,2),5),"")</f>
        <v>8</v>
      </c>
      <c r="J65" s="66" t="inlineStr">
        <is>
          <t>11S/Sc3</t>
        </is>
      </c>
      <c r="K65" s="67">
        <f>IF(tblY11[[#This Row],[Preferred Last name]]="","",COUNTIFS($N$1:$ZZ$1,"*"&amp;CHAR(10)&amp;"Stanine",$N65:$ZZ65,"&gt;=1"))</f>
        <v>6</v>
      </c>
      <c r="L65" s="68">
        <f>IFERROR(AVERAGEIF($N$1:$ZZ$1,"*"&amp;CHAR(10)&amp;"Stanine",$N65:$ZZ65),"")</f>
        <v>7.83333333333333</v>
      </c>
      <c r="M65" s="69">
        <f>IF(AND(ISNUMBER(tblY11[[#This Row],[Mean Stanine]]),ISNUMBER(tblY11[[#This Row],[Avg KS2 Band]]),ISNUMBER(SlopeY11)),tblY11[[#This Row],[Mean Stanine]]-(InterceptY11+SlopeY11*tblY11[[#This Row],[Avg KS2 Band]]),"")</f>
        <v>0.634044011544011</v>
      </c>
      <c r="N65" s="66" t="n">
        <v>29</v>
      </c>
      <c r="O65" s="67">
        <f>IF(ISNUMBER(tblY11[[#This Row],[4B05 - Homeostasis
Raw Score]]),IFERROR(VLOOKUP(ROUND(STANDARDIZE(tblY11[[#This Row],[4B05 - Homeostasis
Raw Score]],AVERAGE(tblY11[[4B05 - Homeostasis
Raw Score]]),_xlfn.STDEV.P(tblY11[[4B05 - Homeostasis
Raw Score]])),9),_Stanine,2),5),"")</f>
        <v>7</v>
      </c>
      <c r="P65" s="66" t="n">
        <v>29</v>
      </c>
      <c r="Q65" s="67">
        <f>IF(ISNUMBER(tblY11[[#This Row],[4C09 - Organic Chemistry
Raw Score]]),IFERROR(VLOOKUP(ROUND(STANDARDIZE(tblY11[[#This Row],[4C09 - Organic Chemistry
Raw Score]],AVERAGE(tblY11[[4C09 - Organic Chemistry
Raw Score]]),_xlfn.STDEV.P(tblY11[[4C09 - Organic Chemistry
Raw Score]])),9),_Stanine,2),5),"")</f>
        <v>8</v>
      </c>
      <c r="R65" s="66" t="n">
        <v>36</v>
      </c>
      <c r="S65" s="67">
        <f>IF(ISNUMBER(tblY11[[#This Row],[4P06 - Waves
Raw Score]]),IFERROR(VLOOKUP(ROUND(STANDARDIZE(tblY11[[#This Row],[4P06 - Waves
Raw Score]],AVERAGE(tblY11[[4P06 - Waves
Raw Score]]),_xlfn.STDEV.P(tblY11[[4P06 - Waves
Raw Score]])),9),_Stanine,2),5),"")</f>
        <v>9</v>
      </c>
      <c r="T65" s="66" t="n">
        <v>31</v>
      </c>
      <c r="U65" s="67">
        <f>IF(ISNUMBER(tblY11[[#This Row],[4B06 - Inheritance
Raw Score]]),IFERROR(VLOOKUP(ROUND(STANDARDIZE(tblY11[[#This Row],[4B06 - Inheritance
Raw Score]],AVERAGE(tblY11[[4B06 - Inheritance
Raw Score]]),_xlfn.STDEV.P(tblY11[[4B06 - Inheritance
Raw Score]])),9),_Stanine,2),5),"")</f>
        <v>8</v>
      </c>
      <c r="V65" s="66" t="n">
        <v>23</v>
      </c>
      <c r="W65" s="67">
        <f>IF(ISNUMBER(tblY11[[#This Row],[4C10 - Chemical Analysis
Raw Score]]),IFERROR(VLOOKUP(ROUND(STANDARDIZE(tblY11[[#This Row],[4C10 - Chemical Analysis
Raw Score]],AVERAGE(tblY11[[4C10 - Chemical Analysis
Raw Score]]),_xlfn.STDEV.P(tblY11[[4C10 - Chemical Analysis
Raw Score]])),9),_Stanine,2),5),"")</f>
        <v>8</v>
      </c>
      <c r="X65" s="66" t="n">
        <v>24</v>
      </c>
      <c r="Y65" s="67">
        <f>IF(ISNUMBER(tblY11[[#This Row],[4P07 - Magnetism
Raw Score]]),IFERROR(VLOOKUP(ROUND(STANDARDIZE(tblY11[[#This Row],[4P07 - Magnetism
Raw Score]],AVERAGE(tblY11[[4P07 - Magnetism
Raw Score]]),_xlfn.STDEV.P(tblY11[[4P07 - Magnetism
Raw Score]])),9),_Stanine,2),5),"")</f>
        <v>7</v>
      </c>
    </row>
    <row r="66">
      <c r="A66" s="65" t="inlineStr">
        <is>
          <t>X902318940368</t>
        </is>
      </c>
      <c r="B66" s="65" t="inlineStr">
        <is>
          <t>Mistry</t>
        </is>
      </c>
      <c r="C66" s="65" t="inlineStr">
        <is>
          <t>Jacob</t>
        </is>
      </c>
      <c r="D66" s="66" t="inlineStr">
        <is>
          <t>M</t>
        </is>
      </c>
      <c r="E66" s="66" t="inlineStr">
        <is>
          <t>N</t>
        </is>
      </c>
      <c r="F66" s="66" t="inlineStr">
        <is>
          <t>N</t>
        </is>
      </c>
      <c r="G66" s="34" t="n">
        <v>100</v>
      </c>
      <c r="H66" s="34" t="n">
        <v>95</v>
      </c>
      <c r="I66" s="67">
        <f>IF(ISNUMBER(tblY11[[#This Row],[Avg KS2]]),IFERROR(VLOOKUP(ROUND(STANDARDIZE(tblY11[[#This Row],[Avg KS2]],AVERAGE(tblY11[[Avg KS2]]),_xlfn.STDEV.P(tblY11[[Avg KS2]])),9),_Stanine,2),5),"")</f>
        <v>2</v>
      </c>
      <c r="J66" s="66" t="inlineStr">
        <is>
          <t>11S/Sc3</t>
        </is>
      </c>
      <c r="K66" s="67">
        <f>IF(tblY11[[#This Row],[Preferred Last name]]="","",COUNTIFS($N$1:$ZZ$1,"*"&amp;CHAR(10)&amp;"Stanine",$N66:$ZZ66,"&gt;=1"))</f>
        <v>5</v>
      </c>
      <c r="L66" s="68">
        <f>IFERROR(AVERAGEIF($N$1:$ZZ$1,"*"&amp;CHAR(10)&amp;"Stanine",$N66:$ZZ66),"")</f>
        <v>4.2</v>
      </c>
      <c r="M66" s="69">
        <f>IF(AND(ISNUMBER(tblY11[[#This Row],[Mean Stanine]]),ISNUMBER(tblY11[[#This Row],[Avg KS2 Band]]),ISNUMBER(SlopeY11)),tblY11[[#This Row],[Mean Stanine]]-(InterceptY11+SlopeY11*tblY11[[#This Row],[Avg KS2 Band]]),"")</f>
        <v>1.4938924963925</v>
      </c>
      <c r="N66" s="66" t="n">
        <v>16</v>
      </c>
      <c r="O66" s="67">
        <f>IF(ISNUMBER(tblY11[[#This Row],[4B05 - Homeostasis
Raw Score]]),IFERROR(VLOOKUP(ROUND(STANDARDIZE(tblY11[[#This Row],[4B05 - Homeostasis
Raw Score]],AVERAGE(tblY11[[4B05 - Homeostasis
Raw Score]]),_xlfn.STDEV.P(tblY11[[4B05 - Homeostasis
Raw Score]])),9),_Stanine,2),5),"")</f>
        <v>4</v>
      </c>
      <c r="P66" s="66" t="inlineStr">
        <is>
          <t>A</t>
        </is>
      </c>
      <c r="Q66" s="67" t="str">
        <f>IF(ISNUMBER(tblY11[[#This Row],[4C09 - Organic Chemistry
Raw Score]]),IFERROR(VLOOKUP(ROUND(STANDARDIZE(tblY11[[#This Row],[4C09 - Organic Chemistry
Raw Score]],AVERAGE(tblY11[[4C09 - Organic Chemistry
Raw Score]]),_xlfn.STDEV.P(tblY11[[4C09 - Organic Chemistry
Raw Score]])),9),_Stanine,2),5),"")</f>
        <v/>
      </c>
      <c r="R66" s="66" t="n">
        <v>16</v>
      </c>
      <c r="S66" s="67">
        <f>IF(ISNUMBER(tblY11[[#This Row],[4P06 - Waves
Raw Score]]),IFERROR(VLOOKUP(ROUND(STANDARDIZE(tblY11[[#This Row],[4P06 - Waves
Raw Score]],AVERAGE(tblY11[[4P06 - Waves
Raw Score]]),_xlfn.STDEV.P(tblY11[[4P06 - Waves
Raw Score]])),9),_Stanine,2),5),"")</f>
        <v>4</v>
      </c>
      <c r="T66" s="66" t="n">
        <v>15</v>
      </c>
      <c r="U66" s="67">
        <f>IF(ISNUMBER(tblY11[[#This Row],[4B06 - Inheritance
Raw Score]]),IFERROR(VLOOKUP(ROUND(STANDARDIZE(tblY11[[#This Row],[4B06 - Inheritance
Raw Score]],AVERAGE(tblY11[[4B06 - Inheritance
Raw Score]]),_xlfn.STDEV.P(tblY11[[4B06 - Inheritance
Raw Score]])),9),_Stanine,2),5),"")</f>
        <v>4</v>
      </c>
      <c r="V66" s="66" t="n">
        <v>14</v>
      </c>
      <c r="W66" s="67">
        <f>IF(ISNUMBER(tblY11[[#This Row],[4C10 - Chemical Analysis
Raw Score]]),IFERROR(VLOOKUP(ROUND(STANDARDIZE(tblY11[[#This Row],[4C10 - Chemical Analysis
Raw Score]],AVERAGE(tblY11[[4C10 - Chemical Analysis
Raw Score]]),_xlfn.STDEV.P(tblY11[[4C10 - Chemical Analysis
Raw Score]])),9),_Stanine,2),5),"")</f>
        <v>5</v>
      </c>
      <c r="X66" s="66" t="n">
        <v>12</v>
      </c>
      <c r="Y66" s="67">
        <f>IF(ISNUMBER(tblY11[[#This Row],[4P07 - Magnetism
Raw Score]]),IFERROR(VLOOKUP(ROUND(STANDARDIZE(tblY11[[#This Row],[4P07 - Magnetism
Raw Score]],AVERAGE(tblY11[[4P07 - Magnetism
Raw Score]]),_xlfn.STDEV.P(tblY11[[4P07 - Magnetism
Raw Score]])),9),_Stanine,2),5),"")</f>
        <v>4</v>
      </c>
    </row>
    <row r="67">
      <c r="A67" s="65" t="inlineStr">
        <is>
          <t>X900407591009</t>
        </is>
      </c>
      <c r="B67" s="65" t="inlineStr">
        <is>
          <t>Mistry</t>
        </is>
      </c>
      <c r="C67" s="65" t="inlineStr">
        <is>
          <t>Lewis</t>
        </is>
      </c>
      <c r="D67" s="66" t="inlineStr">
        <is>
          <t>M</t>
        </is>
      </c>
      <c r="E67" s="66" t="inlineStr">
        <is>
          <t>K</t>
        </is>
      </c>
      <c r="F67" s="66" t="inlineStr">
        <is>
          <t>N</t>
        </is>
      </c>
      <c r="G67" s="34" t="n">
        <v>93.90000000000001</v>
      </c>
      <c r="H67" s="34" t="n">
        <v>93</v>
      </c>
      <c r="I67" s="67">
        <f>IF(ISNUMBER(tblY11[[#This Row],[Avg KS2]]),IFERROR(VLOOKUP(ROUND(STANDARDIZE(tblY11[[#This Row],[Avg KS2]],AVERAGE(tblY11[[Avg KS2]]),_xlfn.STDEV.P(tblY11[[Avg KS2]])),9),_Stanine,2),5),"")</f>
        <v>1</v>
      </c>
      <c r="J67" s="66" t="inlineStr">
        <is>
          <t>11S/Sc3</t>
        </is>
      </c>
      <c r="K67" s="67">
        <f>IF(tblY11[[#This Row],[Preferred Last name]]="","",COUNTIFS($N$1:$ZZ$1,"*"&amp;CHAR(10)&amp;"Stanine",$N67:$ZZ67,"&gt;=1"))</f>
        <v>6</v>
      </c>
      <c r="L67" s="68">
        <f>IFERROR(AVERAGEIF($N$1:$ZZ$1,"*"&amp;CHAR(10)&amp;"Stanine",$N67:$ZZ67),"")</f>
        <v>1.33333333333333</v>
      </c>
      <c r="M67" s="69">
        <f>IF(AND(ISNUMBER(tblY11[[#This Row],[Mean Stanine]]),ISNUMBER(tblY11[[#This Row],[Avg KS2 Band]]),ISNUMBER(SlopeY11)),tblY11[[#This Row],[Mean Stanine]]-(InterceptY11+SlopeY11*tblY11[[#This Row],[Avg KS2 Band]]),"")</f>
        <v>-0.623910533910533</v>
      </c>
      <c r="N67" s="66" t="n">
        <v>8</v>
      </c>
      <c r="O67" s="67">
        <f>IF(ISNUMBER(tblY11[[#This Row],[4B05 - Homeostasis
Raw Score]]),IFERROR(VLOOKUP(ROUND(STANDARDIZE(tblY11[[#This Row],[4B05 - Homeostasis
Raw Score]],AVERAGE(tblY11[[4B05 - Homeostasis
Raw Score]]),_xlfn.STDEV.P(tblY11[[4B05 - Homeostasis
Raw Score]])),9),_Stanine,2),5),"")</f>
        <v>2</v>
      </c>
      <c r="P67" s="66" t="n">
        <v>3</v>
      </c>
      <c r="Q67" s="67">
        <f>IF(ISNUMBER(tblY11[[#This Row],[4C09 - Organic Chemistry
Raw Score]]),IFERROR(VLOOKUP(ROUND(STANDARDIZE(tblY11[[#This Row],[4C09 - Organic Chemistry
Raw Score]],AVERAGE(tblY11[[4C09 - Organic Chemistry
Raw Score]]),_xlfn.STDEV.P(tblY11[[4C09 - Organic Chemistry
Raw Score]])),9),_Stanine,2),5),"")</f>
        <v>1</v>
      </c>
      <c r="R67" s="66" t="n">
        <v>6</v>
      </c>
      <c r="S67" s="67">
        <f>IF(ISNUMBER(tblY11[[#This Row],[4P06 - Waves
Raw Score]]),IFERROR(VLOOKUP(ROUND(STANDARDIZE(tblY11[[#This Row],[4P06 - Waves
Raw Score]],AVERAGE(tblY11[[4P06 - Waves
Raw Score]]),_xlfn.STDEV.P(tblY11[[4P06 - Waves
Raw Score]])),9),_Stanine,2),5),"")</f>
        <v>1</v>
      </c>
      <c r="T67" s="66" t="n">
        <v>2</v>
      </c>
      <c r="U67" s="67">
        <f>IF(ISNUMBER(tblY11[[#This Row],[4B06 - Inheritance
Raw Score]]),IFERROR(VLOOKUP(ROUND(STANDARDIZE(tblY11[[#This Row],[4B06 - Inheritance
Raw Score]],AVERAGE(tblY11[[4B06 - Inheritance
Raw Score]]),_xlfn.STDEV.P(tblY11[[4B06 - Inheritance
Raw Score]])),9),_Stanine,2),5),"")</f>
        <v>1</v>
      </c>
      <c r="V67" s="66" t="n">
        <v>3</v>
      </c>
      <c r="W67" s="67">
        <f>IF(ISNUMBER(tblY11[[#This Row],[4C10 - Chemical Analysis
Raw Score]]),IFERROR(VLOOKUP(ROUND(STANDARDIZE(tblY11[[#This Row],[4C10 - Chemical Analysis
Raw Score]],AVERAGE(tblY11[[4C10 - Chemical Analysis
Raw Score]]),_xlfn.STDEV.P(tblY11[[4C10 - Chemical Analysis
Raw Score]])),9),_Stanine,2),5),"")</f>
        <v>1</v>
      </c>
      <c r="X67" s="66" t="n">
        <v>5</v>
      </c>
      <c r="Y67" s="67">
        <f>IF(ISNUMBER(tblY11[[#This Row],[4P07 - Magnetism
Raw Score]]),IFERROR(VLOOKUP(ROUND(STANDARDIZE(tblY11[[#This Row],[4P07 - Magnetism
Raw Score]],AVERAGE(tblY11[[4P07 - Magnetism
Raw Score]]),_xlfn.STDEV.P(tblY11[[4P07 - Magnetism
Raw Score]])),9),_Stanine,2),5),"")</f>
        <v>2</v>
      </c>
    </row>
    <row r="68">
      <c r="A68" s="65" t="inlineStr">
        <is>
          <t>X909149640537</t>
        </is>
      </c>
      <c r="B68" s="65" t="inlineStr">
        <is>
          <t>Murphy</t>
        </is>
      </c>
      <c r="C68" s="65" t="inlineStr">
        <is>
          <t>Muhammad</t>
        </is>
      </c>
      <c r="D68" s="66" t="inlineStr">
        <is>
          <t>M</t>
        </is>
      </c>
      <c r="E68" s="66" t="inlineStr">
        <is>
          <t>K</t>
        </is>
      </c>
      <c r="F68" s="66" t="inlineStr">
        <is>
          <t>Y</t>
        </is>
      </c>
      <c r="G68" s="34" t="n">
        <v>88.09999999999999</v>
      </c>
      <c r="H68" s="34" t="n">
        <v>94.5</v>
      </c>
      <c r="I68" s="67">
        <f>IF(ISNUMBER(tblY11[[#This Row],[Avg KS2]]),IFERROR(VLOOKUP(ROUND(STANDARDIZE(tblY11[[#This Row],[Avg KS2]],AVERAGE(tblY11[[Avg KS2]]),_xlfn.STDEV.P(tblY11[[Avg KS2]])),9),_Stanine,2),5),"")</f>
        <v>2</v>
      </c>
      <c r="J68" s="66" t="inlineStr">
        <is>
          <t>11S/Sc3</t>
        </is>
      </c>
      <c r="K68" s="67">
        <f>IF(tblY11[[#This Row],[Preferred Last name]]="","",COUNTIFS($N$1:$ZZ$1,"*"&amp;CHAR(10)&amp;"Stanine",$N68:$ZZ68,"&gt;=1"))</f>
        <v>6</v>
      </c>
      <c r="L68" s="68">
        <f>IFERROR(AVERAGEIF($N$1:$ZZ$1,"*"&amp;CHAR(10)&amp;"Stanine",$N68:$ZZ68),"")</f>
        <v>1.66666666666667</v>
      </c>
      <c r="M68" s="69">
        <f>IF(AND(ISNUMBER(tblY11[[#This Row],[Mean Stanine]]),ISNUMBER(tblY11[[#This Row],[Avg KS2 Band]]),ISNUMBER(SlopeY11)),tblY11[[#This Row],[Mean Stanine]]-(InterceptY11+SlopeY11*tblY11[[#This Row],[Avg KS2 Band]]),"")</f>
        <v>-1.03944083694084</v>
      </c>
      <c r="N68" s="66" t="n">
        <v>8</v>
      </c>
      <c r="O68" s="67">
        <f>IF(ISNUMBER(tblY11[[#This Row],[4B05 - Homeostasis
Raw Score]]),IFERROR(VLOOKUP(ROUND(STANDARDIZE(tblY11[[#This Row],[4B05 - Homeostasis
Raw Score]],AVERAGE(tblY11[[4B05 - Homeostasis
Raw Score]]),_xlfn.STDEV.P(tblY11[[4B05 - Homeostasis
Raw Score]])),9),_Stanine,2),5),"")</f>
        <v>2</v>
      </c>
      <c r="P68" s="66" t="n">
        <v>3</v>
      </c>
      <c r="Q68" s="67">
        <f>IF(ISNUMBER(tblY11[[#This Row],[4C09 - Organic Chemistry
Raw Score]]),IFERROR(VLOOKUP(ROUND(STANDARDIZE(tblY11[[#This Row],[4C09 - Organic Chemistry
Raw Score]],AVERAGE(tblY11[[4C09 - Organic Chemistry
Raw Score]]),_xlfn.STDEV.P(tblY11[[4C09 - Organic Chemistry
Raw Score]])),9),_Stanine,2),5),"")</f>
        <v>1</v>
      </c>
      <c r="R68" s="66" t="n">
        <v>6</v>
      </c>
      <c r="S68" s="67">
        <f>IF(ISNUMBER(tblY11[[#This Row],[4P06 - Waves
Raw Score]]),IFERROR(VLOOKUP(ROUND(STANDARDIZE(tblY11[[#This Row],[4P06 - Waves
Raw Score]],AVERAGE(tblY11[[4P06 - Waves
Raw Score]]),_xlfn.STDEV.P(tblY11[[4P06 - Waves
Raw Score]])),9),_Stanine,2),5),"")</f>
        <v>1</v>
      </c>
      <c r="T68" s="66" t="n">
        <v>5</v>
      </c>
      <c r="U68" s="67">
        <f>IF(ISNUMBER(tblY11[[#This Row],[4B06 - Inheritance
Raw Score]]),IFERROR(VLOOKUP(ROUND(STANDARDIZE(tblY11[[#This Row],[4B06 - Inheritance
Raw Score]],AVERAGE(tblY11[[4B06 - Inheritance
Raw Score]]),_xlfn.STDEV.P(tblY11[[4B06 - Inheritance
Raw Score]])),9),_Stanine,2),5),"")</f>
        <v>2</v>
      </c>
      <c r="V68" s="66" t="n">
        <v>5</v>
      </c>
      <c r="W68" s="67">
        <f>IF(ISNUMBER(tblY11[[#This Row],[4C10 - Chemical Analysis
Raw Score]]),IFERROR(VLOOKUP(ROUND(STANDARDIZE(tblY11[[#This Row],[4C10 - Chemical Analysis
Raw Score]],AVERAGE(tblY11[[4C10 - Chemical Analysis
Raw Score]]),_xlfn.STDEV.P(tblY11[[4C10 - Chemical Analysis
Raw Score]])),9),_Stanine,2),5),"")</f>
        <v>2</v>
      </c>
      <c r="X68" s="66" t="n">
        <v>3</v>
      </c>
      <c r="Y68" s="67">
        <f>IF(ISNUMBER(tblY11[[#This Row],[4P07 - Magnetism
Raw Score]]),IFERROR(VLOOKUP(ROUND(STANDARDIZE(tblY11[[#This Row],[4P07 - Magnetism
Raw Score]],AVERAGE(tblY11[[4P07 - Magnetism
Raw Score]]),_xlfn.STDEV.P(tblY11[[4P07 - Magnetism
Raw Score]])),9),_Stanine,2),5),"")</f>
        <v>2</v>
      </c>
    </row>
    <row r="69">
      <c r="A69" s="65" t="inlineStr">
        <is>
          <t>X906305801551</t>
        </is>
      </c>
      <c r="B69" s="65" t="inlineStr">
        <is>
          <t>Okafor</t>
        </is>
      </c>
      <c r="C69" s="65" t="inlineStr">
        <is>
          <t>Zofia</t>
        </is>
      </c>
      <c r="D69" s="66" t="inlineStr">
        <is>
          <t>F</t>
        </is>
      </c>
      <c r="E69" s="66" t="inlineStr">
        <is>
          <t>K</t>
        </is>
      </c>
      <c r="F69" s="66" t="inlineStr">
        <is>
          <t>N</t>
        </is>
      </c>
      <c r="G69" s="34" t="n">
        <v>100</v>
      </c>
      <c r="H69" s="34" t="n">
        <v>103.5</v>
      </c>
      <c r="I69" s="67">
        <f>IF(ISNUMBER(tblY11[[#This Row],[Avg KS2]]),IFERROR(VLOOKUP(ROUND(STANDARDIZE(tblY11[[#This Row],[Avg KS2]],AVERAGE(tblY11[[Avg KS2]]),_xlfn.STDEV.P(tblY11[[Avg KS2]])),9),_Stanine,2),5),"")</f>
        <v>5</v>
      </c>
      <c r="J69" s="66" t="inlineStr">
        <is>
          <t>11S/Sc3</t>
        </is>
      </c>
      <c r="K69" s="67">
        <f>IF(tblY11[[#This Row],[Preferred Last name]]="","",COUNTIFS($N$1:$ZZ$1,"*"&amp;CHAR(10)&amp;"Stanine",$N69:$ZZ69,"&gt;=1"))</f>
        <v>6</v>
      </c>
      <c r="L69" s="68">
        <f>IFERROR(AVERAGEIF($N$1:$ZZ$1,"*"&amp;CHAR(10)&amp;"Stanine",$N69:$ZZ69),"")</f>
        <v>4.5</v>
      </c>
      <c r="M69" s="69">
        <f>IF(AND(ISNUMBER(tblY11[[#This Row],[Mean Stanine]]),ISNUMBER(tblY11[[#This Row],[Avg KS2 Band]]),ISNUMBER(SlopeY11)),tblY11[[#This Row],[Mean Stanine]]-(InterceptY11+SlopeY11*tblY11[[#This Row],[Avg KS2 Band]]),"")</f>
        <v>-0.452698412698412</v>
      </c>
      <c r="N69" s="66" t="n">
        <v>15</v>
      </c>
      <c r="O69" s="67">
        <f>IF(ISNUMBER(tblY11[[#This Row],[4B05 - Homeostasis
Raw Score]]),IFERROR(VLOOKUP(ROUND(STANDARDIZE(tblY11[[#This Row],[4B05 - Homeostasis
Raw Score]],AVERAGE(tblY11[[4B05 - Homeostasis
Raw Score]]),_xlfn.STDEV.P(tblY11[[4B05 - Homeostasis
Raw Score]])),9),_Stanine,2),5),"")</f>
        <v>4</v>
      </c>
      <c r="P69" s="66" t="n">
        <v>14</v>
      </c>
      <c r="Q69" s="67">
        <f>IF(ISNUMBER(tblY11[[#This Row],[4C09 - Organic Chemistry
Raw Score]]),IFERROR(VLOOKUP(ROUND(STANDARDIZE(tblY11[[#This Row],[4C09 - Organic Chemistry
Raw Score]],AVERAGE(tblY11[[4C09 - Organic Chemistry
Raw Score]]),_xlfn.STDEV.P(tblY11[[4C09 - Organic Chemistry
Raw Score]])),9),_Stanine,2),5),"")</f>
        <v>4</v>
      </c>
      <c r="R69" s="66" t="n">
        <v>15</v>
      </c>
      <c r="S69" s="67">
        <f>IF(ISNUMBER(tblY11[[#This Row],[4P06 - Waves
Raw Score]]),IFERROR(VLOOKUP(ROUND(STANDARDIZE(tblY11[[#This Row],[4P06 - Waves
Raw Score]],AVERAGE(tblY11[[4P06 - Waves
Raw Score]]),_xlfn.STDEV.P(tblY11[[4P06 - Waves
Raw Score]])),9),_Stanine,2),5),"")</f>
        <v>4</v>
      </c>
      <c r="T69" s="66" t="n">
        <v>12</v>
      </c>
      <c r="U69" s="67">
        <f>IF(ISNUMBER(tblY11[[#This Row],[4B06 - Inheritance
Raw Score]]),IFERROR(VLOOKUP(ROUND(STANDARDIZE(tblY11[[#This Row],[4B06 - Inheritance
Raw Score]],AVERAGE(tblY11[[4B06 - Inheritance
Raw Score]]),_xlfn.STDEV.P(tblY11[[4B06 - Inheritance
Raw Score]])),9),_Stanine,2),5),"")</f>
        <v>4</v>
      </c>
      <c r="V69" s="66" t="n">
        <v>13</v>
      </c>
      <c r="W69" s="67">
        <f>IF(ISNUMBER(tblY11[[#This Row],[4C10 - Chemical Analysis
Raw Score]]),IFERROR(VLOOKUP(ROUND(STANDARDIZE(tblY11[[#This Row],[4C10 - Chemical Analysis
Raw Score]],AVERAGE(tblY11[[4C10 - Chemical Analysis
Raw Score]]),_xlfn.STDEV.P(tblY11[[4C10 - Chemical Analysis
Raw Score]])),9),_Stanine,2),5),"")</f>
        <v>5</v>
      </c>
      <c r="X69" s="66" t="n">
        <v>18</v>
      </c>
      <c r="Y69" s="67">
        <f>IF(ISNUMBER(tblY11[[#This Row],[4P07 - Magnetism
Raw Score]]),IFERROR(VLOOKUP(ROUND(STANDARDIZE(tblY11[[#This Row],[4P07 - Magnetism
Raw Score]],AVERAGE(tblY11[[4P07 - Magnetism
Raw Score]]),_xlfn.STDEV.P(tblY11[[4P07 - Magnetism
Raw Score]])),9),_Stanine,2),5),"")</f>
        <v>6</v>
      </c>
    </row>
    <row r="70">
      <c r="A70" s="65" t="inlineStr">
        <is>
          <t>X908060840274</t>
        </is>
      </c>
      <c r="B70" s="65" t="inlineStr">
        <is>
          <t>Patel</t>
        </is>
      </c>
      <c r="C70" s="65" t="inlineStr">
        <is>
          <t>Layla</t>
        </is>
      </c>
      <c r="D70" s="66" t="inlineStr">
        <is>
          <t>M</t>
        </is>
      </c>
      <c r="E70" s="66" t="n"/>
      <c r="F70" s="66" t="inlineStr">
        <is>
          <t>Y</t>
        </is>
      </c>
      <c r="G70" s="34" t="n">
        <v>98.3</v>
      </c>
      <c r="H70" s="34" t="n">
        <v>92</v>
      </c>
      <c r="I70" s="67">
        <f>IF(ISNUMBER(tblY11[[#This Row],[Avg KS2]]),IFERROR(VLOOKUP(ROUND(STANDARDIZE(tblY11[[#This Row],[Avg KS2]],AVERAGE(tblY11[[Avg KS2]]),_xlfn.STDEV.P(tblY11[[Avg KS2]])),9),_Stanine,2),5),"")</f>
        <v>1</v>
      </c>
      <c r="J70" s="66" t="inlineStr">
        <is>
          <t>11S/Sc3</t>
        </is>
      </c>
      <c r="K70" s="67">
        <f>IF(tblY11[[#This Row],[Preferred Last name]]="","",COUNTIFS($N$1:$ZZ$1,"*"&amp;CHAR(10)&amp;"Stanine",$N70:$ZZ70,"&gt;=1"))</f>
        <v>6</v>
      </c>
      <c r="L70" s="68">
        <f>IFERROR(AVERAGEIF($N$1:$ZZ$1,"*"&amp;CHAR(10)&amp;"Stanine",$N70:$ZZ70),"")</f>
        <v>4.5</v>
      </c>
      <c r="M70" s="69">
        <f>IF(AND(ISNUMBER(tblY11[[#This Row],[Mean Stanine]]),ISNUMBER(tblY11[[#This Row],[Avg KS2 Band]]),ISNUMBER(SlopeY11)),tblY11[[#This Row],[Mean Stanine]]-(InterceptY11+SlopeY11*tblY11[[#This Row],[Avg KS2 Band]]),"")</f>
        <v>2.54275613275613</v>
      </c>
      <c r="N70" s="66" t="n">
        <v>23</v>
      </c>
      <c r="O70" s="67">
        <f>IF(ISNUMBER(tblY11[[#This Row],[4B05 - Homeostasis
Raw Score]]),IFERROR(VLOOKUP(ROUND(STANDARDIZE(tblY11[[#This Row],[4B05 - Homeostasis
Raw Score]],AVERAGE(tblY11[[4B05 - Homeostasis
Raw Score]]),_xlfn.STDEV.P(tblY11[[4B05 - Homeostasis
Raw Score]])),9),_Stanine,2),5),"")</f>
        <v>6</v>
      </c>
      <c r="P70" s="66" t="n">
        <v>12</v>
      </c>
      <c r="Q70" s="67">
        <f>IF(ISNUMBER(tblY11[[#This Row],[4C09 - Organic Chemistry
Raw Score]]),IFERROR(VLOOKUP(ROUND(STANDARDIZE(tblY11[[#This Row],[4C09 - Organic Chemistry
Raw Score]],AVERAGE(tblY11[[4C09 - Organic Chemistry
Raw Score]]),_xlfn.STDEV.P(tblY11[[4C09 - Organic Chemistry
Raw Score]])),9),_Stanine,2),5),"")</f>
        <v>4</v>
      </c>
      <c r="R70" s="66" t="n">
        <v>19</v>
      </c>
      <c r="S70" s="67">
        <f>IF(ISNUMBER(tblY11[[#This Row],[4P06 - Waves
Raw Score]]),IFERROR(VLOOKUP(ROUND(STANDARDIZE(tblY11[[#This Row],[4P06 - Waves
Raw Score]],AVERAGE(tblY11[[4P06 - Waves
Raw Score]]),_xlfn.STDEV.P(tblY11[[4P06 - Waves
Raw Score]])),9),_Stanine,2),5),"")</f>
        <v>5</v>
      </c>
      <c r="T70" s="66" t="n">
        <v>18</v>
      </c>
      <c r="U70" s="67">
        <f>IF(ISNUMBER(tblY11[[#This Row],[4B06 - Inheritance
Raw Score]]),IFERROR(VLOOKUP(ROUND(STANDARDIZE(tblY11[[#This Row],[4B06 - Inheritance
Raw Score]],AVERAGE(tblY11[[4B06 - Inheritance
Raw Score]]),_xlfn.STDEV.P(tblY11[[4B06 - Inheritance
Raw Score]])),9),_Stanine,2),5),"")</f>
        <v>5</v>
      </c>
      <c r="V70" s="66" t="n">
        <v>12</v>
      </c>
      <c r="W70" s="67">
        <f>IF(ISNUMBER(tblY11[[#This Row],[4C10 - Chemical Analysis
Raw Score]]),IFERROR(VLOOKUP(ROUND(STANDARDIZE(tblY11[[#This Row],[4C10 - Chemical Analysis
Raw Score]],AVERAGE(tblY11[[4C10 - Chemical Analysis
Raw Score]]),_xlfn.STDEV.P(tblY11[[4C10 - Chemical Analysis
Raw Score]])),9),_Stanine,2),5),"")</f>
        <v>4</v>
      </c>
      <c r="X70" s="66" t="n">
        <v>10</v>
      </c>
      <c r="Y70" s="67">
        <f>IF(ISNUMBER(tblY11[[#This Row],[4P07 - Magnetism
Raw Score]]),IFERROR(VLOOKUP(ROUND(STANDARDIZE(tblY11[[#This Row],[4P07 - Magnetism
Raw Score]],AVERAGE(tblY11[[4P07 - Magnetism
Raw Score]]),_xlfn.STDEV.P(tblY11[[4P07 - Magnetism
Raw Score]])),9),_Stanine,2),5),"")</f>
        <v>3</v>
      </c>
    </row>
    <row r="71">
      <c r="A71" s="65" t="inlineStr">
        <is>
          <t>X901769394551</t>
        </is>
      </c>
      <c r="B71" s="65" t="inlineStr">
        <is>
          <t>Patel</t>
        </is>
      </c>
      <c r="C71" s="65" t="inlineStr">
        <is>
          <t>Priya</t>
        </is>
      </c>
      <c r="D71" s="66" t="inlineStr">
        <is>
          <t>M</t>
        </is>
      </c>
      <c r="E71" s="66" t="inlineStr">
        <is>
          <t>K</t>
        </is>
      </c>
      <c r="F71" s="66" t="inlineStr">
        <is>
          <t>N</t>
        </is>
      </c>
      <c r="G71" s="34" t="n">
        <v>97.7</v>
      </c>
      <c r="H71" s="34" t="n">
        <v>100</v>
      </c>
      <c r="I71" s="67">
        <f>IF(ISNUMBER(tblY11[[#This Row],[Avg KS2]]),IFERROR(VLOOKUP(ROUND(STANDARDIZE(tblY11[[#This Row],[Avg KS2]],AVERAGE(tblY11[[Avg KS2]]),_xlfn.STDEV.P(tblY11[[Avg KS2]])),9),_Stanine,2),5),"")</f>
        <v>4</v>
      </c>
      <c r="J71" s="66" t="inlineStr">
        <is>
          <t>11S/Sc3</t>
        </is>
      </c>
      <c r="K71" s="67">
        <f>IF(tblY11[[#This Row],[Preferred Last name]]="","",COUNTIFS($N$1:$ZZ$1,"*"&amp;CHAR(10)&amp;"Stanine",$N71:$ZZ71,"&gt;=1"))</f>
        <v>6</v>
      </c>
      <c r="L71" s="68">
        <f>IFERROR(AVERAGEIF($N$1:$ZZ$1,"*"&amp;CHAR(10)&amp;"Stanine",$N71:$ZZ71),"")</f>
        <v>4.5</v>
      </c>
      <c r="M71" s="69">
        <f>IF(AND(ISNUMBER(tblY11[[#This Row],[Mean Stanine]]),ISNUMBER(tblY11[[#This Row],[Avg KS2 Band]]),ISNUMBER(SlopeY11)),tblY11[[#This Row],[Mean Stanine]]-(InterceptY11+SlopeY11*tblY11[[#This Row],[Avg KS2 Band]]),"")</f>
        <v>0.296165223665224</v>
      </c>
      <c r="N71" s="66" t="n">
        <v>20</v>
      </c>
      <c r="O71" s="67">
        <f>IF(ISNUMBER(tblY11[[#This Row],[4B05 - Homeostasis
Raw Score]]),IFERROR(VLOOKUP(ROUND(STANDARDIZE(tblY11[[#This Row],[4B05 - Homeostasis
Raw Score]],AVERAGE(tblY11[[4B05 - Homeostasis
Raw Score]]),_xlfn.STDEV.P(tblY11[[4B05 - Homeostasis
Raw Score]])),9),_Stanine,2),5),"")</f>
        <v>5</v>
      </c>
      <c r="P71" s="66" t="n">
        <v>19</v>
      </c>
      <c r="Q71" s="67">
        <f>IF(ISNUMBER(tblY11[[#This Row],[4C09 - Organic Chemistry
Raw Score]]),IFERROR(VLOOKUP(ROUND(STANDARDIZE(tblY11[[#This Row],[4C09 - Organic Chemistry
Raw Score]],AVERAGE(tblY11[[4C09 - Organic Chemistry
Raw Score]]),_xlfn.STDEV.P(tblY11[[4C09 - Organic Chemistry
Raw Score]])),9),_Stanine,2),5),"")</f>
        <v>6</v>
      </c>
      <c r="R71" s="66" t="n">
        <v>13</v>
      </c>
      <c r="S71" s="67">
        <f>IF(ISNUMBER(tblY11[[#This Row],[4P06 - Waves
Raw Score]]),IFERROR(VLOOKUP(ROUND(STANDARDIZE(tblY11[[#This Row],[4P06 - Waves
Raw Score]],AVERAGE(tblY11[[4P06 - Waves
Raw Score]]),_xlfn.STDEV.P(tblY11[[4P06 - Waves
Raw Score]])),9),_Stanine,2),5),"")</f>
        <v>3</v>
      </c>
      <c r="T71" s="66" t="n">
        <v>15</v>
      </c>
      <c r="U71" s="67">
        <f>IF(ISNUMBER(tblY11[[#This Row],[4B06 - Inheritance
Raw Score]]),IFERROR(VLOOKUP(ROUND(STANDARDIZE(tblY11[[#This Row],[4B06 - Inheritance
Raw Score]],AVERAGE(tblY11[[4B06 - Inheritance
Raw Score]]),_xlfn.STDEV.P(tblY11[[4B06 - Inheritance
Raw Score]])),9),_Stanine,2),5),"")</f>
        <v>4</v>
      </c>
      <c r="V71" s="66" t="n">
        <v>11</v>
      </c>
      <c r="W71" s="67">
        <f>IF(ISNUMBER(tblY11[[#This Row],[4C10 - Chemical Analysis
Raw Score]]),IFERROR(VLOOKUP(ROUND(STANDARDIZE(tblY11[[#This Row],[4C10 - Chemical Analysis
Raw Score]],AVERAGE(tblY11[[4C10 - Chemical Analysis
Raw Score]]),_xlfn.STDEV.P(tblY11[[4C10 - Chemical Analysis
Raw Score]])),9),_Stanine,2),5),"")</f>
        <v>4</v>
      </c>
      <c r="X71" s="66" t="n">
        <v>14</v>
      </c>
      <c r="Y71" s="67">
        <f>IF(ISNUMBER(tblY11[[#This Row],[4P07 - Magnetism
Raw Score]]),IFERROR(VLOOKUP(ROUND(STANDARDIZE(tblY11[[#This Row],[4P07 - Magnetism
Raw Score]],AVERAGE(tblY11[[4P07 - Magnetism
Raw Score]]),_xlfn.STDEV.P(tblY11[[4P07 - Magnetism
Raw Score]])),9),_Stanine,2),5),"")</f>
        <v>5</v>
      </c>
    </row>
    <row r="72">
      <c r="A72" s="65" t="inlineStr">
        <is>
          <t>X904826435296</t>
        </is>
      </c>
      <c r="B72" s="65" t="inlineStr">
        <is>
          <t>Patel</t>
        </is>
      </c>
      <c r="C72" s="65" t="inlineStr">
        <is>
          <t>Sami</t>
        </is>
      </c>
      <c r="D72" s="66" t="inlineStr">
        <is>
          <t>F</t>
        </is>
      </c>
      <c r="E72" s="66" t="n"/>
      <c r="F72" s="66" t="inlineStr">
        <is>
          <t>N</t>
        </is>
      </c>
      <c r="G72" s="34" t="n">
        <v>90.40000000000001</v>
      </c>
      <c r="H72" s="34" t="n">
        <v>110</v>
      </c>
      <c r="I72" s="67">
        <f>IF(ISNUMBER(tblY11[[#This Row],[Avg KS2]]),IFERROR(VLOOKUP(ROUND(STANDARDIZE(tblY11[[#This Row],[Avg KS2]],AVERAGE(tblY11[[Avg KS2]]),_xlfn.STDEV.P(tblY11[[Avg KS2]])),9),_Stanine,2),5),"")</f>
        <v>7</v>
      </c>
      <c r="J72" s="66" t="inlineStr">
        <is>
          <t>11S/Sc3</t>
        </is>
      </c>
      <c r="K72" s="67">
        <f>IF(tblY11[[#This Row],[Preferred Last name]]="","",COUNTIFS($N$1:$ZZ$1,"*"&amp;CHAR(10)&amp;"Stanine",$N72:$ZZ72,"&gt;=1"))</f>
        <v>6</v>
      </c>
      <c r="L72" s="68">
        <f>IFERROR(AVERAGEIF($N$1:$ZZ$1,"*"&amp;CHAR(10)&amp;"Stanine",$N72:$ZZ72),"")</f>
        <v>7.33333333333333</v>
      </c>
      <c r="M72" s="69">
        <f>IF(AND(ISNUMBER(tblY11[[#This Row],[Mean Stanine]]),ISNUMBER(tblY11[[#This Row],[Avg KS2 Band]]),ISNUMBER(SlopeY11)),tblY11[[#This Row],[Mean Stanine]]-(InterceptY11+SlopeY11*tblY11[[#This Row],[Avg KS2 Band]]),"")</f>
        <v>0.882907647907648</v>
      </c>
      <c r="N72" s="66" t="n">
        <v>33</v>
      </c>
      <c r="O72" s="67">
        <f>IF(ISNUMBER(tblY11[[#This Row],[4B05 - Homeostasis
Raw Score]]),IFERROR(VLOOKUP(ROUND(STANDARDIZE(tblY11[[#This Row],[4B05 - Homeostasis
Raw Score]],AVERAGE(tblY11[[4B05 - Homeostasis
Raw Score]]),_xlfn.STDEV.P(tblY11[[4B05 - Homeostasis
Raw Score]])),9),_Stanine,2),5),"")</f>
        <v>8</v>
      </c>
      <c r="P72" s="66" t="n">
        <v>25</v>
      </c>
      <c r="Q72" s="67">
        <f>IF(ISNUMBER(tblY11[[#This Row],[4C09 - Organic Chemistry
Raw Score]]),IFERROR(VLOOKUP(ROUND(STANDARDIZE(tblY11[[#This Row],[4C09 - Organic Chemistry
Raw Score]],AVERAGE(tblY11[[4C09 - Organic Chemistry
Raw Score]]),_xlfn.STDEV.P(tblY11[[4C09 - Organic Chemistry
Raw Score]])),9),_Stanine,2),5),"")</f>
        <v>7</v>
      </c>
      <c r="R72" s="66" t="n">
        <v>31</v>
      </c>
      <c r="S72" s="67">
        <f>IF(ISNUMBER(tblY11[[#This Row],[4P06 - Waves
Raw Score]]),IFERROR(VLOOKUP(ROUND(STANDARDIZE(tblY11[[#This Row],[4P06 - Waves
Raw Score]],AVERAGE(tblY11[[4P06 - Waves
Raw Score]]),_xlfn.STDEV.P(tblY11[[4P06 - Waves
Raw Score]])),9),_Stanine,2),5),"")</f>
        <v>7</v>
      </c>
      <c r="T72" s="66" t="n">
        <v>27</v>
      </c>
      <c r="U72" s="67">
        <f>IF(ISNUMBER(tblY11[[#This Row],[4B06 - Inheritance
Raw Score]]),IFERROR(VLOOKUP(ROUND(STANDARDIZE(tblY11[[#This Row],[4B06 - Inheritance
Raw Score]],AVERAGE(tblY11[[4B06 - Inheritance
Raw Score]]),_xlfn.STDEV.P(tblY11[[4B06 - Inheritance
Raw Score]])),9),_Stanine,2),5),"")</f>
        <v>7</v>
      </c>
      <c r="V72" s="66" t="n">
        <v>22</v>
      </c>
      <c r="W72" s="67">
        <f>IF(ISNUMBER(tblY11[[#This Row],[4C10 - Chemical Analysis
Raw Score]]),IFERROR(VLOOKUP(ROUND(STANDARDIZE(tblY11[[#This Row],[4C10 - Chemical Analysis
Raw Score]],AVERAGE(tblY11[[4C10 - Chemical Analysis
Raw Score]]),_xlfn.STDEV.P(tblY11[[4C10 - Chemical Analysis
Raw Score]])),9),_Stanine,2),5),"")</f>
        <v>7</v>
      </c>
      <c r="X72" s="66" t="n">
        <v>26</v>
      </c>
      <c r="Y72" s="67">
        <f>IF(ISNUMBER(tblY11[[#This Row],[4P07 - Magnetism
Raw Score]]),IFERROR(VLOOKUP(ROUND(STANDARDIZE(tblY11[[#This Row],[4P07 - Magnetism
Raw Score]],AVERAGE(tblY11[[4P07 - Magnetism
Raw Score]]),_xlfn.STDEV.P(tblY11[[4P07 - Magnetism
Raw Score]])),9),_Stanine,2),5),"")</f>
        <v>8</v>
      </c>
    </row>
    <row r="73">
      <c r="A73" s="65" t="inlineStr">
        <is>
          <t>X901983215521</t>
        </is>
      </c>
      <c r="B73" s="65" t="inlineStr">
        <is>
          <t>Roberts</t>
        </is>
      </c>
      <c r="C73" s="65" t="inlineStr">
        <is>
          <t>Oscar</t>
        </is>
      </c>
      <c r="D73" s="66" t="inlineStr">
        <is>
          <t>M</t>
        </is>
      </c>
      <c r="E73" s="66" t="n"/>
      <c r="F73" s="66" t="inlineStr">
        <is>
          <t>Y</t>
        </is>
      </c>
      <c r="G73" s="34" t="n">
        <v>97.8</v>
      </c>
      <c r="H73" s="34" t="n">
        <v>101</v>
      </c>
      <c r="I73" s="67">
        <f>IF(ISNUMBER(tblY11[[#This Row],[Avg KS2]]),IFERROR(VLOOKUP(ROUND(STANDARDIZE(tblY11[[#This Row],[Avg KS2]],AVERAGE(tblY11[[Avg KS2]]),_xlfn.STDEV.P(tblY11[[Avg KS2]])),9),_Stanine,2),5),"")</f>
        <v>4</v>
      </c>
      <c r="J73" s="66" t="inlineStr">
        <is>
          <t>11S/Sc3</t>
        </is>
      </c>
      <c r="K73" s="67">
        <f>IF(tblY11[[#This Row],[Preferred Last name]]="","",COUNTIFS($N$1:$ZZ$1,"*"&amp;CHAR(10)&amp;"Stanine",$N73:$ZZ73,"&gt;=1"))</f>
        <v>6</v>
      </c>
      <c r="L73" s="68">
        <f>IFERROR(AVERAGEIF($N$1:$ZZ$1,"*"&amp;CHAR(10)&amp;"Stanine",$N73:$ZZ73),"")</f>
        <v>3.66666666666667</v>
      </c>
      <c r="M73" s="69">
        <f>IF(AND(ISNUMBER(tblY11[[#This Row],[Mean Stanine]]),ISNUMBER(tblY11[[#This Row],[Avg KS2 Band]]),ISNUMBER(SlopeY11)),tblY11[[#This Row],[Mean Stanine]]-(InterceptY11+SlopeY11*tblY11[[#This Row],[Avg KS2 Band]]),"")</f>
        <v>-0.537168109668109</v>
      </c>
      <c r="N73" s="66" t="n">
        <v>10</v>
      </c>
      <c r="O73" s="67">
        <f>IF(ISNUMBER(tblY11[[#This Row],[4B05 - Homeostasis
Raw Score]]),IFERROR(VLOOKUP(ROUND(STANDARDIZE(tblY11[[#This Row],[4B05 - Homeostasis
Raw Score]],AVERAGE(tblY11[[4B05 - Homeostasis
Raw Score]]),_xlfn.STDEV.P(tblY11[[4B05 - Homeostasis
Raw Score]])),9),_Stanine,2),5),"")</f>
        <v>2</v>
      </c>
      <c r="P73" s="66" t="n">
        <v>13</v>
      </c>
      <c r="Q73" s="67">
        <f>IF(ISNUMBER(tblY11[[#This Row],[4C09 - Organic Chemistry
Raw Score]]),IFERROR(VLOOKUP(ROUND(STANDARDIZE(tblY11[[#This Row],[4C09 - Organic Chemistry
Raw Score]],AVERAGE(tblY11[[4C09 - Organic Chemistry
Raw Score]]),_xlfn.STDEV.P(tblY11[[4C09 - Organic Chemistry
Raw Score]])),9),_Stanine,2),5),"")</f>
        <v>4</v>
      </c>
      <c r="R73" s="66" t="n">
        <v>14</v>
      </c>
      <c r="S73" s="67">
        <f>IF(ISNUMBER(tblY11[[#This Row],[4P06 - Waves
Raw Score]]),IFERROR(VLOOKUP(ROUND(STANDARDIZE(tblY11[[#This Row],[4P06 - Waves
Raw Score]],AVERAGE(tblY11[[4P06 - Waves
Raw Score]]),_xlfn.STDEV.P(tblY11[[4P06 - Waves
Raw Score]])),9),_Stanine,2),5),"")</f>
        <v>3</v>
      </c>
      <c r="T73" s="66" t="n">
        <v>14</v>
      </c>
      <c r="U73" s="67">
        <f>IF(ISNUMBER(tblY11[[#This Row],[4B06 - Inheritance
Raw Score]]),IFERROR(VLOOKUP(ROUND(STANDARDIZE(tblY11[[#This Row],[4B06 - Inheritance
Raw Score]],AVERAGE(tblY11[[4B06 - Inheritance
Raw Score]]),_xlfn.STDEV.P(tblY11[[4B06 - Inheritance
Raw Score]])),9),_Stanine,2),5),"")</f>
        <v>4</v>
      </c>
      <c r="V73" s="66" t="n">
        <v>12</v>
      </c>
      <c r="W73" s="67">
        <f>IF(ISNUMBER(tblY11[[#This Row],[4C10 - Chemical Analysis
Raw Score]]),IFERROR(VLOOKUP(ROUND(STANDARDIZE(tblY11[[#This Row],[4C10 - Chemical Analysis
Raw Score]],AVERAGE(tblY11[[4C10 - Chemical Analysis
Raw Score]]),_xlfn.STDEV.P(tblY11[[4C10 - Chemical Analysis
Raw Score]])),9),_Stanine,2),5),"")</f>
        <v>4</v>
      </c>
      <c r="X73" s="66" t="n">
        <v>16</v>
      </c>
      <c r="Y73" s="67">
        <f>IF(ISNUMBER(tblY11[[#This Row],[4P07 - Magnetism
Raw Score]]),IFERROR(VLOOKUP(ROUND(STANDARDIZE(tblY11[[#This Row],[4P07 - Magnetism
Raw Score]],AVERAGE(tblY11[[4P07 - Magnetism
Raw Score]]),_xlfn.STDEV.P(tblY11[[4P07 - Magnetism
Raw Score]])),9),_Stanine,2),5),"")</f>
        <v>5</v>
      </c>
    </row>
    <row r="74">
      <c r="A74" s="65" t="inlineStr">
        <is>
          <t>X900004421283</t>
        </is>
      </c>
      <c r="B74" s="65" t="inlineStr">
        <is>
          <t>Shaw</t>
        </is>
      </c>
      <c r="C74" s="65" t="inlineStr">
        <is>
          <t>Ethan</t>
        </is>
      </c>
      <c r="D74" s="66" t="inlineStr">
        <is>
          <t>F</t>
        </is>
      </c>
      <c r="E74" s="66" t="inlineStr">
        <is>
          <t>N</t>
        </is>
      </c>
      <c r="F74" s="66" t="inlineStr">
        <is>
          <t>N</t>
        </is>
      </c>
      <c r="G74" s="34" t="n">
        <v>97.2</v>
      </c>
      <c r="H74" s="34" t="n">
        <v>102.5</v>
      </c>
      <c r="I74" s="67">
        <f>IF(ISNUMBER(tblY11[[#This Row],[Avg KS2]]),IFERROR(VLOOKUP(ROUND(STANDARDIZE(tblY11[[#This Row],[Avg KS2]],AVERAGE(tblY11[[Avg KS2]]),_xlfn.STDEV.P(tblY11[[Avg KS2]])),9),_Stanine,2),5),"")</f>
        <v>4</v>
      </c>
      <c r="J74" s="66" t="inlineStr">
        <is>
          <t>11S/Sc3</t>
        </is>
      </c>
      <c r="K74" s="67">
        <f>IF(tblY11[[#This Row],[Preferred Last name]]="","",COUNTIFS($N$1:$ZZ$1,"*"&amp;CHAR(10)&amp;"Stanine",$N74:$ZZ74,"&gt;=1"))</f>
        <v>5</v>
      </c>
      <c r="L74" s="68">
        <f>IFERROR(AVERAGEIF($N$1:$ZZ$1,"*"&amp;CHAR(10)&amp;"Stanine",$N74:$ZZ74),"")</f>
        <v>5</v>
      </c>
      <c r="M74" s="69">
        <f>IF(AND(ISNUMBER(tblY11[[#This Row],[Mean Stanine]]),ISNUMBER(tblY11[[#This Row],[Avg KS2 Band]]),ISNUMBER(SlopeY11)),tblY11[[#This Row],[Mean Stanine]]-(InterceptY11+SlopeY11*tblY11[[#This Row],[Avg KS2 Band]]),"")</f>
        <v>0.796165223665224</v>
      </c>
      <c r="N74" s="66" t="n">
        <v>17</v>
      </c>
      <c r="O74" s="67">
        <f>IF(ISNUMBER(tblY11[[#This Row],[4B05 - Homeostasis
Raw Score]]),IFERROR(VLOOKUP(ROUND(STANDARDIZE(tblY11[[#This Row],[4B05 - Homeostasis
Raw Score]],AVERAGE(tblY11[[4B05 - Homeostasis
Raw Score]]),_xlfn.STDEV.P(tblY11[[4B05 - Homeostasis
Raw Score]])),9),_Stanine,2),5),"")</f>
        <v>4</v>
      </c>
      <c r="P74" s="66" t="inlineStr">
        <is>
          <t>A</t>
        </is>
      </c>
      <c r="Q74" s="67" t="str">
        <f>IF(ISNUMBER(tblY11[[#This Row],[4C09 - Organic Chemistry
Raw Score]]),IFERROR(VLOOKUP(ROUND(STANDARDIZE(tblY11[[#This Row],[4C09 - Organic Chemistry
Raw Score]],AVERAGE(tblY11[[4C09 - Organic Chemistry
Raw Score]]),_xlfn.STDEV.P(tblY11[[4C09 - Organic Chemistry
Raw Score]])),9),_Stanine,2),5),"")</f>
        <v/>
      </c>
      <c r="R74" s="66" t="n">
        <v>22</v>
      </c>
      <c r="S74" s="67">
        <f>IF(ISNUMBER(tblY11[[#This Row],[4P06 - Waves
Raw Score]]),IFERROR(VLOOKUP(ROUND(STANDARDIZE(tblY11[[#This Row],[4P06 - Waves
Raw Score]],AVERAGE(tblY11[[4P06 - Waves
Raw Score]]),_xlfn.STDEV.P(tblY11[[4P06 - Waves
Raw Score]])),9),_Stanine,2),5),"")</f>
        <v>5</v>
      </c>
      <c r="T74" s="66" t="n">
        <v>17</v>
      </c>
      <c r="U74" s="67">
        <f>IF(ISNUMBER(tblY11[[#This Row],[4B06 - Inheritance
Raw Score]]),IFERROR(VLOOKUP(ROUND(STANDARDIZE(tblY11[[#This Row],[4B06 - Inheritance
Raw Score]],AVERAGE(tblY11[[4B06 - Inheritance
Raw Score]]),_xlfn.STDEV.P(tblY11[[4B06 - Inheritance
Raw Score]])),9),_Stanine,2),5),"")</f>
        <v>5</v>
      </c>
      <c r="V74" s="66" t="n">
        <v>15</v>
      </c>
      <c r="W74" s="67">
        <f>IF(ISNUMBER(tblY11[[#This Row],[4C10 - Chemical Analysis
Raw Score]]),IFERROR(VLOOKUP(ROUND(STANDARDIZE(tblY11[[#This Row],[4C10 - Chemical Analysis
Raw Score]],AVERAGE(tblY11[[4C10 - Chemical Analysis
Raw Score]]),_xlfn.STDEV.P(tblY11[[4C10 - Chemical Analysis
Raw Score]])),9),_Stanine,2),5),"")</f>
        <v>5</v>
      </c>
      <c r="X74" s="66" t="n">
        <v>19</v>
      </c>
      <c r="Y74" s="67">
        <f>IF(ISNUMBER(tblY11[[#This Row],[4P07 - Magnetism
Raw Score]]),IFERROR(VLOOKUP(ROUND(STANDARDIZE(tblY11[[#This Row],[4P07 - Magnetism
Raw Score]],AVERAGE(tblY11[[4P07 - Magnetism
Raw Score]]),_xlfn.STDEV.P(tblY11[[4P07 - Magnetism
Raw Score]])),9),_Stanine,2),5),"")</f>
        <v>6</v>
      </c>
    </row>
    <row r="75">
      <c r="A75" s="65" t="inlineStr">
        <is>
          <t>X906202768174</t>
        </is>
      </c>
      <c r="B75" s="65" t="inlineStr">
        <is>
          <t>Taylor</t>
        </is>
      </c>
      <c r="C75" s="65" t="inlineStr">
        <is>
          <t>Nia</t>
        </is>
      </c>
      <c r="D75" s="66" t="inlineStr">
        <is>
          <t>F</t>
        </is>
      </c>
      <c r="E75" s="66" t="inlineStr">
        <is>
          <t>N</t>
        </is>
      </c>
      <c r="F75" s="66" t="inlineStr">
        <is>
          <t>Y</t>
        </is>
      </c>
      <c r="G75" s="34" t="n">
        <v>97.59999999999999</v>
      </c>
      <c r="H75" s="34" t="n">
        <v>105</v>
      </c>
      <c r="I75" s="67">
        <f>IF(ISNUMBER(tblY11[[#This Row],[Avg KS2]]),IFERROR(VLOOKUP(ROUND(STANDARDIZE(tblY11[[#This Row],[Avg KS2]],AVERAGE(tblY11[[Avg KS2]]),_xlfn.STDEV.P(tblY11[[Avg KS2]])),9),_Stanine,2),5),"")</f>
        <v>5</v>
      </c>
      <c r="J75" s="66" t="inlineStr">
        <is>
          <t>11S/Sc3</t>
        </is>
      </c>
      <c r="K75" s="67">
        <f>IF(tblY11[[#This Row],[Preferred Last name]]="","",COUNTIFS($N$1:$ZZ$1,"*"&amp;CHAR(10)&amp;"Stanine",$N75:$ZZ75,"&gt;=1"))</f>
        <v>6</v>
      </c>
      <c r="L75" s="68">
        <f>IFERROR(AVERAGEIF($N$1:$ZZ$1,"*"&amp;CHAR(10)&amp;"Stanine",$N75:$ZZ75),"")</f>
        <v>4.66666666666667</v>
      </c>
      <c r="M75" s="69">
        <f>IF(AND(ISNUMBER(tblY11[[#This Row],[Mean Stanine]]),ISNUMBER(tblY11[[#This Row],[Avg KS2 Band]]),ISNUMBER(SlopeY11)),tblY11[[#This Row],[Mean Stanine]]-(InterceptY11+SlopeY11*tblY11[[#This Row],[Avg KS2 Band]]),"")</f>
        <v>-0.286031746031745</v>
      </c>
      <c r="N75" s="66" t="n">
        <v>17</v>
      </c>
      <c r="O75" s="67">
        <f>IF(ISNUMBER(tblY11[[#This Row],[4B05 - Homeostasis
Raw Score]]),IFERROR(VLOOKUP(ROUND(STANDARDIZE(tblY11[[#This Row],[4B05 - Homeostasis
Raw Score]],AVERAGE(tblY11[[4B05 - Homeostasis
Raw Score]]),_xlfn.STDEV.P(tblY11[[4B05 - Homeostasis
Raw Score]])),9),_Stanine,2),5),"")</f>
        <v>4</v>
      </c>
      <c r="P75" s="66" t="n">
        <v>16</v>
      </c>
      <c r="Q75" s="67">
        <f>IF(ISNUMBER(tblY11[[#This Row],[4C09 - Organic Chemistry
Raw Score]]),IFERROR(VLOOKUP(ROUND(STANDARDIZE(tblY11[[#This Row],[4C09 - Organic Chemistry
Raw Score]],AVERAGE(tblY11[[4C09 - Organic Chemistry
Raw Score]]),_xlfn.STDEV.P(tblY11[[4C09 - Organic Chemistry
Raw Score]])),9),_Stanine,2),5),"")</f>
        <v>5</v>
      </c>
      <c r="R75" s="66" t="n">
        <v>21</v>
      </c>
      <c r="S75" s="67">
        <f>IF(ISNUMBER(tblY11[[#This Row],[4P06 - Waves
Raw Score]]),IFERROR(VLOOKUP(ROUND(STANDARDIZE(tblY11[[#This Row],[4P06 - Waves
Raw Score]],AVERAGE(tblY11[[4P06 - Waves
Raw Score]]),_xlfn.STDEV.P(tblY11[[4P06 - Waves
Raw Score]])),9),_Stanine,2),5),"")</f>
        <v>5</v>
      </c>
      <c r="T75" s="66" t="n">
        <v>18</v>
      </c>
      <c r="U75" s="67">
        <f>IF(ISNUMBER(tblY11[[#This Row],[4B06 - Inheritance
Raw Score]]),IFERROR(VLOOKUP(ROUND(STANDARDIZE(tblY11[[#This Row],[4B06 - Inheritance
Raw Score]],AVERAGE(tblY11[[4B06 - Inheritance
Raw Score]]),_xlfn.STDEV.P(tblY11[[4B06 - Inheritance
Raw Score]])),9),_Stanine,2),5),"")</f>
        <v>5</v>
      </c>
      <c r="V75" s="66" t="n">
        <v>11</v>
      </c>
      <c r="W75" s="67">
        <f>IF(ISNUMBER(tblY11[[#This Row],[4C10 - Chemical Analysis
Raw Score]]),IFERROR(VLOOKUP(ROUND(STANDARDIZE(tblY11[[#This Row],[4C10 - Chemical Analysis
Raw Score]],AVERAGE(tblY11[[4C10 - Chemical Analysis
Raw Score]]),_xlfn.STDEV.P(tblY11[[4C10 - Chemical Analysis
Raw Score]])),9),_Stanine,2),5),"")</f>
        <v>4</v>
      </c>
      <c r="X75" s="66" t="n">
        <v>16</v>
      </c>
      <c r="Y75" s="67">
        <f>IF(ISNUMBER(tblY11[[#This Row],[4P07 - Magnetism
Raw Score]]),IFERROR(VLOOKUP(ROUND(STANDARDIZE(tblY11[[#This Row],[4P07 - Magnetism
Raw Score]],AVERAGE(tblY11[[4P07 - Magnetism
Raw Score]]),_xlfn.STDEV.P(tblY11[[4P07 - Magnetism
Raw Score]])),9),_Stanine,2),5),"")</f>
        <v>5</v>
      </c>
    </row>
    <row r="76">
      <c r="A76" s="65" t="inlineStr">
        <is>
          <t>X905700888686</t>
        </is>
      </c>
      <c r="B76" s="65" t="inlineStr">
        <is>
          <t>White</t>
        </is>
      </c>
      <c r="C76" s="65" t="inlineStr">
        <is>
          <t>Lily</t>
        </is>
      </c>
      <c r="D76" s="66" t="inlineStr">
        <is>
          <t>F</t>
        </is>
      </c>
      <c r="E76" s="66" t="n"/>
      <c r="F76" s="66" t="inlineStr">
        <is>
          <t>N</t>
        </is>
      </c>
      <c r="G76" s="34" t="n">
        <v>97</v>
      </c>
      <c r="H76" s="34" t="n">
        <v>110.5</v>
      </c>
      <c r="I76" s="67">
        <f>IF(ISNUMBER(tblY11[[#This Row],[Avg KS2]]),IFERROR(VLOOKUP(ROUND(STANDARDIZE(tblY11[[#This Row],[Avg KS2]],AVERAGE(tblY11[[Avg KS2]]),_xlfn.STDEV.P(tblY11[[Avg KS2]])),9),_Stanine,2),5),"")</f>
        <v>7</v>
      </c>
      <c r="J76" s="66" t="inlineStr">
        <is>
          <t>11S/Sc3</t>
        </is>
      </c>
      <c r="K76" s="67">
        <f>IF(tblY11[[#This Row],[Preferred Last name]]="","",COUNTIFS($N$1:$ZZ$1,"*"&amp;CHAR(10)&amp;"Stanine",$N76:$ZZ76,"&gt;=1"))</f>
        <v>6</v>
      </c>
      <c r="L76" s="68">
        <f>IFERROR(AVERAGEIF($N$1:$ZZ$1,"*"&amp;CHAR(10)&amp;"Stanine",$N76:$ZZ76),"")</f>
        <v>7.16666666666667</v>
      </c>
      <c r="M76" s="69">
        <f>IF(AND(ISNUMBER(tblY11[[#This Row],[Mean Stanine]]),ISNUMBER(tblY11[[#This Row],[Avg KS2 Band]]),ISNUMBER(SlopeY11)),tblY11[[#This Row],[Mean Stanine]]-(InterceptY11+SlopeY11*tblY11[[#This Row],[Avg KS2 Band]]),"")</f>
        <v>0.716240981240982</v>
      </c>
      <c r="N76" s="66" t="n">
        <v>30</v>
      </c>
      <c r="O76" s="67">
        <f>IF(ISNUMBER(tblY11[[#This Row],[4B05 - Homeostasis
Raw Score]]),IFERROR(VLOOKUP(ROUND(STANDARDIZE(tblY11[[#This Row],[4B05 - Homeostasis
Raw Score]],AVERAGE(tblY11[[4B05 - Homeostasis
Raw Score]]),_xlfn.STDEV.P(tblY11[[4B05 - Homeostasis
Raw Score]])),9),_Stanine,2),5),"")</f>
        <v>7</v>
      </c>
      <c r="P76" s="66" t="n">
        <v>26</v>
      </c>
      <c r="Q76" s="67">
        <f>IF(ISNUMBER(tblY11[[#This Row],[4C09 - Organic Chemistry
Raw Score]]),IFERROR(VLOOKUP(ROUND(STANDARDIZE(tblY11[[#This Row],[4C09 - Organic Chemistry
Raw Score]],AVERAGE(tblY11[[4C09 - Organic Chemistry
Raw Score]]),_xlfn.STDEV.P(tblY11[[4C09 - Organic Chemistry
Raw Score]])),9),_Stanine,2),5),"")</f>
        <v>8</v>
      </c>
      <c r="R76" s="66" t="n">
        <v>31</v>
      </c>
      <c r="S76" s="67">
        <f>IF(ISNUMBER(tblY11[[#This Row],[4P06 - Waves
Raw Score]]),IFERROR(VLOOKUP(ROUND(STANDARDIZE(tblY11[[#This Row],[4P06 - Waves
Raw Score]],AVERAGE(tblY11[[4P06 - Waves
Raw Score]]),_xlfn.STDEV.P(tblY11[[4P06 - Waves
Raw Score]])),9),_Stanine,2),5),"")</f>
        <v>7</v>
      </c>
      <c r="T76" s="66" t="n">
        <v>32</v>
      </c>
      <c r="U76" s="67">
        <f>IF(ISNUMBER(tblY11[[#This Row],[4B06 - Inheritance
Raw Score]]),IFERROR(VLOOKUP(ROUND(STANDARDIZE(tblY11[[#This Row],[4B06 - Inheritance
Raw Score]],AVERAGE(tblY11[[4B06 - Inheritance
Raw Score]]),_xlfn.STDEV.P(tblY11[[4B06 - Inheritance
Raw Score]])),9),_Stanine,2),5),"")</f>
        <v>8</v>
      </c>
      <c r="V76" s="66" t="n">
        <v>17</v>
      </c>
      <c r="W76" s="67">
        <f>IF(ISNUMBER(tblY11[[#This Row],[4C10 - Chemical Analysis
Raw Score]]),IFERROR(VLOOKUP(ROUND(STANDARDIZE(tblY11[[#This Row],[4C10 - Chemical Analysis
Raw Score]],AVERAGE(tblY11[[4C10 - Chemical Analysis
Raw Score]]),_xlfn.STDEV.P(tblY11[[4C10 - Chemical Analysis
Raw Score]])),9),_Stanine,2),5),"")</f>
        <v>6</v>
      </c>
      <c r="X76" s="66" t="n">
        <v>23</v>
      </c>
      <c r="Y76" s="67">
        <f>IF(ISNUMBER(tblY11[[#This Row],[4P07 - Magnetism
Raw Score]]),IFERROR(VLOOKUP(ROUND(STANDARDIZE(tblY11[[#This Row],[4P07 - Magnetism
Raw Score]],AVERAGE(tblY11[[4P07 - Magnetism
Raw Score]]),_xlfn.STDEV.P(tblY11[[4P07 - Magnetism
Raw Score]])),9),_Stanine,2),5),"")</f>
        <v>7</v>
      </c>
    </row>
    <row r="77">
      <c r="A77" s="65" t="inlineStr">
        <is>
          <t>X908398747452</t>
        </is>
      </c>
      <c r="B77" s="65" t="inlineStr">
        <is>
          <t>Adeyemi</t>
        </is>
      </c>
      <c r="C77" s="65" t="inlineStr">
        <is>
          <t>Isla</t>
        </is>
      </c>
      <c r="D77" s="66" t="inlineStr">
        <is>
          <t>F</t>
        </is>
      </c>
      <c r="E77" s="66" t="inlineStr">
        <is>
          <t>N</t>
        </is>
      </c>
      <c r="F77" s="66" t="inlineStr">
        <is>
          <t>N</t>
        </is>
      </c>
      <c r="G77" s="34" t="n">
        <v>91.8</v>
      </c>
      <c r="H77" s="34" t="n">
        <v>100</v>
      </c>
      <c r="I77" s="67">
        <f>IF(ISNUMBER(tblY11[[#This Row],[Avg KS2]]),IFERROR(VLOOKUP(ROUND(STANDARDIZE(tblY11[[#This Row],[Avg KS2]],AVERAGE(tblY11[[Avg KS2]]),_xlfn.STDEV.P(tblY11[[Avg KS2]])),9),_Stanine,2),5),"")</f>
        <v>4</v>
      </c>
      <c r="J77" s="66" t="inlineStr">
        <is>
          <t>11S/Sc4</t>
        </is>
      </c>
      <c r="K77" s="67">
        <f>IF(tblY11[[#This Row],[Preferred Last name]]="","",COUNTIFS($N$1:$ZZ$1,"*"&amp;CHAR(10)&amp;"Stanine",$N77:$ZZ77,"&gt;=1"))</f>
        <v>6</v>
      </c>
      <c r="L77" s="68">
        <f>IFERROR(AVERAGEIF($N$1:$ZZ$1,"*"&amp;CHAR(10)&amp;"Stanine",$N77:$ZZ77),"")</f>
        <v>3.66666666666667</v>
      </c>
      <c r="M77" s="69">
        <f>IF(AND(ISNUMBER(tblY11[[#This Row],[Mean Stanine]]),ISNUMBER(tblY11[[#This Row],[Avg KS2 Band]]),ISNUMBER(SlopeY11)),tblY11[[#This Row],[Mean Stanine]]-(InterceptY11+SlopeY11*tblY11[[#This Row],[Avg KS2 Band]]),"")</f>
        <v>-0.537168109668109</v>
      </c>
      <c r="N77" s="66" t="n">
        <v>11</v>
      </c>
      <c r="O77" s="67">
        <f>IF(ISNUMBER(tblY11[[#This Row],[4B05 - Homeostasis
Raw Score]]),IFERROR(VLOOKUP(ROUND(STANDARDIZE(tblY11[[#This Row],[4B05 - Homeostasis
Raw Score]],AVERAGE(tblY11[[4B05 - Homeostasis
Raw Score]]),_xlfn.STDEV.P(tblY11[[4B05 - Homeostasis
Raw Score]])),9),_Stanine,2),5),"")</f>
        <v>3</v>
      </c>
      <c r="P77" s="66" t="n">
        <v>9</v>
      </c>
      <c r="Q77" s="67">
        <f>IF(ISNUMBER(tblY11[[#This Row],[4C09 - Organic Chemistry
Raw Score]]),IFERROR(VLOOKUP(ROUND(STANDARDIZE(tblY11[[#This Row],[4C09 - Organic Chemistry
Raw Score]],AVERAGE(tblY11[[4C09 - Organic Chemistry
Raw Score]]),_xlfn.STDEV.P(tblY11[[4C09 - Organic Chemistry
Raw Score]])),9),_Stanine,2),5),"")</f>
        <v>3</v>
      </c>
      <c r="R77" s="66" t="n">
        <v>13</v>
      </c>
      <c r="S77" s="67">
        <f>IF(ISNUMBER(tblY11[[#This Row],[4P06 - Waves
Raw Score]]),IFERROR(VLOOKUP(ROUND(STANDARDIZE(tblY11[[#This Row],[4P06 - Waves
Raw Score]],AVERAGE(tblY11[[4P06 - Waves
Raw Score]]),_xlfn.STDEV.P(tblY11[[4P06 - Waves
Raw Score]])),9),_Stanine,2),5),"")</f>
        <v>3</v>
      </c>
      <c r="T77" s="66" t="n">
        <v>12</v>
      </c>
      <c r="U77" s="67">
        <f>IF(ISNUMBER(tblY11[[#This Row],[4B06 - Inheritance
Raw Score]]),IFERROR(VLOOKUP(ROUND(STANDARDIZE(tblY11[[#This Row],[4B06 - Inheritance
Raw Score]],AVERAGE(tblY11[[4B06 - Inheritance
Raw Score]]),_xlfn.STDEV.P(tblY11[[4B06 - Inheritance
Raw Score]])),9),_Stanine,2),5),"")</f>
        <v>4</v>
      </c>
      <c r="V77" s="66" t="n">
        <v>11</v>
      </c>
      <c r="W77" s="67">
        <f>IF(ISNUMBER(tblY11[[#This Row],[4C10 - Chemical Analysis
Raw Score]]),IFERROR(VLOOKUP(ROUND(STANDARDIZE(tblY11[[#This Row],[4C10 - Chemical Analysis
Raw Score]],AVERAGE(tblY11[[4C10 - Chemical Analysis
Raw Score]]),_xlfn.STDEV.P(tblY11[[4C10 - Chemical Analysis
Raw Score]])),9),_Stanine,2),5),"")</f>
        <v>4</v>
      </c>
      <c r="X77" s="66" t="n">
        <v>15</v>
      </c>
      <c r="Y77" s="67">
        <f>IF(ISNUMBER(tblY11[[#This Row],[4P07 - Magnetism
Raw Score]]),IFERROR(VLOOKUP(ROUND(STANDARDIZE(tblY11[[#This Row],[4P07 - Magnetism
Raw Score]],AVERAGE(tblY11[[4P07 - Magnetism
Raw Score]]),_xlfn.STDEV.P(tblY11[[4P07 - Magnetism
Raw Score]])),9),_Stanine,2),5),"")</f>
        <v>5</v>
      </c>
    </row>
    <row r="78">
      <c r="A78" s="65" t="inlineStr">
        <is>
          <t>X909045378163</t>
        </is>
      </c>
      <c r="B78" s="65" t="inlineStr">
        <is>
          <t>Ahmed</t>
        </is>
      </c>
      <c r="C78" s="65" t="inlineStr">
        <is>
          <t>Maisie</t>
        </is>
      </c>
      <c r="D78" s="66" t="inlineStr">
        <is>
          <t>F</t>
        </is>
      </c>
      <c r="E78" s="66" t="inlineStr">
        <is>
          <t>K</t>
        </is>
      </c>
      <c r="F78" s="66" t="inlineStr">
        <is>
          <t>Y</t>
        </is>
      </c>
      <c r="G78" s="34" t="n">
        <v>100</v>
      </c>
      <c r="H78" s="34" t="n">
        <v>97</v>
      </c>
      <c r="I78" s="67">
        <f>IF(ISNUMBER(tblY11[[#This Row],[Avg KS2]]),IFERROR(VLOOKUP(ROUND(STANDARDIZE(tblY11[[#This Row],[Avg KS2]],AVERAGE(tblY11[[Avg KS2]]),_xlfn.STDEV.P(tblY11[[Avg KS2]])),9),_Stanine,2),5),"")</f>
        <v>3</v>
      </c>
      <c r="J78" s="66" t="inlineStr">
        <is>
          <t>11S/Sc4</t>
        </is>
      </c>
      <c r="K78" s="67">
        <f>IF(tblY11[[#This Row],[Preferred Last name]]="","",COUNTIFS($N$1:$ZZ$1,"*"&amp;CHAR(10)&amp;"Stanine",$N78:$ZZ78,"&gt;=1"))</f>
        <v>6</v>
      </c>
      <c r="L78" s="68">
        <f>IFERROR(AVERAGEIF($N$1:$ZZ$1,"*"&amp;CHAR(10)&amp;"Stanine",$N78:$ZZ78),"")</f>
        <v>2.16666666666667</v>
      </c>
      <c r="M78" s="69">
        <f>IF(AND(ISNUMBER(tblY11[[#This Row],[Mean Stanine]]),ISNUMBER(tblY11[[#This Row],[Avg KS2 Band]]),ISNUMBER(SlopeY11)),tblY11[[#This Row],[Mean Stanine]]-(InterceptY11+SlopeY11*tblY11[[#This Row],[Avg KS2 Band]]),"")</f>
        <v>-1.28830447330447</v>
      </c>
      <c r="N78" s="66" t="n">
        <v>11</v>
      </c>
      <c r="O78" s="67">
        <f>IF(ISNUMBER(tblY11[[#This Row],[4B05 - Homeostasis
Raw Score]]),IFERROR(VLOOKUP(ROUND(STANDARDIZE(tblY11[[#This Row],[4B05 - Homeostasis
Raw Score]],AVERAGE(tblY11[[4B05 - Homeostasis
Raw Score]]),_xlfn.STDEV.P(tblY11[[4B05 - Homeostasis
Raw Score]])),9),_Stanine,2),5),"")</f>
        <v>3</v>
      </c>
      <c r="P78" s="66" t="n">
        <v>6</v>
      </c>
      <c r="Q78" s="67">
        <f>IF(ISNUMBER(tblY11[[#This Row],[4C09 - Organic Chemistry
Raw Score]]),IFERROR(VLOOKUP(ROUND(STANDARDIZE(tblY11[[#This Row],[4C09 - Organic Chemistry
Raw Score]],AVERAGE(tblY11[[4C09 - Organic Chemistry
Raw Score]]),_xlfn.STDEV.P(tblY11[[4C09 - Organic Chemistry
Raw Score]])),9),_Stanine,2),5),"")</f>
        <v>2</v>
      </c>
      <c r="R78" s="66" t="n">
        <v>7</v>
      </c>
      <c r="S78" s="67">
        <f>IF(ISNUMBER(tblY11[[#This Row],[4P06 - Waves
Raw Score]]),IFERROR(VLOOKUP(ROUND(STANDARDIZE(tblY11[[#This Row],[4P06 - Waves
Raw Score]],AVERAGE(tblY11[[4P06 - Waves
Raw Score]]),_xlfn.STDEV.P(tblY11[[4P06 - Waves
Raw Score]])),9),_Stanine,2),5),"")</f>
        <v>2</v>
      </c>
      <c r="T78" s="66" t="n">
        <v>4</v>
      </c>
      <c r="U78" s="67">
        <f>IF(ISNUMBER(tblY11[[#This Row],[4B06 - Inheritance
Raw Score]]),IFERROR(VLOOKUP(ROUND(STANDARDIZE(tblY11[[#This Row],[4B06 - Inheritance
Raw Score]],AVERAGE(tblY11[[4B06 - Inheritance
Raw Score]]),_xlfn.STDEV.P(tblY11[[4B06 - Inheritance
Raw Score]])),9),_Stanine,2),5),"")</f>
        <v>2</v>
      </c>
      <c r="V78" s="66" t="n">
        <v>4</v>
      </c>
      <c r="W78" s="67">
        <f>IF(ISNUMBER(tblY11[[#This Row],[4C10 - Chemical Analysis
Raw Score]]),IFERROR(VLOOKUP(ROUND(STANDARDIZE(tblY11[[#This Row],[4C10 - Chemical Analysis
Raw Score]],AVERAGE(tblY11[[4C10 - Chemical Analysis
Raw Score]]),_xlfn.STDEV.P(tblY11[[4C10 - Chemical Analysis
Raw Score]])),9),_Stanine,2),5),"")</f>
        <v>2</v>
      </c>
      <c r="X78" s="66" t="n">
        <v>4</v>
      </c>
      <c r="Y78" s="67">
        <f>IF(ISNUMBER(tblY11[[#This Row],[4P07 - Magnetism
Raw Score]]),IFERROR(VLOOKUP(ROUND(STANDARDIZE(tblY11[[#This Row],[4P07 - Magnetism
Raw Score]],AVERAGE(tblY11[[4P07 - Magnetism
Raw Score]]),_xlfn.STDEV.P(tblY11[[4P07 - Magnetism
Raw Score]])),9),_Stanine,2),5),"")</f>
        <v>2</v>
      </c>
    </row>
    <row r="79">
      <c r="A79" s="65" t="inlineStr">
        <is>
          <t>X908334606435</t>
        </is>
      </c>
      <c r="B79" s="65" t="inlineStr">
        <is>
          <t>Cooper</t>
        </is>
      </c>
      <c r="C79" s="65" t="inlineStr">
        <is>
          <t>Amelia</t>
        </is>
      </c>
      <c r="D79" s="66" t="inlineStr">
        <is>
          <t>F</t>
        </is>
      </c>
      <c r="E79" s="66" t="inlineStr">
        <is>
          <t>N</t>
        </is>
      </c>
      <c r="F79" s="66" t="inlineStr">
        <is>
          <t>N</t>
        </is>
      </c>
      <c r="G79" s="34" t="n">
        <v>86.3</v>
      </c>
      <c r="H79" s="34" t="n">
        <v>105.5</v>
      </c>
      <c r="I79" s="67">
        <f>IF(ISNUMBER(tblY11[[#This Row],[Avg KS2]]),IFERROR(VLOOKUP(ROUND(STANDARDIZE(tblY11[[#This Row],[Avg KS2]],AVERAGE(tblY11[[Avg KS2]]),_xlfn.STDEV.P(tblY11[[Avg KS2]])),9),_Stanine,2),5),"")</f>
        <v>5</v>
      </c>
      <c r="J79" s="66" t="inlineStr">
        <is>
          <t>11S/Sc4</t>
        </is>
      </c>
      <c r="K79" s="67">
        <f>IF(tblY11[[#This Row],[Preferred Last name]]="","",COUNTIFS($N$1:$ZZ$1,"*"&amp;CHAR(10)&amp;"Stanine",$N79:$ZZ79,"&gt;=1"))</f>
        <v>6</v>
      </c>
      <c r="L79" s="68">
        <f>IFERROR(AVERAGEIF($N$1:$ZZ$1,"*"&amp;CHAR(10)&amp;"Stanine",$N79:$ZZ79),"")</f>
        <v>4.66666666666667</v>
      </c>
      <c r="M79" s="69">
        <f>IF(AND(ISNUMBER(tblY11[[#This Row],[Mean Stanine]]),ISNUMBER(tblY11[[#This Row],[Avg KS2 Band]]),ISNUMBER(SlopeY11)),tblY11[[#This Row],[Mean Stanine]]-(InterceptY11+SlopeY11*tblY11[[#This Row],[Avg KS2 Band]]),"")</f>
        <v>-0.286031746031745</v>
      </c>
      <c r="N79" s="66" t="n">
        <v>15</v>
      </c>
      <c r="O79" s="67">
        <f>IF(ISNUMBER(tblY11[[#This Row],[4B05 - Homeostasis
Raw Score]]),IFERROR(VLOOKUP(ROUND(STANDARDIZE(tblY11[[#This Row],[4B05 - Homeostasis
Raw Score]],AVERAGE(tblY11[[4B05 - Homeostasis
Raw Score]]),_xlfn.STDEV.P(tblY11[[4B05 - Homeostasis
Raw Score]])),9),_Stanine,2),5),"")</f>
        <v>4</v>
      </c>
      <c r="P79" s="66" t="n">
        <v>12</v>
      </c>
      <c r="Q79" s="67">
        <f>IF(ISNUMBER(tblY11[[#This Row],[4C09 - Organic Chemistry
Raw Score]]),IFERROR(VLOOKUP(ROUND(STANDARDIZE(tblY11[[#This Row],[4C09 - Organic Chemistry
Raw Score]],AVERAGE(tblY11[[4C09 - Organic Chemistry
Raw Score]]),_xlfn.STDEV.P(tblY11[[4C09 - Organic Chemistry
Raw Score]])),9),_Stanine,2),5),"")</f>
        <v>4</v>
      </c>
      <c r="R79" s="66" t="n">
        <v>19</v>
      </c>
      <c r="S79" s="67">
        <f>IF(ISNUMBER(tblY11[[#This Row],[4P06 - Waves
Raw Score]]),IFERROR(VLOOKUP(ROUND(STANDARDIZE(tblY11[[#This Row],[4P06 - Waves
Raw Score]],AVERAGE(tblY11[[4P06 - Waves
Raw Score]]),_xlfn.STDEV.P(tblY11[[4P06 - Waves
Raw Score]])),9),_Stanine,2),5),"")</f>
        <v>5</v>
      </c>
      <c r="T79" s="66" t="n">
        <v>18</v>
      </c>
      <c r="U79" s="67">
        <f>IF(ISNUMBER(tblY11[[#This Row],[4B06 - Inheritance
Raw Score]]),IFERROR(VLOOKUP(ROUND(STANDARDIZE(tblY11[[#This Row],[4B06 - Inheritance
Raw Score]],AVERAGE(tblY11[[4B06 - Inheritance
Raw Score]]),_xlfn.STDEV.P(tblY11[[4B06 - Inheritance
Raw Score]])),9),_Stanine,2),5),"")</f>
        <v>5</v>
      </c>
      <c r="V79" s="66" t="n">
        <v>11</v>
      </c>
      <c r="W79" s="67">
        <f>IF(ISNUMBER(tblY11[[#This Row],[4C10 - Chemical Analysis
Raw Score]]),IFERROR(VLOOKUP(ROUND(STANDARDIZE(tblY11[[#This Row],[4C10 - Chemical Analysis
Raw Score]],AVERAGE(tblY11[[4C10 - Chemical Analysis
Raw Score]]),_xlfn.STDEV.P(tblY11[[4C10 - Chemical Analysis
Raw Score]])),9),_Stanine,2),5),"")</f>
        <v>4</v>
      </c>
      <c r="X79" s="66" t="n">
        <v>18</v>
      </c>
      <c r="Y79" s="67">
        <f>IF(ISNUMBER(tblY11[[#This Row],[4P07 - Magnetism
Raw Score]]),IFERROR(VLOOKUP(ROUND(STANDARDIZE(tblY11[[#This Row],[4P07 - Magnetism
Raw Score]],AVERAGE(tblY11[[4P07 - Magnetism
Raw Score]]),_xlfn.STDEV.P(tblY11[[4P07 - Magnetism
Raw Score]])),9),_Stanine,2),5),"")</f>
        <v>6</v>
      </c>
    </row>
    <row r="80">
      <c r="A80" s="65" t="inlineStr">
        <is>
          <t>X903896864651</t>
        </is>
      </c>
      <c r="B80" s="65" t="inlineStr">
        <is>
          <t>Khan</t>
        </is>
      </c>
      <c r="C80" s="65" t="inlineStr">
        <is>
          <t>Zofia</t>
        </is>
      </c>
      <c r="D80" s="66" t="inlineStr">
        <is>
          <t>F</t>
        </is>
      </c>
      <c r="E80" s="66" t="inlineStr">
        <is>
          <t>N</t>
        </is>
      </c>
      <c r="F80" s="66" t="inlineStr">
        <is>
          <t>Y</t>
        </is>
      </c>
      <c r="G80" s="34" t="n">
        <v>89.3</v>
      </c>
      <c r="H80" s="34" t="n">
        <v>102</v>
      </c>
      <c r="I80" s="67">
        <f>IF(ISNUMBER(tblY11[[#This Row],[Avg KS2]]),IFERROR(VLOOKUP(ROUND(STANDARDIZE(tblY11[[#This Row],[Avg KS2]],AVERAGE(tblY11[[Avg KS2]]),_xlfn.STDEV.P(tblY11[[Avg KS2]])),9),_Stanine,2),5),"")</f>
        <v>4</v>
      </c>
      <c r="J80" s="66" t="inlineStr">
        <is>
          <t>11S/Sc4</t>
        </is>
      </c>
      <c r="K80" s="67">
        <f>IF(tblY11[[#This Row],[Preferred Last name]]="","",COUNTIFS($N$1:$ZZ$1,"*"&amp;CHAR(10)&amp;"Stanine",$N80:$ZZ80,"&gt;=1"))</f>
        <v>6</v>
      </c>
      <c r="L80" s="68">
        <f>IFERROR(AVERAGEIF($N$1:$ZZ$1,"*"&amp;CHAR(10)&amp;"Stanine",$N80:$ZZ80),"")</f>
        <v>3.33333333333333</v>
      </c>
      <c r="M80" s="69">
        <f>IF(AND(ISNUMBER(tblY11[[#This Row],[Mean Stanine]]),ISNUMBER(tblY11[[#This Row],[Avg KS2 Band]]),ISNUMBER(SlopeY11)),tblY11[[#This Row],[Mean Stanine]]-(InterceptY11+SlopeY11*tblY11[[#This Row],[Avg KS2 Band]]),"")</f>
        <v>-0.870501443001442</v>
      </c>
      <c r="N80" s="66" t="n">
        <v>14</v>
      </c>
      <c r="O80" s="67">
        <f>IF(ISNUMBER(tblY11[[#This Row],[4B05 - Homeostasis
Raw Score]]),IFERROR(VLOOKUP(ROUND(STANDARDIZE(tblY11[[#This Row],[4B05 - Homeostasis
Raw Score]],AVERAGE(tblY11[[4B05 - Homeostasis
Raw Score]]),_xlfn.STDEV.P(tblY11[[4B05 - Homeostasis
Raw Score]])),9),_Stanine,2),5),"")</f>
        <v>3</v>
      </c>
      <c r="P80" s="66" t="n">
        <v>9</v>
      </c>
      <c r="Q80" s="67">
        <f>IF(ISNUMBER(tblY11[[#This Row],[4C09 - Organic Chemistry
Raw Score]]),IFERROR(VLOOKUP(ROUND(STANDARDIZE(tblY11[[#This Row],[4C09 - Organic Chemistry
Raw Score]],AVERAGE(tblY11[[4C09 - Organic Chemistry
Raw Score]]),_xlfn.STDEV.P(tblY11[[4C09 - Organic Chemistry
Raw Score]])),9),_Stanine,2),5),"")</f>
        <v>3</v>
      </c>
      <c r="R80" s="66" t="n">
        <v>14</v>
      </c>
      <c r="S80" s="67">
        <f>IF(ISNUMBER(tblY11[[#This Row],[4P06 - Waves
Raw Score]]),IFERROR(VLOOKUP(ROUND(STANDARDIZE(tblY11[[#This Row],[4P06 - Waves
Raw Score]],AVERAGE(tblY11[[4P06 - Waves
Raw Score]]),_xlfn.STDEV.P(tblY11[[4P06 - Waves
Raw Score]])),9),_Stanine,2),5),"")</f>
        <v>3</v>
      </c>
      <c r="T80" s="66" t="n">
        <v>15</v>
      </c>
      <c r="U80" s="67">
        <f>IF(ISNUMBER(tblY11[[#This Row],[4B06 - Inheritance
Raw Score]]),IFERROR(VLOOKUP(ROUND(STANDARDIZE(tblY11[[#This Row],[4B06 - Inheritance
Raw Score]],AVERAGE(tblY11[[4B06 - Inheritance
Raw Score]]),_xlfn.STDEV.P(tblY11[[4B06 - Inheritance
Raw Score]])),9),_Stanine,2),5),"")</f>
        <v>4</v>
      </c>
      <c r="V80" s="66" t="n">
        <v>8</v>
      </c>
      <c r="W80" s="67">
        <f>IF(ISNUMBER(tblY11[[#This Row],[4C10 - Chemical Analysis
Raw Score]]),IFERROR(VLOOKUP(ROUND(STANDARDIZE(tblY11[[#This Row],[4C10 - Chemical Analysis
Raw Score]],AVERAGE(tblY11[[4C10 - Chemical Analysis
Raw Score]]),_xlfn.STDEV.P(tblY11[[4C10 - Chemical Analysis
Raw Score]])),9),_Stanine,2),5),"")</f>
        <v>3</v>
      </c>
      <c r="X80" s="66" t="n">
        <v>13</v>
      </c>
      <c r="Y80" s="67">
        <f>IF(ISNUMBER(tblY11[[#This Row],[4P07 - Magnetism
Raw Score]]),IFERROR(VLOOKUP(ROUND(STANDARDIZE(tblY11[[#This Row],[4P07 - Magnetism
Raw Score]],AVERAGE(tblY11[[4P07 - Magnetism
Raw Score]]),_xlfn.STDEV.P(tblY11[[4P07 - Magnetism
Raw Score]])),9),_Stanine,2),5),"")</f>
        <v>4</v>
      </c>
    </row>
    <row r="81">
      <c r="A81" s="65" t="inlineStr">
        <is>
          <t>X902993474538</t>
        </is>
      </c>
      <c r="B81" s="65" t="inlineStr">
        <is>
          <t>Kowalski</t>
        </is>
      </c>
      <c r="C81" s="65" t="inlineStr">
        <is>
          <t>Layla</t>
        </is>
      </c>
      <c r="D81" s="66" t="inlineStr">
        <is>
          <t>F</t>
        </is>
      </c>
      <c r="E81" s="66" t="n"/>
      <c r="F81" s="66" t="inlineStr">
        <is>
          <t>N</t>
        </is>
      </c>
      <c r="G81" s="34" t="n">
        <v>93</v>
      </c>
      <c r="H81" s="34" t="n">
        <v>96</v>
      </c>
      <c r="I81" s="67">
        <f>IF(ISNUMBER(tblY11[[#This Row],[Avg KS2]]),IFERROR(VLOOKUP(ROUND(STANDARDIZE(tblY11[[#This Row],[Avg KS2]],AVERAGE(tblY11[[Avg KS2]]),_xlfn.STDEV.P(tblY11[[Avg KS2]])),9),_Stanine,2),5),"")</f>
        <v>2</v>
      </c>
      <c r="J81" s="66" t="inlineStr">
        <is>
          <t>11S/Sc4</t>
        </is>
      </c>
      <c r="K81" s="67">
        <f>IF(tblY11[[#This Row],[Preferred Last name]]="","",COUNTIFS($N$1:$ZZ$1,"*"&amp;CHAR(10)&amp;"Stanine",$N81:$ZZ81,"&gt;=1"))</f>
        <v>6</v>
      </c>
      <c r="L81" s="68">
        <f>IFERROR(AVERAGEIF($N$1:$ZZ$1,"*"&amp;CHAR(10)&amp;"Stanine",$N81:$ZZ81),"")</f>
        <v>2.66666666666667</v>
      </c>
      <c r="M81" s="69">
        <f>IF(AND(ISNUMBER(tblY11[[#This Row],[Mean Stanine]]),ISNUMBER(tblY11[[#This Row],[Avg KS2 Band]]),ISNUMBER(SlopeY11)),tblY11[[#This Row],[Mean Stanine]]-(InterceptY11+SlopeY11*tblY11[[#This Row],[Avg KS2 Band]]),"")</f>
        <v>-0.0394408369408366</v>
      </c>
      <c r="N81" s="66" t="n">
        <v>11</v>
      </c>
      <c r="O81" s="67">
        <f>IF(ISNUMBER(tblY11[[#This Row],[4B05 - Homeostasis
Raw Score]]),IFERROR(VLOOKUP(ROUND(STANDARDIZE(tblY11[[#This Row],[4B05 - Homeostasis
Raw Score]],AVERAGE(tblY11[[4B05 - Homeostasis
Raw Score]]),_xlfn.STDEV.P(tblY11[[4B05 - Homeostasis
Raw Score]])),9),_Stanine,2),5),"")</f>
        <v>3</v>
      </c>
      <c r="P81" s="66" t="n">
        <v>5</v>
      </c>
      <c r="Q81" s="67">
        <f>IF(ISNUMBER(tblY11[[#This Row],[4C09 - Organic Chemistry
Raw Score]]),IFERROR(VLOOKUP(ROUND(STANDARDIZE(tblY11[[#This Row],[4C09 - Organic Chemistry
Raw Score]],AVERAGE(tblY11[[4C09 - Organic Chemistry
Raw Score]]),_xlfn.STDEV.P(tblY11[[4C09 - Organic Chemistry
Raw Score]])),9),_Stanine,2),5),"")</f>
        <v>2</v>
      </c>
      <c r="R81" s="66" t="n">
        <v>11</v>
      </c>
      <c r="S81" s="67">
        <f>IF(ISNUMBER(tblY11[[#This Row],[4P06 - Waves
Raw Score]]),IFERROR(VLOOKUP(ROUND(STANDARDIZE(tblY11[[#This Row],[4P06 - Waves
Raw Score]],AVERAGE(tblY11[[4P06 - Waves
Raw Score]]),_xlfn.STDEV.P(tblY11[[4P06 - Waves
Raw Score]])),9),_Stanine,2),5),"")</f>
        <v>3</v>
      </c>
      <c r="T81" s="66" t="n">
        <v>9</v>
      </c>
      <c r="U81" s="67">
        <f>IF(ISNUMBER(tblY11[[#This Row],[4B06 - Inheritance
Raw Score]]),IFERROR(VLOOKUP(ROUND(STANDARDIZE(tblY11[[#This Row],[4B06 - Inheritance
Raw Score]],AVERAGE(tblY11[[4B06 - Inheritance
Raw Score]]),_xlfn.STDEV.P(tblY11[[4B06 - Inheritance
Raw Score]])),9),_Stanine,2),5),"")</f>
        <v>3</v>
      </c>
      <c r="V81" s="66" t="n">
        <v>7</v>
      </c>
      <c r="W81" s="67">
        <f>IF(ISNUMBER(tblY11[[#This Row],[4C10 - Chemical Analysis
Raw Score]]),IFERROR(VLOOKUP(ROUND(STANDARDIZE(tblY11[[#This Row],[4C10 - Chemical Analysis
Raw Score]],AVERAGE(tblY11[[4C10 - Chemical Analysis
Raw Score]]),_xlfn.STDEV.P(tblY11[[4C10 - Chemical Analysis
Raw Score]])),9),_Stanine,2),5),"")</f>
        <v>3</v>
      </c>
      <c r="X81" s="66" t="n">
        <v>6</v>
      </c>
      <c r="Y81" s="67">
        <f>IF(ISNUMBER(tblY11[[#This Row],[4P07 - Magnetism
Raw Score]]),IFERROR(VLOOKUP(ROUND(STANDARDIZE(tblY11[[#This Row],[4P07 - Magnetism
Raw Score]],AVERAGE(tblY11[[4P07 - Magnetism
Raw Score]]),_xlfn.STDEV.P(tblY11[[4P07 - Magnetism
Raw Score]])),9),_Stanine,2),5),"")</f>
        <v>2</v>
      </c>
    </row>
    <row r="82">
      <c r="A82" s="65" t="inlineStr">
        <is>
          <t>X903135016943</t>
        </is>
      </c>
      <c r="B82" s="65" t="inlineStr">
        <is>
          <t>Lewis</t>
        </is>
      </c>
      <c r="C82" s="65" t="inlineStr">
        <is>
          <t>Amara</t>
        </is>
      </c>
      <c r="D82" s="66" t="inlineStr">
        <is>
          <t>F</t>
        </is>
      </c>
      <c r="E82" s="66" t="n"/>
      <c r="F82" s="66" t="inlineStr">
        <is>
          <t>N</t>
        </is>
      </c>
      <c r="G82" s="34" t="n">
        <v>100</v>
      </c>
      <c r="H82" s="34" t="n">
        <v>105</v>
      </c>
      <c r="I82" s="67">
        <f>IF(ISNUMBER(tblY11[[#This Row],[Avg KS2]]),IFERROR(VLOOKUP(ROUND(STANDARDIZE(tblY11[[#This Row],[Avg KS2]],AVERAGE(tblY11[[Avg KS2]]),_xlfn.STDEV.P(tblY11[[Avg KS2]])),9),_Stanine,2),5),"")</f>
        <v>5</v>
      </c>
      <c r="J82" s="66" t="inlineStr">
        <is>
          <t>11S/Sc4</t>
        </is>
      </c>
      <c r="K82" s="67">
        <f>IF(tblY11[[#This Row],[Preferred Last name]]="","",COUNTIFS($N$1:$ZZ$1,"*"&amp;CHAR(10)&amp;"Stanine",$N82:$ZZ82,"&gt;=1"))</f>
        <v>6</v>
      </c>
      <c r="L82" s="68">
        <f>IFERROR(AVERAGEIF($N$1:$ZZ$1,"*"&amp;CHAR(10)&amp;"Stanine",$N82:$ZZ82),"")</f>
        <v>4.5</v>
      </c>
      <c r="M82" s="69">
        <f>IF(AND(ISNUMBER(tblY11[[#This Row],[Mean Stanine]]),ISNUMBER(tblY11[[#This Row],[Avg KS2 Band]]),ISNUMBER(SlopeY11)),tblY11[[#This Row],[Mean Stanine]]-(InterceptY11+SlopeY11*tblY11[[#This Row],[Avg KS2 Band]]),"")</f>
        <v>-0.452698412698412</v>
      </c>
      <c r="N82" s="66" t="n">
        <v>16</v>
      </c>
      <c r="O82" s="67">
        <f>IF(ISNUMBER(tblY11[[#This Row],[4B05 - Homeostasis
Raw Score]]),IFERROR(VLOOKUP(ROUND(STANDARDIZE(tblY11[[#This Row],[4B05 - Homeostasis
Raw Score]],AVERAGE(tblY11[[4B05 - Homeostasis
Raw Score]]),_xlfn.STDEV.P(tblY11[[4B05 - Homeostasis
Raw Score]])),9),_Stanine,2),5),"")</f>
        <v>4</v>
      </c>
      <c r="P82" s="66" t="n">
        <v>24</v>
      </c>
      <c r="Q82" s="67">
        <f>IF(ISNUMBER(tblY11[[#This Row],[4C09 - Organic Chemistry
Raw Score]]),IFERROR(VLOOKUP(ROUND(STANDARDIZE(tblY11[[#This Row],[4C09 - Organic Chemistry
Raw Score]],AVERAGE(tblY11[[4C09 - Organic Chemistry
Raw Score]]),_xlfn.STDEV.P(tblY11[[4C09 - Organic Chemistry
Raw Score]])),9),_Stanine,2),5),"")</f>
        <v>7</v>
      </c>
      <c r="R82" s="66" t="n">
        <v>19</v>
      </c>
      <c r="S82" s="67">
        <f>IF(ISNUMBER(tblY11[[#This Row],[4P06 - Waves
Raw Score]]),IFERROR(VLOOKUP(ROUND(STANDARDIZE(tblY11[[#This Row],[4P06 - Waves
Raw Score]],AVERAGE(tblY11[[4P06 - Waves
Raw Score]]),_xlfn.STDEV.P(tblY11[[4P06 - Waves
Raw Score]])),9),_Stanine,2),5),"")</f>
        <v>5</v>
      </c>
      <c r="T82" s="66" t="n">
        <v>14</v>
      </c>
      <c r="U82" s="67">
        <f>IF(ISNUMBER(tblY11[[#This Row],[4B06 - Inheritance
Raw Score]]),IFERROR(VLOOKUP(ROUND(STANDARDIZE(tblY11[[#This Row],[4B06 - Inheritance
Raw Score]],AVERAGE(tblY11[[4B06 - Inheritance
Raw Score]]),_xlfn.STDEV.P(tblY11[[4B06 - Inheritance
Raw Score]])),9),_Stanine,2),5),"")</f>
        <v>4</v>
      </c>
      <c r="V82" s="66" t="n">
        <v>12</v>
      </c>
      <c r="W82" s="67">
        <f>IF(ISNUMBER(tblY11[[#This Row],[4C10 - Chemical Analysis
Raw Score]]),IFERROR(VLOOKUP(ROUND(STANDARDIZE(tblY11[[#This Row],[4C10 - Chemical Analysis
Raw Score]],AVERAGE(tblY11[[4C10 - Chemical Analysis
Raw Score]]),_xlfn.STDEV.P(tblY11[[4C10 - Chemical Analysis
Raw Score]])),9),_Stanine,2),5),"")</f>
        <v>4</v>
      </c>
      <c r="X82" s="66" t="n">
        <v>10</v>
      </c>
      <c r="Y82" s="67">
        <f>IF(ISNUMBER(tblY11[[#This Row],[4P07 - Magnetism
Raw Score]]),IFERROR(VLOOKUP(ROUND(STANDARDIZE(tblY11[[#This Row],[4P07 - Magnetism
Raw Score]],AVERAGE(tblY11[[4P07 - Magnetism
Raw Score]]),_xlfn.STDEV.P(tblY11[[4P07 - Magnetism
Raw Score]])),9),_Stanine,2),5),"")</f>
        <v>3</v>
      </c>
    </row>
    <row r="83">
      <c r="A83" s="65" t="inlineStr">
        <is>
          <t>X902340787437</t>
        </is>
      </c>
      <c r="B83" s="65" t="inlineStr">
        <is>
          <t>Lewis</t>
        </is>
      </c>
      <c r="C83" s="65" t="inlineStr">
        <is>
          <t>Zara</t>
        </is>
      </c>
      <c r="D83" s="66" t="inlineStr">
        <is>
          <t>M</t>
        </is>
      </c>
      <c r="E83" s="66" t="n"/>
      <c r="F83" s="66" t="inlineStr">
        <is>
          <t>Y</t>
        </is>
      </c>
      <c r="G83" s="34" t="n">
        <v>100</v>
      </c>
      <c r="H83" s="34" t="n">
        <v>98.5</v>
      </c>
      <c r="I83" s="67">
        <f>IF(ISNUMBER(tblY11[[#This Row],[Avg KS2]]),IFERROR(VLOOKUP(ROUND(STANDARDIZE(tblY11[[#This Row],[Avg KS2]],AVERAGE(tblY11[[Avg KS2]]),_xlfn.STDEV.P(tblY11[[Avg KS2]])),9),_Stanine,2),5),"")</f>
        <v>3</v>
      </c>
      <c r="J83" s="66" t="inlineStr">
        <is>
          <t>11S/Sc4</t>
        </is>
      </c>
      <c r="K83" s="67">
        <f>IF(tblY11[[#This Row],[Preferred Last name]]="","",COUNTIFS($N$1:$ZZ$1,"*"&amp;CHAR(10)&amp;"Stanine",$N83:$ZZ83,"&gt;=1"))</f>
        <v>5</v>
      </c>
      <c r="L83" s="68">
        <f>IFERROR(AVERAGEIF($N$1:$ZZ$1,"*"&amp;CHAR(10)&amp;"Stanine",$N83:$ZZ83),"")</f>
        <v>2.6</v>
      </c>
      <c r="M83" s="69">
        <f>IF(AND(ISNUMBER(tblY11[[#This Row],[Mean Stanine]]),ISNUMBER(tblY11[[#This Row],[Avg KS2 Band]]),ISNUMBER(SlopeY11)),tblY11[[#This Row],[Mean Stanine]]-(InterceptY11+SlopeY11*tblY11[[#This Row],[Avg KS2 Band]]),"")</f>
        <v>-0.854971139971139</v>
      </c>
      <c r="N83" s="66" t="n">
        <v>13</v>
      </c>
      <c r="O83" s="67">
        <f>IF(ISNUMBER(tblY11[[#This Row],[4B05 - Homeostasis
Raw Score]]),IFERROR(VLOOKUP(ROUND(STANDARDIZE(tblY11[[#This Row],[4B05 - Homeostasis
Raw Score]],AVERAGE(tblY11[[4B05 - Homeostasis
Raw Score]]),_xlfn.STDEV.P(tblY11[[4B05 - Homeostasis
Raw Score]])),9),_Stanine,2),5),"")</f>
        <v>3</v>
      </c>
      <c r="P83" s="66" t="n">
        <v>6</v>
      </c>
      <c r="Q83" s="67">
        <f>IF(ISNUMBER(tblY11[[#This Row],[4C09 - Organic Chemistry
Raw Score]]),IFERROR(VLOOKUP(ROUND(STANDARDIZE(tblY11[[#This Row],[4C09 - Organic Chemistry
Raw Score]],AVERAGE(tblY11[[4C09 - Organic Chemistry
Raw Score]]),_xlfn.STDEV.P(tblY11[[4C09 - Organic Chemistry
Raw Score]])),9),_Stanine,2),5),"")</f>
        <v>2</v>
      </c>
      <c r="R83" s="66" t="n">
        <v>11</v>
      </c>
      <c r="S83" s="67">
        <f>IF(ISNUMBER(tblY11[[#This Row],[4P06 - Waves
Raw Score]]),IFERROR(VLOOKUP(ROUND(STANDARDIZE(tblY11[[#This Row],[4P06 - Waves
Raw Score]],AVERAGE(tblY11[[4P06 - Waves
Raw Score]]),_xlfn.STDEV.P(tblY11[[4P06 - Waves
Raw Score]])),9),_Stanine,2),5),"")</f>
        <v>3</v>
      </c>
      <c r="T83" s="66" t="n">
        <v>8</v>
      </c>
      <c r="U83" s="67">
        <f>IF(ISNUMBER(tblY11[[#This Row],[4B06 - Inheritance
Raw Score]]),IFERROR(VLOOKUP(ROUND(STANDARDIZE(tblY11[[#This Row],[4B06 - Inheritance
Raw Score]],AVERAGE(tblY11[[4B06 - Inheritance
Raw Score]]),_xlfn.STDEV.P(tblY11[[4B06 - Inheritance
Raw Score]])),9),_Stanine,2),5),"")</f>
        <v>3</v>
      </c>
      <c r="V83" s="66" t="n">
        <v>6</v>
      </c>
      <c r="W83" s="67">
        <f>IF(ISNUMBER(tblY11[[#This Row],[4C10 - Chemical Analysis
Raw Score]]),IFERROR(VLOOKUP(ROUND(STANDARDIZE(tblY11[[#This Row],[4C10 - Chemical Analysis
Raw Score]],AVERAGE(tblY11[[4C10 - Chemical Analysis
Raw Score]]),_xlfn.STDEV.P(tblY11[[4C10 - Chemical Analysis
Raw Score]])),9),_Stanine,2),5),"")</f>
        <v>2</v>
      </c>
      <c r="X83" s="66" t="inlineStr">
        <is>
          <t>A</t>
        </is>
      </c>
      <c r="Y83" s="67" t="str">
        <f>IF(ISNUMBER(tblY11[[#This Row],[4P07 - Magnetism
Raw Score]]),IFERROR(VLOOKUP(ROUND(STANDARDIZE(tblY11[[#This Row],[4P07 - Magnetism
Raw Score]],AVERAGE(tblY11[[4P07 - Magnetism
Raw Score]]),_xlfn.STDEV.P(tblY11[[4P07 - Magnetism
Raw Score]])),9),_Stanine,2),5),"")</f>
        <v/>
      </c>
    </row>
    <row r="84">
      <c r="A84" s="65" t="inlineStr">
        <is>
          <t>X909834452072</t>
        </is>
      </c>
      <c r="B84" s="65" t="inlineStr">
        <is>
          <t>Morgan</t>
        </is>
      </c>
      <c r="C84" s="65" t="inlineStr">
        <is>
          <t>Amara</t>
        </is>
      </c>
      <c r="D84" s="66" t="inlineStr">
        <is>
          <t>F</t>
        </is>
      </c>
      <c r="E84" s="66" t="n"/>
      <c r="F84" s="66" t="inlineStr">
        <is>
          <t>N</t>
        </is>
      </c>
      <c r="G84" s="34" t="n">
        <v>100</v>
      </c>
      <c r="H84" s="34" t="n">
        <v>104</v>
      </c>
      <c r="I84" s="67">
        <f>IF(ISNUMBER(tblY11[[#This Row],[Avg KS2]]),IFERROR(VLOOKUP(ROUND(STANDARDIZE(tblY11[[#This Row],[Avg KS2]],AVERAGE(tblY11[[Avg KS2]]),_xlfn.STDEV.P(tblY11[[Avg KS2]])),9),_Stanine,2),5),"")</f>
        <v>5</v>
      </c>
      <c r="J84" s="66" t="inlineStr">
        <is>
          <t>11S/Sc4</t>
        </is>
      </c>
      <c r="K84" s="67">
        <f>IF(tblY11[[#This Row],[Preferred Last name]]="","",COUNTIFS($N$1:$ZZ$1,"*"&amp;CHAR(10)&amp;"Stanine",$N84:$ZZ84,"&gt;=1"))</f>
        <v>6</v>
      </c>
      <c r="L84" s="68">
        <f>IFERROR(AVERAGEIF($N$1:$ZZ$1,"*"&amp;CHAR(10)&amp;"Stanine",$N84:$ZZ84),"")</f>
        <v>3.33333333333333</v>
      </c>
      <c r="M84" s="69">
        <f>IF(AND(ISNUMBER(tblY11[[#This Row],[Mean Stanine]]),ISNUMBER(tblY11[[#This Row],[Avg KS2 Band]]),ISNUMBER(SlopeY11)),tblY11[[#This Row],[Mean Stanine]]-(InterceptY11+SlopeY11*tblY11[[#This Row],[Avg KS2 Band]]),"")</f>
        <v>-1.61936507936508</v>
      </c>
      <c r="N84" s="66" t="n">
        <v>12</v>
      </c>
      <c r="O84" s="67">
        <f>IF(ISNUMBER(tblY11[[#This Row],[4B05 - Homeostasis
Raw Score]]),IFERROR(VLOOKUP(ROUND(STANDARDIZE(tblY11[[#This Row],[4B05 - Homeostasis
Raw Score]],AVERAGE(tblY11[[4B05 - Homeostasis
Raw Score]]),_xlfn.STDEV.P(tblY11[[4B05 - Homeostasis
Raw Score]])),9),_Stanine,2),5),"")</f>
        <v>3</v>
      </c>
      <c r="P84" s="66" t="n">
        <v>8</v>
      </c>
      <c r="Q84" s="67">
        <f>IF(ISNUMBER(tblY11[[#This Row],[4C09 - Organic Chemistry
Raw Score]]),IFERROR(VLOOKUP(ROUND(STANDARDIZE(tblY11[[#This Row],[4C09 - Organic Chemistry
Raw Score]],AVERAGE(tblY11[[4C09 - Organic Chemistry
Raw Score]]),_xlfn.STDEV.P(tblY11[[4C09 - Organic Chemistry
Raw Score]])),9),_Stanine,2),5),"")</f>
        <v>3</v>
      </c>
      <c r="R84" s="66" t="n">
        <v>16</v>
      </c>
      <c r="S84" s="67">
        <f>IF(ISNUMBER(tblY11[[#This Row],[4P06 - Waves
Raw Score]]),IFERROR(VLOOKUP(ROUND(STANDARDIZE(tblY11[[#This Row],[4P06 - Waves
Raw Score]],AVERAGE(tblY11[[4P06 - Waves
Raw Score]]),_xlfn.STDEV.P(tblY11[[4P06 - Waves
Raw Score]])),9),_Stanine,2),5),"")</f>
        <v>4</v>
      </c>
      <c r="T84" s="66" t="n">
        <v>11</v>
      </c>
      <c r="U84" s="67">
        <f>IF(ISNUMBER(tblY11[[#This Row],[4B06 - Inheritance
Raw Score]]),IFERROR(VLOOKUP(ROUND(STANDARDIZE(tblY11[[#This Row],[4B06 - Inheritance
Raw Score]],AVERAGE(tblY11[[4B06 - Inheritance
Raw Score]]),_xlfn.STDEV.P(tblY11[[4B06 - Inheritance
Raw Score]])),9),_Stanine,2),5),"")</f>
        <v>3</v>
      </c>
      <c r="V84" s="66" t="n">
        <v>8</v>
      </c>
      <c r="W84" s="67">
        <f>IF(ISNUMBER(tblY11[[#This Row],[4C10 - Chemical Analysis
Raw Score]]),IFERROR(VLOOKUP(ROUND(STANDARDIZE(tblY11[[#This Row],[4C10 - Chemical Analysis
Raw Score]],AVERAGE(tblY11[[4C10 - Chemical Analysis
Raw Score]]),_xlfn.STDEV.P(tblY11[[4C10 - Chemical Analysis
Raw Score]])),9),_Stanine,2),5),"")</f>
        <v>3</v>
      </c>
      <c r="X84" s="66" t="n">
        <v>11</v>
      </c>
      <c r="Y84" s="67">
        <f>IF(ISNUMBER(tblY11[[#This Row],[4P07 - Magnetism
Raw Score]]),IFERROR(VLOOKUP(ROUND(STANDARDIZE(tblY11[[#This Row],[4P07 - Magnetism
Raw Score]],AVERAGE(tblY11[[4P07 - Magnetism
Raw Score]]),_xlfn.STDEV.P(tblY11[[4P07 - Magnetism
Raw Score]])),9),_Stanine,2),5),"")</f>
        <v>4</v>
      </c>
    </row>
    <row r="85">
      <c r="A85" s="65" t="inlineStr">
        <is>
          <t>X906134903113</t>
        </is>
      </c>
      <c r="B85" s="65" t="inlineStr">
        <is>
          <t>Morgan</t>
        </is>
      </c>
      <c r="C85" s="65" t="inlineStr">
        <is>
          <t>Hannah</t>
        </is>
      </c>
      <c r="D85" s="66" t="inlineStr">
        <is>
          <t>M</t>
        </is>
      </c>
      <c r="E85" s="66" t="n"/>
      <c r="F85" s="66" t="inlineStr">
        <is>
          <t>Y</t>
        </is>
      </c>
      <c r="G85" s="34" t="n">
        <v>92.8</v>
      </c>
      <c r="H85" s="34" t="n">
        <v>101</v>
      </c>
      <c r="I85" s="67">
        <f>IF(ISNUMBER(tblY11[[#This Row],[Avg KS2]]),IFERROR(VLOOKUP(ROUND(STANDARDIZE(tblY11[[#This Row],[Avg KS2]],AVERAGE(tblY11[[Avg KS2]]),_xlfn.STDEV.P(tblY11[[Avg KS2]])),9),_Stanine,2),5),"")</f>
        <v>4</v>
      </c>
      <c r="J85" s="66" t="inlineStr">
        <is>
          <t>11S/Sc4</t>
        </is>
      </c>
      <c r="K85" s="67">
        <f>IF(tblY11[[#This Row],[Preferred Last name]]="","",COUNTIFS($N$1:$ZZ$1,"*"&amp;CHAR(10)&amp;"Stanine",$N85:$ZZ85,"&gt;=1"))</f>
        <v>6</v>
      </c>
      <c r="L85" s="68">
        <f>IFERROR(AVERAGEIF($N$1:$ZZ$1,"*"&amp;CHAR(10)&amp;"Stanine",$N85:$ZZ85),"")</f>
        <v>4.66666666666667</v>
      </c>
      <c r="M85" s="69">
        <f>IF(AND(ISNUMBER(tblY11[[#This Row],[Mean Stanine]]),ISNUMBER(tblY11[[#This Row],[Avg KS2 Band]]),ISNUMBER(SlopeY11)),tblY11[[#This Row],[Mean Stanine]]-(InterceptY11+SlopeY11*tblY11[[#This Row],[Avg KS2 Band]]),"")</f>
        <v>0.462831890331891</v>
      </c>
      <c r="N85" s="66" t="n">
        <v>22</v>
      </c>
      <c r="O85" s="67">
        <f>IF(ISNUMBER(tblY11[[#This Row],[4B05 - Homeostasis
Raw Score]]),IFERROR(VLOOKUP(ROUND(STANDARDIZE(tblY11[[#This Row],[4B05 - Homeostasis
Raw Score]],AVERAGE(tblY11[[4B05 - Homeostasis
Raw Score]]),_xlfn.STDEV.P(tblY11[[4B05 - Homeostasis
Raw Score]])),9),_Stanine,2),5),"")</f>
        <v>5</v>
      </c>
      <c r="P85" s="66" t="n">
        <v>17</v>
      </c>
      <c r="Q85" s="67">
        <f>IF(ISNUMBER(tblY11[[#This Row],[4C09 - Organic Chemistry
Raw Score]]),IFERROR(VLOOKUP(ROUND(STANDARDIZE(tblY11[[#This Row],[4C09 - Organic Chemistry
Raw Score]],AVERAGE(tblY11[[4C09 - Organic Chemistry
Raw Score]]),_xlfn.STDEV.P(tblY11[[4C09 - Organic Chemistry
Raw Score]])),9),_Stanine,2),5),"")</f>
        <v>5</v>
      </c>
      <c r="R85" s="66" t="n">
        <v>18</v>
      </c>
      <c r="S85" s="67">
        <f>IF(ISNUMBER(tblY11[[#This Row],[4P06 - Waves
Raw Score]]),IFERROR(VLOOKUP(ROUND(STANDARDIZE(tblY11[[#This Row],[4P06 - Waves
Raw Score]],AVERAGE(tblY11[[4P06 - Waves
Raw Score]]),_xlfn.STDEV.P(tblY11[[4P06 - Waves
Raw Score]])),9),_Stanine,2),5),"")</f>
        <v>4</v>
      </c>
      <c r="T85" s="66" t="n">
        <v>14</v>
      </c>
      <c r="U85" s="67">
        <f>IF(ISNUMBER(tblY11[[#This Row],[4B06 - Inheritance
Raw Score]]),IFERROR(VLOOKUP(ROUND(STANDARDIZE(tblY11[[#This Row],[4B06 - Inheritance
Raw Score]],AVERAGE(tblY11[[4B06 - Inheritance
Raw Score]]),_xlfn.STDEV.P(tblY11[[4B06 - Inheritance
Raw Score]])),9),_Stanine,2),5),"")</f>
        <v>4</v>
      </c>
      <c r="V85" s="66" t="n">
        <v>14</v>
      </c>
      <c r="W85" s="67">
        <f>IF(ISNUMBER(tblY11[[#This Row],[4C10 - Chemical Analysis
Raw Score]]),IFERROR(VLOOKUP(ROUND(STANDARDIZE(tblY11[[#This Row],[4C10 - Chemical Analysis
Raw Score]],AVERAGE(tblY11[[4C10 - Chemical Analysis
Raw Score]]),_xlfn.STDEV.P(tblY11[[4C10 - Chemical Analysis
Raw Score]])),9),_Stanine,2),5),"")</f>
        <v>5</v>
      </c>
      <c r="X85" s="66" t="n">
        <v>15</v>
      </c>
      <c r="Y85" s="67">
        <f>IF(ISNUMBER(tblY11[[#This Row],[4P07 - Magnetism
Raw Score]]),IFERROR(VLOOKUP(ROUND(STANDARDIZE(tblY11[[#This Row],[4P07 - Magnetism
Raw Score]],AVERAGE(tblY11[[4P07 - Magnetism
Raw Score]]),_xlfn.STDEV.P(tblY11[[4P07 - Magnetism
Raw Score]])),9),_Stanine,2),5),"")</f>
        <v>5</v>
      </c>
    </row>
    <row r="86">
      <c r="A86" s="65" t="inlineStr">
        <is>
          <t>X901532670324</t>
        </is>
      </c>
      <c r="B86" s="65" t="inlineStr">
        <is>
          <t>Nowak</t>
        </is>
      </c>
      <c r="C86" s="65" t="inlineStr">
        <is>
          <t>Isla</t>
        </is>
      </c>
      <c r="D86" s="66" t="inlineStr">
        <is>
          <t>M</t>
        </is>
      </c>
      <c r="E86" s="66" t="inlineStr">
        <is>
          <t>N</t>
        </is>
      </c>
      <c r="F86" s="66" t="inlineStr">
        <is>
          <t>Y</t>
        </is>
      </c>
      <c r="G86" s="34" t="n">
        <v>99.2</v>
      </c>
      <c r="H86" s="34" t="n">
        <v>105</v>
      </c>
      <c r="I86" s="67">
        <f>IF(ISNUMBER(tblY11[[#This Row],[Avg KS2]]),IFERROR(VLOOKUP(ROUND(STANDARDIZE(tblY11[[#This Row],[Avg KS2]],AVERAGE(tblY11[[Avg KS2]]),_xlfn.STDEV.P(tblY11[[Avg KS2]])),9),_Stanine,2),5),"")</f>
        <v>5</v>
      </c>
      <c r="J86" s="66" t="inlineStr">
        <is>
          <t>11S/Sc4</t>
        </is>
      </c>
      <c r="K86" s="67">
        <f>IF(tblY11[[#This Row],[Preferred Last name]]="","",COUNTIFS($N$1:$ZZ$1,"*"&amp;CHAR(10)&amp;"Stanine",$N86:$ZZ86,"&gt;=1"))</f>
        <v>6</v>
      </c>
      <c r="L86" s="68">
        <f>IFERROR(AVERAGEIF($N$1:$ZZ$1,"*"&amp;CHAR(10)&amp;"Stanine",$N86:$ZZ86),"")</f>
        <v>4.66666666666667</v>
      </c>
      <c r="M86" s="69">
        <f>IF(AND(ISNUMBER(tblY11[[#This Row],[Mean Stanine]]),ISNUMBER(tblY11[[#This Row],[Avg KS2 Band]]),ISNUMBER(SlopeY11)),tblY11[[#This Row],[Mean Stanine]]-(InterceptY11+SlopeY11*tblY11[[#This Row],[Avg KS2 Band]]),"")</f>
        <v>-0.286031746031745</v>
      </c>
      <c r="N86" s="66" t="n">
        <v>20</v>
      </c>
      <c r="O86" s="67">
        <f>IF(ISNUMBER(tblY11[[#This Row],[4B05 - Homeostasis
Raw Score]]),IFERROR(VLOOKUP(ROUND(STANDARDIZE(tblY11[[#This Row],[4B05 - Homeostasis
Raw Score]],AVERAGE(tblY11[[4B05 - Homeostasis
Raw Score]]),_xlfn.STDEV.P(tblY11[[4B05 - Homeostasis
Raw Score]])),9),_Stanine,2),5),"")</f>
        <v>5</v>
      </c>
      <c r="P86" s="66" t="n">
        <v>12</v>
      </c>
      <c r="Q86" s="67">
        <f>IF(ISNUMBER(tblY11[[#This Row],[4C09 - Organic Chemistry
Raw Score]]),IFERROR(VLOOKUP(ROUND(STANDARDIZE(tblY11[[#This Row],[4C09 - Organic Chemistry
Raw Score]],AVERAGE(tblY11[[4C09 - Organic Chemistry
Raw Score]]),_xlfn.STDEV.P(tblY11[[4C09 - Organic Chemistry
Raw Score]])),9),_Stanine,2),5),"")</f>
        <v>4</v>
      </c>
      <c r="R86" s="66" t="n">
        <v>15</v>
      </c>
      <c r="S86" s="67">
        <f>IF(ISNUMBER(tblY11[[#This Row],[4P06 - Waves
Raw Score]]),IFERROR(VLOOKUP(ROUND(STANDARDIZE(tblY11[[#This Row],[4P06 - Waves
Raw Score]],AVERAGE(tblY11[[4P06 - Waves
Raw Score]]),_xlfn.STDEV.P(tblY11[[4P06 - Waves
Raw Score]])),9),_Stanine,2),5),"")</f>
        <v>4</v>
      </c>
      <c r="T86" s="66" t="n">
        <v>17</v>
      </c>
      <c r="U86" s="67">
        <f>IF(ISNUMBER(tblY11[[#This Row],[4B06 - Inheritance
Raw Score]]),IFERROR(VLOOKUP(ROUND(STANDARDIZE(tblY11[[#This Row],[4B06 - Inheritance
Raw Score]],AVERAGE(tblY11[[4B06 - Inheritance
Raw Score]]),_xlfn.STDEV.P(tblY11[[4B06 - Inheritance
Raw Score]])),9),_Stanine,2),5),"")</f>
        <v>5</v>
      </c>
      <c r="V86" s="66" t="n">
        <v>14</v>
      </c>
      <c r="W86" s="67">
        <f>IF(ISNUMBER(tblY11[[#This Row],[4C10 - Chemical Analysis
Raw Score]]),IFERROR(VLOOKUP(ROUND(STANDARDIZE(tblY11[[#This Row],[4C10 - Chemical Analysis
Raw Score]],AVERAGE(tblY11[[4C10 - Chemical Analysis
Raw Score]]),_xlfn.STDEV.P(tblY11[[4C10 - Chemical Analysis
Raw Score]])),9),_Stanine,2),5),"")</f>
        <v>5</v>
      </c>
      <c r="X86" s="66" t="n">
        <v>17</v>
      </c>
      <c r="Y86" s="67">
        <f>IF(ISNUMBER(tblY11[[#This Row],[4P07 - Magnetism
Raw Score]]),IFERROR(VLOOKUP(ROUND(STANDARDIZE(tblY11[[#This Row],[4P07 - Magnetism
Raw Score]],AVERAGE(tblY11[[4P07 - Magnetism
Raw Score]]),_xlfn.STDEV.P(tblY11[[4P07 - Magnetism
Raw Score]])),9),_Stanine,2),5),"")</f>
        <v>5</v>
      </c>
    </row>
    <row r="87">
      <c r="A87" s="65" t="inlineStr">
        <is>
          <t>X901408032434</t>
        </is>
      </c>
      <c r="B87" s="65" t="inlineStr">
        <is>
          <t>Parker</t>
        </is>
      </c>
      <c r="C87" s="65" t="inlineStr">
        <is>
          <t>Rhys</t>
        </is>
      </c>
      <c r="D87" s="66" t="inlineStr">
        <is>
          <t>F</t>
        </is>
      </c>
      <c r="E87" s="66" t="inlineStr">
        <is>
          <t>K</t>
        </is>
      </c>
      <c r="F87" s="66" t="inlineStr">
        <is>
          <t>Y</t>
        </is>
      </c>
      <c r="G87" s="34" t="n">
        <v>86.8</v>
      </c>
      <c r="H87" s="34" t="n">
        <v>105.5</v>
      </c>
      <c r="I87" s="67">
        <f>IF(ISNUMBER(tblY11[[#This Row],[Avg KS2]]),IFERROR(VLOOKUP(ROUND(STANDARDIZE(tblY11[[#This Row],[Avg KS2]],AVERAGE(tblY11[[Avg KS2]]),_xlfn.STDEV.P(tblY11[[Avg KS2]])),9),_Stanine,2),5),"")</f>
        <v>5</v>
      </c>
      <c r="J87" s="66" t="inlineStr">
        <is>
          <t>11S/Sc4</t>
        </is>
      </c>
      <c r="K87" s="67">
        <f>IF(tblY11[[#This Row],[Preferred Last name]]="","",COUNTIFS($N$1:$ZZ$1,"*"&amp;CHAR(10)&amp;"Stanine",$N87:$ZZ87,"&gt;=1"))</f>
        <v>6</v>
      </c>
      <c r="L87" s="68">
        <f>IFERROR(AVERAGEIF($N$1:$ZZ$1,"*"&amp;CHAR(10)&amp;"Stanine",$N87:$ZZ87),"")</f>
        <v>3.83333333333333</v>
      </c>
      <c r="M87" s="69">
        <f>IF(AND(ISNUMBER(tblY11[[#This Row],[Mean Stanine]]),ISNUMBER(tblY11[[#This Row],[Avg KS2 Band]]),ISNUMBER(SlopeY11)),tblY11[[#This Row],[Mean Stanine]]-(InterceptY11+SlopeY11*tblY11[[#This Row],[Avg KS2 Band]]),"")</f>
        <v>-1.11936507936508</v>
      </c>
      <c r="N87" s="66" t="n">
        <v>16</v>
      </c>
      <c r="O87" s="67">
        <f>IF(ISNUMBER(tblY11[[#This Row],[4B05 - Homeostasis
Raw Score]]),IFERROR(VLOOKUP(ROUND(STANDARDIZE(tblY11[[#This Row],[4B05 - Homeostasis
Raw Score]],AVERAGE(tblY11[[4B05 - Homeostasis
Raw Score]]),_xlfn.STDEV.P(tblY11[[4B05 - Homeostasis
Raw Score]])),9),_Stanine,2),5),"")</f>
        <v>4</v>
      </c>
      <c r="P87" s="66" t="n">
        <v>11</v>
      </c>
      <c r="Q87" s="67">
        <f>IF(ISNUMBER(tblY11[[#This Row],[4C09 - Organic Chemistry
Raw Score]]),IFERROR(VLOOKUP(ROUND(STANDARDIZE(tblY11[[#This Row],[4C09 - Organic Chemistry
Raw Score]],AVERAGE(tblY11[[4C09 - Organic Chemistry
Raw Score]]),_xlfn.STDEV.P(tblY11[[4C09 - Organic Chemistry
Raw Score]])),9),_Stanine,2),5),"")</f>
        <v>4</v>
      </c>
      <c r="R87" s="66" t="n">
        <v>13</v>
      </c>
      <c r="S87" s="67">
        <f>IF(ISNUMBER(tblY11[[#This Row],[4P06 - Waves
Raw Score]]),IFERROR(VLOOKUP(ROUND(STANDARDIZE(tblY11[[#This Row],[4P06 - Waves
Raw Score]],AVERAGE(tblY11[[4P06 - Waves
Raw Score]]),_xlfn.STDEV.P(tblY11[[4P06 - Waves
Raw Score]])),9),_Stanine,2),5),"")</f>
        <v>3</v>
      </c>
      <c r="T87" s="66" t="n">
        <v>9</v>
      </c>
      <c r="U87" s="67">
        <f>IF(ISNUMBER(tblY11[[#This Row],[4B06 - Inheritance
Raw Score]]),IFERROR(VLOOKUP(ROUND(STANDARDIZE(tblY11[[#This Row],[4B06 - Inheritance
Raw Score]],AVERAGE(tblY11[[4B06 - Inheritance
Raw Score]]),_xlfn.STDEV.P(tblY11[[4B06 - Inheritance
Raw Score]])),9),_Stanine,2),5),"")</f>
        <v>3</v>
      </c>
      <c r="V87" s="66" t="n">
        <v>15</v>
      </c>
      <c r="W87" s="67">
        <f>IF(ISNUMBER(tblY11[[#This Row],[4C10 - Chemical Analysis
Raw Score]]),IFERROR(VLOOKUP(ROUND(STANDARDIZE(tblY11[[#This Row],[4C10 - Chemical Analysis
Raw Score]],AVERAGE(tblY11[[4C10 - Chemical Analysis
Raw Score]]),_xlfn.STDEV.P(tblY11[[4C10 - Chemical Analysis
Raw Score]])),9),_Stanine,2),5),"")</f>
        <v>5</v>
      </c>
      <c r="X87" s="66" t="n">
        <v>13</v>
      </c>
      <c r="Y87" s="67">
        <f>IF(ISNUMBER(tblY11[[#This Row],[4P07 - Magnetism
Raw Score]]),IFERROR(VLOOKUP(ROUND(STANDARDIZE(tblY11[[#This Row],[4P07 - Magnetism
Raw Score]],AVERAGE(tblY11[[4P07 - Magnetism
Raw Score]]),_xlfn.STDEV.P(tblY11[[4P07 - Magnetism
Raw Score]])),9),_Stanine,2),5),"")</f>
        <v>4</v>
      </c>
    </row>
    <row r="88">
      <c r="A88" s="65" t="inlineStr">
        <is>
          <t>X904144797882</t>
        </is>
      </c>
      <c r="B88" s="65" t="inlineStr">
        <is>
          <t>Shaw</t>
        </is>
      </c>
      <c r="C88" s="65" t="inlineStr">
        <is>
          <t>Jacob</t>
        </is>
      </c>
      <c r="D88" s="66" t="inlineStr">
        <is>
          <t>F</t>
        </is>
      </c>
      <c r="E88" s="66" t="n"/>
      <c r="F88" s="66" t="inlineStr">
        <is>
          <t>N</t>
        </is>
      </c>
      <c r="G88" s="34" t="n">
        <v>100</v>
      </c>
      <c r="H88" s="34" t="n">
        <v>91</v>
      </c>
      <c r="I88" s="67">
        <f>IF(ISNUMBER(tblY11[[#This Row],[Avg KS2]]),IFERROR(VLOOKUP(ROUND(STANDARDIZE(tblY11[[#This Row],[Avg KS2]],AVERAGE(tblY11[[Avg KS2]]),_xlfn.STDEV.P(tblY11[[Avg KS2]])),9),_Stanine,2),5),"")</f>
        <v>1</v>
      </c>
      <c r="J88" s="66" t="inlineStr">
        <is>
          <t>11S/Sc4</t>
        </is>
      </c>
      <c r="K88" s="67">
        <f>IF(tblY11[[#This Row],[Preferred Last name]]="","",COUNTIFS($N$1:$ZZ$1,"*"&amp;CHAR(10)&amp;"Stanine",$N88:$ZZ88,"&gt;=1"))</f>
        <v>6</v>
      </c>
      <c r="L88" s="68">
        <f>IFERROR(AVERAGEIF($N$1:$ZZ$1,"*"&amp;CHAR(10)&amp;"Stanine",$N88:$ZZ88),"")</f>
        <v>2</v>
      </c>
      <c r="M88" s="69">
        <f>IF(AND(ISNUMBER(tblY11[[#This Row],[Mean Stanine]]),ISNUMBER(tblY11[[#This Row],[Avg KS2 Band]]),ISNUMBER(SlopeY11)),tblY11[[#This Row],[Mean Stanine]]-(InterceptY11+SlopeY11*tblY11[[#This Row],[Avg KS2 Band]]),"")</f>
        <v>0.0427561327561334</v>
      </c>
      <c r="N88" s="66" t="n">
        <v>6</v>
      </c>
      <c r="O88" s="67">
        <f>IF(ISNUMBER(tblY11[[#This Row],[4B05 - Homeostasis
Raw Score]]),IFERROR(VLOOKUP(ROUND(STANDARDIZE(tblY11[[#This Row],[4B05 - Homeostasis
Raw Score]],AVERAGE(tblY11[[4B05 - Homeostasis
Raw Score]]),_xlfn.STDEV.P(tblY11[[4B05 - Homeostasis
Raw Score]])),9),_Stanine,2),5),"")</f>
        <v>2</v>
      </c>
      <c r="P88" s="66" t="n">
        <v>5</v>
      </c>
      <c r="Q88" s="67">
        <f>IF(ISNUMBER(tblY11[[#This Row],[4C09 - Organic Chemistry
Raw Score]]),IFERROR(VLOOKUP(ROUND(STANDARDIZE(tblY11[[#This Row],[4C09 - Organic Chemistry
Raw Score]],AVERAGE(tblY11[[4C09 - Organic Chemistry
Raw Score]]),_xlfn.STDEV.P(tblY11[[4C09 - Organic Chemistry
Raw Score]])),9),_Stanine,2),5),"")</f>
        <v>2</v>
      </c>
      <c r="R88" s="66" t="n">
        <v>8</v>
      </c>
      <c r="S88" s="67">
        <f>IF(ISNUMBER(tblY11[[#This Row],[4P06 - Waves
Raw Score]]),IFERROR(VLOOKUP(ROUND(STANDARDIZE(tblY11[[#This Row],[4P06 - Waves
Raw Score]],AVERAGE(tblY11[[4P06 - Waves
Raw Score]]),_xlfn.STDEV.P(tblY11[[4P06 - Waves
Raw Score]])),9),_Stanine,2),5),"")</f>
        <v>2</v>
      </c>
      <c r="T88" s="66" t="n">
        <v>7</v>
      </c>
      <c r="U88" s="67">
        <f>IF(ISNUMBER(tblY11[[#This Row],[4B06 - Inheritance
Raw Score]]),IFERROR(VLOOKUP(ROUND(STANDARDIZE(tblY11[[#This Row],[4B06 - Inheritance
Raw Score]],AVERAGE(tblY11[[4B06 - Inheritance
Raw Score]]),_xlfn.STDEV.P(tblY11[[4B06 - Inheritance
Raw Score]])),9),_Stanine,2),5),"")</f>
        <v>2</v>
      </c>
      <c r="V88" s="66" t="n">
        <v>6</v>
      </c>
      <c r="W88" s="67">
        <f>IF(ISNUMBER(tblY11[[#This Row],[4C10 - Chemical Analysis
Raw Score]]),IFERROR(VLOOKUP(ROUND(STANDARDIZE(tblY11[[#This Row],[4C10 - Chemical Analysis
Raw Score]],AVERAGE(tblY11[[4C10 - Chemical Analysis
Raw Score]]),_xlfn.STDEV.P(tblY11[[4C10 - Chemical Analysis
Raw Score]])),9),_Stanine,2),5),"")</f>
        <v>2</v>
      </c>
      <c r="X88" s="66" t="n">
        <v>4</v>
      </c>
      <c r="Y88" s="67">
        <f>IF(ISNUMBER(tblY11[[#This Row],[4P07 - Magnetism
Raw Score]]),IFERROR(VLOOKUP(ROUND(STANDARDIZE(tblY11[[#This Row],[4P07 - Magnetism
Raw Score]],AVERAGE(tblY11[[4P07 - Magnetism
Raw Score]]),_xlfn.STDEV.P(tblY11[[4P07 - Magnetism
Raw Score]])),9),_Stanine,2),5),"")</f>
        <v>2</v>
      </c>
    </row>
    <row r="89">
      <c r="A89" s="65" t="inlineStr">
        <is>
          <t>X903328717548</t>
        </is>
      </c>
      <c r="B89" s="65" t="inlineStr">
        <is>
          <t>Ward</t>
        </is>
      </c>
      <c r="C89" s="65" t="inlineStr">
        <is>
          <t>Kai</t>
        </is>
      </c>
      <c r="D89" s="66" t="inlineStr">
        <is>
          <t>M</t>
        </is>
      </c>
      <c r="E89" s="66" t="inlineStr">
        <is>
          <t>N</t>
        </is>
      </c>
      <c r="F89" s="66" t="inlineStr">
        <is>
          <t>Y</t>
        </is>
      </c>
      <c r="G89" s="34" t="n">
        <v>93.59999999999999</v>
      </c>
      <c r="H89" s="34" t="n">
        <v>96</v>
      </c>
      <c r="I89" s="67">
        <f>IF(ISNUMBER(tblY11[[#This Row],[Avg KS2]]),IFERROR(VLOOKUP(ROUND(STANDARDIZE(tblY11[[#This Row],[Avg KS2]],AVERAGE(tblY11[[Avg KS2]]),_xlfn.STDEV.P(tblY11[[Avg KS2]])),9),_Stanine,2),5),"")</f>
        <v>2</v>
      </c>
      <c r="J89" s="66" t="inlineStr">
        <is>
          <t>11S/Sc4</t>
        </is>
      </c>
      <c r="K89" s="67">
        <f>IF(tblY11[[#This Row],[Preferred Last name]]="","",COUNTIFS($N$1:$ZZ$1,"*"&amp;CHAR(10)&amp;"Stanine",$N89:$ZZ89,"&gt;=1"))</f>
        <v>5</v>
      </c>
      <c r="L89" s="68">
        <f>IFERROR(AVERAGEIF($N$1:$ZZ$1,"*"&amp;CHAR(10)&amp;"Stanine",$N89:$ZZ89),"")</f>
        <v>4</v>
      </c>
      <c r="M89" s="69">
        <f>IF(AND(ISNUMBER(tblY11[[#This Row],[Mean Stanine]]),ISNUMBER(tblY11[[#This Row],[Avg KS2 Band]]),ISNUMBER(SlopeY11)),tblY11[[#This Row],[Mean Stanine]]-(InterceptY11+SlopeY11*tblY11[[#This Row],[Avg KS2 Band]]),"")</f>
        <v>1.2938924963925</v>
      </c>
      <c r="N89" s="66" t="n">
        <v>18</v>
      </c>
      <c r="O89" s="67">
        <f>IF(ISNUMBER(tblY11[[#This Row],[4B05 - Homeostasis
Raw Score]]),IFERROR(VLOOKUP(ROUND(STANDARDIZE(tblY11[[#This Row],[4B05 - Homeostasis
Raw Score]],AVERAGE(tblY11[[4B05 - Homeostasis
Raw Score]]),_xlfn.STDEV.P(tblY11[[4B05 - Homeostasis
Raw Score]])),9),_Stanine,2),5),"")</f>
        <v>4</v>
      </c>
      <c r="P89" s="66" t="inlineStr">
        <is>
          <t>A</t>
        </is>
      </c>
      <c r="Q89" s="67" t="str">
        <f>IF(ISNUMBER(tblY11[[#This Row],[4C09 - Organic Chemistry
Raw Score]]),IFERROR(VLOOKUP(ROUND(STANDARDIZE(tblY11[[#This Row],[4C09 - Organic Chemistry
Raw Score]],AVERAGE(tblY11[[4C09 - Organic Chemistry
Raw Score]]),_xlfn.STDEV.P(tblY11[[4C09 - Organic Chemistry
Raw Score]])),9),_Stanine,2),5),"")</f>
        <v/>
      </c>
      <c r="R89" s="66" t="n">
        <v>15</v>
      </c>
      <c r="S89" s="67">
        <f>IF(ISNUMBER(tblY11[[#This Row],[4P06 - Waves
Raw Score]]),IFERROR(VLOOKUP(ROUND(STANDARDIZE(tblY11[[#This Row],[4P06 - Waves
Raw Score]],AVERAGE(tblY11[[4P06 - Waves
Raw Score]]),_xlfn.STDEV.P(tblY11[[4P06 - Waves
Raw Score]])),9),_Stanine,2),5),"")</f>
        <v>4</v>
      </c>
      <c r="T89" s="66" t="n">
        <v>13</v>
      </c>
      <c r="U89" s="67">
        <f>IF(ISNUMBER(tblY11[[#This Row],[4B06 - Inheritance
Raw Score]]),IFERROR(VLOOKUP(ROUND(STANDARDIZE(tblY11[[#This Row],[4B06 - Inheritance
Raw Score]],AVERAGE(tblY11[[4B06 - Inheritance
Raw Score]]),_xlfn.STDEV.P(tblY11[[4B06 - Inheritance
Raw Score]])),9),_Stanine,2),5),"")</f>
        <v>4</v>
      </c>
      <c r="V89" s="66" t="n">
        <v>7</v>
      </c>
      <c r="W89" s="67">
        <f>IF(ISNUMBER(tblY11[[#This Row],[4C10 - Chemical Analysis
Raw Score]]),IFERROR(VLOOKUP(ROUND(STANDARDIZE(tblY11[[#This Row],[4C10 - Chemical Analysis
Raw Score]],AVERAGE(tblY11[[4C10 - Chemical Analysis
Raw Score]]),_xlfn.STDEV.P(tblY11[[4C10 - Chemical Analysis
Raw Score]])),9),_Stanine,2),5),"")</f>
        <v>3</v>
      </c>
      <c r="X89" s="66" t="n">
        <v>14</v>
      </c>
      <c r="Y89" s="67">
        <f>IF(ISNUMBER(tblY11[[#This Row],[4P07 - Magnetism
Raw Score]]),IFERROR(VLOOKUP(ROUND(STANDARDIZE(tblY11[[#This Row],[4P07 - Magnetism
Raw Score]],AVERAGE(tblY11[[4P07 - Magnetism
Raw Score]]),_xlfn.STDEV.P(tblY11[[4P07 - Magnetism
Raw Score]])),9),_Stanine,2),5),"")</f>
        <v>5</v>
      </c>
    </row>
    <row r="90">
      <c r="A90" s="65" t="inlineStr">
        <is>
          <t>X907451187677</t>
        </is>
      </c>
      <c r="B90" s="65" t="inlineStr">
        <is>
          <t>Begum</t>
        </is>
      </c>
      <c r="C90" s="65" t="inlineStr">
        <is>
          <t>Freya</t>
        </is>
      </c>
      <c r="D90" s="66" t="inlineStr">
        <is>
          <t>F</t>
        </is>
      </c>
      <c r="E90" s="66" t="inlineStr">
        <is>
          <t>N</t>
        </is>
      </c>
      <c r="F90" s="66" t="inlineStr">
        <is>
          <t>N</t>
        </is>
      </c>
      <c r="G90" s="34" t="n">
        <v>84.2</v>
      </c>
      <c r="H90" s="34" t="n">
        <v>97</v>
      </c>
      <c r="I90" s="67">
        <f>IF(ISNUMBER(tblY11[[#This Row],[Avg KS2]]),IFERROR(VLOOKUP(ROUND(STANDARDIZE(tblY11[[#This Row],[Avg KS2]],AVERAGE(tblY11[[Avg KS2]]),_xlfn.STDEV.P(tblY11[[Avg KS2]])),9),_Stanine,2),5),"")</f>
        <v>3</v>
      </c>
      <c r="J90" s="66" t="inlineStr">
        <is>
          <t>11S/Sc5</t>
        </is>
      </c>
      <c r="K90" s="67">
        <f>IF(tblY11[[#This Row],[Preferred Last name]]="","",COUNTIFS($N$1:$ZZ$1,"*"&amp;CHAR(10)&amp;"Stanine",$N90:$ZZ90,"&gt;=1"))</f>
        <v>6</v>
      </c>
      <c r="L90" s="68">
        <f>IFERROR(AVERAGEIF($N$1:$ZZ$1,"*"&amp;CHAR(10)&amp;"Stanine",$N90:$ZZ90),"")</f>
        <v>1.83333333333333</v>
      </c>
      <c r="M90" s="69">
        <f>IF(AND(ISNUMBER(tblY11[[#This Row],[Mean Stanine]]),ISNUMBER(tblY11[[#This Row],[Avg KS2 Band]]),ISNUMBER(SlopeY11)),tblY11[[#This Row],[Mean Stanine]]-(InterceptY11+SlopeY11*tblY11[[#This Row],[Avg KS2 Band]]),"")</f>
        <v>-1.62163780663781</v>
      </c>
      <c r="N90" s="66" t="n">
        <v>6</v>
      </c>
      <c r="O90" s="67">
        <f>IF(ISNUMBER(tblY11[[#This Row],[4B05 - Homeostasis
Raw Score]]),IFERROR(VLOOKUP(ROUND(STANDARDIZE(tblY11[[#This Row],[4B05 - Homeostasis
Raw Score]],AVERAGE(tblY11[[4B05 - Homeostasis
Raw Score]]),_xlfn.STDEV.P(tblY11[[4B05 - Homeostasis
Raw Score]])),9),_Stanine,2),5),"")</f>
        <v>2</v>
      </c>
      <c r="P90" s="66" t="n">
        <v>3</v>
      </c>
      <c r="Q90" s="67">
        <f>IF(ISNUMBER(tblY11[[#This Row],[4C09 - Organic Chemistry
Raw Score]]),IFERROR(VLOOKUP(ROUND(STANDARDIZE(tblY11[[#This Row],[4C09 - Organic Chemistry
Raw Score]],AVERAGE(tblY11[[4C09 - Organic Chemistry
Raw Score]]),_xlfn.STDEV.P(tblY11[[4C09 - Organic Chemistry
Raw Score]])),9),_Stanine,2),5),"")</f>
        <v>1</v>
      </c>
      <c r="R90" s="66" t="n">
        <v>7</v>
      </c>
      <c r="S90" s="67">
        <f>IF(ISNUMBER(tblY11[[#This Row],[4P06 - Waves
Raw Score]]),IFERROR(VLOOKUP(ROUND(STANDARDIZE(tblY11[[#This Row],[4P06 - Waves
Raw Score]],AVERAGE(tblY11[[4P06 - Waves
Raw Score]]),_xlfn.STDEV.P(tblY11[[4P06 - Waves
Raw Score]])),9),_Stanine,2),5),"")</f>
        <v>2</v>
      </c>
      <c r="T90" s="66" t="n">
        <v>5</v>
      </c>
      <c r="U90" s="67">
        <f>IF(ISNUMBER(tblY11[[#This Row],[4B06 - Inheritance
Raw Score]]),IFERROR(VLOOKUP(ROUND(STANDARDIZE(tblY11[[#This Row],[4B06 - Inheritance
Raw Score]],AVERAGE(tblY11[[4B06 - Inheritance
Raw Score]]),_xlfn.STDEV.P(tblY11[[4B06 - Inheritance
Raw Score]])),9),_Stanine,2),5),"")</f>
        <v>2</v>
      </c>
      <c r="V90" s="66" t="n">
        <v>4</v>
      </c>
      <c r="W90" s="67">
        <f>IF(ISNUMBER(tblY11[[#This Row],[4C10 - Chemical Analysis
Raw Score]]),IFERROR(VLOOKUP(ROUND(STANDARDIZE(tblY11[[#This Row],[4C10 - Chemical Analysis
Raw Score]],AVERAGE(tblY11[[4C10 - Chemical Analysis
Raw Score]]),_xlfn.STDEV.P(tblY11[[4C10 - Chemical Analysis
Raw Score]])),9),_Stanine,2),5),"")</f>
        <v>2</v>
      </c>
      <c r="X90" s="66" t="n">
        <v>4</v>
      </c>
      <c r="Y90" s="67">
        <f>IF(ISNUMBER(tblY11[[#This Row],[4P07 - Magnetism
Raw Score]]),IFERROR(VLOOKUP(ROUND(STANDARDIZE(tblY11[[#This Row],[4P07 - Magnetism
Raw Score]],AVERAGE(tblY11[[4P07 - Magnetism
Raw Score]]),_xlfn.STDEV.P(tblY11[[4P07 - Magnetism
Raw Score]])),9),_Stanine,2),5),"")</f>
        <v>2</v>
      </c>
    </row>
    <row r="91">
      <c r="A91" s="65" t="inlineStr">
        <is>
          <t>X903495053414</t>
        </is>
      </c>
      <c r="B91" s="65" t="inlineStr">
        <is>
          <t>Bennett</t>
        </is>
      </c>
      <c r="C91" s="65" t="inlineStr">
        <is>
          <t>Kai</t>
        </is>
      </c>
      <c r="D91" s="66" t="inlineStr">
        <is>
          <t>F</t>
        </is>
      </c>
      <c r="E91" s="66" t="inlineStr">
        <is>
          <t>K</t>
        </is>
      </c>
      <c r="F91" s="66" t="inlineStr">
        <is>
          <t>N</t>
        </is>
      </c>
      <c r="G91" s="34" t="n">
        <v>100</v>
      </c>
      <c r="H91" s="34" t="n">
        <v>101.5</v>
      </c>
      <c r="I91" s="67">
        <f>IF(ISNUMBER(tblY11[[#This Row],[Avg KS2]]),IFERROR(VLOOKUP(ROUND(STANDARDIZE(tblY11[[#This Row],[Avg KS2]],AVERAGE(tblY11[[Avg KS2]]),_xlfn.STDEV.P(tblY11[[Avg KS2]])),9),_Stanine,2),5),"")</f>
        <v>4</v>
      </c>
      <c r="J91" s="66" t="inlineStr">
        <is>
          <t>11S/Sc5</t>
        </is>
      </c>
      <c r="K91" s="67">
        <f>IF(tblY11[[#This Row],[Preferred Last name]]="","",COUNTIFS($N$1:$ZZ$1,"*"&amp;CHAR(10)&amp;"Stanine",$N91:$ZZ91,"&gt;=1"))</f>
        <v>6</v>
      </c>
      <c r="L91" s="68">
        <f>IFERROR(AVERAGEIF($N$1:$ZZ$1,"*"&amp;CHAR(10)&amp;"Stanine",$N91:$ZZ91),"")</f>
        <v>3.66666666666667</v>
      </c>
      <c r="M91" s="69">
        <f>IF(AND(ISNUMBER(tblY11[[#This Row],[Mean Stanine]]),ISNUMBER(tblY11[[#This Row],[Avg KS2 Band]]),ISNUMBER(SlopeY11)),tblY11[[#This Row],[Mean Stanine]]-(InterceptY11+SlopeY11*tblY11[[#This Row],[Avg KS2 Band]]),"")</f>
        <v>-0.537168109668109</v>
      </c>
      <c r="N91" s="66" t="n">
        <v>13</v>
      </c>
      <c r="O91" s="67">
        <f>IF(ISNUMBER(tblY11[[#This Row],[4B05 - Homeostasis
Raw Score]]),IFERROR(VLOOKUP(ROUND(STANDARDIZE(tblY11[[#This Row],[4B05 - Homeostasis
Raw Score]],AVERAGE(tblY11[[4B05 - Homeostasis
Raw Score]]),_xlfn.STDEV.P(tblY11[[4B05 - Homeostasis
Raw Score]])),9),_Stanine,2),5),"")</f>
        <v>3</v>
      </c>
      <c r="P91" s="66" t="n">
        <v>14</v>
      </c>
      <c r="Q91" s="67">
        <f>IF(ISNUMBER(tblY11[[#This Row],[4C09 - Organic Chemistry
Raw Score]]),IFERROR(VLOOKUP(ROUND(STANDARDIZE(tblY11[[#This Row],[4C09 - Organic Chemistry
Raw Score]],AVERAGE(tblY11[[4C09 - Organic Chemistry
Raw Score]]),_xlfn.STDEV.P(tblY11[[4C09 - Organic Chemistry
Raw Score]])),9),_Stanine,2),5),"")</f>
        <v>4</v>
      </c>
      <c r="R91" s="66" t="n">
        <v>19</v>
      </c>
      <c r="S91" s="67">
        <f>IF(ISNUMBER(tblY11[[#This Row],[4P06 - Waves
Raw Score]]),IFERROR(VLOOKUP(ROUND(STANDARDIZE(tblY11[[#This Row],[4P06 - Waves
Raw Score]],AVERAGE(tblY11[[4P06 - Waves
Raw Score]]),_xlfn.STDEV.P(tblY11[[4P06 - Waves
Raw Score]])),9),_Stanine,2),5),"")</f>
        <v>5</v>
      </c>
      <c r="T91" s="66" t="n">
        <v>13</v>
      </c>
      <c r="U91" s="67">
        <f>IF(ISNUMBER(tblY11[[#This Row],[4B06 - Inheritance
Raw Score]]),IFERROR(VLOOKUP(ROUND(STANDARDIZE(tblY11[[#This Row],[4B06 - Inheritance
Raw Score]],AVERAGE(tblY11[[4B06 - Inheritance
Raw Score]]),_xlfn.STDEV.P(tblY11[[4B06 - Inheritance
Raw Score]])),9),_Stanine,2),5),"")</f>
        <v>4</v>
      </c>
      <c r="V91" s="66" t="n">
        <v>9</v>
      </c>
      <c r="W91" s="67">
        <f>IF(ISNUMBER(tblY11[[#This Row],[4C10 - Chemical Analysis
Raw Score]]),IFERROR(VLOOKUP(ROUND(STANDARDIZE(tblY11[[#This Row],[4C10 - Chemical Analysis
Raw Score]],AVERAGE(tblY11[[4C10 - Chemical Analysis
Raw Score]]),_xlfn.STDEV.P(tblY11[[4C10 - Chemical Analysis
Raw Score]])),9),_Stanine,2),5),"")</f>
        <v>3</v>
      </c>
      <c r="X91" s="66" t="n">
        <v>8</v>
      </c>
      <c r="Y91" s="67">
        <f>IF(ISNUMBER(tblY11[[#This Row],[4P07 - Magnetism
Raw Score]]),IFERROR(VLOOKUP(ROUND(STANDARDIZE(tblY11[[#This Row],[4P07 - Magnetism
Raw Score]],AVERAGE(tblY11[[4P07 - Magnetism
Raw Score]]),_xlfn.STDEV.P(tblY11[[4P07 - Magnetism
Raw Score]])),9),_Stanine,2),5),"")</f>
        <v>3</v>
      </c>
    </row>
    <row r="92">
      <c r="A92" s="65" t="inlineStr">
        <is>
          <t>X902581743139</t>
        </is>
      </c>
      <c r="B92" s="65" t="inlineStr">
        <is>
          <t>Jackson</t>
        </is>
      </c>
      <c r="C92" s="65" t="inlineStr">
        <is>
          <t>Chidi</t>
        </is>
      </c>
      <c r="D92" s="66" t="inlineStr">
        <is>
          <t>F</t>
        </is>
      </c>
      <c r="E92" s="66" t="inlineStr">
        <is>
          <t>N</t>
        </is>
      </c>
      <c r="F92" s="66" t="inlineStr">
        <is>
          <t>N</t>
        </is>
      </c>
      <c r="G92" s="34" t="n">
        <v>95.8</v>
      </c>
      <c r="H92" s="34" t="n">
        <v>99</v>
      </c>
      <c r="I92" s="67">
        <f>IF(ISNUMBER(tblY11[[#This Row],[Avg KS2]]),IFERROR(VLOOKUP(ROUND(STANDARDIZE(tblY11[[#This Row],[Avg KS2]],AVERAGE(tblY11[[Avg KS2]]),_xlfn.STDEV.P(tblY11[[Avg KS2]])),9),_Stanine,2),5),"")</f>
        <v>3</v>
      </c>
      <c r="J92" s="66" t="inlineStr">
        <is>
          <t>11S/Sc5</t>
        </is>
      </c>
      <c r="K92" s="67">
        <f>IF(tblY11[[#This Row],[Preferred Last name]]="","",COUNTIFS($N$1:$ZZ$1,"*"&amp;CHAR(10)&amp;"Stanine",$N92:$ZZ92,"&gt;=1"))</f>
        <v>5</v>
      </c>
      <c r="L92" s="68">
        <f>IFERROR(AVERAGEIF($N$1:$ZZ$1,"*"&amp;CHAR(10)&amp;"Stanine",$N92:$ZZ92),"")</f>
        <v>5</v>
      </c>
      <c r="M92" s="69">
        <f>IF(AND(ISNUMBER(tblY11[[#This Row],[Mean Stanine]]),ISNUMBER(tblY11[[#This Row],[Avg KS2 Band]]),ISNUMBER(SlopeY11)),tblY11[[#This Row],[Mean Stanine]]-(InterceptY11+SlopeY11*tblY11[[#This Row],[Avg KS2 Band]]),"")</f>
        <v>1.54502886002886</v>
      </c>
      <c r="N92" s="66" t="n">
        <v>19</v>
      </c>
      <c r="O92" s="67">
        <f>IF(ISNUMBER(tblY11[[#This Row],[4B05 - Homeostasis
Raw Score]]),IFERROR(VLOOKUP(ROUND(STANDARDIZE(tblY11[[#This Row],[4B05 - Homeostasis
Raw Score]],AVERAGE(tblY11[[4B05 - Homeostasis
Raw Score]]),_xlfn.STDEV.P(tblY11[[4B05 - Homeostasis
Raw Score]])),9),_Stanine,2),5),"")</f>
        <v>5</v>
      </c>
      <c r="P92" s="66" t="inlineStr">
        <is>
          <t>A</t>
        </is>
      </c>
      <c r="Q92" s="67" t="str">
        <f>IF(ISNUMBER(tblY11[[#This Row],[4C09 - Organic Chemistry
Raw Score]]),IFERROR(VLOOKUP(ROUND(STANDARDIZE(tblY11[[#This Row],[4C09 - Organic Chemistry
Raw Score]],AVERAGE(tblY11[[4C09 - Organic Chemistry
Raw Score]]),_xlfn.STDEV.P(tblY11[[4C09 - Organic Chemistry
Raw Score]])),9),_Stanine,2),5),"")</f>
        <v/>
      </c>
      <c r="R92" s="66" t="n">
        <v>22</v>
      </c>
      <c r="S92" s="67">
        <f>IF(ISNUMBER(tblY11[[#This Row],[4P06 - Waves
Raw Score]]),IFERROR(VLOOKUP(ROUND(STANDARDIZE(tblY11[[#This Row],[4P06 - Waves
Raw Score]],AVERAGE(tblY11[[4P06 - Waves
Raw Score]]),_xlfn.STDEV.P(tblY11[[4P06 - Waves
Raw Score]])),9),_Stanine,2),5),"")</f>
        <v>5</v>
      </c>
      <c r="T92" s="66" t="n">
        <v>25</v>
      </c>
      <c r="U92" s="67">
        <f>IF(ISNUMBER(tblY11[[#This Row],[4B06 - Inheritance
Raw Score]]),IFERROR(VLOOKUP(ROUND(STANDARDIZE(tblY11[[#This Row],[4B06 - Inheritance
Raw Score]],AVERAGE(tblY11[[4B06 - Inheritance
Raw Score]]),_xlfn.STDEV.P(tblY11[[4B06 - Inheritance
Raw Score]])),9),_Stanine,2),5),"")</f>
        <v>6</v>
      </c>
      <c r="V92" s="66" t="n">
        <v>14</v>
      </c>
      <c r="W92" s="67">
        <f>IF(ISNUMBER(tblY11[[#This Row],[4C10 - Chemical Analysis
Raw Score]]),IFERROR(VLOOKUP(ROUND(STANDARDIZE(tblY11[[#This Row],[4C10 - Chemical Analysis
Raw Score]],AVERAGE(tblY11[[4C10 - Chemical Analysis
Raw Score]]),_xlfn.STDEV.P(tblY11[[4C10 - Chemical Analysis
Raw Score]])),9),_Stanine,2),5),"")</f>
        <v>5</v>
      </c>
      <c r="X92" s="66" t="n">
        <v>13</v>
      </c>
      <c r="Y92" s="67">
        <f>IF(ISNUMBER(tblY11[[#This Row],[4P07 - Magnetism
Raw Score]]),IFERROR(VLOOKUP(ROUND(STANDARDIZE(tblY11[[#This Row],[4P07 - Magnetism
Raw Score]],AVERAGE(tblY11[[4P07 - Magnetism
Raw Score]]),_xlfn.STDEV.P(tblY11[[4P07 - Magnetism
Raw Score]])),9),_Stanine,2),5),"")</f>
        <v>4</v>
      </c>
    </row>
    <row r="93">
      <c r="A93" s="65" t="inlineStr">
        <is>
          <t>X906007240576</t>
        </is>
      </c>
      <c r="B93" s="65" t="inlineStr">
        <is>
          <t>Johnson</t>
        </is>
      </c>
      <c r="C93" s="65" t="inlineStr">
        <is>
          <t>Chidi</t>
        </is>
      </c>
      <c r="D93" s="66" t="inlineStr">
        <is>
          <t>M</t>
        </is>
      </c>
      <c r="E93" s="66" t="n"/>
      <c r="F93" s="66" t="inlineStr">
        <is>
          <t>N</t>
        </is>
      </c>
      <c r="G93" s="34" t="n">
        <v>91.59999999999999</v>
      </c>
      <c r="H93" s="34" t="n">
        <v>98.5</v>
      </c>
      <c r="I93" s="67">
        <f>IF(ISNUMBER(tblY11[[#This Row],[Avg KS2]]),IFERROR(VLOOKUP(ROUND(STANDARDIZE(tblY11[[#This Row],[Avg KS2]],AVERAGE(tblY11[[Avg KS2]]),_xlfn.STDEV.P(tblY11[[Avg KS2]])),9),_Stanine,2),5),"")</f>
        <v>3</v>
      </c>
      <c r="J93" s="66" t="inlineStr">
        <is>
          <t>11S/Sc5</t>
        </is>
      </c>
      <c r="K93" s="67">
        <f>IF(tblY11[[#This Row],[Preferred Last name]]="","",COUNTIFS($N$1:$ZZ$1,"*"&amp;CHAR(10)&amp;"Stanine",$N93:$ZZ93,"&gt;=1"))</f>
        <v>6</v>
      </c>
      <c r="L93" s="68">
        <f>IFERROR(AVERAGEIF($N$1:$ZZ$1,"*"&amp;CHAR(10)&amp;"Stanine",$N93:$ZZ93),"")</f>
        <v>2.33333333333333</v>
      </c>
      <c r="M93" s="69">
        <f>IF(AND(ISNUMBER(tblY11[[#This Row],[Mean Stanine]]),ISNUMBER(tblY11[[#This Row],[Avg KS2 Band]]),ISNUMBER(SlopeY11)),tblY11[[#This Row],[Mean Stanine]]-(InterceptY11+SlopeY11*tblY11[[#This Row],[Avg KS2 Band]]),"")</f>
        <v>-1.12163780663781</v>
      </c>
      <c r="N93" s="66" t="n">
        <v>9</v>
      </c>
      <c r="O93" s="67">
        <f>IF(ISNUMBER(tblY11[[#This Row],[4B05 - Homeostasis
Raw Score]]),IFERROR(VLOOKUP(ROUND(STANDARDIZE(tblY11[[#This Row],[4B05 - Homeostasis
Raw Score]],AVERAGE(tblY11[[4B05 - Homeostasis
Raw Score]]),_xlfn.STDEV.P(tblY11[[4B05 - Homeostasis
Raw Score]])),9),_Stanine,2),5),"")</f>
        <v>2</v>
      </c>
      <c r="P93" s="66" t="n">
        <v>9</v>
      </c>
      <c r="Q93" s="67">
        <f>IF(ISNUMBER(tblY11[[#This Row],[4C09 - Organic Chemistry
Raw Score]]),IFERROR(VLOOKUP(ROUND(STANDARDIZE(tblY11[[#This Row],[4C09 - Organic Chemistry
Raw Score]],AVERAGE(tblY11[[4C09 - Organic Chemistry
Raw Score]]),_xlfn.STDEV.P(tblY11[[4C09 - Organic Chemistry
Raw Score]])),9),_Stanine,2),5),"")</f>
        <v>3</v>
      </c>
      <c r="R93" s="66" t="n">
        <v>8</v>
      </c>
      <c r="S93" s="67">
        <f>IF(ISNUMBER(tblY11[[#This Row],[4P06 - Waves
Raw Score]]),IFERROR(VLOOKUP(ROUND(STANDARDIZE(tblY11[[#This Row],[4P06 - Waves
Raw Score]],AVERAGE(tblY11[[4P06 - Waves
Raw Score]]),_xlfn.STDEV.P(tblY11[[4P06 - Waves
Raw Score]])),9),_Stanine,2),5),"")</f>
        <v>2</v>
      </c>
      <c r="T93" s="66" t="n">
        <v>10</v>
      </c>
      <c r="U93" s="67">
        <f>IF(ISNUMBER(tblY11[[#This Row],[4B06 - Inheritance
Raw Score]]),IFERROR(VLOOKUP(ROUND(STANDARDIZE(tblY11[[#This Row],[4B06 - Inheritance
Raw Score]],AVERAGE(tblY11[[4B06 - Inheritance
Raw Score]]),_xlfn.STDEV.P(tblY11[[4B06 - Inheritance
Raw Score]])),9),_Stanine,2),5),"")</f>
        <v>3</v>
      </c>
      <c r="V93" s="66" t="n">
        <v>6</v>
      </c>
      <c r="W93" s="67">
        <f>IF(ISNUMBER(tblY11[[#This Row],[4C10 - Chemical Analysis
Raw Score]]),IFERROR(VLOOKUP(ROUND(STANDARDIZE(tblY11[[#This Row],[4C10 - Chemical Analysis
Raw Score]],AVERAGE(tblY11[[4C10 - Chemical Analysis
Raw Score]]),_xlfn.STDEV.P(tblY11[[4C10 - Chemical Analysis
Raw Score]])),9),_Stanine,2),5),"")</f>
        <v>2</v>
      </c>
      <c r="X93" s="66" t="n">
        <v>5</v>
      </c>
      <c r="Y93" s="67">
        <f>IF(ISNUMBER(tblY11[[#This Row],[4P07 - Magnetism
Raw Score]]),IFERROR(VLOOKUP(ROUND(STANDARDIZE(tblY11[[#This Row],[4P07 - Magnetism
Raw Score]],AVERAGE(tblY11[[4P07 - Magnetism
Raw Score]]),_xlfn.STDEV.P(tblY11[[4P07 - Magnetism
Raw Score]])),9),_Stanine,2),5),"")</f>
        <v>2</v>
      </c>
    </row>
    <row r="94">
      <c r="A94" s="65" t="inlineStr">
        <is>
          <t>X901382380987</t>
        </is>
      </c>
      <c r="B94" s="65" t="inlineStr">
        <is>
          <t>Lewis</t>
        </is>
      </c>
      <c r="C94" s="65" t="inlineStr">
        <is>
          <t>Zofia</t>
        </is>
      </c>
      <c r="D94" s="66" t="inlineStr">
        <is>
          <t>M</t>
        </is>
      </c>
      <c r="E94" s="66" t="inlineStr">
        <is>
          <t>N</t>
        </is>
      </c>
      <c r="F94" s="66" t="inlineStr">
        <is>
          <t>N</t>
        </is>
      </c>
      <c r="G94" s="34" t="n">
        <v>87.09999999999999</v>
      </c>
      <c r="H94" s="34" t="n">
        <v>98</v>
      </c>
      <c r="I94" s="67">
        <f>IF(ISNUMBER(tblY11[[#This Row],[Avg KS2]]),IFERROR(VLOOKUP(ROUND(STANDARDIZE(tblY11[[#This Row],[Avg KS2]],AVERAGE(tblY11[[Avg KS2]]),_xlfn.STDEV.P(tblY11[[Avg KS2]])),9),_Stanine,2),5),"")</f>
        <v>3</v>
      </c>
      <c r="J94" s="66" t="inlineStr">
        <is>
          <t>11S/Sc5</t>
        </is>
      </c>
      <c r="K94" s="67">
        <f>IF(tblY11[[#This Row],[Preferred Last name]]="","",COUNTIFS($N$1:$ZZ$1,"*"&amp;CHAR(10)&amp;"Stanine",$N94:$ZZ94,"&gt;=1"))</f>
        <v>6</v>
      </c>
      <c r="L94" s="68">
        <f>IFERROR(AVERAGEIF($N$1:$ZZ$1,"*"&amp;CHAR(10)&amp;"Stanine",$N94:$ZZ94),"")</f>
        <v>2.66666666666667</v>
      </c>
      <c r="M94" s="69">
        <f>IF(AND(ISNUMBER(tblY11[[#This Row],[Mean Stanine]]),ISNUMBER(tblY11[[#This Row],[Avg KS2 Band]]),ISNUMBER(SlopeY11)),tblY11[[#This Row],[Mean Stanine]]-(InterceptY11+SlopeY11*tblY11[[#This Row],[Avg KS2 Band]]),"")</f>
        <v>-0.788304473304473</v>
      </c>
      <c r="N94" s="66" t="n">
        <v>13</v>
      </c>
      <c r="O94" s="67">
        <f>IF(ISNUMBER(tblY11[[#This Row],[4B05 - Homeostasis
Raw Score]]),IFERROR(VLOOKUP(ROUND(STANDARDIZE(tblY11[[#This Row],[4B05 - Homeostasis
Raw Score]],AVERAGE(tblY11[[4B05 - Homeostasis
Raw Score]]),_xlfn.STDEV.P(tblY11[[4B05 - Homeostasis
Raw Score]])),9),_Stanine,2),5),"")</f>
        <v>3</v>
      </c>
      <c r="P94" s="66" t="n">
        <v>6</v>
      </c>
      <c r="Q94" s="67">
        <f>IF(ISNUMBER(tblY11[[#This Row],[4C09 - Organic Chemistry
Raw Score]]),IFERROR(VLOOKUP(ROUND(STANDARDIZE(tblY11[[#This Row],[4C09 - Organic Chemistry
Raw Score]],AVERAGE(tblY11[[4C09 - Organic Chemistry
Raw Score]]),_xlfn.STDEV.P(tblY11[[4C09 - Organic Chemistry
Raw Score]])),9),_Stanine,2),5),"")</f>
        <v>2</v>
      </c>
      <c r="R94" s="66" t="n">
        <v>10</v>
      </c>
      <c r="S94" s="67">
        <f>IF(ISNUMBER(tblY11[[#This Row],[4P06 - Waves
Raw Score]]),IFERROR(VLOOKUP(ROUND(STANDARDIZE(tblY11[[#This Row],[4P06 - Waves
Raw Score]],AVERAGE(tblY11[[4P06 - Waves
Raw Score]]),_xlfn.STDEV.P(tblY11[[4P06 - Waves
Raw Score]])),9),_Stanine,2),5),"")</f>
        <v>2</v>
      </c>
      <c r="T94" s="66" t="n">
        <v>8</v>
      </c>
      <c r="U94" s="67">
        <f>IF(ISNUMBER(tblY11[[#This Row],[4B06 - Inheritance
Raw Score]]),IFERROR(VLOOKUP(ROUND(STANDARDIZE(tblY11[[#This Row],[4B06 - Inheritance
Raw Score]],AVERAGE(tblY11[[4B06 - Inheritance
Raw Score]]),_xlfn.STDEV.P(tblY11[[4B06 - Inheritance
Raw Score]])),9),_Stanine,2),5),"")</f>
        <v>3</v>
      </c>
      <c r="V94" s="66" t="n">
        <v>9</v>
      </c>
      <c r="W94" s="67">
        <f>IF(ISNUMBER(tblY11[[#This Row],[4C10 - Chemical Analysis
Raw Score]]),IFERROR(VLOOKUP(ROUND(STANDARDIZE(tblY11[[#This Row],[4C10 - Chemical Analysis
Raw Score]],AVERAGE(tblY11[[4C10 - Chemical Analysis
Raw Score]]),_xlfn.STDEV.P(tblY11[[4C10 - Chemical Analysis
Raw Score]])),9),_Stanine,2),5),"")</f>
        <v>3</v>
      </c>
      <c r="X94" s="66" t="n">
        <v>7</v>
      </c>
      <c r="Y94" s="67">
        <f>IF(ISNUMBER(tblY11[[#This Row],[4P07 - Magnetism
Raw Score]]),IFERROR(VLOOKUP(ROUND(STANDARDIZE(tblY11[[#This Row],[4P07 - Magnetism
Raw Score]],AVERAGE(tblY11[[4P07 - Magnetism
Raw Score]]),_xlfn.STDEV.P(tblY11[[4P07 - Magnetism
Raw Score]])),9),_Stanine,2),5),"")</f>
        <v>3</v>
      </c>
    </row>
    <row r="95">
      <c r="A95" s="65" t="inlineStr">
        <is>
          <t>X907488946354</t>
        </is>
      </c>
      <c r="B95" s="65" t="inlineStr">
        <is>
          <t>Morgan</t>
        </is>
      </c>
      <c r="C95" s="65" t="inlineStr">
        <is>
          <t>Charlie</t>
        </is>
      </c>
      <c r="D95" s="66" t="inlineStr">
        <is>
          <t>F</t>
        </is>
      </c>
      <c r="E95" s="66" t="inlineStr">
        <is>
          <t>N</t>
        </is>
      </c>
      <c r="F95" s="66" t="inlineStr">
        <is>
          <t>N</t>
        </is>
      </c>
      <c r="G95" s="34" t="n">
        <v>94.90000000000001</v>
      </c>
      <c r="H95" s="34" t="n">
        <v>95.5</v>
      </c>
      <c r="I95" s="67">
        <f>IF(ISNUMBER(tblY11[[#This Row],[Avg KS2]]),IFERROR(VLOOKUP(ROUND(STANDARDIZE(tblY11[[#This Row],[Avg KS2]],AVERAGE(tblY11[[Avg KS2]]),_xlfn.STDEV.P(tblY11[[Avg KS2]])),9),_Stanine,2),5),"")</f>
        <v>2</v>
      </c>
      <c r="J95" s="66" t="inlineStr">
        <is>
          <t>11S/Sc5</t>
        </is>
      </c>
      <c r="K95" s="67">
        <f>IF(tblY11[[#This Row],[Preferred Last name]]="","",COUNTIFS($N$1:$ZZ$1,"*"&amp;CHAR(10)&amp;"Stanine",$N95:$ZZ95,"&gt;=1"))</f>
        <v>6</v>
      </c>
      <c r="L95" s="68">
        <f>IFERROR(AVERAGEIF($N$1:$ZZ$1,"*"&amp;CHAR(10)&amp;"Stanine",$N95:$ZZ95),"")</f>
        <v>3.83333333333333</v>
      </c>
      <c r="M95" s="69">
        <f>IF(AND(ISNUMBER(tblY11[[#This Row],[Mean Stanine]]),ISNUMBER(tblY11[[#This Row],[Avg KS2 Band]]),ISNUMBER(SlopeY11)),tblY11[[#This Row],[Mean Stanine]]-(InterceptY11+SlopeY11*tblY11[[#This Row],[Avg KS2 Band]]),"")</f>
        <v>1.12722582972583</v>
      </c>
      <c r="N95" s="66" t="n">
        <v>12</v>
      </c>
      <c r="O95" s="67">
        <f>IF(ISNUMBER(tblY11[[#This Row],[4B05 - Homeostasis
Raw Score]]),IFERROR(VLOOKUP(ROUND(STANDARDIZE(tblY11[[#This Row],[4B05 - Homeostasis
Raw Score]],AVERAGE(tblY11[[4B05 - Homeostasis
Raw Score]]),_xlfn.STDEV.P(tblY11[[4B05 - Homeostasis
Raw Score]])),9),_Stanine,2),5),"")</f>
        <v>3</v>
      </c>
      <c r="P95" s="66" t="n">
        <v>8</v>
      </c>
      <c r="Q95" s="67">
        <f>IF(ISNUMBER(tblY11[[#This Row],[4C09 - Organic Chemistry
Raw Score]]),IFERROR(VLOOKUP(ROUND(STANDARDIZE(tblY11[[#This Row],[4C09 - Organic Chemistry
Raw Score]],AVERAGE(tblY11[[4C09 - Organic Chemistry
Raw Score]]),_xlfn.STDEV.P(tblY11[[4C09 - Organic Chemistry
Raw Score]])),9),_Stanine,2),5),"")</f>
        <v>3</v>
      </c>
      <c r="R95" s="66" t="n">
        <v>19</v>
      </c>
      <c r="S95" s="67">
        <f>IF(ISNUMBER(tblY11[[#This Row],[4P06 - Waves
Raw Score]]),IFERROR(VLOOKUP(ROUND(STANDARDIZE(tblY11[[#This Row],[4P06 - Waves
Raw Score]],AVERAGE(tblY11[[4P06 - Waves
Raw Score]]),_xlfn.STDEV.P(tblY11[[4P06 - Waves
Raw Score]])),9),_Stanine,2),5),"")</f>
        <v>5</v>
      </c>
      <c r="T95" s="66" t="n">
        <v>16</v>
      </c>
      <c r="U95" s="67">
        <f>IF(ISNUMBER(tblY11[[#This Row],[4B06 - Inheritance
Raw Score]]),IFERROR(VLOOKUP(ROUND(STANDARDIZE(tblY11[[#This Row],[4B06 - Inheritance
Raw Score]],AVERAGE(tblY11[[4B06 - Inheritance
Raw Score]]),_xlfn.STDEV.P(tblY11[[4B06 - Inheritance
Raw Score]])),9),_Stanine,2),5),"")</f>
        <v>4</v>
      </c>
      <c r="V95" s="66" t="n">
        <v>10</v>
      </c>
      <c r="W95" s="67">
        <f>IF(ISNUMBER(tblY11[[#This Row],[4C10 - Chemical Analysis
Raw Score]]),IFERROR(VLOOKUP(ROUND(STANDARDIZE(tblY11[[#This Row],[4C10 - Chemical Analysis
Raw Score]],AVERAGE(tblY11[[4C10 - Chemical Analysis
Raw Score]]),_xlfn.STDEV.P(tblY11[[4C10 - Chemical Analysis
Raw Score]])),9),_Stanine,2),5),"")</f>
        <v>4</v>
      </c>
      <c r="X95" s="66" t="n">
        <v>12</v>
      </c>
      <c r="Y95" s="67">
        <f>IF(ISNUMBER(tblY11[[#This Row],[4P07 - Magnetism
Raw Score]]),IFERROR(VLOOKUP(ROUND(STANDARDIZE(tblY11[[#This Row],[4P07 - Magnetism
Raw Score]],AVERAGE(tblY11[[4P07 - Magnetism
Raw Score]]),_xlfn.STDEV.P(tblY11[[4P07 - Magnetism
Raw Score]])),9),_Stanine,2),5),"")</f>
        <v>4</v>
      </c>
    </row>
    <row r="96">
      <c r="A96" s="65" t="inlineStr">
        <is>
          <t>X909693033799</t>
        </is>
      </c>
      <c r="B96" s="65" t="inlineStr">
        <is>
          <t>Morgan</t>
        </is>
      </c>
      <c r="C96" s="65" t="inlineStr">
        <is>
          <t>Zofia</t>
        </is>
      </c>
      <c r="D96" s="66" t="inlineStr">
        <is>
          <t>F</t>
        </is>
      </c>
      <c r="E96" s="66" t="inlineStr">
        <is>
          <t>E</t>
        </is>
      </c>
      <c r="F96" s="66" t="inlineStr">
        <is>
          <t>N</t>
        </is>
      </c>
      <c r="G96" s="34" t="n">
        <v>94.5</v>
      </c>
      <c r="H96" s="34" t="n">
        <v>97</v>
      </c>
      <c r="I96" s="67">
        <f>IF(ISNUMBER(tblY11[[#This Row],[Avg KS2]]),IFERROR(VLOOKUP(ROUND(STANDARDIZE(tblY11[[#This Row],[Avg KS2]],AVERAGE(tblY11[[Avg KS2]]),_xlfn.STDEV.P(tblY11[[Avg KS2]])),9),_Stanine,2),5),"")</f>
        <v>3</v>
      </c>
      <c r="J96" s="66" t="inlineStr">
        <is>
          <t>11S/Sc5</t>
        </is>
      </c>
      <c r="K96" s="67">
        <f>IF(tblY11[[#This Row],[Preferred Last name]]="","",COUNTIFS($N$1:$ZZ$1,"*"&amp;CHAR(10)&amp;"Stanine",$N96:$ZZ96,"&gt;=1"))</f>
        <v>5</v>
      </c>
      <c r="L96" s="68">
        <f>IFERROR(AVERAGEIF($N$1:$ZZ$1,"*"&amp;CHAR(10)&amp;"Stanine",$N96:$ZZ96),"")</f>
        <v>1.6</v>
      </c>
      <c r="M96" s="69">
        <f>IF(AND(ISNUMBER(tblY11[[#This Row],[Mean Stanine]]),ISNUMBER(tblY11[[#This Row],[Avg KS2 Band]]),ISNUMBER(SlopeY11)),tblY11[[#This Row],[Mean Stanine]]-(InterceptY11+SlopeY11*tblY11[[#This Row],[Avg KS2 Band]]),"")</f>
        <v>-1.85497113997114</v>
      </c>
      <c r="N96" s="66" t="n">
        <v>5</v>
      </c>
      <c r="O96" s="67">
        <f>IF(ISNUMBER(tblY11[[#This Row],[4B05 - Homeostasis
Raw Score]]),IFERROR(VLOOKUP(ROUND(STANDARDIZE(tblY11[[#This Row],[4B05 - Homeostasis
Raw Score]],AVERAGE(tblY11[[4B05 - Homeostasis
Raw Score]]),_xlfn.STDEV.P(tblY11[[4B05 - Homeostasis
Raw Score]])),9),_Stanine,2),5),"")</f>
        <v>1</v>
      </c>
      <c r="P96" s="66" t="inlineStr">
        <is>
          <t>A</t>
        </is>
      </c>
      <c r="Q96" s="67" t="str">
        <f>IF(ISNUMBER(tblY11[[#This Row],[4C09 - Organic Chemistry
Raw Score]]),IFERROR(VLOOKUP(ROUND(STANDARDIZE(tblY11[[#This Row],[4C09 - Organic Chemistry
Raw Score]],AVERAGE(tblY11[[4C09 - Organic Chemistry
Raw Score]]),_xlfn.STDEV.P(tblY11[[4C09 - Organic Chemistry
Raw Score]])),9),_Stanine,2),5),"")</f>
        <v/>
      </c>
      <c r="R96" s="66" t="n">
        <v>8</v>
      </c>
      <c r="S96" s="67">
        <f>IF(ISNUMBER(tblY11[[#This Row],[4P06 - Waves
Raw Score]]),IFERROR(VLOOKUP(ROUND(STANDARDIZE(tblY11[[#This Row],[4P06 - Waves
Raw Score]],AVERAGE(tblY11[[4P06 - Waves
Raw Score]]),_xlfn.STDEV.P(tblY11[[4P06 - Waves
Raw Score]])),9),_Stanine,2),5),"")</f>
        <v>2</v>
      </c>
      <c r="T96" s="66" t="n">
        <v>4</v>
      </c>
      <c r="U96" s="67">
        <f>IF(ISNUMBER(tblY11[[#This Row],[4B06 - Inheritance
Raw Score]]),IFERROR(VLOOKUP(ROUND(STANDARDIZE(tblY11[[#This Row],[4B06 - Inheritance
Raw Score]],AVERAGE(tblY11[[4B06 - Inheritance
Raw Score]]),_xlfn.STDEV.P(tblY11[[4B06 - Inheritance
Raw Score]])),9),_Stanine,2),5),"")</f>
        <v>2</v>
      </c>
      <c r="V96" s="66" t="n">
        <v>5</v>
      </c>
      <c r="W96" s="67">
        <f>IF(ISNUMBER(tblY11[[#This Row],[4C10 - Chemical Analysis
Raw Score]]),IFERROR(VLOOKUP(ROUND(STANDARDIZE(tblY11[[#This Row],[4C10 - Chemical Analysis
Raw Score]],AVERAGE(tblY11[[4C10 - Chemical Analysis
Raw Score]]),_xlfn.STDEV.P(tblY11[[4C10 - Chemical Analysis
Raw Score]])),9),_Stanine,2),5),"")</f>
        <v>2</v>
      </c>
      <c r="X96" s="66" t="n">
        <v>2</v>
      </c>
      <c r="Y96" s="67">
        <f>IF(ISNUMBER(tblY11[[#This Row],[4P07 - Magnetism
Raw Score]]),IFERROR(VLOOKUP(ROUND(STANDARDIZE(tblY11[[#This Row],[4P07 - Magnetism
Raw Score]],AVERAGE(tblY11[[4P07 - Magnetism
Raw Score]]),_xlfn.STDEV.P(tblY11[[4P07 - Magnetism
Raw Score]])),9),_Stanine,2),5),"")</f>
        <v>1</v>
      </c>
    </row>
    <row r="97">
      <c r="A97" s="65" t="inlineStr">
        <is>
          <t>X906665291192</t>
        </is>
      </c>
      <c r="B97" s="65" t="inlineStr">
        <is>
          <t>Murphy</t>
        </is>
      </c>
      <c r="C97" s="65" t="inlineStr">
        <is>
          <t>Freya</t>
        </is>
      </c>
      <c r="D97" s="66" t="inlineStr">
        <is>
          <t>F</t>
        </is>
      </c>
      <c r="E97" s="66" t="n"/>
      <c r="F97" s="66" t="inlineStr">
        <is>
          <t>Y</t>
        </is>
      </c>
      <c r="G97" s="34" t="n">
        <v>85.7</v>
      </c>
      <c r="H97" s="34" t="n">
        <v>99</v>
      </c>
      <c r="I97" s="67">
        <f>IF(ISNUMBER(tblY11[[#This Row],[Avg KS2]]),IFERROR(VLOOKUP(ROUND(STANDARDIZE(tblY11[[#This Row],[Avg KS2]],AVERAGE(tblY11[[Avg KS2]]),_xlfn.STDEV.P(tblY11[[Avg KS2]])),9),_Stanine,2),5),"")</f>
        <v>3</v>
      </c>
      <c r="J97" s="66" t="inlineStr">
        <is>
          <t>11S/Sc5</t>
        </is>
      </c>
      <c r="K97" s="67">
        <f>IF(tblY11[[#This Row],[Preferred Last name]]="","",COUNTIFS($N$1:$ZZ$1,"*"&amp;CHAR(10)&amp;"Stanine",$N97:$ZZ97,"&gt;=1"))</f>
        <v>6</v>
      </c>
      <c r="L97" s="68">
        <f>IFERROR(AVERAGEIF($N$1:$ZZ$1,"*"&amp;CHAR(10)&amp;"Stanine",$N97:$ZZ97),"")</f>
        <v>3.16666666666667</v>
      </c>
      <c r="M97" s="69">
        <f>IF(AND(ISNUMBER(tblY11[[#This Row],[Mean Stanine]]),ISNUMBER(tblY11[[#This Row],[Avg KS2 Band]]),ISNUMBER(SlopeY11)),tblY11[[#This Row],[Mean Stanine]]-(InterceptY11+SlopeY11*tblY11[[#This Row],[Avg KS2 Band]]),"")</f>
        <v>-0.288304473304473</v>
      </c>
      <c r="N97" s="66" t="n">
        <v>18</v>
      </c>
      <c r="O97" s="67">
        <f>IF(ISNUMBER(tblY11[[#This Row],[4B05 - Homeostasis
Raw Score]]),IFERROR(VLOOKUP(ROUND(STANDARDIZE(tblY11[[#This Row],[4B05 - Homeostasis
Raw Score]],AVERAGE(tblY11[[4B05 - Homeostasis
Raw Score]]),_xlfn.STDEV.P(tblY11[[4B05 - Homeostasis
Raw Score]])),9),_Stanine,2),5),"")</f>
        <v>4</v>
      </c>
      <c r="P97" s="66" t="n">
        <v>6</v>
      </c>
      <c r="Q97" s="67">
        <f>IF(ISNUMBER(tblY11[[#This Row],[4C09 - Organic Chemistry
Raw Score]]),IFERROR(VLOOKUP(ROUND(STANDARDIZE(tblY11[[#This Row],[4C09 - Organic Chemistry
Raw Score]],AVERAGE(tblY11[[4C09 - Organic Chemistry
Raw Score]]),_xlfn.STDEV.P(tblY11[[4C09 - Organic Chemistry
Raw Score]])),9),_Stanine,2),5),"")</f>
        <v>2</v>
      </c>
      <c r="R97" s="66" t="n">
        <v>14</v>
      </c>
      <c r="S97" s="67">
        <f>IF(ISNUMBER(tblY11[[#This Row],[4P06 - Waves
Raw Score]]),IFERROR(VLOOKUP(ROUND(STANDARDIZE(tblY11[[#This Row],[4P06 - Waves
Raw Score]],AVERAGE(tblY11[[4P06 - Waves
Raw Score]]),_xlfn.STDEV.P(tblY11[[4P06 - Waves
Raw Score]])),9),_Stanine,2),5),"")</f>
        <v>3</v>
      </c>
      <c r="T97" s="66" t="n">
        <v>9</v>
      </c>
      <c r="U97" s="67">
        <f>IF(ISNUMBER(tblY11[[#This Row],[4B06 - Inheritance
Raw Score]]),IFERROR(VLOOKUP(ROUND(STANDARDIZE(tblY11[[#This Row],[4B06 - Inheritance
Raw Score]],AVERAGE(tblY11[[4B06 - Inheritance
Raw Score]]),_xlfn.STDEV.P(tblY11[[4B06 - Inheritance
Raw Score]])),9),_Stanine,2),5),"")</f>
        <v>3</v>
      </c>
      <c r="V97" s="66" t="n">
        <v>9</v>
      </c>
      <c r="W97" s="67">
        <f>IF(ISNUMBER(tblY11[[#This Row],[4C10 - Chemical Analysis
Raw Score]]),IFERROR(VLOOKUP(ROUND(STANDARDIZE(tblY11[[#This Row],[4C10 - Chemical Analysis
Raw Score]],AVERAGE(tblY11[[4C10 - Chemical Analysis
Raw Score]]),_xlfn.STDEV.P(tblY11[[4C10 - Chemical Analysis
Raw Score]])),9),_Stanine,2),5),"")</f>
        <v>3</v>
      </c>
      <c r="X97" s="66" t="n">
        <v>12</v>
      </c>
      <c r="Y97" s="67">
        <f>IF(ISNUMBER(tblY11[[#This Row],[4P07 - Magnetism
Raw Score]]),IFERROR(VLOOKUP(ROUND(STANDARDIZE(tblY11[[#This Row],[4P07 - Magnetism
Raw Score]],AVERAGE(tblY11[[4P07 - Magnetism
Raw Score]]),_xlfn.STDEV.P(tblY11[[4P07 - Magnetism
Raw Score]])),9),_Stanine,2),5),"")</f>
        <v>4</v>
      </c>
    </row>
    <row r="98">
      <c r="A98" s="65" t="inlineStr">
        <is>
          <t>X901339613250</t>
        </is>
      </c>
      <c r="B98" s="65" t="inlineStr">
        <is>
          <t>Okafor</t>
        </is>
      </c>
      <c r="C98" s="65" t="inlineStr">
        <is>
          <t>Arthur</t>
        </is>
      </c>
      <c r="D98" s="66" t="inlineStr">
        <is>
          <t>M</t>
        </is>
      </c>
      <c r="E98" s="66" t="n"/>
      <c r="F98" s="66" t="inlineStr">
        <is>
          <t>Y</t>
        </is>
      </c>
      <c r="G98" s="34" t="n">
        <v>81.40000000000001</v>
      </c>
      <c r="H98" s="34" t="n">
        <v>97.5</v>
      </c>
      <c r="I98" s="67">
        <f>IF(ISNUMBER(tblY11[[#This Row],[Avg KS2]]),IFERROR(VLOOKUP(ROUND(STANDARDIZE(tblY11[[#This Row],[Avg KS2]],AVERAGE(tblY11[[Avg KS2]]),_xlfn.STDEV.P(tblY11[[Avg KS2]])),9),_Stanine,2),5),"")</f>
        <v>3</v>
      </c>
      <c r="J98" s="66" t="inlineStr">
        <is>
          <t>11S/Sc5</t>
        </is>
      </c>
      <c r="K98" s="67">
        <f>IF(tblY11[[#This Row],[Preferred Last name]]="","",COUNTIFS($N$1:$ZZ$1,"*"&amp;CHAR(10)&amp;"Stanine",$N98:$ZZ98,"&gt;=1"))</f>
        <v>4</v>
      </c>
      <c r="L98" s="68">
        <f>IFERROR(AVERAGEIF($N$1:$ZZ$1,"*"&amp;CHAR(10)&amp;"Stanine",$N98:$ZZ98),"")</f>
        <v>3</v>
      </c>
      <c r="M98" s="69">
        <f>IF(AND(ISNUMBER(tblY11[[#This Row],[Mean Stanine]]),ISNUMBER(tblY11[[#This Row],[Avg KS2 Band]]),ISNUMBER(SlopeY11)),tblY11[[#This Row],[Mean Stanine]]-(InterceptY11+SlopeY11*tblY11[[#This Row],[Avg KS2 Band]]),"")</f>
        <v>-0.454971139971139</v>
      </c>
      <c r="N98" s="66" t="n">
        <v>11</v>
      </c>
      <c r="O98" s="67">
        <f>IF(ISNUMBER(tblY11[[#This Row],[4B05 - Homeostasis
Raw Score]]),IFERROR(VLOOKUP(ROUND(STANDARDIZE(tblY11[[#This Row],[4B05 - Homeostasis
Raw Score]],AVERAGE(tblY11[[4B05 - Homeostasis
Raw Score]]),_xlfn.STDEV.P(tblY11[[4B05 - Homeostasis
Raw Score]])),9),_Stanine,2),5),"")</f>
        <v>3</v>
      </c>
      <c r="P98" s="66" t="inlineStr">
        <is>
          <t>A</t>
        </is>
      </c>
      <c r="Q98" s="67" t="str">
        <f>IF(ISNUMBER(tblY11[[#This Row],[4C09 - Organic Chemistry
Raw Score]]),IFERROR(VLOOKUP(ROUND(STANDARDIZE(tblY11[[#This Row],[4C09 - Organic Chemistry
Raw Score]],AVERAGE(tblY11[[4C09 - Organic Chemistry
Raw Score]]),_xlfn.STDEV.P(tblY11[[4C09 - Organic Chemistry
Raw Score]])),9),_Stanine,2),5),"")</f>
        <v/>
      </c>
      <c r="R98" s="66" t="n">
        <v>11</v>
      </c>
      <c r="S98" s="67">
        <f>IF(ISNUMBER(tblY11[[#This Row],[4P06 - Waves
Raw Score]]),IFERROR(VLOOKUP(ROUND(STANDARDIZE(tblY11[[#This Row],[4P06 - Waves
Raw Score]],AVERAGE(tblY11[[4P06 - Waves
Raw Score]]),_xlfn.STDEV.P(tblY11[[4P06 - Waves
Raw Score]])),9),_Stanine,2),5),"")</f>
        <v>3</v>
      </c>
      <c r="T98" s="66" t="n">
        <v>9</v>
      </c>
      <c r="U98" s="67">
        <f>IF(ISNUMBER(tblY11[[#This Row],[4B06 - Inheritance
Raw Score]]),IFERROR(VLOOKUP(ROUND(STANDARDIZE(tblY11[[#This Row],[4B06 - Inheritance
Raw Score]],AVERAGE(tblY11[[4B06 - Inheritance
Raw Score]]),_xlfn.STDEV.P(tblY11[[4B06 - Inheritance
Raw Score]])),9),_Stanine,2),5),"")</f>
        <v>3</v>
      </c>
      <c r="V98" s="66" t="n">
        <v>9</v>
      </c>
      <c r="W98" s="67">
        <f>IF(ISNUMBER(tblY11[[#This Row],[4C10 - Chemical Analysis
Raw Score]]),IFERROR(VLOOKUP(ROUND(STANDARDIZE(tblY11[[#This Row],[4C10 - Chemical Analysis
Raw Score]],AVERAGE(tblY11[[4C10 - Chemical Analysis
Raw Score]]),_xlfn.STDEV.P(tblY11[[4C10 - Chemical Analysis
Raw Score]])),9),_Stanine,2),5),"")</f>
        <v>3</v>
      </c>
      <c r="X98" s="66" t="inlineStr">
        <is>
          <t>A</t>
        </is>
      </c>
      <c r="Y98" s="67" t="str">
        <f>IF(ISNUMBER(tblY11[[#This Row],[4P07 - Magnetism
Raw Score]]),IFERROR(VLOOKUP(ROUND(STANDARDIZE(tblY11[[#This Row],[4P07 - Magnetism
Raw Score]],AVERAGE(tblY11[[4P07 - Magnetism
Raw Score]]),_xlfn.STDEV.P(tblY11[[4P07 - Magnetism
Raw Score]])),9),_Stanine,2),5),"")</f>
        <v/>
      </c>
    </row>
    <row r="99">
      <c r="A99" s="65" t="inlineStr">
        <is>
          <t>X908615052348</t>
        </is>
      </c>
      <c r="B99" s="65" t="inlineStr">
        <is>
          <t>Patel</t>
        </is>
      </c>
      <c r="C99" s="65" t="inlineStr">
        <is>
          <t>Arthur</t>
        </is>
      </c>
      <c r="D99" s="66" t="inlineStr">
        <is>
          <t>M</t>
        </is>
      </c>
      <c r="E99" s="66" t="n"/>
      <c r="F99" s="66" t="inlineStr">
        <is>
          <t>N</t>
        </is>
      </c>
      <c r="G99" s="34" t="n">
        <v>90.8</v>
      </c>
      <c r="H99" s="34" t="n">
        <v>99</v>
      </c>
      <c r="I99" s="67">
        <f>IF(ISNUMBER(tblY11[[#This Row],[Avg KS2]]),IFERROR(VLOOKUP(ROUND(STANDARDIZE(tblY11[[#This Row],[Avg KS2]],AVERAGE(tblY11[[Avg KS2]]),_xlfn.STDEV.P(tblY11[[Avg KS2]])),9),_Stanine,2),5),"")</f>
        <v>3</v>
      </c>
      <c r="J99" s="66" t="inlineStr">
        <is>
          <t>11S/Sc5</t>
        </is>
      </c>
      <c r="K99" s="67">
        <f>IF(tblY11[[#This Row],[Preferred Last name]]="","",COUNTIFS($N$1:$ZZ$1,"*"&amp;CHAR(10)&amp;"Stanine",$N99:$ZZ99,"&gt;=1"))</f>
        <v>6</v>
      </c>
      <c r="L99" s="68">
        <f>IFERROR(AVERAGEIF($N$1:$ZZ$1,"*"&amp;CHAR(10)&amp;"Stanine",$N99:$ZZ99),"")</f>
        <v>6.16666666666667</v>
      </c>
      <c r="M99" s="69">
        <f>IF(AND(ISNUMBER(tblY11[[#This Row],[Mean Stanine]]),ISNUMBER(tblY11[[#This Row],[Avg KS2 Band]]),ISNUMBER(SlopeY11)),tblY11[[#This Row],[Mean Stanine]]-(InterceptY11+SlopeY11*tblY11[[#This Row],[Avg KS2 Band]]),"")</f>
        <v>2.71169552669553</v>
      </c>
      <c r="N99" s="66" t="n">
        <v>20</v>
      </c>
      <c r="O99" s="67">
        <f>IF(ISNUMBER(tblY11[[#This Row],[4B05 - Homeostasis
Raw Score]]),IFERROR(VLOOKUP(ROUND(STANDARDIZE(tblY11[[#This Row],[4B05 - Homeostasis
Raw Score]],AVERAGE(tblY11[[4B05 - Homeostasis
Raw Score]]),_xlfn.STDEV.P(tblY11[[4B05 - Homeostasis
Raw Score]])),9),_Stanine,2),5),"")</f>
        <v>5</v>
      </c>
      <c r="P99" s="66" t="n">
        <v>18</v>
      </c>
      <c r="Q99" s="67">
        <f>IF(ISNUMBER(tblY11[[#This Row],[4C09 - Organic Chemistry
Raw Score]]),IFERROR(VLOOKUP(ROUND(STANDARDIZE(tblY11[[#This Row],[4C09 - Organic Chemistry
Raw Score]],AVERAGE(tblY11[[4C09 - Organic Chemistry
Raw Score]]),_xlfn.STDEV.P(tblY11[[4C09 - Organic Chemistry
Raw Score]])),9),_Stanine,2),5),"")</f>
        <v>5</v>
      </c>
      <c r="R99" s="66" t="n">
        <v>28</v>
      </c>
      <c r="S99" s="67">
        <f>IF(ISNUMBER(tblY11[[#This Row],[4P06 - Waves
Raw Score]]),IFERROR(VLOOKUP(ROUND(STANDARDIZE(tblY11[[#This Row],[4P06 - Waves
Raw Score]],AVERAGE(tblY11[[4P06 - Waves
Raw Score]]),_xlfn.STDEV.P(tblY11[[4P06 - Waves
Raw Score]])),9),_Stanine,2),5),"")</f>
        <v>7</v>
      </c>
      <c r="T99" s="66" t="n">
        <v>28</v>
      </c>
      <c r="U99" s="67">
        <f>IF(ISNUMBER(tblY11[[#This Row],[4B06 - Inheritance
Raw Score]]),IFERROR(VLOOKUP(ROUND(STANDARDIZE(tblY11[[#This Row],[4B06 - Inheritance
Raw Score]],AVERAGE(tblY11[[4B06 - Inheritance
Raw Score]]),_xlfn.STDEV.P(tblY11[[4B06 - Inheritance
Raw Score]])),9),_Stanine,2),5),"")</f>
        <v>7</v>
      </c>
      <c r="V99" s="66" t="n">
        <v>20</v>
      </c>
      <c r="W99" s="67">
        <f>IF(ISNUMBER(tblY11[[#This Row],[4C10 - Chemical Analysis
Raw Score]]),IFERROR(VLOOKUP(ROUND(STANDARDIZE(tblY11[[#This Row],[4C10 - Chemical Analysis
Raw Score]],AVERAGE(tblY11[[4C10 - Chemical Analysis
Raw Score]]),_xlfn.STDEV.P(tblY11[[4C10 - Chemical Analysis
Raw Score]])),9),_Stanine,2),5),"")</f>
        <v>7</v>
      </c>
      <c r="X99" s="66" t="n">
        <v>21</v>
      </c>
      <c r="Y99" s="67">
        <f>IF(ISNUMBER(tblY11[[#This Row],[4P07 - Magnetism
Raw Score]]),IFERROR(VLOOKUP(ROUND(STANDARDIZE(tblY11[[#This Row],[4P07 - Magnetism
Raw Score]],AVERAGE(tblY11[[4P07 - Magnetism
Raw Score]]),_xlfn.STDEV.P(tblY11[[4P07 - Magnetism
Raw Score]])),9),_Stanine,2),5),"")</f>
        <v>6</v>
      </c>
    </row>
    <row r="100">
      <c r="A100" s="65" t="inlineStr">
        <is>
          <t>X907663176262</t>
        </is>
      </c>
      <c r="B100" s="65" t="inlineStr">
        <is>
          <t>Robinson</t>
        </is>
      </c>
      <c r="C100" s="65" t="inlineStr">
        <is>
          <t>Priya</t>
        </is>
      </c>
      <c r="D100" s="66" t="inlineStr">
        <is>
          <t>F</t>
        </is>
      </c>
      <c r="E100" s="66" t="inlineStr">
        <is>
          <t>N</t>
        </is>
      </c>
      <c r="F100" s="66" t="inlineStr">
        <is>
          <t>N</t>
        </is>
      </c>
      <c r="G100" s="34" t="n">
        <v>83.2</v>
      </c>
      <c r="H100" s="34" t="n">
        <v>97.5</v>
      </c>
      <c r="I100" s="67">
        <f>IF(ISNUMBER(tblY11[[#This Row],[Avg KS2]]),IFERROR(VLOOKUP(ROUND(STANDARDIZE(tblY11[[#This Row],[Avg KS2]],AVERAGE(tblY11[[Avg KS2]]),_xlfn.STDEV.P(tblY11[[Avg KS2]])),9),_Stanine,2),5),"")</f>
        <v>3</v>
      </c>
      <c r="J100" s="66" t="inlineStr">
        <is>
          <t>11S/Sc5</t>
        </is>
      </c>
      <c r="K100" s="67">
        <f>IF(tblY11[[#This Row],[Preferred Last name]]="","",COUNTIFS($N$1:$ZZ$1,"*"&amp;CHAR(10)&amp;"Stanine",$N100:$ZZ100,"&gt;=1"))</f>
        <v>6</v>
      </c>
      <c r="L100" s="68">
        <f>IFERROR(AVERAGEIF($N$1:$ZZ$1,"*"&amp;CHAR(10)&amp;"Stanine",$N100:$ZZ100),"")</f>
        <v>2.16666666666667</v>
      </c>
      <c r="M100" s="69">
        <f>IF(AND(ISNUMBER(tblY11[[#This Row],[Mean Stanine]]),ISNUMBER(tblY11[[#This Row],[Avg KS2 Band]]),ISNUMBER(SlopeY11)),tblY11[[#This Row],[Mean Stanine]]-(InterceptY11+SlopeY11*tblY11[[#This Row],[Avg KS2 Band]]),"")</f>
        <v>-1.28830447330447</v>
      </c>
      <c r="N100" s="66" t="n">
        <v>10</v>
      </c>
      <c r="O100" s="67">
        <f>IF(ISNUMBER(tblY11[[#This Row],[4B05 - Homeostasis
Raw Score]]),IFERROR(VLOOKUP(ROUND(STANDARDIZE(tblY11[[#This Row],[4B05 - Homeostasis
Raw Score]],AVERAGE(tblY11[[4B05 - Homeostasis
Raw Score]]),_xlfn.STDEV.P(tblY11[[4B05 - Homeostasis
Raw Score]])),9),_Stanine,2),5),"")</f>
        <v>2</v>
      </c>
      <c r="P100" s="66" t="n">
        <v>8</v>
      </c>
      <c r="Q100" s="67">
        <f>IF(ISNUMBER(tblY11[[#This Row],[4C09 - Organic Chemistry
Raw Score]]),IFERROR(VLOOKUP(ROUND(STANDARDIZE(tblY11[[#This Row],[4C09 - Organic Chemistry
Raw Score]],AVERAGE(tblY11[[4C09 - Organic Chemistry
Raw Score]]),_xlfn.STDEV.P(tblY11[[4C09 - Organic Chemistry
Raw Score]])),9),_Stanine,2),5),"")</f>
        <v>3</v>
      </c>
      <c r="R100" s="66" t="n">
        <v>9</v>
      </c>
      <c r="S100" s="67">
        <f>IF(ISNUMBER(tblY11[[#This Row],[4P06 - Waves
Raw Score]]),IFERROR(VLOOKUP(ROUND(STANDARDIZE(tblY11[[#This Row],[4P06 - Waves
Raw Score]],AVERAGE(tblY11[[4P06 - Waves
Raw Score]]),_xlfn.STDEV.P(tblY11[[4P06 - Waves
Raw Score]])),9),_Stanine,2),5),"")</f>
        <v>2</v>
      </c>
      <c r="T100" s="66" t="n">
        <v>7</v>
      </c>
      <c r="U100" s="67">
        <f>IF(ISNUMBER(tblY11[[#This Row],[4B06 - Inheritance
Raw Score]]),IFERROR(VLOOKUP(ROUND(STANDARDIZE(tblY11[[#This Row],[4B06 - Inheritance
Raw Score]],AVERAGE(tblY11[[4B06 - Inheritance
Raw Score]]),_xlfn.STDEV.P(tblY11[[4B06 - Inheritance
Raw Score]])),9),_Stanine,2),5),"")</f>
        <v>2</v>
      </c>
      <c r="V100" s="66" t="n">
        <v>5</v>
      </c>
      <c r="W100" s="67">
        <f>IF(ISNUMBER(tblY11[[#This Row],[4C10 - Chemical Analysis
Raw Score]]),IFERROR(VLOOKUP(ROUND(STANDARDIZE(tblY11[[#This Row],[4C10 - Chemical Analysis
Raw Score]],AVERAGE(tblY11[[4C10 - Chemical Analysis
Raw Score]]),_xlfn.STDEV.P(tblY11[[4C10 - Chemical Analysis
Raw Score]])),9),_Stanine,2),5),"")</f>
        <v>2</v>
      </c>
      <c r="X100" s="66" t="n">
        <v>4</v>
      </c>
      <c r="Y100" s="67">
        <f>IF(ISNUMBER(tblY11[[#This Row],[4P07 - Magnetism
Raw Score]]),IFERROR(VLOOKUP(ROUND(STANDARDIZE(tblY11[[#This Row],[4P07 - Magnetism
Raw Score]],AVERAGE(tblY11[[4P07 - Magnetism
Raw Score]]),_xlfn.STDEV.P(tblY11[[4P07 - Magnetism
Raw Score]])),9),_Stanine,2),5),"")</f>
        <v>2</v>
      </c>
    </row>
    <row r="101">
      <c r="A101" s="65" t="inlineStr">
        <is>
          <t>X900146502907</t>
        </is>
      </c>
      <c r="B101" s="65" t="inlineStr">
        <is>
          <t>Smith</t>
        </is>
      </c>
      <c r="C101" s="65" t="inlineStr">
        <is>
          <t>Zofia</t>
        </is>
      </c>
      <c r="D101" s="66" t="inlineStr">
        <is>
          <t>M</t>
        </is>
      </c>
      <c r="E101" s="66" t="inlineStr">
        <is>
          <t>N</t>
        </is>
      </c>
      <c r="F101" s="66" t="inlineStr">
        <is>
          <t>N</t>
        </is>
      </c>
      <c r="G101" s="34" t="n">
        <v>92.7</v>
      </c>
      <c r="H101" s="34" t="n">
        <v>95.5</v>
      </c>
      <c r="I101" s="67">
        <f>IF(ISNUMBER(tblY11[[#This Row],[Avg KS2]]),IFERROR(VLOOKUP(ROUND(STANDARDIZE(tblY11[[#This Row],[Avg KS2]],AVERAGE(tblY11[[Avg KS2]]),_xlfn.STDEV.P(tblY11[[Avg KS2]])),9),_Stanine,2),5),"")</f>
        <v>2</v>
      </c>
      <c r="J101" s="66" t="inlineStr">
        <is>
          <t>11S/Sc5</t>
        </is>
      </c>
      <c r="K101" s="67">
        <f>IF(tblY11[[#This Row],[Preferred Last name]]="","",COUNTIFS($N$1:$ZZ$1,"*"&amp;CHAR(10)&amp;"Stanine",$N101:$ZZ101,"&gt;=1"))</f>
        <v>6</v>
      </c>
      <c r="L101" s="68">
        <f>IFERROR(AVERAGEIF($N$1:$ZZ$1,"*"&amp;CHAR(10)&amp;"Stanine",$N101:$ZZ101),"")</f>
        <v>4.33333333333333</v>
      </c>
      <c r="M101" s="69">
        <f>IF(AND(ISNUMBER(tblY11[[#This Row],[Mean Stanine]]),ISNUMBER(tblY11[[#This Row],[Avg KS2 Band]]),ISNUMBER(SlopeY11)),tblY11[[#This Row],[Mean Stanine]]-(InterceptY11+SlopeY11*tblY11[[#This Row],[Avg KS2 Band]]),"")</f>
        <v>1.62722582972583</v>
      </c>
      <c r="N101" s="66" t="n">
        <v>22</v>
      </c>
      <c r="O101" s="67">
        <f>IF(ISNUMBER(tblY11[[#This Row],[4B05 - Homeostasis
Raw Score]]),IFERROR(VLOOKUP(ROUND(STANDARDIZE(tblY11[[#This Row],[4B05 - Homeostasis
Raw Score]],AVERAGE(tblY11[[4B05 - Homeostasis
Raw Score]]),_xlfn.STDEV.P(tblY11[[4B05 - Homeostasis
Raw Score]])),9),_Stanine,2),5),"")</f>
        <v>5</v>
      </c>
      <c r="P101" s="66" t="n">
        <v>13</v>
      </c>
      <c r="Q101" s="67">
        <f>IF(ISNUMBER(tblY11[[#This Row],[4C09 - Organic Chemistry
Raw Score]]),IFERROR(VLOOKUP(ROUND(STANDARDIZE(tblY11[[#This Row],[4C09 - Organic Chemistry
Raw Score]],AVERAGE(tblY11[[4C09 - Organic Chemistry
Raw Score]]),_xlfn.STDEV.P(tblY11[[4C09 - Organic Chemistry
Raw Score]])),9),_Stanine,2),5),"")</f>
        <v>4</v>
      </c>
      <c r="R101" s="66" t="n">
        <v>12</v>
      </c>
      <c r="S101" s="67">
        <f>IF(ISNUMBER(tblY11[[#This Row],[4P06 - Waves
Raw Score]]),IFERROR(VLOOKUP(ROUND(STANDARDIZE(tblY11[[#This Row],[4P06 - Waves
Raw Score]],AVERAGE(tblY11[[4P06 - Waves
Raw Score]]),_xlfn.STDEV.P(tblY11[[4P06 - Waves
Raw Score]])),9),_Stanine,2),5),"")</f>
        <v>3</v>
      </c>
      <c r="T101" s="66" t="n">
        <v>12</v>
      </c>
      <c r="U101" s="67">
        <f>IF(ISNUMBER(tblY11[[#This Row],[4B06 - Inheritance
Raw Score]]),IFERROR(VLOOKUP(ROUND(STANDARDIZE(tblY11[[#This Row],[4B06 - Inheritance
Raw Score]],AVERAGE(tblY11[[4B06 - Inheritance
Raw Score]]),_xlfn.STDEV.P(tblY11[[4B06 - Inheritance
Raw Score]])),9),_Stanine,2),5),"")</f>
        <v>4</v>
      </c>
      <c r="V101" s="66" t="n">
        <v>13</v>
      </c>
      <c r="W101" s="67">
        <f>IF(ISNUMBER(tblY11[[#This Row],[4C10 - Chemical Analysis
Raw Score]]),IFERROR(VLOOKUP(ROUND(STANDARDIZE(tblY11[[#This Row],[4C10 - Chemical Analysis
Raw Score]],AVERAGE(tblY11[[4C10 - Chemical Analysis
Raw Score]]),_xlfn.STDEV.P(tblY11[[4C10 - Chemical Analysis
Raw Score]])),9),_Stanine,2),5),"")</f>
        <v>5</v>
      </c>
      <c r="X101" s="66" t="n">
        <v>16</v>
      </c>
      <c r="Y101" s="67">
        <f>IF(ISNUMBER(tblY11[[#This Row],[4P07 - Magnetism
Raw Score]]),IFERROR(VLOOKUP(ROUND(STANDARDIZE(tblY11[[#This Row],[4P07 - Magnetism
Raw Score]],AVERAGE(tblY11[[4P07 - Magnetism
Raw Score]]),_xlfn.STDEV.P(tblY11[[4P07 - Magnetism
Raw Score]])),9),_Stanine,2),5),"")</f>
        <v>5</v>
      </c>
    </row>
    <row r="102">
      <c r="A102" s="65" t="inlineStr">
        <is>
          <t>X900093242766</t>
        </is>
      </c>
      <c r="B102" s="65" t="inlineStr">
        <is>
          <t>Williams</t>
        </is>
      </c>
      <c r="C102" s="65" t="inlineStr">
        <is>
          <t>Amelia</t>
        </is>
      </c>
      <c r="D102" s="66" t="inlineStr">
        <is>
          <t>F</t>
        </is>
      </c>
      <c r="E102" s="66" t="n"/>
      <c r="F102" s="66" t="inlineStr">
        <is>
          <t>Y</t>
        </is>
      </c>
      <c r="G102" s="34" t="n">
        <v>85.8</v>
      </c>
      <c r="H102" s="34" t="n">
        <v>101.5</v>
      </c>
      <c r="I102" s="67">
        <f>IF(ISNUMBER(tblY11[[#This Row],[Avg KS2]]),IFERROR(VLOOKUP(ROUND(STANDARDIZE(tblY11[[#This Row],[Avg KS2]],AVERAGE(tblY11[[Avg KS2]]),_xlfn.STDEV.P(tblY11[[Avg KS2]])),9),_Stanine,2),5),"")</f>
        <v>4</v>
      </c>
      <c r="J102" s="66" t="inlineStr">
        <is>
          <t>11S/Sc5</t>
        </is>
      </c>
      <c r="K102" s="67">
        <f>IF(tblY11[[#This Row],[Preferred Last name]]="","",COUNTIFS($N$1:$ZZ$1,"*"&amp;CHAR(10)&amp;"Stanine",$N102:$ZZ102,"&gt;=1"))</f>
        <v>6</v>
      </c>
      <c r="L102" s="68">
        <f>IFERROR(AVERAGEIF($N$1:$ZZ$1,"*"&amp;CHAR(10)&amp;"Stanine",$N102:$ZZ102),"")</f>
        <v>2.66666666666667</v>
      </c>
      <c r="M102" s="69">
        <f>IF(AND(ISNUMBER(tblY11[[#This Row],[Mean Stanine]]),ISNUMBER(tblY11[[#This Row],[Avg KS2 Band]]),ISNUMBER(SlopeY11)),tblY11[[#This Row],[Mean Stanine]]-(InterceptY11+SlopeY11*tblY11[[#This Row],[Avg KS2 Band]]),"")</f>
        <v>-1.53716810966811</v>
      </c>
      <c r="N102" s="66" t="n">
        <v>10</v>
      </c>
      <c r="O102" s="67">
        <f>IF(ISNUMBER(tblY11[[#This Row],[4B05 - Homeostasis
Raw Score]]),IFERROR(VLOOKUP(ROUND(STANDARDIZE(tblY11[[#This Row],[4B05 - Homeostasis
Raw Score]],AVERAGE(tblY11[[4B05 - Homeostasis
Raw Score]]),_xlfn.STDEV.P(tblY11[[4B05 - Homeostasis
Raw Score]])),9),_Stanine,2),5),"")</f>
        <v>2</v>
      </c>
      <c r="P102" s="66" t="n">
        <v>7</v>
      </c>
      <c r="Q102" s="67">
        <f>IF(ISNUMBER(tblY11[[#This Row],[4C09 - Organic Chemistry
Raw Score]]),IFERROR(VLOOKUP(ROUND(STANDARDIZE(tblY11[[#This Row],[4C09 - Organic Chemistry
Raw Score]],AVERAGE(tblY11[[4C09 - Organic Chemistry
Raw Score]]),_xlfn.STDEV.P(tblY11[[4C09 - Organic Chemistry
Raw Score]])),9),_Stanine,2),5),"")</f>
        <v>3</v>
      </c>
      <c r="R102" s="66" t="n">
        <v>10</v>
      </c>
      <c r="S102" s="67">
        <f>IF(ISNUMBER(tblY11[[#This Row],[4P06 - Waves
Raw Score]]),IFERROR(VLOOKUP(ROUND(STANDARDIZE(tblY11[[#This Row],[4P06 - Waves
Raw Score]],AVERAGE(tblY11[[4P06 - Waves
Raw Score]]),_xlfn.STDEV.P(tblY11[[4P06 - Waves
Raw Score]])),9),_Stanine,2),5),"")</f>
        <v>2</v>
      </c>
      <c r="T102" s="66" t="n">
        <v>8</v>
      </c>
      <c r="U102" s="67">
        <f>IF(ISNUMBER(tblY11[[#This Row],[4B06 - Inheritance
Raw Score]]),IFERROR(VLOOKUP(ROUND(STANDARDIZE(tblY11[[#This Row],[4B06 - Inheritance
Raw Score]],AVERAGE(tblY11[[4B06 - Inheritance
Raw Score]]),_xlfn.STDEV.P(tblY11[[4B06 - Inheritance
Raw Score]])),9),_Stanine,2),5),"")</f>
        <v>3</v>
      </c>
      <c r="V102" s="66" t="n">
        <v>8</v>
      </c>
      <c r="W102" s="67">
        <f>IF(ISNUMBER(tblY11[[#This Row],[4C10 - Chemical Analysis
Raw Score]]),IFERROR(VLOOKUP(ROUND(STANDARDIZE(tblY11[[#This Row],[4C10 - Chemical Analysis
Raw Score]],AVERAGE(tblY11[[4C10 - Chemical Analysis
Raw Score]]),_xlfn.STDEV.P(tblY11[[4C10 - Chemical Analysis
Raw Score]])),9),_Stanine,2),5),"")</f>
        <v>3</v>
      </c>
      <c r="X102" s="66" t="n">
        <v>9</v>
      </c>
      <c r="Y102" s="67">
        <f>IF(ISNUMBER(tblY11[[#This Row],[4P07 - Magnetism
Raw Score]]),IFERROR(VLOOKUP(ROUND(STANDARDIZE(tblY11[[#This Row],[4P07 - Magnetism
Raw Score]],AVERAGE(tblY11[[4P07 - Magnetism
Raw Score]]),_xlfn.STDEV.P(tblY11[[4P07 - Magnetism
Raw Score]])),9),_Stanine,2),5),"")</f>
        <v>3</v>
      </c>
    </row>
    <row r="103">
      <c r="A103" s="65" t="inlineStr">
        <is>
          <t>X907201782614</t>
        </is>
      </c>
      <c r="B103" s="65" t="inlineStr">
        <is>
          <t>Cooper</t>
        </is>
      </c>
      <c r="C103" s="65" t="inlineStr">
        <is>
          <t>Rosie</t>
        </is>
      </c>
      <c r="D103" s="66" t="inlineStr">
        <is>
          <t>M</t>
        </is>
      </c>
      <c r="E103" s="66" t="n"/>
      <c r="F103" s="66" t="inlineStr">
        <is>
          <t>N</t>
        </is>
      </c>
      <c r="G103" s="34" t="n">
        <v>90.40000000000001</v>
      </c>
      <c r="H103" s="34" t="n">
        <v>92</v>
      </c>
      <c r="I103" s="67">
        <f>IF(ISNUMBER(tblY11[[#This Row],[Avg KS2]]),IFERROR(VLOOKUP(ROUND(STANDARDIZE(tblY11[[#This Row],[Avg KS2]],AVERAGE(tblY11[[Avg KS2]]),_xlfn.STDEV.P(tblY11[[Avg KS2]])),9),_Stanine,2),5),"")</f>
        <v>1</v>
      </c>
      <c r="J103" s="66" t="inlineStr">
        <is>
          <t>Science Support</t>
        </is>
      </c>
      <c r="K103" s="67">
        <f>IF(tblY11[[#This Row],[Preferred Last name]]="","",COUNTIFS($N$1:$ZZ$1,"*"&amp;CHAR(10)&amp;"Stanine",$N103:$ZZ103,"&gt;=1"))</f>
        <v>6</v>
      </c>
      <c r="L103" s="68">
        <f>IFERROR(AVERAGEIF($N$1:$ZZ$1,"*"&amp;CHAR(10)&amp;"Stanine",$N103:$ZZ103),"")</f>
        <v>1.66666666666667</v>
      </c>
      <c r="M103" s="69">
        <f>IF(AND(ISNUMBER(tblY11[[#This Row],[Mean Stanine]]),ISNUMBER(tblY11[[#This Row],[Avg KS2 Band]]),ISNUMBER(SlopeY11)),tblY11[[#This Row],[Mean Stanine]]-(InterceptY11+SlopeY11*tblY11[[#This Row],[Avg KS2 Band]]),"")</f>
        <v>-0.2905772005772</v>
      </c>
      <c r="N103" s="66" t="n">
        <v>5</v>
      </c>
      <c r="O103" s="67">
        <f>IF(ISNUMBER(tblY11[[#This Row],[4B05 - Homeostasis
Raw Score]]),IFERROR(VLOOKUP(ROUND(STANDARDIZE(tblY11[[#This Row],[4B05 - Homeostasis
Raw Score]],AVERAGE(tblY11[[4B05 - Homeostasis
Raw Score]]),_xlfn.STDEV.P(tblY11[[4B05 - Homeostasis
Raw Score]])),9),_Stanine,2),5),"")</f>
        <v>1</v>
      </c>
      <c r="P103" s="66" t="n">
        <v>5</v>
      </c>
      <c r="Q103" s="67">
        <f>IF(ISNUMBER(tblY11[[#This Row],[4C09 - Organic Chemistry
Raw Score]]),IFERROR(VLOOKUP(ROUND(STANDARDIZE(tblY11[[#This Row],[4C09 - Organic Chemistry
Raw Score]],AVERAGE(tblY11[[4C09 - Organic Chemistry
Raw Score]]),_xlfn.STDEV.P(tblY11[[4C09 - Organic Chemistry
Raw Score]])),9),_Stanine,2),5),"")</f>
        <v>2</v>
      </c>
      <c r="R103" s="66" t="n">
        <v>8</v>
      </c>
      <c r="S103" s="67">
        <f>IF(ISNUMBER(tblY11[[#This Row],[4P06 - Waves
Raw Score]]),IFERROR(VLOOKUP(ROUND(STANDARDIZE(tblY11[[#This Row],[4P06 - Waves
Raw Score]],AVERAGE(tblY11[[4P06 - Waves
Raw Score]]),_xlfn.STDEV.P(tblY11[[4P06 - Waves
Raw Score]])),9),_Stanine,2),5),"")</f>
        <v>2</v>
      </c>
      <c r="T103" s="66" t="n">
        <v>4</v>
      </c>
      <c r="U103" s="67">
        <f>IF(ISNUMBER(tblY11[[#This Row],[4B06 - Inheritance
Raw Score]]),IFERROR(VLOOKUP(ROUND(STANDARDIZE(tblY11[[#This Row],[4B06 - Inheritance
Raw Score]],AVERAGE(tblY11[[4B06 - Inheritance
Raw Score]]),_xlfn.STDEV.P(tblY11[[4B06 - Inheritance
Raw Score]])),9),_Stanine,2),5),"")</f>
        <v>2</v>
      </c>
      <c r="V103" s="66" t="n">
        <v>3</v>
      </c>
      <c r="W103" s="67">
        <f>IF(ISNUMBER(tblY11[[#This Row],[4C10 - Chemical Analysis
Raw Score]]),IFERROR(VLOOKUP(ROUND(STANDARDIZE(tblY11[[#This Row],[4C10 - Chemical Analysis
Raw Score]],AVERAGE(tblY11[[4C10 - Chemical Analysis
Raw Score]]),_xlfn.STDEV.P(tblY11[[4C10 - Chemical Analysis
Raw Score]])),9),_Stanine,2),5),"")</f>
        <v>1</v>
      </c>
      <c r="X103" s="66" t="n">
        <v>6</v>
      </c>
      <c r="Y103" s="67">
        <f>IF(ISNUMBER(tblY11[[#This Row],[4P07 - Magnetism
Raw Score]]),IFERROR(VLOOKUP(ROUND(STANDARDIZE(tblY11[[#This Row],[4P07 - Magnetism
Raw Score]],AVERAGE(tblY11[[4P07 - Magnetism
Raw Score]]),_xlfn.STDEV.P(tblY11[[4P07 - Magnetism
Raw Score]])),9),_Stanine,2),5),"")</f>
        <v>2</v>
      </c>
    </row>
    <row r="104">
      <c r="A104" s="65" t="inlineStr">
        <is>
          <t>X904816579034</t>
        </is>
      </c>
      <c r="B104" s="65" t="inlineStr">
        <is>
          <t>Kelly</t>
        </is>
      </c>
      <c r="C104" s="65" t="inlineStr">
        <is>
          <t>Hannah</t>
        </is>
      </c>
      <c r="D104" s="66" t="inlineStr">
        <is>
          <t>M</t>
        </is>
      </c>
      <c r="E104" s="66" t="inlineStr">
        <is>
          <t>K</t>
        </is>
      </c>
      <c r="F104" s="66" t="inlineStr">
        <is>
          <t>Y</t>
        </is>
      </c>
      <c r="G104" s="34" t="n">
        <v>85</v>
      </c>
      <c r="H104" s="34" t="n">
        <v>97</v>
      </c>
      <c r="I104" s="67">
        <f>IF(ISNUMBER(tblY11[[#This Row],[Avg KS2]]),IFERROR(VLOOKUP(ROUND(STANDARDIZE(tblY11[[#This Row],[Avg KS2]],AVERAGE(tblY11[[Avg KS2]]),_xlfn.STDEV.P(tblY11[[Avg KS2]])),9),_Stanine,2),5),"")</f>
        <v>3</v>
      </c>
      <c r="J104" s="66" t="inlineStr">
        <is>
          <t>Science Support</t>
        </is>
      </c>
      <c r="K104" s="67">
        <f>IF(tblY11[[#This Row],[Preferred Last name]]="","",COUNTIFS($N$1:$ZZ$1,"*"&amp;CHAR(10)&amp;"Stanine",$N104:$ZZ104,"&gt;=1"))</f>
        <v>6</v>
      </c>
      <c r="L104" s="68">
        <f>IFERROR(AVERAGEIF($N$1:$ZZ$1,"*"&amp;CHAR(10)&amp;"Stanine",$N104:$ZZ104),"")</f>
        <v>2</v>
      </c>
      <c r="M104" s="69">
        <f>IF(AND(ISNUMBER(tblY11[[#This Row],[Mean Stanine]]),ISNUMBER(tblY11[[#This Row],[Avg KS2 Band]]),ISNUMBER(SlopeY11)),tblY11[[#This Row],[Mean Stanine]]-(InterceptY11+SlopeY11*tblY11[[#This Row],[Avg KS2 Band]]),"")</f>
        <v>-1.45497113997114</v>
      </c>
      <c r="N104" s="66" t="n">
        <v>8</v>
      </c>
      <c r="O104" s="67">
        <f>IF(ISNUMBER(tblY11[[#This Row],[4B05 - Homeostasis
Raw Score]]),IFERROR(VLOOKUP(ROUND(STANDARDIZE(tblY11[[#This Row],[4B05 - Homeostasis
Raw Score]],AVERAGE(tblY11[[4B05 - Homeostasis
Raw Score]]),_xlfn.STDEV.P(tblY11[[4B05 - Homeostasis
Raw Score]])),9),_Stanine,2),5),"")</f>
        <v>2</v>
      </c>
      <c r="P104" s="66" t="n">
        <v>4</v>
      </c>
      <c r="Q104" s="67">
        <f>IF(ISNUMBER(tblY11[[#This Row],[4C09 - Organic Chemistry
Raw Score]]),IFERROR(VLOOKUP(ROUND(STANDARDIZE(tblY11[[#This Row],[4C09 - Organic Chemistry
Raw Score]],AVERAGE(tblY11[[4C09 - Organic Chemistry
Raw Score]]),_xlfn.STDEV.P(tblY11[[4C09 - Organic Chemistry
Raw Score]])),9),_Stanine,2),5),"")</f>
        <v>2</v>
      </c>
      <c r="R104" s="66" t="n">
        <v>7</v>
      </c>
      <c r="S104" s="67">
        <f>IF(ISNUMBER(tblY11[[#This Row],[4P06 - Waves
Raw Score]]),IFERROR(VLOOKUP(ROUND(STANDARDIZE(tblY11[[#This Row],[4P06 - Waves
Raw Score]],AVERAGE(tblY11[[4P06 - Waves
Raw Score]]),_xlfn.STDEV.P(tblY11[[4P06 - Waves
Raw Score]])),9),_Stanine,2),5),"")</f>
        <v>2</v>
      </c>
      <c r="T104" s="66" t="n">
        <v>7</v>
      </c>
      <c r="U104" s="67">
        <f>IF(ISNUMBER(tblY11[[#This Row],[4B06 - Inheritance
Raw Score]]),IFERROR(VLOOKUP(ROUND(STANDARDIZE(tblY11[[#This Row],[4B06 - Inheritance
Raw Score]],AVERAGE(tblY11[[4B06 - Inheritance
Raw Score]]),_xlfn.STDEV.P(tblY11[[4B06 - Inheritance
Raw Score]])),9),_Stanine,2),5),"")</f>
        <v>2</v>
      </c>
      <c r="V104" s="66" t="n">
        <v>4</v>
      </c>
      <c r="W104" s="67">
        <f>IF(ISNUMBER(tblY11[[#This Row],[4C10 - Chemical Analysis
Raw Score]]),IFERROR(VLOOKUP(ROUND(STANDARDIZE(tblY11[[#This Row],[4C10 - Chemical Analysis
Raw Score]],AVERAGE(tblY11[[4C10 - Chemical Analysis
Raw Score]]),_xlfn.STDEV.P(tblY11[[4C10 - Chemical Analysis
Raw Score]])),9),_Stanine,2),5),"")</f>
        <v>2</v>
      </c>
      <c r="X104" s="66" t="n">
        <v>4</v>
      </c>
      <c r="Y104" s="67">
        <f>IF(ISNUMBER(tblY11[[#This Row],[4P07 - Magnetism
Raw Score]]),IFERROR(VLOOKUP(ROUND(STANDARDIZE(tblY11[[#This Row],[4P07 - Magnetism
Raw Score]],AVERAGE(tblY11[[4P07 - Magnetism
Raw Score]]),_xlfn.STDEV.P(tblY11[[4P07 - Magnetism
Raw Score]])),9),_Stanine,2),5),"")</f>
        <v>2</v>
      </c>
    </row>
    <row r="105">
      <c r="A105" s="65" t="inlineStr">
        <is>
          <t>X904941758800</t>
        </is>
      </c>
      <c r="B105" s="65" t="inlineStr">
        <is>
          <t>Lloyd</t>
        </is>
      </c>
      <c r="C105" s="65" t="inlineStr">
        <is>
          <t>Oliver</t>
        </is>
      </c>
      <c r="D105" s="66" t="inlineStr">
        <is>
          <t>F</t>
        </is>
      </c>
      <c r="E105" s="66" t="n"/>
      <c r="F105" s="66" t="inlineStr">
        <is>
          <t>N</t>
        </is>
      </c>
      <c r="G105" s="34" t="n">
        <v>88</v>
      </c>
      <c r="H105" s="34" t="n">
        <v>94</v>
      </c>
      <c r="I105" s="67">
        <f>IF(ISNUMBER(tblY11[[#This Row],[Avg KS2]]),IFERROR(VLOOKUP(ROUND(STANDARDIZE(tblY11[[#This Row],[Avg KS2]],AVERAGE(tblY11[[Avg KS2]]),_xlfn.STDEV.P(tblY11[[Avg KS2]])),9),_Stanine,2),5),"")</f>
        <v>2</v>
      </c>
      <c r="J105" s="66" t="inlineStr">
        <is>
          <t>Science Support</t>
        </is>
      </c>
      <c r="K105" s="67">
        <f>IF(tblY11[[#This Row],[Preferred Last name]]="","",COUNTIFS($N$1:$ZZ$1,"*"&amp;CHAR(10)&amp;"Stanine",$N105:$ZZ105,"&gt;=1"))</f>
        <v>5</v>
      </c>
      <c r="L105" s="68">
        <f>IFERROR(AVERAGEIF($N$1:$ZZ$1,"*"&amp;CHAR(10)&amp;"Stanine",$N105:$ZZ105),"")</f>
        <v>2.2</v>
      </c>
      <c r="M105" s="69">
        <f>IF(AND(ISNUMBER(tblY11[[#This Row],[Mean Stanine]]),ISNUMBER(tblY11[[#This Row],[Avg KS2 Band]]),ISNUMBER(SlopeY11)),tblY11[[#This Row],[Mean Stanine]]-(InterceptY11+SlopeY11*tblY11[[#This Row],[Avg KS2 Band]]),"")</f>
        <v>-0.506107503607503</v>
      </c>
      <c r="N105" s="66" t="n">
        <v>10</v>
      </c>
      <c r="O105" s="67">
        <f>IF(ISNUMBER(tblY11[[#This Row],[4B05 - Homeostasis
Raw Score]]),IFERROR(VLOOKUP(ROUND(STANDARDIZE(tblY11[[#This Row],[4B05 - Homeostasis
Raw Score]],AVERAGE(tblY11[[4B05 - Homeostasis
Raw Score]]),_xlfn.STDEV.P(tblY11[[4B05 - Homeostasis
Raw Score]])),9),_Stanine,2),5),"")</f>
        <v>2</v>
      </c>
      <c r="P105" s="66" t="inlineStr">
        <is>
          <t>A</t>
        </is>
      </c>
      <c r="Q105" s="67" t="str">
        <f>IF(ISNUMBER(tblY11[[#This Row],[4C09 - Organic Chemistry
Raw Score]]),IFERROR(VLOOKUP(ROUND(STANDARDIZE(tblY11[[#This Row],[4C09 - Organic Chemistry
Raw Score]],AVERAGE(tblY11[[4C09 - Organic Chemistry
Raw Score]]),_xlfn.STDEV.P(tblY11[[4C09 - Organic Chemistry
Raw Score]])),9),_Stanine,2),5),"")</f>
        <v/>
      </c>
      <c r="R105" s="66" t="n">
        <v>12</v>
      </c>
      <c r="S105" s="67">
        <f>IF(ISNUMBER(tblY11[[#This Row],[4P06 - Waves
Raw Score]]),IFERROR(VLOOKUP(ROUND(STANDARDIZE(tblY11[[#This Row],[4P06 - Waves
Raw Score]],AVERAGE(tblY11[[4P06 - Waves
Raw Score]]),_xlfn.STDEV.P(tblY11[[4P06 - Waves
Raw Score]])),9),_Stanine,2),5),"")</f>
        <v>3</v>
      </c>
      <c r="T105" s="66" t="n">
        <v>6</v>
      </c>
      <c r="U105" s="67">
        <f>IF(ISNUMBER(tblY11[[#This Row],[4B06 - Inheritance
Raw Score]]),IFERROR(VLOOKUP(ROUND(STANDARDIZE(tblY11[[#This Row],[4B06 - Inheritance
Raw Score]],AVERAGE(tblY11[[4B06 - Inheritance
Raw Score]]),_xlfn.STDEV.P(tblY11[[4B06 - Inheritance
Raw Score]])),9),_Stanine,2),5),"")</f>
        <v>2</v>
      </c>
      <c r="V105" s="66" t="n">
        <v>5</v>
      </c>
      <c r="W105" s="67">
        <f>IF(ISNUMBER(tblY11[[#This Row],[4C10 - Chemical Analysis
Raw Score]]),IFERROR(VLOOKUP(ROUND(STANDARDIZE(tblY11[[#This Row],[4C10 - Chemical Analysis
Raw Score]],AVERAGE(tblY11[[4C10 - Chemical Analysis
Raw Score]]),_xlfn.STDEV.P(tblY11[[4C10 - Chemical Analysis
Raw Score]])),9),_Stanine,2),5),"")</f>
        <v>2</v>
      </c>
      <c r="X105" s="66" t="n">
        <v>6</v>
      </c>
      <c r="Y105" s="67">
        <f>IF(ISNUMBER(tblY11[[#This Row],[4P07 - Magnetism
Raw Score]]),IFERROR(VLOOKUP(ROUND(STANDARDIZE(tblY11[[#This Row],[4P07 - Magnetism
Raw Score]],AVERAGE(tblY11[[4P07 - Magnetism
Raw Score]]),_xlfn.STDEV.P(tblY11[[4P07 - Magnetism
Raw Score]])),9),_Stanine,2),5),"")</f>
        <v>2</v>
      </c>
    </row>
    <row r="106">
      <c r="A106" s="65" t="inlineStr">
        <is>
          <t>X906717914466</t>
        </is>
      </c>
      <c r="B106" s="65" t="inlineStr">
        <is>
          <t>Okafor</t>
        </is>
      </c>
      <c r="C106" s="65" t="inlineStr">
        <is>
          <t>Lewis</t>
        </is>
      </c>
      <c r="D106" s="66" t="inlineStr">
        <is>
          <t>F</t>
        </is>
      </c>
      <c r="E106" s="66" t="inlineStr">
        <is>
          <t>K</t>
        </is>
      </c>
      <c r="F106" s="66" t="inlineStr">
        <is>
          <t>N</t>
        </is>
      </c>
      <c r="G106" s="34" t="n">
        <v>85.90000000000001</v>
      </c>
      <c r="H106" s="34" t="n">
        <v>97</v>
      </c>
      <c r="I106" s="67">
        <f>IF(ISNUMBER(tblY11[[#This Row],[Avg KS2]]),IFERROR(VLOOKUP(ROUND(STANDARDIZE(tblY11[[#This Row],[Avg KS2]],AVERAGE(tblY11[[Avg KS2]]),_xlfn.STDEV.P(tblY11[[Avg KS2]])),9),_Stanine,2),5),"")</f>
        <v>3</v>
      </c>
      <c r="J106" s="66" t="inlineStr">
        <is>
          <t>Science Support</t>
        </is>
      </c>
      <c r="K106" s="67">
        <f>IF(tblY11[[#This Row],[Preferred Last name]]="","",COUNTIFS($N$1:$ZZ$1,"*"&amp;CHAR(10)&amp;"Stanine",$N106:$ZZ106,"&gt;=1"))</f>
        <v>6</v>
      </c>
      <c r="L106" s="68">
        <f>IFERROR(AVERAGEIF($N$1:$ZZ$1,"*"&amp;CHAR(10)&amp;"Stanine",$N106:$ZZ106),"")</f>
        <v>2.16666666666667</v>
      </c>
      <c r="M106" s="69">
        <f>IF(AND(ISNUMBER(tblY11[[#This Row],[Mean Stanine]]),ISNUMBER(tblY11[[#This Row],[Avg KS2 Band]]),ISNUMBER(SlopeY11)),tblY11[[#This Row],[Mean Stanine]]-(InterceptY11+SlopeY11*tblY11[[#This Row],[Avg KS2 Band]]),"")</f>
        <v>-1.28830447330447</v>
      </c>
      <c r="N106" s="66" t="n">
        <v>11</v>
      </c>
      <c r="O106" s="67">
        <f>IF(ISNUMBER(tblY11[[#This Row],[4B05 - Homeostasis
Raw Score]]),IFERROR(VLOOKUP(ROUND(STANDARDIZE(tblY11[[#This Row],[4B05 - Homeostasis
Raw Score]],AVERAGE(tblY11[[4B05 - Homeostasis
Raw Score]]),_xlfn.STDEV.P(tblY11[[4B05 - Homeostasis
Raw Score]])),9),_Stanine,2),5),"")</f>
        <v>3</v>
      </c>
      <c r="P106" s="66" t="n">
        <v>6</v>
      </c>
      <c r="Q106" s="67">
        <f>IF(ISNUMBER(tblY11[[#This Row],[4C09 - Organic Chemistry
Raw Score]]),IFERROR(VLOOKUP(ROUND(STANDARDIZE(tblY11[[#This Row],[4C09 - Organic Chemistry
Raw Score]],AVERAGE(tblY11[[4C09 - Organic Chemistry
Raw Score]]),_xlfn.STDEV.P(tblY11[[4C09 - Organic Chemistry
Raw Score]])),9),_Stanine,2),5),"")</f>
        <v>2</v>
      </c>
      <c r="R106" s="66" t="n">
        <v>7</v>
      </c>
      <c r="S106" s="67">
        <f>IF(ISNUMBER(tblY11[[#This Row],[4P06 - Waves
Raw Score]]),IFERROR(VLOOKUP(ROUND(STANDARDIZE(tblY11[[#This Row],[4P06 - Waves
Raw Score]],AVERAGE(tblY11[[4P06 - Waves
Raw Score]]),_xlfn.STDEV.P(tblY11[[4P06 - Waves
Raw Score]])),9),_Stanine,2),5),"")</f>
        <v>2</v>
      </c>
      <c r="T106" s="66" t="n">
        <v>5</v>
      </c>
      <c r="U106" s="67">
        <f>IF(ISNUMBER(tblY11[[#This Row],[4B06 - Inheritance
Raw Score]]),IFERROR(VLOOKUP(ROUND(STANDARDIZE(tblY11[[#This Row],[4B06 - Inheritance
Raw Score]],AVERAGE(tblY11[[4B06 - Inheritance
Raw Score]]),_xlfn.STDEV.P(tblY11[[4B06 - Inheritance
Raw Score]])),9),_Stanine,2),5),"")</f>
        <v>2</v>
      </c>
      <c r="V106" s="66" t="n">
        <v>5</v>
      </c>
      <c r="W106" s="67">
        <f>IF(ISNUMBER(tblY11[[#This Row],[4C10 - Chemical Analysis
Raw Score]]),IFERROR(VLOOKUP(ROUND(STANDARDIZE(tblY11[[#This Row],[4C10 - Chemical Analysis
Raw Score]],AVERAGE(tblY11[[4C10 - Chemical Analysis
Raw Score]]),_xlfn.STDEV.P(tblY11[[4C10 - Chemical Analysis
Raw Score]])),9),_Stanine,2),5),"")</f>
        <v>2</v>
      </c>
      <c r="X106" s="66" t="n">
        <v>4</v>
      </c>
      <c r="Y106" s="67">
        <f>IF(ISNUMBER(tblY11[[#This Row],[4P07 - Magnetism
Raw Score]]),IFERROR(VLOOKUP(ROUND(STANDARDIZE(tblY11[[#This Row],[4P07 - Magnetism
Raw Score]],AVERAGE(tblY11[[4P07 - Magnetism
Raw Score]]),_xlfn.STDEV.P(tblY11[[4P07 - Magnetism
Raw Score]])),9),_Stanine,2),5),"")</f>
        <v>2</v>
      </c>
    </row>
    <row r="107">
      <c r="A107" s="65" t="inlineStr">
        <is>
          <t>X906453085377</t>
        </is>
      </c>
      <c r="B107" s="65" t="inlineStr">
        <is>
          <t>Okafor</t>
        </is>
      </c>
      <c r="C107" s="65" t="inlineStr">
        <is>
          <t>Rosie</t>
        </is>
      </c>
      <c r="D107" s="66" t="inlineStr">
        <is>
          <t>F</t>
        </is>
      </c>
      <c r="E107" s="66" t="inlineStr">
        <is>
          <t>N</t>
        </is>
      </c>
      <c r="F107" s="66" t="inlineStr">
        <is>
          <t>N</t>
        </is>
      </c>
      <c r="G107" s="34" t="n">
        <v>96.59999999999999</v>
      </c>
      <c r="H107" s="34" t="n">
        <v>98</v>
      </c>
      <c r="I107" s="67">
        <f>IF(ISNUMBER(tblY11[[#This Row],[Avg KS2]]),IFERROR(VLOOKUP(ROUND(STANDARDIZE(tblY11[[#This Row],[Avg KS2]],AVERAGE(tblY11[[Avg KS2]]),_xlfn.STDEV.P(tblY11[[Avg KS2]])),9),_Stanine,2),5),"")</f>
        <v>3</v>
      </c>
      <c r="J107" s="66" t="inlineStr">
        <is>
          <t>Science Support</t>
        </is>
      </c>
      <c r="K107" s="67">
        <f>IF(tblY11[[#This Row],[Preferred Last name]]="","",COUNTIFS($N$1:$ZZ$1,"*"&amp;CHAR(10)&amp;"Stanine",$N107:$ZZ107,"&gt;=1"))</f>
        <v>5</v>
      </c>
      <c r="L107" s="68">
        <f>IFERROR(AVERAGEIF($N$1:$ZZ$1,"*"&amp;CHAR(10)&amp;"Stanine",$N107:$ZZ107),"")</f>
        <v>3.2</v>
      </c>
      <c r="M107" s="69">
        <f>IF(AND(ISNUMBER(tblY11[[#This Row],[Mean Stanine]]),ISNUMBER(tblY11[[#This Row],[Avg KS2 Band]]),ISNUMBER(SlopeY11)),tblY11[[#This Row],[Mean Stanine]]-(InterceptY11+SlopeY11*tblY11[[#This Row],[Avg KS2 Band]]),"")</f>
        <v>-0.254971139971139</v>
      </c>
      <c r="N107" s="66" t="inlineStr">
        <is>
          <t>A</t>
        </is>
      </c>
      <c r="O107" s="67" t="str">
        <f>IF(ISNUMBER(tblY11[[#This Row],[4B05 - Homeostasis
Raw Score]]),IFERROR(VLOOKUP(ROUND(STANDARDIZE(tblY11[[#This Row],[4B05 - Homeostasis
Raw Score]],AVERAGE(tblY11[[4B05 - Homeostasis
Raw Score]]),_xlfn.STDEV.P(tblY11[[4B05 - Homeostasis
Raw Score]])),9),_Stanine,2),5),"")</f>
        <v/>
      </c>
      <c r="P107" s="66" t="n">
        <v>6</v>
      </c>
      <c r="Q107" s="67">
        <f>IF(ISNUMBER(tblY11[[#This Row],[4C09 - Organic Chemistry
Raw Score]]),IFERROR(VLOOKUP(ROUND(STANDARDIZE(tblY11[[#This Row],[4C09 - Organic Chemistry
Raw Score]],AVERAGE(tblY11[[4C09 - Organic Chemistry
Raw Score]]),_xlfn.STDEV.P(tblY11[[4C09 - Organic Chemistry
Raw Score]])),9),_Stanine,2),5),"")</f>
        <v>2</v>
      </c>
      <c r="R107" s="66" t="n">
        <v>14</v>
      </c>
      <c r="S107" s="67">
        <f>IF(ISNUMBER(tblY11[[#This Row],[4P06 - Waves
Raw Score]]),IFERROR(VLOOKUP(ROUND(STANDARDIZE(tblY11[[#This Row],[4P06 - Waves
Raw Score]],AVERAGE(tblY11[[4P06 - Waves
Raw Score]]),_xlfn.STDEV.P(tblY11[[4P06 - Waves
Raw Score]])),9),_Stanine,2),5),"")</f>
        <v>3</v>
      </c>
      <c r="T107" s="66" t="n">
        <v>13</v>
      </c>
      <c r="U107" s="67">
        <f>IF(ISNUMBER(tblY11[[#This Row],[4B06 - Inheritance
Raw Score]]),IFERROR(VLOOKUP(ROUND(STANDARDIZE(tblY11[[#This Row],[4B06 - Inheritance
Raw Score]],AVERAGE(tblY11[[4B06 - Inheritance
Raw Score]]),_xlfn.STDEV.P(tblY11[[4B06 - Inheritance
Raw Score]])),9),_Stanine,2),5),"")</f>
        <v>4</v>
      </c>
      <c r="V107" s="66" t="n">
        <v>7</v>
      </c>
      <c r="W107" s="67">
        <f>IF(ISNUMBER(tblY11[[#This Row],[4C10 - Chemical Analysis
Raw Score]]),IFERROR(VLOOKUP(ROUND(STANDARDIZE(tblY11[[#This Row],[4C10 - Chemical Analysis
Raw Score]],AVERAGE(tblY11[[4C10 - Chemical Analysis
Raw Score]]),_xlfn.STDEV.P(tblY11[[4C10 - Chemical Analysis
Raw Score]])),9),_Stanine,2),5),"")</f>
        <v>3</v>
      </c>
      <c r="X107" s="66" t="n">
        <v>12</v>
      </c>
      <c r="Y107" s="67">
        <f>IF(ISNUMBER(tblY11[[#This Row],[4P07 - Magnetism
Raw Score]]),IFERROR(VLOOKUP(ROUND(STANDARDIZE(tblY11[[#This Row],[4P07 - Magnetism
Raw Score]],AVERAGE(tblY11[[4P07 - Magnetism
Raw Score]]),_xlfn.STDEV.P(tblY11[[4P07 - Magnetism
Raw Score]])),9),_Stanine,2),5),"")</f>
        <v>4</v>
      </c>
    </row>
  </sheetData>
  <conditionalFormatting sqref="I2:I107">
    <cfRule type="iconSet" priority="1">
      <iconSet iconSet="3TrafficLights1">
        <cfvo type="percent" val="0"/>
        <cfvo type="num" val="4"/>
        <cfvo type="num" val="7"/>
      </iconSet>
    </cfRule>
  </conditionalFormatting>
  <conditionalFormatting sqref="L2:L107">
    <cfRule type="iconSet" priority="2">
      <iconSet iconSet="3TrafficLights1">
        <cfvo type="percent" val="0"/>
        <cfvo type="num" val="3.5"/>
        <cfvo type="num" val="6.5"/>
      </iconSet>
    </cfRule>
  </conditionalFormatting>
  <conditionalFormatting sqref="M2:M107">
    <cfRule type="iconSet" priority="3">
      <iconSet iconSet="3Arrows">
        <cfvo type="percent" val="0"/>
        <cfvo type="num" val="-0.99"/>
        <cfvo type="num" val="1"/>
      </iconSet>
    </cfRule>
  </conditionalFormatting>
  <conditionalFormatting sqref="O2:O107">
    <cfRule type="iconSet" priority="4">
      <iconSet iconSet="3TrafficLights1">
        <cfvo type="percent" val="0"/>
        <cfvo type="num" val="4"/>
        <cfvo type="num" val="7"/>
      </iconSet>
    </cfRule>
  </conditionalFormatting>
  <conditionalFormatting sqref="Q2:Q107">
    <cfRule type="iconSet" priority="5">
      <iconSet iconSet="3TrafficLights1">
        <cfvo type="percent" val="0"/>
        <cfvo type="num" val="4"/>
        <cfvo type="num" val="7"/>
      </iconSet>
    </cfRule>
  </conditionalFormatting>
  <conditionalFormatting sqref="S2:S107">
    <cfRule type="iconSet" priority="6">
      <iconSet iconSet="3TrafficLights1">
        <cfvo type="percent" val="0"/>
        <cfvo type="num" val="4"/>
        <cfvo type="num" val="7"/>
      </iconSet>
    </cfRule>
  </conditionalFormatting>
  <conditionalFormatting sqref="U2:U107">
    <cfRule type="iconSet" priority="7">
      <iconSet iconSet="3TrafficLights1">
        <cfvo type="percent" val="0"/>
        <cfvo type="num" val="4"/>
        <cfvo type="num" val="7"/>
      </iconSet>
    </cfRule>
  </conditionalFormatting>
  <conditionalFormatting sqref="W2:W107">
    <cfRule type="iconSet" priority="8">
      <iconSet iconSet="3TrafficLights1">
        <cfvo type="percent" val="0"/>
        <cfvo type="num" val="4"/>
        <cfvo type="num" val="7"/>
      </iconSet>
    </cfRule>
  </conditionalFormatting>
  <conditionalFormatting sqref="Y2:Y107">
    <cfRule type="iconSet" priority="9">
      <iconSet iconSet="3TrafficLights1">
        <cfvo type="percent" val="0"/>
        <cfvo type="num" val="4"/>
        <cfvo type="num" val="7"/>
      </iconSet>
    </cfRule>
  </conditionalFormatting>
  <dataValidations count="6">
    <dataValidation sqref="N2:N107" showDropDown="0" showInputMessage="0" showErrorMessage="1" allowBlank="1" errorTitle="Score out of range" error="Type a mark from 0 to 40, or A for absent. Leave the cell blank if the student has not sat the test yet." type="custom">
      <formula1>OR(UPPER(N2)="A",AND(ISNUMBER(N2),N2&gt;=0,N2&lt;=40))</formula1>
    </dataValidation>
    <dataValidation sqref="P2:P107" showDropDown="0" showInputMessage="0" showErrorMessage="1" allowBlank="1" errorTitle="Score out of range" error="Type a mark from 0 to 35, or A for absent. Leave the cell blank if the student has not sat the test yet." type="custom">
      <formula1>OR(UPPER(P2)="A",AND(ISNUMBER(P2),P2&gt;=0,P2&lt;=35))</formula1>
    </dataValidation>
    <dataValidation sqref="R2:R107" showDropDown="0" showInputMessage="0" showErrorMessage="1" allowBlank="1" errorTitle="Score out of range" error="Type a mark from 0 to 38, or A for absent. Leave the cell blank if the student has not sat the test yet." type="custom">
      <formula1>OR(UPPER(R2)="A",AND(ISNUMBER(R2),R2&gt;=0,R2&lt;=38))</formula1>
    </dataValidation>
    <dataValidation sqref="T2:T107" showDropDown="0" showInputMessage="0" showErrorMessage="1" allowBlank="1" errorTitle="Score out of range" error="Type a mark from 0 to 42, or A for absent. Leave the cell blank if the student has not sat the test yet." type="custom">
      <formula1>OR(UPPER(T2)="A",AND(ISNUMBER(T2),T2&gt;=0,T2&lt;=42))</formula1>
    </dataValidation>
    <dataValidation sqref="V2:V107" showDropDown="0" showInputMessage="0" showErrorMessage="1" allowBlank="1" errorTitle="Score out of range" error="Type a mark from 0 to 30, or A for absent. Leave the cell blank if the student has not sat the test yet." type="custom">
      <formula1>OR(UPPER(V2)="A",AND(ISNUMBER(V2),V2&gt;=0,V2&lt;=30))</formula1>
    </dataValidation>
    <dataValidation sqref="X2:X107" showDropDown="0" showInputMessage="0" showErrorMessage="1" allowBlank="1" errorTitle="Score out of range" error="Type a mark from 0 to 34, or A for absent. Leave the cell blank if the student has not sat the test yet." type="custom">
      <formula1>OR(UPPER(X2)="A",AND(ISNUMBER(X2),X2&gt;=0,X2&lt;=34))</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Info">
    <tabColor rgb="00898781"/>
    <outlinePr summaryBelow="1" summaryRight="1"/>
    <pageSetUpPr fitToPage="1"/>
  </sheetPr>
  <dimension ref="A1:X20"/>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11</t>
        </is>
      </c>
      <c r="B5" s="10" t="inlineStr">
        <is>
          <t>4B05</t>
        </is>
      </c>
      <c r="C5" s="70" t="inlineStr">
        <is>
          <t>Homeostasis</t>
        </is>
      </c>
      <c r="D5" s="70" t="inlineStr">
        <is>
          <t>4B05 - Homeostasis</t>
        </is>
      </c>
      <c r="E5" s="9" t="n">
        <v>40</v>
      </c>
      <c r="F5" s="71" t="n">
        <v>46291</v>
      </c>
      <c r="G5" s="72">
        <f>IF(tblAssessments[[#This Row],[Year Index]]=0,"",COUNTA(CHOOSE(tblAssessments[[#This Row],[Year Index]],tblY11[Preferred Last name])))</f>
        <v>106</v>
      </c>
      <c r="H5" s="72">
        <f>IF(tblAssessments[[#This Row],[Raw Col]]=0,"",COUNT(INDEX(CHOOSE(tblAssessments[[#This Row],[Year Index]],tblY11[#Data]),0,tblAssessments[[#This Row],[Raw Col]])))</f>
        <v>103</v>
      </c>
      <c r="I5" s="72">
        <f>IF(tblAssessments[[#This Row],[Raw Col]]=0,"",COUNTIF(INDEX(CHOOSE(tblAssessments[[#This Row],[Year Index]],tblY11[#Data]),0,tblAssessments[[#This Row],[Raw Col]]),"A"))</f>
        <v>3</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Index]],tblY11[#Data]),0,tblAssessments[[#This Row],[Raw Col]])))</f>
        <v>20.7572815533981</v>
      </c>
      <c r="M5" s="73">
        <f>IF(OR(tblAssessments[[#This Row],[Year Mean]]="",N(tblAssessments[[#This Row],[Max Marks]])=0),"",tblAssessments[[#This Row],[Year Mean]]/tblAssessments[[#This Row],[Max Marks]])</f>
        <v>0.518932038834951</v>
      </c>
      <c r="N5" s="74">
        <f>IF(N(tblAssessments[[#This Row],[Sat]])=0,"",_xlfn.STDEV.P(INDEX(CHOOSE(tblAssessments[[#This Row],[Year Index]],tblY11[#Data]),0,tblAssessments[[#This Row],[Raw Col]])))</f>
        <v>8.49610535494241</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Index]],tblY11[#Headers]),0),0))</f>
        <v>14</v>
      </c>
      <c r="R5" s="72" t="str">
        <f>tblAssessments[[#This Row],[Year Group]]&amp;"|"&amp;COUNTIF(INDEX(tblAssessments[Year Group],1):tblAssessments[[#This Row],[Year Group]],tblAssessments[[#This Row],[Year Group]])</f>
        <v>Year 11|1</v>
      </c>
      <c r="S5" s="72" t="str">
        <f>tblAssessments[[#This Row],[Year Group]]&amp;"|"&amp;tblAssessments[[#This Row],[Test Name]]</f>
        <v>Year 11|4B05 - Homeostasis</v>
      </c>
      <c r="T5"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5" s="76" t="n">
        <v>-99</v>
      </c>
      <c r="W5" s="16" t="n">
        <v>1</v>
      </c>
      <c r="X5" s="70" t="inlineStr">
        <is>
          <t>Very low</t>
        </is>
      </c>
    </row>
    <row r="6">
      <c r="A6" s="10" t="inlineStr">
        <is>
          <t>Year 11</t>
        </is>
      </c>
      <c r="B6" s="10" t="inlineStr">
        <is>
          <t>4C09</t>
        </is>
      </c>
      <c r="C6" s="70" t="inlineStr">
        <is>
          <t>Organic Chemistry</t>
        </is>
      </c>
      <c r="D6" s="70" t="inlineStr">
        <is>
          <t>4C09 - Organic Chemistry</t>
        </is>
      </c>
      <c r="E6" s="9" t="n">
        <v>35</v>
      </c>
      <c r="F6" s="71" t="n">
        <v>46305</v>
      </c>
      <c r="G6" s="72">
        <f>IF(tblAssessments[[#This Row],[Year Index]]=0,"",COUNTA(CHOOSE(tblAssessments[[#This Row],[Year Index]],tblY11[Preferred Last name])))</f>
        <v>106</v>
      </c>
      <c r="H6" s="72">
        <f>IF(tblAssessments[[#This Row],[Raw Col]]=0,"",COUNT(INDEX(CHOOSE(tblAssessments[[#This Row],[Year Index]],tblY11[#Data]),0,tblAssessments[[#This Row],[Raw Col]])))</f>
        <v>97</v>
      </c>
      <c r="I6" s="72">
        <f>IF(tblAssessments[[#This Row],[Raw Col]]=0,"",COUNTIF(INDEX(CHOOSE(tblAssessments[[#This Row],[Year Index]],tblY11[#Data]),0,tblAssessments[[#This Row],[Raw Col]]),"A"))</f>
        <v>9</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Index]],tblY11[#Data]),0,tblAssessments[[#This Row],[Raw Col]])))</f>
        <v>16.1752577319588</v>
      </c>
      <c r="M6" s="73">
        <f>IF(OR(tblAssessments[[#This Row],[Year Mean]]="",N(tblAssessments[[#This Row],[Max Marks]])=0),"",tblAssessments[[#This Row],[Year Mean]]/tblAssessments[[#This Row],[Max Marks]])</f>
        <v>0.462150220913108</v>
      </c>
      <c r="N6" s="74">
        <f>IF(N(tblAssessments[[#This Row],[Sat]])=0,"",_xlfn.STDEV.P(INDEX(CHOOSE(tblAssessments[[#This Row],[Year Index]],tblY11[#Data]),0,tblAssessments[[#This Row],[Raw Col]])))</f>
        <v>7.40160237496445</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Index]],tblY11[#Headers]),0),0))</f>
        <v>16</v>
      </c>
      <c r="R6" s="72" t="str">
        <f>tblAssessments[[#This Row],[Year Group]]&amp;"|"&amp;COUNTIF(INDEX(tblAssessments[Year Group],1):tblAssessments[[#This Row],[Year Group]],tblAssessments[[#This Row],[Year Group]])</f>
        <v>Year 11|2</v>
      </c>
      <c r="S6" s="72" t="str">
        <f>tblAssessments[[#This Row],[Year Group]]&amp;"|"&amp;tblAssessments[[#This Row],[Test Name]]</f>
        <v>Year 11|4C09 - Organic Chemistry</v>
      </c>
      <c r="T6"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6" s="76" t="n">
        <v>-1.75</v>
      </c>
      <c r="W6" s="16" t="n">
        <v>2</v>
      </c>
      <c r="X6" s="70" t="inlineStr">
        <is>
          <t>Low</t>
        </is>
      </c>
    </row>
    <row r="7">
      <c r="A7" s="10" t="inlineStr">
        <is>
          <t>Year 11</t>
        </is>
      </c>
      <c r="B7" s="10" t="inlineStr">
        <is>
          <t>4P06</t>
        </is>
      </c>
      <c r="C7" s="70" t="inlineStr">
        <is>
          <t>Waves</t>
        </is>
      </c>
      <c r="D7" s="70" t="inlineStr">
        <is>
          <t>4P06 - Waves</t>
        </is>
      </c>
      <c r="E7" s="9" t="n">
        <v>38</v>
      </c>
      <c r="F7" s="71" t="n">
        <v>46319</v>
      </c>
      <c r="G7" s="72">
        <f>IF(tblAssessments[[#This Row],[Year Index]]=0,"",COUNTA(CHOOSE(tblAssessments[[#This Row],[Year Index]],tblY11[Preferred Last name])))</f>
        <v>106</v>
      </c>
      <c r="H7" s="72">
        <f>IF(tblAssessments[[#This Row],[Raw Col]]=0,"",COUNT(INDEX(CHOOSE(tblAssessments[[#This Row],[Year Index]],tblY11[#Data]),0,tblAssessments[[#This Row],[Raw Col]])))</f>
        <v>106</v>
      </c>
      <c r="I7" s="72">
        <f>IF(tblAssessments[[#This Row],[Raw Col]]=0,"",COUNTIF(INDEX(CHOOSE(tblAssessments[[#This Row],[Year Index]],tblY11[#Data]),0,tblAssessments[[#This Row],[Raw Col]]),"A"))</f>
        <v>0</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Index]],tblY11[#Data]),0,tblAssessments[[#This Row],[Raw Col]])))</f>
        <v>21.0188679245283</v>
      </c>
      <c r="M7" s="73">
        <f>IF(OR(tblAssessments[[#This Row],[Year Mean]]="",N(tblAssessments[[#This Row],[Max Marks]])=0),"",tblAssessments[[#This Row],[Year Mean]]/tblAssessments[[#This Row],[Max Marks]])</f>
        <v>0.553128103277061</v>
      </c>
      <c r="N7" s="74">
        <f>IF(N(tblAssessments[[#This Row],[Sat]])=0,"",_xlfn.STDEV.P(INDEX(CHOOSE(tblAssessments[[#This Row],[Year Index]],tblY11[#Data]),0,tblAssessments[[#This Row],[Raw Col]])))</f>
        <v>8.4070737646605</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Index]],tblY11[#Headers]),0),0))</f>
        <v>18</v>
      </c>
      <c r="R7" s="72" t="str">
        <f>tblAssessments[[#This Row],[Year Group]]&amp;"|"&amp;COUNTIF(INDEX(tblAssessments[Year Group],1):tblAssessments[[#This Row],[Year Group]],tblAssessments[[#This Row],[Year Group]])</f>
        <v>Year 11|3</v>
      </c>
      <c r="S7" s="72" t="str">
        <f>tblAssessments[[#This Row],[Year Group]]&amp;"|"&amp;tblAssessments[[#This Row],[Test Name]]</f>
        <v>Year 11|4P06 - Waves</v>
      </c>
      <c r="T7"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7" s="76" t="n">
        <v>-1.25</v>
      </c>
      <c r="W7" s="16" t="n">
        <v>3</v>
      </c>
      <c r="X7" s="70" t="inlineStr">
        <is>
          <t>Below average</t>
        </is>
      </c>
    </row>
    <row r="8">
      <c r="A8" s="10" t="inlineStr">
        <is>
          <t>Year 11</t>
        </is>
      </c>
      <c r="B8" s="10" t="inlineStr">
        <is>
          <t>4B06</t>
        </is>
      </c>
      <c r="C8" s="70" t="inlineStr">
        <is>
          <t>Inheritance</t>
        </is>
      </c>
      <c r="D8" s="70" t="inlineStr">
        <is>
          <t>4B06 - Inheritance</t>
        </is>
      </c>
      <c r="E8" s="9" t="n">
        <v>42</v>
      </c>
      <c r="F8" s="71" t="n">
        <v>46333</v>
      </c>
      <c r="G8" s="72">
        <f>IF(tblAssessments[[#This Row],[Year Index]]=0,"",COUNTA(CHOOSE(tblAssessments[[#This Row],[Year Index]],tblY11[Preferred Last name])))</f>
        <v>106</v>
      </c>
      <c r="H8" s="72">
        <f>IF(tblAssessments[[#This Row],[Raw Col]]=0,"",COUNT(INDEX(CHOOSE(tblAssessments[[#This Row],[Year Index]],tblY11[#Data]),0,tblAssessments[[#This Row],[Raw Col]])))</f>
        <v>102</v>
      </c>
      <c r="I8" s="72">
        <f>IF(tblAssessments[[#This Row],[Raw Col]]=0,"",COUNTIF(INDEX(CHOOSE(tblAssessments[[#This Row],[Year Index]],tblY11[#Data]),0,tblAssessments[[#This Row],[Raw Col]]),"A"))</f>
        <v>4</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Index]],tblY11[#Data]),0,tblAssessments[[#This Row],[Raw Col]])))</f>
        <v>18.8529411764706</v>
      </c>
      <c r="M8" s="73">
        <f>IF(OR(tblAssessments[[#This Row],[Year Mean]]="",N(tblAssessments[[#This Row],[Max Marks]])=0),"",tblAssessments[[#This Row],[Year Mean]]/tblAssessments[[#This Row],[Max Marks]])</f>
        <v>0.448879551820728</v>
      </c>
      <c r="N8" s="74">
        <f>IF(N(tblAssessments[[#This Row],[Sat]])=0,"",_xlfn.STDEV.P(INDEX(CHOOSE(tblAssessments[[#This Row],[Year Index]],tblY11[#Data]),0,tblAssessments[[#This Row],[Raw Col]])))</f>
        <v>9.14415816816304</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Index]],tblY11[#Headers]),0),0))</f>
        <v>20</v>
      </c>
      <c r="R8" s="72" t="str">
        <f>tblAssessments[[#This Row],[Year Group]]&amp;"|"&amp;COUNTIF(INDEX(tblAssessments[Year Group],1):tblAssessments[[#This Row],[Year Group]],tblAssessments[[#This Row],[Year Group]])</f>
        <v>Year 11|4</v>
      </c>
      <c r="S8" s="72" t="str">
        <f>tblAssessments[[#This Row],[Year Group]]&amp;"|"&amp;tblAssessments[[#This Row],[Test Name]]</f>
        <v>Year 11|4B06 - Inheritance</v>
      </c>
      <c r="T8"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8" s="76" t="n">
        <v>-0.75</v>
      </c>
      <c r="W8" s="16" t="n">
        <v>4</v>
      </c>
      <c r="X8" s="70" t="inlineStr">
        <is>
          <t>Slightly below average</t>
        </is>
      </c>
    </row>
    <row r="9">
      <c r="A9" s="10" t="inlineStr">
        <is>
          <t>Year 11</t>
        </is>
      </c>
      <c r="B9" s="10" t="inlineStr">
        <is>
          <t>4C10</t>
        </is>
      </c>
      <c r="C9" s="70" t="inlineStr">
        <is>
          <t>Chemical Analysis</t>
        </is>
      </c>
      <c r="D9" s="70" t="inlineStr">
        <is>
          <t>4C10 - Chemical Analysis</t>
        </is>
      </c>
      <c r="E9" s="9" t="n">
        <v>30</v>
      </c>
      <c r="F9" s="71" t="n">
        <v>46347</v>
      </c>
      <c r="G9" s="72">
        <f>IF(tblAssessments[[#This Row],[Year Index]]=0,"",COUNTA(CHOOSE(tblAssessments[[#This Row],[Year Index]],tblY11[Preferred Last name])))</f>
        <v>106</v>
      </c>
      <c r="H9" s="72">
        <f>IF(tblAssessments[[#This Row],[Raw Col]]=0,"",COUNT(INDEX(CHOOSE(tblAssessments[[#This Row],[Year Index]],tblY11[#Data]),0,tblAssessments[[#This Row],[Raw Col]])))</f>
        <v>105</v>
      </c>
      <c r="I9" s="72">
        <f>IF(tblAssessments[[#This Row],[Raw Col]]=0,"",COUNTIF(INDEX(CHOOSE(tblAssessments[[#This Row],[Year Index]],tblY11[#Data]),0,tblAssessments[[#This Row],[Raw Col]]),"A"))</f>
        <v>1</v>
      </c>
      <c r="J9" s="72">
        <f>IF(tblAssessments[[#This Row],[Raw Col]]=0,"",tblAssessments[[#This Row],[Students]]-tblAssessments[[#This Row],[Sat]]-tblAssessments[[#This Row],[Absent]])</f>
        <v>0</v>
      </c>
      <c r="K9" s="73">
        <f>IF(OR(tblAssessments[[#This Row],[Raw Col]]=0,N(tblAssessments[[#This Row],[Students]])=0),"",(tblAssessments[[#This Row],[Sat]]+tblAssessments[[#This Row],[Absent]])/tblAssessments[[#This Row],[Students]])</f>
        <v>1</v>
      </c>
      <c r="L9" s="74">
        <f>IF(N(tblAssessments[[#This Row],[Sat]])=0,"",AVERAGE(INDEX(CHOOSE(tblAssessments[[#This Row],[Year Index]],tblY11[#Data]),0,tblAssessments[[#This Row],[Raw Col]])))</f>
        <v>14.4190476190476</v>
      </c>
      <c r="M9" s="73">
        <f>IF(OR(tblAssessments[[#This Row],[Year Mean]]="",N(tblAssessments[[#This Row],[Max Marks]])=0),"",tblAssessments[[#This Row],[Year Mean]]/tblAssessments[[#This Row],[Max Marks]])</f>
        <v>0.480634920634921</v>
      </c>
      <c r="N9" s="74">
        <f>IF(N(tblAssessments[[#This Row],[Sat]])=0,"",_xlfn.STDEV.P(INDEX(CHOOSE(tblAssessments[[#This Row],[Year Index]],tblY11[#Data]),0,tblAssessments[[#This Row],[Raw Col]])))</f>
        <v>6.23474282874519</v>
      </c>
      <c r="O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9" s="72">
        <f>IFERROR(MATCH(tblAssessments[[#This Row],[Year Group]],YearNames,0),0)</f>
        <v>1</v>
      </c>
      <c r="Q9" s="72">
        <f>IF(tblAssessments[[#This Row],[Year Index]]=0,0,IFERROR(MATCH(tblAssessments[[#This Row],[Test Name]]&amp;CHAR(10)&amp;"Raw Score",CHOOSE(tblAssessments[[#This Row],[Year Index]],tblY11[#Headers]),0),0))</f>
        <v>22</v>
      </c>
      <c r="R9" s="72" t="str">
        <f>tblAssessments[[#This Row],[Year Group]]&amp;"|"&amp;COUNTIF(INDEX(tblAssessments[Year Group],1):tblAssessments[[#This Row],[Year Group]],tblAssessments[[#This Row],[Year Group]])</f>
        <v>Year 11|5</v>
      </c>
      <c r="S9" s="72" t="str">
        <f>tblAssessments[[#This Row],[Year Group]]&amp;"|"&amp;tblAssessments[[#This Row],[Test Name]]</f>
        <v>Year 11|4C10 - Chemical Analysis</v>
      </c>
      <c r="T9"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9" s="76" t="n">
        <v>-0.25</v>
      </c>
      <c r="W9" s="16" t="n">
        <v>5</v>
      </c>
      <c r="X9" s="70" t="inlineStr">
        <is>
          <t>Average</t>
        </is>
      </c>
    </row>
    <row r="10">
      <c r="A10" s="10" t="inlineStr">
        <is>
          <t>Year 11</t>
        </is>
      </c>
      <c r="B10" s="10" t="inlineStr">
        <is>
          <t>4P07</t>
        </is>
      </c>
      <c r="C10" s="70" t="inlineStr">
        <is>
          <t>Magnetism</t>
        </is>
      </c>
      <c r="D10" s="70" t="inlineStr">
        <is>
          <t>4P07 - Magnetism</t>
        </is>
      </c>
      <c r="E10" s="9" t="n">
        <v>34</v>
      </c>
      <c r="F10" s="71" t="n">
        <v>46361</v>
      </c>
      <c r="G10" s="72">
        <f>IF(tblAssessments[[#This Row],[Year Index]]=0,"",COUNTA(CHOOSE(tblAssessments[[#This Row],[Year Index]],tblY11[Preferred Last name])))</f>
        <v>106</v>
      </c>
      <c r="H10" s="72">
        <f>IF(tblAssessments[[#This Row],[Raw Col]]=0,"",COUNT(INDEX(CHOOSE(tblAssessments[[#This Row],[Year Index]],tblY11[#Data]),0,tblAssessments[[#This Row],[Raw Col]])))</f>
        <v>100</v>
      </c>
      <c r="I10" s="72">
        <f>IF(tblAssessments[[#This Row],[Raw Col]]=0,"",COUNTIF(INDEX(CHOOSE(tblAssessments[[#This Row],[Year Index]],tblY11[#Data]),0,tblAssessments[[#This Row],[Raw Col]]),"A"))</f>
        <v>6</v>
      </c>
      <c r="J10" s="72">
        <f>IF(tblAssessments[[#This Row],[Raw Col]]=0,"",tblAssessments[[#This Row],[Students]]-tblAssessments[[#This Row],[Sat]]-tblAssessments[[#This Row],[Absent]])</f>
        <v>0</v>
      </c>
      <c r="K10" s="73">
        <f>IF(OR(tblAssessments[[#This Row],[Raw Col]]=0,N(tblAssessments[[#This Row],[Students]])=0),"",(tblAssessments[[#This Row],[Sat]]+tblAssessments[[#This Row],[Absent]])/tblAssessments[[#This Row],[Students]])</f>
        <v>1</v>
      </c>
      <c r="L10" s="74">
        <f>IF(N(tblAssessments[[#This Row],[Sat]])=0,"",AVERAGE(INDEX(CHOOSE(tblAssessments[[#This Row],[Year Index]],tblY11[#Data]),0,tblAssessments[[#This Row],[Raw Col]])))</f>
        <v>15.69</v>
      </c>
      <c r="M10" s="73">
        <f>IF(OR(tblAssessments[[#This Row],[Year Mean]]="",N(tblAssessments[[#This Row],[Max Marks]])=0),"",tblAssessments[[#This Row],[Year Mean]]/tblAssessments[[#This Row],[Max Marks]])</f>
        <v>0.461470588235294</v>
      </c>
      <c r="N10" s="74">
        <f>IF(N(tblAssessments[[#This Row],[Sat]])=0,"",_xlfn.STDEV.P(INDEX(CHOOSE(tblAssessments[[#This Row],[Year Index]],tblY11[#Data]),0,tblAssessments[[#This Row],[Raw Col]])))</f>
        <v>7.27006877546561</v>
      </c>
      <c r="O10"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0" s="72">
        <f>IFERROR(MATCH(tblAssessments[[#This Row],[Year Group]],YearNames,0),0)</f>
        <v>1</v>
      </c>
      <c r="Q10" s="72">
        <f>IF(tblAssessments[[#This Row],[Year Index]]=0,0,IFERROR(MATCH(tblAssessments[[#This Row],[Test Name]]&amp;CHAR(10)&amp;"Raw Score",CHOOSE(tblAssessments[[#This Row],[Year Index]],tblY11[#Headers]),0),0))</f>
        <v>24</v>
      </c>
      <c r="R10" s="72" t="str">
        <f>tblAssessments[[#This Row],[Year Group]]&amp;"|"&amp;COUNTIF(INDEX(tblAssessments[Year Group],1):tblAssessments[[#This Row],[Year Group]],tblAssessments[[#This Row],[Year Group]])</f>
        <v>Year 11|6</v>
      </c>
      <c r="S10" s="72" t="str">
        <f>tblAssessments[[#This Row],[Year Group]]&amp;"|"&amp;tblAssessments[[#This Row],[Test Name]]</f>
        <v>Year 11|4P07 - Magnetism</v>
      </c>
      <c r="T10"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10" s="76" t="n">
        <v>0.25</v>
      </c>
      <c r="W10" s="16" t="n">
        <v>6</v>
      </c>
      <c r="X10" s="70" t="inlineStr">
        <is>
          <t>Slightly above average</t>
        </is>
      </c>
    </row>
    <row r="11">
      <c r="V11" s="76" t="n">
        <v>0.75</v>
      </c>
      <c r="W11" s="16" t="n">
        <v>7</v>
      </c>
      <c r="X11" s="70" t="inlineStr">
        <is>
          <t>Above average</t>
        </is>
      </c>
    </row>
    <row r="12">
      <c r="V12" s="76" t="n">
        <v>1.25</v>
      </c>
      <c r="W12" s="16" t="n">
        <v>8</v>
      </c>
      <c r="X12" s="70" t="inlineStr">
        <is>
          <t>High</t>
        </is>
      </c>
    </row>
    <row r="13">
      <c r="V13" s="76" t="n">
        <v>1.75</v>
      </c>
      <c r="W13" s="16" t="n">
        <v>9</v>
      </c>
      <c r="X13" s="70" t="inlineStr">
        <is>
          <t>Very high</t>
        </is>
      </c>
    </row>
    <row r="15">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row r="17"/>
    <row r="18"/>
    <row r="19"/>
    <row r="20"/>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7.xml><?xml version="1.0" encoding="utf-8"?>
<worksheet xmlns="http://schemas.openxmlformats.org/spreadsheetml/2006/main">
  <sheetPr codeName="shSettings">
    <tabColor rgb="00898781"/>
    <outlinePr summaryBelow="1" summaryRight="1"/>
    <pageSetUpPr fitToPage="1"/>
  </sheetPr>
  <dimension ref="A1:H30"/>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11</t>
        </is>
      </c>
      <c r="C15" s="9" t="n">
        <v>2027</v>
      </c>
      <c r="D15" s="12" t="inlineStr">
        <is>
          <t>Year 11</t>
        </is>
      </c>
      <c r="E15" s="79">
        <f>IF(ISNUMBER(SlopeY11),SlopeY11,"too few results")</f>
        <v>0.748863636363636</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11</t>
        </is>
      </c>
      <c r="C25" s="12" t="inlineStr">
        <is>
          <t>11S/Sc1</t>
        </is>
      </c>
      <c r="D25" s="80" t="inlineStr">
        <is>
          <t>Ms Rahman</t>
        </is>
      </c>
      <c r="E25" s="81" t="str">
        <f>tblTeachers[[#This Row],[Year Group]]&amp;"|"&amp;tblTeachers[[#This Row],[Class]]</f>
        <v>Year 11|11S/Sc1</v>
      </c>
    </row>
    <row r="26">
      <c r="B26" s="12" t="inlineStr">
        <is>
          <t>Year 11</t>
        </is>
      </c>
      <c r="C26" s="12" t="inlineStr">
        <is>
          <t>11S/Sc2</t>
        </is>
      </c>
      <c r="D26" s="80" t="inlineStr">
        <is>
          <t>Mrs Evans</t>
        </is>
      </c>
      <c r="E26" s="81" t="str">
        <f>tblTeachers[[#This Row],[Year Group]]&amp;"|"&amp;tblTeachers[[#This Row],[Class]]</f>
        <v>Year 11|11S/Sc2</v>
      </c>
    </row>
    <row r="27">
      <c r="B27" s="12" t="inlineStr">
        <is>
          <t>Year 11</t>
        </is>
      </c>
      <c r="C27" s="12" t="inlineStr">
        <is>
          <t>11S/Sc3</t>
        </is>
      </c>
      <c r="D27" s="80" t="inlineStr">
        <is>
          <t>Mr Owen</t>
        </is>
      </c>
      <c r="E27" s="81" t="str">
        <f>tblTeachers[[#This Row],[Year Group]]&amp;"|"&amp;tblTeachers[[#This Row],[Class]]</f>
        <v>Year 11|11S/Sc3</v>
      </c>
    </row>
    <row r="28">
      <c r="B28" s="12" t="inlineStr">
        <is>
          <t>Year 11</t>
        </is>
      </c>
      <c r="C28" s="12" t="inlineStr">
        <is>
          <t>11S/Sc4</t>
        </is>
      </c>
      <c r="D28" s="80" t="inlineStr">
        <is>
          <t>Mrs Singh</t>
        </is>
      </c>
      <c r="E28" s="81" t="str">
        <f>tblTeachers[[#This Row],[Year Group]]&amp;"|"&amp;tblTeachers[[#This Row],[Class]]</f>
        <v>Year 11|11S/Sc4</v>
      </c>
    </row>
    <row r="29">
      <c r="B29" s="12" t="inlineStr">
        <is>
          <t>Year 11</t>
        </is>
      </c>
      <c r="C29" s="12" t="inlineStr">
        <is>
          <t>11S/Sc5</t>
        </is>
      </c>
      <c r="D29" s="80" t="inlineStr">
        <is>
          <t>Ms Novak</t>
        </is>
      </c>
      <c r="E29" s="81" t="str">
        <f>tblTeachers[[#This Row],[Year Group]]&amp;"|"&amp;tblTeachers[[#This Row],[Class]]</f>
        <v>Year 11|11S/Sc5</v>
      </c>
    </row>
    <row r="30">
      <c r="B30" s="12" t="inlineStr">
        <is>
          <t>Year 11</t>
        </is>
      </c>
      <c r="C30" s="12" t="inlineStr">
        <is>
          <t>Science Support</t>
        </is>
      </c>
      <c r="D30" s="80" t="inlineStr">
        <is>
          <t>Ms Novak</t>
        </is>
      </c>
      <c r="E30" s="81" t="str">
        <f>tblTeachers[[#This Row],[Year Group]]&amp;"|"&amp;tblTeachers[[#This Row],[Class]]</f>
        <v>Year 11|Science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8.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11</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11</t>
        </is>
      </c>
      <c r="C3" s="31" t="inlineStr">
        <is>
          <t>tblY11</t>
        </is>
      </c>
      <c r="E3" s="31" t="inlineStr">
        <is>
          <t>Mean %</t>
        </is>
      </c>
      <c r="S3" t="str">
        <f>IFERROR(INDEX(H$10:H$609,MATCH(SMALL(I$10:I$609,1),I$10:I$609,0)),"")</f>
        <v>11S/Sc1</v>
      </c>
      <c r="Y3" t="str">
        <f>IFERROR(INDEX($S3:$S3,dYear),"")</f>
        <v>11S/Sc1</v>
      </c>
      <c r="AA3" t="str">
        <f>IFERROR(INDEX(tblAssessments[Test Name],MATCH(SelYear&amp;"|"&amp;1,tblAssessments[Seq Key],0))&amp;"","")</f>
        <v>4B05 - Homeostasis</v>
      </c>
      <c r="AB3">
        <f>IF(AA3="","",IFERROR(INDEX(tblAssessments[Max Marks],MATCH(SelYear&amp;"|"&amp;1,tblAssessments[Seq Key],0)),""))</f>
        <v>40</v>
      </c>
      <c r="AC3" s="84">
        <f>IF(AA3="","",IFERROR(IF(INDEX(tblAssessments[Date],MATCH(SelYear&amp;"|"&amp;1,tblAssessments[Seq Key],0))="","",INDEX(tblAssessments[Date],MATCH(SelYear&amp;"|"&amp;1,tblAssessments[Seq Key],0))),""))</f>
        <v>46291.0</v>
      </c>
      <c r="AD3" t="str">
        <f>IF(AA3="","",IFERROR(INDEX(tblAssessments[Code],MATCH(SelYear&amp;"|"&amp;1,tblAssessments[Seq Key],0))&amp;"",""))</f>
        <v>4B05</v>
      </c>
      <c r="AF3" t="str">
        <f>IF(COUNTIF(tblAssessments[Year Group],"Year 11")=0,"",IFERROR(INDEX(tblAssessments[Test Name],MATCH("Year 11|"&amp;COUNTIF(tblAssessments[Year Group],"Year 11"),tblAssessments[Seq Key],0)),""))</f>
        <v>4P07 - Magnetism</v>
      </c>
      <c r="AG3">
        <f>IF(AF3="","",IFERROR(INDEX(tblAssessments[Max Marks],MATCH("Year 11|"&amp;COUNTIF(tblAssessments[Year Group],"Year 11"),tblAssessments[Seq Key],0)),""))</f>
        <v>34</v>
      </c>
      <c r="AH3" s="84">
        <f>IF(AF3="","",IFERROR(IF(INDEX(tblAssessments[Date],MATCH("Year 11|"&amp;COUNTIF(tblAssessments[Year Group],"Year 11"),tblAssessments[Seq Key],0))="","",INDEX(tblAssessments[Date],MATCH("Year 11|"&amp;COUNTIF(tblAssessments[Year Group],"Year 11"),tblAssessments[Seq Key],0))),""))</f>
        <v>46361.0</v>
      </c>
      <c r="AI3">
        <f>COUNTIF(tblAssessments[Year Group],"Year 11")</f>
        <v>6</v>
      </c>
      <c r="AK3" t="str">
        <f>IF(AA3="","",IF(AD3&lt;&gt;"",AD3,LEFT(AA3,14)))</f>
        <v>4B05</v>
      </c>
      <c r="AL3">
        <f>IF(AA3="",NA(),IFERROR(AVERAGE(INDEX(dData,0,MATCH(AA3&amp;CHAR(10)&amp;"Stanine",dHdr,0))),NA()))</f>
        <v>4.99029126213592</v>
      </c>
      <c r="AM3">
        <f>IF(OR(AA3="",SelClass=""),NA(),IFERROR(SUMPRODUCT(((dClass)&amp;""=(SelClass)&amp;"")*ISNUMBER(INDEX(dData,0,MATCH(AA3&amp;CHAR(10)&amp;"Stanine",dHdr,0))),INDEX(dData,0,MATCH(AA3&amp;CHAR(10)&amp;"Stanine",dHdr,0)))/SUMPRODUCT(((dClass)&amp;""=(SelClass)&amp;"")*ISNUMBER(INDEX(dData,0,MATCH(AA3&amp;CHAR(10)&amp;"Stanine",dHdr,0)))),NA()))</f>
        <v>6.92592592592593</v>
      </c>
      <c r="AO3" t="inlineStr">
        <is>
          <t>Whole year</t>
        </is>
      </c>
      <c r="AP3" s="85">
        <f>IFERROR(AVERAGE(dRaw)/dMax,NA())</f>
        <v>0.461470588235294</v>
      </c>
      <c r="AR3" t="n">
        <v>1</v>
      </c>
      <c r="AS3" s="85">
        <f>IFERROR(COUNTIF(dStn,AR3)/COUNT(dStn),0)</f>
        <v>0.02</v>
      </c>
      <c r="AT3" s="85" t="n">
        <v>0.04</v>
      </c>
      <c r="BL3">
        <f>IFERROR(MATCH(SMALL($BJ$70:$BJ$669,1),$BJ$70:$BJ$669,0),"")</f>
        <v>45</v>
      </c>
      <c r="BN3" s="31" t="inlineStr">
        <is>
          <t>Year 11</t>
        </is>
      </c>
      <c r="BO3">
        <f>SUMPRODUCT(ISNUMBER(tblY11[[Avg KS2 Band]])*ISNUMBER(tblY11[[Mean Stanine]]))</f>
        <v>105</v>
      </c>
      <c r="BP3">
        <f>SUMPRODUCT(ISNUMBER(tblY11[[Avg KS2 Band]])*ISNUMBER(tblY11[[Mean Stanine]]),tblY11[[Avg KS2 Band]])</f>
        <v>525</v>
      </c>
      <c r="BQ3">
        <f>SUMPRODUCT(ISNUMBER(tblY11[[Avg KS2 Band]])*ISNUMBER(tblY11[[Mean Stanine]]),tblY11[[Mean Stanine]])</f>
        <v>520.033333333333</v>
      </c>
      <c r="BR3">
        <f>SUMPRODUCT(ISNUMBER(tblY11[[Avg KS2 Band]])*ISNUMBER(tblY11[[Mean Stanine]]),tblY11[[Avg KS2 Band]],tblY11[[Avg KS2 Band]])</f>
        <v>3065</v>
      </c>
      <c r="BS3">
        <f>SUMPRODUCT(ISNUMBER(tblY11[[Avg KS2 Band]])*ISNUMBER(tblY11[[Mean Stanine]]),tblY11[[Avg KS2 Band]],tblY11[[Mean Stanine]])</f>
        <v>2929.66666666667</v>
      </c>
      <c r="BT3">
        <f>IF(BO3&lt;10,"",IFERROR(MAX(0,MIN(1,(BO3*BS3-BP3*BQ3)/(BO3*BR3-BP3^2))),""))</f>
        <v>0.748863636363636</v>
      </c>
      <c r="BU3">
        <f>IF(BT3="","",(BQ3-BT3*BP3)/BO3)</f>
        <v>1.20838023088023</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f>IF(OR($AA3="",$Y$8=""),"",IFERROR((SUMPRODUCT(((dClass)&amp;""=($Y$8)&amp;"")*ISNUMBER(INDEX(dData,0,MATCH($AA3&amp;CHAR(10)&amp;"Raw Score",dHdr,0)))*((INDEX(dData,0,MATCH($AA3&amp;CHAR(10)&amp;"Raw Score",dHdr,0)))&gt;=0))+SUMPRODUCT(((dClass)&amp;""=($Y$8)&amp;"")*((INDEX(dData,0,MATCH($AA3&amp;CHAR(10)&amp;"Raw Score",dHdr,0)))&amp;""="A")))/SUMPRODUCT(--((dClass)&amp;""=($Y$8)&amp;"")),""))</f>
        <v>1</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E4" s="31" t="inlineStr">
        <is>
          <t>Mean stanine</t>
        </is>
      </c>
      <c r="S4" t="str">
        <f>IFERROR(INDEX(H$10:H$609,MATCH(SMALL(I$10:I$609,2),I$10:I$609,0)),"")</f>
        <v>11S/Sc2</v>
      </c>
      <c r="Y4" t="str">
        <f>IFERROR(INDEX($S4:$S4,dYear),"")</f>
        <v>11S/Sc2</v>
      </c>
      <c r="AA4" t="str">
        <f>IFERROR(INDEX(tblAssessments[Test Name],MATCH(SelYear&amp;"|"&amp;2,tblAssessments[Seq Key],0))&amp;"","")</f>
        <v>4C09 - Organic Chemistry</v>
      </c>
      <c r="AB4">
        <f>IF(AA4="","",IFERROR(INDEX(tblAssessments[Max Marks],MATCH(SelYear&amp;"|"&amp;2,tblAssessments[Seq Key],0)),""))</f>
        <v>35</v>
      </c>
      <c r="AC4" s="84">
        <f>IF(AA4="","",IFERROR(IF(INDEX(tblAssessments[Date],MATCH(SelYear&amp;"|"&amp;2,tblAssessments[Seq Key],0))="","",INDEX(tblAssessments[Date],MATCH(SelYear&amp;"|"&amp;2,tblAssessments[Seq Key],0))),""))</f>
        <v>46305.0</v>
      </c>
      <c r="AD4" t="str">
        <f>IF(AA4="","",IFERROR(INDEX(tblAssessments[Code],MATCH(SelYear&amp;"|"&amp;2,tblAssessments[Seq Key],0))&amp;"",""))</f>
        <v>4C09</v>
      </c>
      <c r="AK4" t="str">
        <f>IF(AA4="","",IF(AD4&lt;&gt;"",AD4,LEFT(AA4,14)))</f>
        <v>4C09</v>
      </c>
      <c r="AL4">
        <f>IF(AA4="",NA(),IFERROR(AVERAGE(INDEX(dData,0,MATCH(AA4&amp;CHAR(10)&amp;"Stanine",dHdr,0))),NA()))</f>
        <v>4.93814432989691</v>
      </c>
      <c r="AM4">
        <f>IF(OR(AA4="",SelClass=""),NA(),IFERROR(SUMPRODUCT(((dClass)&amp;""=(SelClass)&amp;"")*ISNUMBER(INDEX(dData,0,MATCH(AA4&amp;CHAR(10)&amp;"Stanine",dHdr,0))),INDEX(dData,0,MATCH(AA4&amp;CHAR(10)&amp;"Stanine",dHdr,0)))/SUMPRODUCT(((dClass)&amp;""=(SelClass)&amp;"")*ISNUMBER(INDEX(dData,0,MATCH(AA4&amp;CHAR(10)&amp;"Stanine",dHdr,0)))),NA()))</f>
        <v>6.53846153846154</v>
      </c>
      <c r="AO4" t="str">
        <f>Y3</f>
        <v>11S/Sc1</v>
      </c>
      <c r="AP4" s="85">
        <f>IF(AO4="",NA(),IFERROR(SUMPRODUCT(((dClass)&amp;""=(AO4)&amp;"")*ISNUMBER(dRaw),dRaw)/SUMPRODUCT(((dClass)&amp;""=(AO4)&amp;"")*ISNUMBER(dRaw))/dMax,NA()))</f>
        <v>0.654684095860566</v>
      </c>
      <c r="AR4" t="n">
        <v>2</v>
      </c>
      <c r="AS4" s="85">
        <f>IFERROR(COUNTIF(dStn,AR4)/COUNT(dStn),0)</f>
        <v>0.12</v>
      </c>
      <c r="AT4" s="85" t="n">
        <v>0.07000000000000001</v>
      </c>
      <c r="BL4">
        <f>IFERROR(MATCH(SMALL($BJ$70:$BJ$669,2),$BJ$70:$BJ$669,0),"")</f>
        <v>95</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f>IF(OR($AA4="",$Y$8=""),"",IFERROR((SUMPRODUCT(((dClass)&amp;""=($Y$8)&amp;"")*ISNUMBER(INDEX(dData,0,MATCH($AA4&amp;CHAR(10)&amp;"Raw Score",dHdr,0)))*((INDEX(dData,0,MATCH($AA4&amp;CHAR(10)&amp;"Raw Score",dHdr,0)))&gt;=0))+SUMPRODUCT(((dClass)&amp;""=($Y$8)&amp;"")*((INDEX(dData,0,MATCH($AA4&amp;CHAR(10)&amp;"Raw Score",dHdr,0)))&amp;""="A")))/SUMPRODUCT(--((dClass)&amp;""=($Y$8)&amp;"")),""))</f>
        <v>1</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E5" s="31" t="inlineStr">
        <is>
          <t>Completion %</t>
        </is>
      </c>
      <c r="S5" t="str">
        <f>IFERROR(INDEX(H$10:H$609,MATCH(SMALL(I$10:I$609,3),I$10:I$609,0)),"")</f>
        <v>11S/Sc3</v>
      </c>
      <c r="Y5" t="str">
        <f>IFERROR(INDEX($S5:$S5,dYear),"")</f>
        <v>11S/Sc3</v>
      </c>
      <c r="AA5" t="str">
        <f>IFERROR(INDEX(tblAssessments[Test Name],MATCH(SelYear&amp;"|"&amp;3,tblAssessments[Seq Key],0))&amp;"","")</f>
        <v>4P06 - Waves</v>
      </c>
      <c r="AB5">
        <f>IF(AA5="","",IFERROR(INDEX(tblAssessments[Max Marks],MATCH(SelYear&amp;"|"&amp;3,tblAssessments[Seq Key],0)),""))</f>
        <v>38</v>
      </c>
      <c r="AC5" s="84">
        <f>IF(AA5="","",IFERROR(IF(INDEX(tblAssessments[Date],MATCH(SelYear&amp;"|"&amp;3,tblAssessments[Seq Key],0))="","",INDEX(tblAssessments[Date],MATCH(SelYear&amp;"|"&amp;3,tblAssessments[Seq Key],0))),""))</f>
        <v>46319.0</v>
      </c>
      <c r="AD5" t="str">
        <f>IF(AA5="","",IFERROR(INDEX(tblAssessments[Code],MATCH(SelYear&amp;"|"&amp;3,tblAssessments[Seq Key],0))&amp;"",""))</f>
        <v>4P06</v>
      </c>
      <c r="AK5" t="str">
        <f>IF(AA5="","",IF(AD5&lt;&gt;"",AD5,LEFT(AA5,14)))</f>
        <v>4P06</v>
      </c>
      <c r="AL5">
        <f>IF(AA5="",NA(),IFERROR(AVERAGE(INDEX(dData,0,MATCH(AA5&amp;CHAR(10)&amp;"Stanine",dHdr,0))),NA()))</f>
        <v>5.0188679245283</v>
      </c>
      <c r="AM5">
        <f>IF(OR(AA5="",SelClass=""),NA(),IFERROR(SUMPRODUCT(((dClass)&amp;""=(SelClass)&amp;"")*ISNUMBER(INDEX(dData,0,MATCH(AA5&amp;CHAR(10)&amp;"Stanine",dHdr,0))),INDEX(dData,0,MATCH(AA5&amp;CHAR(10)&amp;"Stanine",dHdr,0)))/SUMPRODUCT(((dClass)&amp;""=(SelClass)&amp;"")*ISNUMBER(INDEX(dData,0,MATCH(AA5&amp;CHAR(10)&amp;"Stanine",dHdr,0)))),NA()))</f>
        <v>6.92857142857143</v>
      </c>
      <c r="AO5" t="str">
        <f>Y4</f>
        <v>11S/Sc2</v>
      </c>
      <c r="AP5" s="85">
        <f>IF(AO5="",NA(),IFERROR(SUMPRODUCT(((dClass)&amp;""=(AO5)&amp;"")*ISNUMBER(dRaw),dRaw)/SUMPRODUCT(((dClass)&amp;""=(AO5)&amp;"")*ISNUMBER(dRaw))/dMax,NA()))</f>
        <v>0.473039215686275</v>
      </c>
      <c r="AR5" t="n">
        <v>3</v>
      </c>
      <c r="AS5" s="85">
        <f>IFERROR(COUNTIF(dStn,AR5)/COUNT(dStn),0)</f>
        <v>0.09</v>
      </c>
      <c r="AT5" s="85" t="n">
        <v>0.12</v>
      </c>
      <c r="BL5">
        <f>IFERROR(MATCH(SMALL($BJ$70:$BJ$669,3),$BJ$70:$BJ$669,0),"")</f>
        <v>41</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f>IF(OR($AA5="",$Y$8=""),"",IFERROR((SUMPRODUCT(((dClass)&amp;""=($Y$8)&amp;"")*ISNUMBER(INDEX(dData,0,MATCH($AA5&amp;CHAR(10)&amp;"Raw Score",dHdr,0)))*((INDEX(dData,0,MATCH($AA5&amp;CHAR(10)&amp;"Raw Score",dHdr,0)))&gt;=0))+SUMPRODUCT(((dClass)&amp;""=($Y$8)&amp;"")*((INDEX(dData,0,MATCH($AA5&amp;CHAR(10)&amp;"Raw Score",dHdr,0)))&amp;""="A")))/SUMPRODUCT(--((dClass)&amp;""=($Y$8)&amp;"")),""))</f>
        <v>1</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S6" t="str">
        <f>IFERROR(INDEX(H$10:H$609,MATCH(SMALL(I$10:I$609,4),I$10:I$609,0)),"")</f>
        <v>11S/Sc4</v>
      </c>
      <c r="Y6" t="str">
        <f>IFERROR(INDEX($S6:$S6,dYear),"")</f>
        <v>11S/Sc4</v>
      </c>
      <c r="AA6" t="str">
        <f>IFERROR(INDEX(tblAssessments[Test Name],MATCH(SelYear&amp;"|"&amp;4,tblAssessments[Seq Key],0))&amp;"","")</f>
        <v>4B06 - Inheritance</v>
      </c>
      <c r="AB6">
        <f>IF(AA6="","",IFERROR(INDEX(tblAssessments[Max Marks],MATCH(SelYear&amp;"|"&amp;4,tblAssessments[Seq Key],0)),""))</f>
        <v>42</v>
      </c>
      <c r="AC6" s="84">
        <f>IF(AA6="","",IFERROR(IF(INDEX(tblAssessments[Date],MATCH(SelYear&amp;"|"&amp;4,tblAssessments[Seq Key],0))="","",INDEX(tblAssessments[Date],MATCH(SelYear&amp;"|"&amp;4,tblAssessments[Seq Key],0))),""))</f>
        <v>46333.0</v>
      </c>
      <c r="AD6" t="str">
        <f>IF(AA6="","",IFERROR(INDEX(tblAssessments[Code],MATCH(SelYear&amp;"|"&amp;4,tblAssessments[Seq Key],0))&amp;"",""))</f>
        <v>4B06</v>
      </c>
      <c r="AK6" t="str">
        <f>IF(AA6="","",IF(AD6&lt;&gt;"",AD6,LEFT(AA6,14)))</f>
        <v>4B06</v>
      </c>
      <c r="AL6">
        <f>IF(AA6="",NA(),IFERROR(AVERAGE(INDEX(dData,0,MATCH(AA6&amp;CHAR(10)&amp;"Stanine",dHdr,0))),NA()))</f>
        <v>4.98039215686275</v>
      </c>
      <c r="AM6">
        <f>IF(OR(AA6="",SelClass=""),NA(),IFERROR(SUMPRODUCT(((dClass)&amp;""=(SelClass)&amp;"")*ISNUMBER(INDEX(dData,0,MATCH(AA6&amp;CHAR(10)&amp;"Stanine",dHdr,0))),INDEX(dData,0,MATCH(AA6&amp;CHAR(10)&amp;"Stanine",dHdr,0)))/SUMPRODUCT(((dClass)&amp;""=(SelClass)&amp;"")*ISNUMBER(INDEX(dData,0,MATCH(AA6&amp;CHAR(10)&amp;"Stanine",dHdr,0)))),NA()))</f>
        <v>6.92592592592593</v>
      </c>
      <c r="AO6" t="str">
        <f>Y5</f>
        <v>11S/Sc3</v>
      </c>
      <c r="AP6" s="85">
        <f>IF(AO6="",NA(),IFERROR(SUMPRODUCT(((dClass)&amp;""=(AO6)&amp;"")*ISNUMBER(dRaw),dRaw)/SUMPRODUCT(((dClass)&amp;""=(AO6)&amp;"")*ISNUMBER(dRaw))/dMax,NA()))</f>
        <v>0.436764705882353</v>
      </c>
      <c r="AR6" t="n">
        <v>4</v>
      </c>
      <c r="AS6" s="85">
        <f>IFERROR(COUNTIF(dStn,AR6)/COUNT(dStn),0)</f>
        <v>0.16</v>
      </c>
      <c r="AT6" s="85" t="n">
        <v>0.17</v>
      </c>
      <c r="BL6">
        <f>IFERROR(MATCH(SMALL($BJ$70:$BJ$669,4),$BJ$70:$BJ$669,0),"")</f>
        <v>89</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f>IF(OR($AA6="",$Y$8=""),"",IFERROR((SUMPRODUCT(((dClass)&amp;""=($Y$8)&amp;"")*ISNUMBER(INDEX(dData,0,MATCH($AA6&amp;CHAR(10)&amp;"Raw Score",dHdr,0)))*((INDEX(dData,0,MATCH($AA6&amp;CHAR(10)&amp;"Raw Score",dHdr,0)))&gt;=0))+SUMPRODUCT(((dClass)&amp;""=($Y$8)&amp;"")*((INDEX(dData,0,MATCH($AA6&amp;CHAR(10)&amp;"Raw Score",dHdr,0)))&amp;""="A")))/SUMPRODUCT(--((dClass)&amp;""=($Y$8)&amp;"")),""))</f>
        <v>1</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S7" t="str">
        <f>IFERROR(INDEX(H$10:H$609,MATCH(SMALL(I$10:I$609,5),I$10:I$609,0)),"")</f>
        <v>11S/Sc5</v>
      </c>
      <c r="Y7" t="str">
        <f>IFERROR(INDEX($S7:$S7,dYear),"")</f>
        <v>11S/Sc5</v>
      </c>
      <c r="AA7" t="str">
        <f>IFERROR(INDEX(tblAssessments[Test Name],MATCH(SelYear&amp;"|"&amp;5,tblAssessments[Seq Key],0))&amp;"","")</f>
        <v>4C10 - Chemical Analysis</v>
      </c>
      <c r="AB7">
        <f>IF(AA7="","",IFERROR(INDEX(tblAssessments[Max Marks],MATCH(SelYear&amp;"|"&amp;5,tblAssessments[Seq Key],0)),""))</f>
        <v>30</v>
      </c>
      <c r="AC7" s="84">
        <f>IF(AA7="","",IFERROR(IF(INDEX(tblAssessments[Date],MATCH(SelYear&amp;"|"&amp;5,tblAssessments[Seq Key],0))="","",INDEX(tblAssessments[Date],MATCH(SelYear&amp;"|"&amp;5,tblAssessments[Seq Key],0))),""))</f>
        <v>46347.0</v>
      </c>
      <c r="AD7" t="str">
        <f>IF(AA7="","",IFERROR(INDEX(tblAssessments[Code],MATCH(SelYear&amp;"|"&amp;5,tblAssessments[Seq Key],0))&amp;"",""))</f>
        <v>4C10</v>
      </c>
      <c r="AK7" t="str">
        <f>IF(AA7="","",IF(AD7&lt;&gt;"",AD7,LEFT(AA7,14)))</f>
        <v>4C10</v>
      </c>
      <c r="AL7">
        <f>IF(AA7="",NA(),IFERROR(AVERAGE(INDEX(dData,0,MATCH(AA7&amp;CHAR(10)&amp;"Stanine",dHdr,0))),NA()))</f>
        <v>5.01904761904762</v>
      </c>
      <c r="AM7">
        <f>IF(OR(AA7="",SelClass=""),NA(),IFERROR(SUMPRODUCT(((dClass)&amp;""=(SelClass)&amp;"")*ISNUMBER(INDEX(dData,0,MATCH(AA7&amp;CHAR(10)&amp;"Stanine",dHdr,0))),INDEX(dData,0,MATCH(AA7&amp;CHAR(10)&amp;"Stanine",dHdr,0)))/SUMPRODUCT(((dClass)&amp;""=(SelClass)&amp;"")*ISNUMBER(INDEX(dData,0,MATCH(AA7&amp;CHAR(10)&amp;"Stanine",dHdr,0)))),NA()))</f>
        <v>6.71428571428571</v>
      </c>
      <c r="AO7" t="str">
        <f>Y6</f>
        <v>11S/Sc4</v>
      </c>
      <c r="AP7" s="85">
        <f>IF(AO7="",NA(),IFERROR(SUMPRODUCT(((dClass)&amp;""=(AO7)&amp;"")*ISNUMBER(dRaw),dRaw)/SUMPRODUCT(((dClass)&amp;""=(AO7)&amp;"")*ISNUMBER(dRaw))/dMax,NA()))</f>
        <v>0.343137254901961</v>
      </c>
      <c r="AR7" t="n">
        <v>5</v>
      </c>
      <c r="AS7" s="85">
        <f>IFERROR(COUNTIF(dStn,AR7)/COUNT(dStn),0)</f>
        <v>0.23</v>
      </c>
      <c r="AT7" s="85" t="n">
        <v>0.2</v>
      </c>
      <c r="BL7">
        <f>IFERROR(MATCH(SMALL($BJ$70:$BJ$669,5),$BJ$70:$BJ$669,0),"")</f>
        <v>83</v>
      </c>
      <c r="BW7">
        <f>IF(OR($AA7="",$Y$3=""),"",IFERROR((SUMPRODUCT(((dClass)&amp;""=($Y$3)&amp;"")*ISNUMBER(INDEX(dData,0,MATCH($AA7&amp;CHAR(10)&amp;"Raw Score",dHdr,0)))*((INDEX(dData,0,MATCH($AA7&amp;CHAR(10)&amp;"Raw Score",dHdr,0)))&gt;=0))+SUMPRODUCT(((dClass)&amp;""=($Y$3)&amp;"")*((INDEX(dData,0,MATCH($AA7&amp;CHAR(10)&amp;"Raw Score",dHdr,0)))&amp;""="A")))/SUMPRODUCT(--((dClass)&amp;""=($Y$3)&amp;"")),""))</f>
        <v>1</v>
      </c>
      <c r="BX7">
        <f>IF(OR($AA7="",$Y$4=""),"",IFERROR((SUMPRODUCT(((dClass)&amp;""=($Y$4)&amp;"")*ISNUMBER(INDEX(dData,0,MATCH($AA7&amp;CHAR(10)&amp;"Raw Score",dHdr,0)))*((INDEX(dData,0,MATCH($AA7&amp;CHAR(10)&amp;"Raw Score",dHdr,0)))&gt;=0))+SUMPRODUCT(((dClass)&amp;""=($Y$4)&amp;"")*((INDEX(dData,0,MATCH($AA7&amp;CHAR(10)&amp;"Raw Score",dHdr,0)))&amp;""="A")))/SUMPRODUCT(--((dClass)&amp;""=($Y$4)&amp;"")),""))</f>
        <v>1</v>
      </c>
      <c r="BY7">
        <f>IF(OR($AA7="",$Y$5=""),"",IFERROR((SUMPRODUCT(((dClass)&amp;""=($Y$5)&amp;"")*ISNUMBER(INDEX(dData,0,MATCH($AA7&amp;CHAR(10)&amp;"Raw Score",dHdr,0)))*((INDEX(dData,0,MATCH($AA7&amp;CHAR(10)&amp;"Raw Score",dHdr,0)))&gt;=0))+SUMPRODUCT(((dClass)&amp;""=($Y$5)&amp;"")*((INDEX(dData,0,MATCH($AA7&amp;CHAR(10)&amp;"Raw Score",dHdr,0)))&amp;""="A")))/SUMPRODUCT(--((dClass)&amp;""=($Y$5)&amp;"")),""))</f>
        <v>1</v>
      </c>
      <c r="BZ7">
        <f>IF(OR($AA7="",$Y$6=""),"",IFERROR((SUMPRODUCT(((dClass)&amp;""=($Y$6)&amp;"")*ISNUMBER(INDEX(dData,0,MATCH($AA7&amp;CHAR(10)&amp;"Raw Score",dHdr,0)))*((INDEX(dData,0,MATCH($AA7&amp;CHAR(10)&amp;"Raw Score",dHdr,0)))&gt;=0))+SUMPRODUCT(((dClass)&amp;""=($Y$6)&amp;"")*((INDEX(dData,0,MATCH($AA7&amp;CHAR(10)&amp;"Raw Score",dHdr,0)))&amp;""="A")))/SUMPRODUCT(--((dClass)&amp;""=($Y$6)&amp;"")),""))</f>
        <v>1</v>
      </c>
      <c r="CA7">
        <f>IF(OR($AA7="",$Y$7=""),"",IFERROR((SUMPRODUCT(((dClass)&amp;""=($Y$7)&amp;"")*ISNUMBER(INDEX(dData,0,MATCH($AA7&amp;CHAR(10)&amp;"Raw Score",dHdr,0)))*((INDEX(dData,0,MATCH($AA7&amp;CHAR(10)&amp;"Raw Score",dHdr,0)))&gt;=0))+SUMPRODUCT(((dClass)&amp;""=($Y$7)&amp;"")*((INDEX(dData,0,MATCH($AA7&amp;CHAR(10)&amp;"Raw Score",dHdr,0)))&amp;""="A")))/SUMPRODUCT(--((dClass)&amp;""=($Y$7)&amp;"")),""))</f>
        <v>1</v>
      </c>
      <c r="CB7">
        <f>IF(OR($AA7="",$Y$8=""),"",IFERROR((SUMPRODUCT(((dClass)&amp;""=($Y$8)&amp;"")*ISNUMBER(INDEX(dData,0,MATCH($AA7&amp;CHAR(10)&amp;"Raw Score",dHdr,0)))*((INDEX(dData,0,MATCH($AA7&amp;CHAR(10)&amp;"Raw Score",dHdr,0)))&gt;=0))+SUMPRODUCT(((dClass)&amp;""=($Y$8)&amp;"")*((INDEX(dData,0,MATCH($AA7&amp;CHAR(10)&amp;"Raw Score",dHdr,0)))&amp;""="A")))/SUMPRODUCT(--((dClass)&amp;""=($Y$8)&amp;"")),""))</f>
        <v>1</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Science Support</v>
      </c>
      <c r="Y8" t="str">
        <f>IFERROR(INDEX($S8:$S8,dYear),"")</f>
        <v>Science Support</v>
      </c>
      <c r="AA8" t="str">
        <f>IFERROR(INDEX(tblAssessments[Test Name],MATCH(SelYear&amp;"|"&amp;6,tblAssessments[Seq Key],0))&amp;"","")</f>
        <v>4P07 - Magnetism</v>
      </c>
      <c r="AB8">
        <f>IF(AA8="","",IFERROR(INDEX(tblAssessments[Max Marks],MATCH(SelYear&amp;"|"&amp;6,tblAssessments[Seq Key],0)),""))</f>
        <v>34</v>
      </c>
      <c r="AC8" s="84">
        <f>IF(AA8="","",IFERROR(IF(INDEX(tblAssessments[Date],MATCH(SelYear&amp;"|"&amp;6,tblAssessments[Seq Key],0))="","",INDEX(tblAssessments[Date],MATCH(SelYear&amp;"|"&amp;6,tblAssessments[Seq Key],0))),""))</f>
        <v>46361.0</v>
      </c>
      <c r="AD8" t="str">
        <f>IF(AA8="","",IFERROR(INDEX(tblAssessments[Code],MATCH(SelYear&amp;"|"&amp;6,tblAssessments[Seq Key],0))&amp;"",""))</f>
        <v>4P07</v>
      </c>
      <c r="AK8" t="str">
        <f>IF(AA8="","",IF(AD8&lt;&gt;"",AD8,LEFT(AA8,14)))</f>
        <v>4P07</v>
      </c>
      <c r="AL8">
        <f>IF(AA8="",NA(),IFERROR(AVERAGE(INDEX(dData,0,MATCH(AA8&amp;CHAR(10)&amp;"Stanine",dHdr,0))),NA()))</f>
        <v>5.01</v>
      </c>
      <c r="AM8">
        <f>IF(OR(AA8="",SelClass=""),NA(),IFERROR(SUMPRODUCT(((dClass)&amp;""=(SelClass)&amp;"")*ISNUMBER(INDEX(dData,0,MATCH(AA8&amp;CHAR(10)&amp;"Stanine",dHdr,0))),INDEX(dData,0,MATCH(AA8&amp;CHAR(10)&amp;"Stanine",dHdr,0)))/SUMPRODUCT(((dClass)&amp;""=(SelClass)&amp;"")*ISNUMBER(INDEX(dData,0,MATCH(AA8&amp;CHAR(10)&amp;"Stanine",dHdr,0)))),NA()))</f>
        <v>6.77777777777778</v>
      </c>
      <c r="AO8" t="str">
        <f>Y7</f>
        <v>11S/Sc5</v>
      </c>
      <c r="AP8" s="85">
        <f>IF(AO8="",NA(),IFERROR(SUMPRODUCT(((dClass)&amp;""=(AO8)&amp;"")*ISNUMBER(dRaw),dRaw)/SUMPRODUCT(((dClass)&amp;""=(AO8)&amp;"")*ISNUMBER(dRaw))/dMax,NA()))</f>
        <v>0.276960784313725</v>
      </c>
      <c r="AR8" t="n">
        <v>6</v>
      </c>
      <c r="AS8" s="85">
        <f>IFERROR(COUNTIF(dStn,AR8)/COUNT(dStn),0)</f>
        <v>0.16</v>
      </c>
      <c r="AT8" s="85" t="n">
        <v>0.17</v>
      </c>
      <c r="BL8">
        <f>IFERROR(MATCH(SMALL($BJ$70:$BJ$669,6),$BJ$70:$BJ$669,0),"")</f>
        <v>63</v>
      </c>
      <c r="BW8">
        <f>IF(OR($AA8="",$Y$3=""),"",IFERROR((SUMPRODUCT(((dClass)&amp;""=($Y$3)&amp;"")*ISNUMBER(INDEX(dData,0,MATCH($AA8&amp;CHAR(10)&amp;"Raw Score",dHdr,0)))*((INDEX(dData,0,MATCH($AA8&amp;CHAR(10)&amp;"Raw Score",dHdr,0)))&gt;=0))+SUMPRODUCT(((dClass)&amp;""=($Y$3)&amp;"")*((INDEX(dData,0,MATCH($AA8&amp;CHAR(10)&amp;"Raw Score",dHdr,0)))&amp;""="A")))/SUMPRODUCT(--((dClass)&amp;""=($Y$3)&amp;"")),""))</f>
        <v>1</v>
      </c>
      <c r="BX8">
        <f>IF(OR($AA8="",$Y$4=""),"",IFERROR((SUMPRODUCT(((dClass)&amp;""=($Y$4)&amp;"")*ISNUMBER(INDEX(dData,0,MATCH($AA8&amp;CHAR(10)&amp;"Raw Score",dHdr,0)))*((INDEX(dData,0,MATCH($AA8&amp;CHAR(10)&amp;"Raw Score",dHdr,0)))&gt;=0))+SUMPRODUCT(((dClass)&amp;""=($Y$4)&amp;"")*((INDEX(dData,0,MATCH($AA8&amp;CHAR(10)&amp;"Raw Score",dHdr,0)))&amp;""="A")))/SUMPRODUCT(--((dClass)&amp;""=($Y$4)&amp;"")),""))</f>
        <v>1</v>
      </c>
      <c r="BY8">
        <f>IF(OR($AA8="",$Y$5=""),"",IFERROR((SUMPRODUCT(((dClass)&amp;""=($Y$5)&amp;"")*ISNUMBER(INDEX(dData,0,MATCH($AA8&amp;CHAR(10)&amp;"Raw Score",dHdr,0)))*((INDEX(dData,0,MATCH($AA8&amp;CHAR(10)&amp;"Raw Score",dHdr,0)))&gt;=0))+SUMPRODUCT(((dClass)&amp;""=($Y$5)&amp;"")*((INDEX(dData,0,MATCH($AA8&amp;CHAR(10)&amp;"Raw Score",dHdr,0)))&amp;""="A")))/SUMPRODUCT(--((dClass)&amp;""=($Y$5)&amp;"")),""))</f>
        <v>1</v>
      </c>
      <c r="BZ8">
        <f>IF(OR($AA8="",$Y$6=""),"",IFERROR((SUMPRODUCT(((dClass)&amp;""=($Y$6)&amp;"")*ISNUMBER(INDEX(dData,0,MATCH($AA8&amp;CHAR(10)&amp;"Raw Score",dHdr,0)))*((INDEX(dData,0,MATCH($AA8&amp;CHAR(10)&amp;"Raw Score",dHdr,0)))&gt;=0))+SUMPRODUCT(((dClass)&amp;""=($Y$6)&amp;"")*((INDEX(dData,0,MATCH($AA8&amp;CHAR(10)&amp;"Raw Score",dHdr,0)))&amp;""="A")))/SUMPRODUCT(--((dClass)&amp;""=($Y$6)&amp;"")),""))</f>
        <v>1</v>
      </c>
      <c r="CA8">
        <f>IF(OR($AA8="",$Y$7=""),"",IFERROR((SUMPRODUCT(((dClass)&amp;""=($Y$7)&amp;"")*ISNUMBER(INDEX(dData,0,MATCH($AA8&amp;CHAR(10)&amp;"Raw Score",dHdr,0)))*((INDEX(dData,0,MATCH($AA8&amp;CHAR(10)&amp;"Raw Score",dHdr,0)))&gt;=0))+SUMPRODUCT(((dClass)&amp;""=($Y$7)&amp;"")*((INDEX(dData,0,MATCH($AA8&amp;CHAR(10)&amp;"Raw Score",dHdr,0)))&amp;""="A")))/SUMPRODUCT(--((dClass)&amp;""=($Y$7)&amp;"")),""))</f>
        <v>1</v>
      </c>
      <c r="CB8">
        <f>IF(OR($AA8="",$Y$8=""),"",IFERROR((SUMPRODUCT(((dClass)&amp;""=($Y$8)&amp;"")*ISNUMBER(INDEX(dData,0,MATCH($AA8&amp;CHAR(10)&amp;"Raw Score",dHdr,0)))*((INDEX(dData,0,MATCH($AA8&amp;CHAR(10)&amp;"Raw Score",dHdr,0)))&gt;=0))+SUMPRODUCT(((dClass)&amp;""=($Y$8)&amp;"")*((INDEX(dData,0,MATCH($AA8&amp;CHAR(10)&amp;"Raw Score",dHdr,0)))&amp;""="A")))/SUMPRODUCT(--((dClass)&amp;""=($Y$8)&amp;"")),""))</f>
        <v>1</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11 class</t>
        </is>
      </c>
      <c r="S9" t="str">
        <f>IFERROR(INDEX(H$10:H$609,MATCH(SMALL(I$10:I$609,7),I$10:I$609,0)),"")</f>
        <v/>
      </c>
      <c r="Y9" t="str">
        <f>IFERROR(INDEX($S9:$S9,dYear),"")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Science Support</v>
      </c>
      <c r="AP9" s="85">
        <f>IF(AO9="",NA(),IFERROR(SUMPRODUCT(((dClass)&amp;""=(AO9)&amp;"")*ISNUMBER(dRaw),dRaw)/SUMPRODUCT(((dClass)&amp;""=(AO9)&amp;"")*ISNUMBER(dRaw))/dMax,NA()))</f>
        <v>0.188235294117647</v>
      </c>
      <c r="AR9" t="n">
        <v>7</v>
      </c>
      <c r="AS9" s="85">
        <f>IFERROR(COUNTIF(dStn,AR9)/COUNT(dStn),0)</f>
        <v>0.08</v>
      </c>
      <c r="AT9" s="85" t="n">
        <v>0.12</v>
      </c>
      <c r="BL9">
        <f>IFERROR(MATCH(SMALL($BJ$70:$BJ$669,7),$BJ$70:$BJ$669,0),"")</f>
        <v>101</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IFERROR(INDEX(tblY11[Class],ROWS(H$10:H10))&amp;"","")</f>
        <v>11S/Sc1</v>
      </c>
      <c r="I10">
        <f>IF(H10="","",IF(SUMPRODUCT(--(H$10:H10=H10))=1,SUMPRODUCT(--(H$10:H$609&lt;H10))+1,""))</f>
        <v>495</v>
      </c>
      <c r="S10" t="str">
        <f>IFERROR(INDEX(H$10:H$609,MATCH(SMALL(I$10:I$609,8),I$10:I$609,0)),"")</f>
        <v/>
      </c>
      <c r="Y10" t="str">
        <f>IFERROR(INDEX($S10:$S10,dYear),"")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0.09</v>
      </c>
      <c r="AT10" s="85" t="n">
        <v>0.07000000000000001</v>
      </c>
      <c r="BL10">
        <f>IFERROR(MATCH(SMALL($BJ$70:$BJ$669,8),$BJ$70:$BJ$669,0),"")</f>
        <v>37</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IFERROR(INDEX(tblY11[Class],ROWS(H$10:H11))&amp;"","")</f>
        <v>11S/Sc1</v>
      </c>
      <c r="I11" t="str">
        <f>IF(H11="","",IF(SUMPRODUCT(--(H$10:H11=H11))=1,SUMPRODUCT(--(H$10:H$609&lt;H11))+1,""))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0.05</v>
      </c>
      <c r="AT11" s="85" t="n">
        <v>0.04</v>
      </c>
      <c r="BL11">
        <f>IFERROR(MATCH(SMALL($BJ$70:$BJ$669,9),$BJ$70:$BJ$669,0),"")</f>
        <v>53</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IFERROR(INDEX(tblY11[Class],ROWS(H$10:H12))&amp;"","")</f>
        <v>11S/Sc1</v>
      </c>
      <c r="I12" t="str">
        <f>IF(H12="","",IF(SUMPRODUCT(--(H$10:H12=H12))=1,SUMPRODUCT(--(H$10:H$609&lt;H12))+1,""))</f>
        <v/>
      </c>
      <c r="S12">
        <f>COUNT(I$10:I$609)</f>
        <v>6</v>
      </c>
      <c r="Y12">
        <f>IFERROR(INDEX($S$12:$S$12,dYear),0)</f>
        <v>6</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t="str">
        <f>IFERROR(MATCH(SMALL($BJ$70:$BJ$669,10),$BJ$70:$BJ$669,0),"")</f>
        <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IFERROR(INDEX(tblY11[Class],ROWS(H$10:H13))&amp;"","")</f>
        <v>11S/Sc1</v>
      </c>
      <c r="I13" t="str">
        <f>IF(H13="","",IF(SUMPRODUCT(--(H$10:H13=H13))=1,SUMPRODUCT(--(H$10:H$609&lt;H13))+1,""))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t="str">
        <f>IFERROR(MATCH(SMALL($BJ$70:$BJ$669,11),$BJ$70:$BJ$669,0),"")</f>
        <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IFERROR(INDEX(tblY11[Class],ROWS(H$10:H14))&amp;"","")</f>
        <v>11S/Sc1</v>
      </c>
      <c r="I14" t="str">
        <f>IF(H14="","",IF(SUMPRODUCT(--(H$10:H14=H14))=1,SUMPRODUCT(--(H$10:H$609&lt;H14))+1,""))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t="str">
        <f>IFERROR(MATCH(SMALL($BJ$70:$BJ$669,12),$BJ$70:$BJ$669,0),"")</f>
        <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IFERROR(INDEX(tblY11[Class],ROWS(H$10:H15))&amp;"","")</f>
        <v>11S/Sc1</v>
      </c>
      <c r="I15" t="str">
        <f>IF(H15="","",IF(SUMPRODUCT(--(H$10:H15=H15))=1,SUMPRODUCT(--(H$10:H$609&lt;H15))+1,""))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t="str">
        <f>IFERROR(MATCH(SMALL($BJ$70:$BJ$669,13),$BJ$70:$BJ$669,0),"")</f>
        <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IFERROR(INDEX(tblY11[Class],ROWS(H$10:H16))&amp;"","")</f>
        <v>11S/Sc1</v>
      </c>
      <c r="I16" t="str">
        <f>IF(H16="","",IF(SUMPRODUCT(--(H$10:H16=H16))=1,SUMPRODUCT(--(H$10:H$609&lt;H16))+1,""))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t="str">
        <f>IFERROR(MATCH(SMALL($BJ$70:$BJ$669,14),$BJ$70:$BJ$669,0),"")</f>
        <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IFERROR(INDEX(tblY11[Class],ROWS(H$10:H17))&amp;"","")</f>
        <v>11S/Sc1</v>
      </c>
      <c r="I17" t="str">
        <f>IF(H17="","",IF(SUMPRODUCT(--(H$10:H17=H17))=1,SUMPRODUCT(--(H$10:H$609&lt;H17))+1,""))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t="str">
        <f>IFERROR(MATCH(SMALL($BJ$70:$BJ$669,15),$BJ$70:$BJ$669,0),"")</f>
        <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IFERROR(INDEX(tblY11[Class],ROWS(H$10:H18))&amp;"","")</f>
        <v>11S/Sc1</v>
      </c>
      <c r="I18" t="str">
        <f>IF(H18="","",IF(SUMPRODUCT(--(H$10:H18=H18))=1,SUMPRODUCT(--(H$10:H$609&lt;H18))+1,""))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t="str">
        <f>IFERROR(MATCH(SMALL($BJ$70:$BJ$669,16),$BJ$70:$BJ$669,0),"")</f>
        <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IFERROR(INDEX(tblY11[Class],ROWS(H$10:H19))&amp;"","")</f>
        <v>11S/Sc1</v>
      </c>
      <c r="I19" t="str">
        <f>IF(H19="","",IF(SUMPRODUCT(--(H$10:H19=H19))=1,SUMPRODUCT(--(H$10:H$609&lt;H19))+1,""))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t="str">
        <f>IFERROR(MATCH(SMALL($BJ$70:$BJ$669,17),$BJ$70:$BJ$669,0),"")</f>
        <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IFERROR(INDEX(tblY11[Class],ROWS(H$10:H20))&amp;"","")</f>
        <v>11S/Sc1</v>
      </c>
      <c r="I20" t="str">
        <f>IF(H20="","",IF(SUMPRODUCT(--(H$10:H20=H20))=1,SUMPRODUCT(--(H$10:H$609&lt;H20))+1,""))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IFERROR(INDEX(tblY11[Class],ROWS(H$10:H21))&amp;"","")</f>
        <v>11S/Sc1</v>
      </c>
      <c r="I21" t="str">
        <f>IF(H21="","",IF(SUMPRODUCT(--(H$10:H21=H21))=1,SUMPRODUCT(--(H$10:H$609&lt;H21))+1,""))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IFERROR(INDEX(tblY11[Class],ROWS(H$10:H22))&amp;"","")</f>
        <v>11S/Sc1</v>
      </c>
      <c r="I22" t="str">
        <f>IF(H22="","",IF(SUMPRODUCT(--(H$10:H22=H22))=1,SUMPRODUCT(--(H$10:H$609&lt;H22))+1,""))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IFERROR(INDEX(tblY11[Class],ROWS(H$10:H23))&amp;"","")</f>
        <v>11S/Sc1</v>
      </c>
      <c r="I23" t="str">
        <f>IF(H23="","",IF(SUMPRODUCT(--(H$10:H23=H23))=1,SUMPRODUCT(--(H$10:H$609&lt;H23))+1,""))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IFERROR(INDEX(tblY11[Class],ROWS(H$10:H24))&amp;"","")</f>
        <v>11S/Sc1</v>
      </c>
      <c r="I24" t="str">
        <f>IF(H24="","",IF(SUMPRODUCT(--(H$10:H24=H24))=1,SUMPRODUCT(--(H$10:H$609&lt;H24))+1,""))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IFERROR(INDEX(tblY11[Class],ROWS(H$10:H25))&amp;"","")</f>
        <v>11S/Sc1</v>
      </c>
      <c r="I25" t="str">
        <f>IF(H25="","",IF(SUMPRODUCT(--(H$10:H25=H25))=1,SUMPRODUCT(--(H$10:H$609&lt;H25))+1,""))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IFERROR(INDEX(tblY11[Class],ROWS(H$10:H26))&amp;"","")</f>
        <v>11S/Sc1</v>
      </c>
      <c r="I26" t="str">
        <f>IF(H26="","",IF(SUMPRODUCT(--(H$10:H26=H26))=1,SUMPRODUCT(--(H$10:H$609&lt;H26))+1,""))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IFERROR(INDEX(tblY11[Class],ROWS(H$10:H27))&amp;"","")</f>
        <v>11S/Sc1</v>
      </c>
      <c r="I27" t="str">
        <f>IF(H27="","",IF(SUMPRODUCT(--(H$10:H27=H27))=1,SUMPRODUCT(--(H$10:H$609&lt;H27))+1,""))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IFERROR(INDEX(tblY11[Class],ROWS(H$10:H28))&amp;"","")</f>
        <v>11S/Sc1</v>
      </c>
      <c r="I28" t="str">
        <f>IF(H28="","",IF(SUMPRODUCT(--(H$10:H28=H28))=1,SUMPRODUCT(--(H$10:H$609&lt;H28))+1,""))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IFERROR(INDEX(tblY11[Class],ROWS(H$10:H29))&amp;"","")</f>
        <v>11S/Sc1</v>
      </c>
      <c r="I29" t="str">
        <f>IF(H29="","",IF(SUMPRODUCT(--(H$10:H29=H29))=1,SUMPRODUCT(--(H$10:H$609&lt;H29))+1,""))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IFERROR(INDEX(tblY11[Class],ROWS(H$10:H30))&amp;"","")</f>
        <v>11S/Sc1</v>
      </c>
      <c r="I30" t="str">
        <f>IF(H30="","",IF(SUMPRODUCT(--(H$10:H30=H30))=1,SUMPRODUCT(--(H$10:H$609&lt;H30))+1,""))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IFERROR(INDEX(tblY11[Class],ROWS(H$10:H31))&amp;"","")</f>
        <v>11S/Sc1</v>
      </c>
      <c r="I31" t="str">
        <f>IF(H31="","",IF(SUMPRODUCT(--(H$10:H31=H31))=1,SUMPRODUCT(--(H$10:H$609&lt;H31))+1,""))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IFERROR(INDEX(tblY11[Class],ROWS(H$10:H32))&amp;"","")</f>
        <v>11S/Sc1</v>
      </c>
      <c r="I32" t="str">
        <f>IF(H32="","",IF(SUMPRODUCT(--(H$10:H32=H32))=1,SUMPRODUCT(--(H$10:H$609&lt;H32))+1,""))</f>
        <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IFERROR(INDEX(tblY11[Class],ROWS(H$10:H33))&amp;"","")</f>
        <v>11S/Sc1</v>
      </c>
      <c r="I33" t="str">
        <f>IF(H33="","",IF(SUMPRODUCT(--(H$10:H33=H33))=1,SUMPRODUCT(--(H$10:H$609&lt;H33))+1,""))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IFERROR(INDEX(tblY11[Class],ROWS(H$10:H34))&amp;"","")</f>
        <v>11S/Sc1</v>
      </c>
      <c r="I34" t="str">
        <f>IF(H34="","",IF(SUMPRODUCT(--(H$10:H34=H34))=1,SUMPRODUCT(--(H$10:H$609&lt;H34))+1,""))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IFERROR(INDEX(tblY11[Class],ROWS(H$10:H35))&amp;"","")</f>
        <v>11S/Sc1</v>
      </c>
      <c r="I35" t="str">
        <f>IF(H35="","",IF(SUMPRODUCT(--(H$10:H35=H35))=1,SUMPRODUCT(--(H$10:H$609&lt;H35))+1,""))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IFERROR(INDEX(tblY11[Class],ROWS(H$10:H36))&amp;"","")</f>
        <v>11S/Sc1</v>
      </c>
      <c r="I36" t="str">
        <f>IF(H36="","",IF(SUMPRODUCT(--(H$10:H36=H36))=1,SUMPRODUCT(--(H$10:H$609&lt;H36))+1,""))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IFERROR(INDEX(tblY11[Class],ROWS(H$10:H37))&amp;"","")</f>
        <v>11S/Sc1</v>
      </c>
      <c r="I37" t="str">
        <f>IF(H37="","",IF(SUMPRODUCT(--(H$10:H37=H37))=1,SUMPRODUCT(--(H$10:H$609&lt;H37))+1,""))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IFERROR(INDEX(tblY11[Class],ROWS(H$10:H38))&amp;"","")</f>
        <v>11S/Sc2</v>
      </c>
      <c r="I38">
        <f>IF(H38="","",IF(SUMPRODUCT(--(H$10:H38=H38))=1,SUMPRODUCT(--(H$10:H$609&lt;H38))+1,""))</f>
        <v>523</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IFERROR(INDEX(tblY11[Class],ROWS(H$10:H39))&amp;"","")</f>
        <v>11S/Sc2</v>
      </c>
      <c r="I39" t="str">
        <f>IF(H39="","",IF(SUMPRODUCT(--(H$10:H39=H39))=1,SUMPRODUCT(--(H$10:H$609&lt;H39))+1,""))</f>
        <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IFERROR(INDEX(tblY11[Class],ROWS(H$10:H40))&amp;"","")</f>
        <v>11S/Sc2</v>
      </c>
      <c r="I40" t="str">
        <f>IF(H40="","",IF(SUMPRODUCT(--(H$10:H40=H40))=1,SUMPRODUCT(--(H$10:H$609&lt;H40))+1,""))</f>
        <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IFERROR(INDEX(tblY11[Class],ROWS(H$10:H41))&amp;"","")</f>
        <v>11S/Sc2</v>
      </c>
      <c r="I41" t="str">
        <f>IF(H41="","",IF(SUMPRODUCT(--(H$10:H41=H41))=1,SUMPRODUCT(--(H$10:H$609&lt;H41))+1,""))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IFERROR(INDEX(tblY11[Class],ROWS(H$10:H42))&amp;"","")</f>
        <v>11S/Sc2</v>
      </c>
      <c r="I42" t="str">
        <f>IF(H42="","",IF(SUMPRODUCT(--(H$10:H42=H42))=1,SUMPRODUCT(--(H$10:H$609&lt;H42))+1,""))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IFERROR(INDEX(tblY11[Class],ROWS(H$10:H43))&amp;"","")</f>
        <v>11S/Sc2</v>
      </c>
      <c r="I43" t="str">
        <f>IF(H43="","",IF(SUMPRODUCT(--(H$10:H43=H43))=1,SUMPRODUCT(--(H$10:H$609&lt;H43))+1,""))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IFERROR(INDEX(tblY11[Class],ROWS(H$10:H44))&amp;"","")</f>
        <v>11S/Sc2</v>
      </c>
      <c r="I44" t="str">
        <f>IF(H44="","",IF(SUMPRODUCT(--(H$10:H44=H44))=1,SUMPRODUCT(--(H$10:H$609&lt;H44))+1,""))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IFERROR(INDEX(tblY11[Class],ROWS(H$10:H45))&amp;"","")</f>
        <v>11S/Sc2</v>
      </c>
      <c r="I45" t="str">
        <f>IF(H45="","",IF(SUMPRODUCT(--(H$10:H45=H45))=1,SUMPRODUCT(--(H$10:H$609&lt;H45))+1,""))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IFERROR(INDEX(tblY11[Class],ROWS(H$10:H46))&amp;"","")</f>
        <v>11S/Sc2</v>
      </c>
      <c r="I46" t="str">
        <f>IF(H46="","",IF(SUMPRODUCT(--(H$10:H46=H46))=1,SUMPRODUCT(--(H$10:H$609&lt;H46))+1,""))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IFERROR(INDEX(tblY11[Class],ROWS(H$10:H47))&amp;"","")</f>
        <v>11S/Sc2</v>
      </c>
      <c r="I47" t="str">
        <f>IF(H47="","",IF(SUMPRODUCT(--(H$10:H47=H47))=1,SUMPRODUCT(--(H$10:H$609&lt;H47))+1,""))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IFERROR(INDEX(tblY11[Class],ROWS(H$10:H48))&amp;"","")</f>
        <v>11S/Sc2</v>
      </c>
      <c r="I48" t="str">
        <f>IF(H48="","",IF(SUMPRODUCT(--(H$10:H48=H48))=1,SUMPRODUCT(--(H$10:H$609&lt;H48))+1,""))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IFERROR(INDEX(tblY11[Class],ROWS(H$10:H49))&amp;"","")</f>
        <v>11S/Sc2</v>
      </c>
      <c r="I49" t="str">
        <f>IF(H49="","",IF(SUMPRODUCT(--(H$10:H49=H49))=1,SUMPRODUCT(--(H$10:H$609&lt;H49))+1,""))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IFERROR(INDEX(tblY11[Class],ROWS(H$10:H50))&amp;"","")</f>
        <v>11S/Sc2</v>
      </c>
      <c r="I50" t="str">
        <f>IF(H50="","",IF(SUMPRODUCT(--(H$10:H50=H50))=1,SUMPRODUCT(--(H$10:H$609&lt;H50))+1,""))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IFERROR(INDEX(tblY11[Class],ROWS(H$10:H51))&amp;"","")</f>
        <v>11S/Sc2</v>
      </c>
      <c r="I51" t="str">
        <f>IF(H51="","",IF(SUMPRODUCT(--(H$10:H51=H51))=1,SUMPRODUCT(--(H$10:H$609&lt;H51))+1,""))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IFERROR(INDEX(tblY11[Class],ROWS(H$10:H52))&amp;"","")</f>
        <v>11S/Sc2</v>
      </c>
      <c r="I52" t="str">
        <f>IF(H52="","",IF(SUMPRODUCT(--(H$10:H52=H52))=1,SUMPRODUCT(--(H$10:H$609&lt;H52))+1,""))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IFERROR(INDEX(tblY11[Class],ROWS(H$10:H53))&amp;"","")</f>
        <v>11S/Sc2</v>
      </c>
      <c r="I53" t="str">
        <f>IF(H53="","",IF(SUMPRODUCT(--(H$10:H53=H53))=1,SUMPRODUCT(--(H$10:H$609&lt;H53))+1,""))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IFERROR(INDEX(tblY11[Class],ROWS(H$10:H54))&amp;"","")</f>
        <v>11S/Sc2</v>
      </c>
      <c r="I54" t="str">
        <f>IF(H54="","",IF(SUMPRODUCT(--(H$10:H54=H54))=1,SUMPRODUCT(--(H$10:H$609&lt;H54))+1,""))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IFERROR(INDEX(tblY11[Class],ROWS(H$10:H55))&amp;"","")</f>
        <v>11S/Sc2</v>
      </c>
      <c r="I55" t="str">
        <f>IF(H55="","",IF(SUMPRODUCT(--(H$10:H55=H55))=1,SUMPRODUCT(--(H$10:H$609&lt;H55))+1,""))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IFERROR(INDEX(tblY11[Class],ROWS(H$10:H56))&amp;"","")</f>
        <v>11S/Sc2</v>
      </c>
      <c r="I56" t="str">
        <f>IF(H56="","",IF(SUMPRODUCT(--(H$10:H56=H56))=1,SUMPRODUCT(--(H$10:H$609&lt;H56))+1,""))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IFERROR(INDEX(tblY11[Class],ROWS(H$10:H57))&amp;"","")</f>
        <v>11S/Sc2</v>
      </c>
      <c r="I57" t="str">
        <f>IF(H57="","",IF(SUMPRODUCT(--(H$10:H57=H57))=1,SUMPRODUCT(--(H$10:H$609&lt;H57))+1,""))</f>
        <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IFERROR(INDEX(tblY11[Class],ROWS(H$10:H58))&amp;"","")</f>
        <v>11S/Sc2</v>
      </c>
      <c r="I58" t="str">
        <f>IF(H58="","",IF(SUMPRODUCT(--(H$10:H58=H58))=1,SUMPRODUCT(--(H$10:H$609&lt;H58))+1,""))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IFERROR(INDEX(tblY11[Class],ROWS(H$10:H59))&amp;"","")</f>
        <v>11S/Sc2</v>
      </c>
      <c r="I59" t="str">
        <f>IF(H59="","",IF(SUMPRODUCT(--(H$10:H59=H59))=1,SUMPRODUCT(--(H$10:H$609&lt;H59))+1,""))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IFERROR(INDEX(tblY11[Class],ROWS(H$10:H60))&amp;"","")</f>
        <v>11S/Sc2</v>
      </c>
      <c r="I60" t="str">
        <f>IF(H60="","",IF(SUMPRODUCT(--(H$10:H60=H60))=1,SUMPRODUCT(--(H$10:H$609&lt;H60))+1,""))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IFERROR(INDEX(tblY11[Class],ROWS(H$10:H61))&amp;"","")</f>
        <v>11S/Sc2</v>
      </c>
      <c r="I61" t="str">
        <f>IF(H61="","",IF(SUMPRODUCT(--(H$10:H61=H61))=1,SUMPRODUCT(--(H$10:H$609&lt;H61))+1,""))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IFERROR(INDEX(tblY11[Class],ROWS(H$10:H62))&amp;"","")</f>
        <v>11S/Sc2</v>
      </c>
      <c r="I62" t="str">
        <f>IF(H62="","",IF(SUMPRODUCT(--(H$10:H62=H62))=1,SUMPRODUCT(--(H$10:H$609&lt;H62))+1,""))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IFERROR(INDEX(tblY11[Class],ROWS(H$10:H63))&amp;"","")</f>
        <v>11S/Sc2</v>
      </c>
      <c r="I63" t="str">
        <f>IF(H63="","",IF(SUMPRODUCT(--(H$10:H63=H63))=1,SUMPRODUCT(--(H$10:H$609&lt;H63))+1,""))</f>
        <v/>
      </c>
    </row>
    <row r="64">
      <c r="H64" t="str">
        <f>IFERROR(INDEX(tblY11[Class],ROWS(H$10:H64))&amp;"","")</f>
        <v>11S/Sc3</v>
      </c>
      <c r="I64">
        <f>IF(H64="","",IF(SUMPRODUCT(--(H$10:H64=H64))=1,SUMPRODUCT(--(H$10:H$609&lt;H64))+1,""))</f>
        <v>549</v>
      </c>
      <c r="AA64">
        <f>COUNTIF(tblAssessments[Year Group],SelYear)</f>
        <v>6</v>
      </c>
    </row>
    <row r="65">
      <c r="H65" t="str">
        <f>IFERROR(INDEX(tblY11[Class],ROWS(H$10:H65))&amp;"","")</f>
        <v>11S/Sc3</v>
      </c>
      <c r="I65" t="str">
        <f>IF(H65="","",IF(SUMPRODUCT(--(H$10:H65=H65))=1,SUMPRODUCT(--(H$10:H$609&lt;H65))+1,""))</f>
        <v/>
      </c>
    </row>
    <row r="66">
      <c r="H66" t="str">
        <f>IFERROR(INDEX(tblY11[Class],ROWS(H$10:H66))&amp;"","")</f>
        <v>11S/Sc3</v>
      </c>
      <c r="I66" t="str">
        <f>IF(H66="","",IF(SUMPRODUCT(--(H$10:H66=H66))=1,SUMPRODUCT(--(H$10:H$609&lt;H66))+1,""))</f>
        <v/>
      </c>
    </row>
    <row r="67">
      <c r="H67" t="str">
        <f>IFERROR(INDEX(tblY11[Class],ROWS(H$10:H67))&amp;"","")</f>
        <v>11S/Sc3</v>
      </c>
      <c r="I67" t="str">
        <f>IF(H67="","",IF(SUMPRODUCT(--(H$10:H67=H67))=1,SUMPRODUCT(--(H$10:H$609&lt;H67))+1,""))</f>
        <v/>
      </c>
      <c r="BA67">
        <f>COUNT(BJ70:BJ669)</f>
        <v>9</v>
      </c>
    </row>
    <row r="68">
      <c r="H68" t="str">
        <f>IFERROR(INDEX(tblY11[Class],ROWS(H$10:H68))&amp;"","")</f>
        <v>11S/Sc3</v>
      </c>
      <c r="I68" t="str">
        <f>IF(H68="","",IF(SUMPRODUCT(--(H$10:H68=H68))=1,SUMPRODUCT(--(H$10:H$609&lt;H68))+1,""))</f>
        <v/>
      </c>
    </row>
    <row r="69">
      <c r="H69" t="str">
        <f>IFERROR(INDEX(tblY11[Class],ROWS(H$10:H69))&amp;"","")</f>
        <v>11S/Sc3</v>
      </c>
      <c r="I69" t="str">
        <f>IF(H69="","",IF(SUMPRODUCT(--(H$10:H69=H69))=1,SUMPRODUCT(--(H$10:H$609&lt;H69))+1,""))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IFERROR(INDEX(tblY11[Class],ROWS(H$10:H70))&amp;"","")</f>
        <v>11S/Sc3</v>
      </c>
      <c r="I70" t="str">
        <f>IF(H70="","",IF(SUMPRODUCT(--(H$10:H70=H70))=1,SUMPRODUCT(--(H$10:H$609&lt;H70))+1,""))</f>
        <v/>
      </c>
      <c r="BA70" t="str">
        <f>IFERROR(INDEX(wLast,1)&amp;"","")</f>
        <v>Begum</v>
      </c>
      <c r="BB70" t="str">
        <f>IF(BA70="","",IFERROR(INDEX(wFirst,1)&amp;"",""))</f>
        <v>Maisie</v>
      </c>
      <c r="BC70" t="str">
        <f>IF(BA70="","",IFERROR(INDEX(wClass,1)&amp;"",""))</f>
        <v>11S/Sc1</v>
      </c>
      <c r="BD70">
        <f>IF(BA70="","",IFERROR(INDEX(wKsBand,1)+0,""))</f>
        <v>4</v>
      </c>
      <c r="BE70">
        <f>IF(BA70="","",IFERROR(INDEX(wTests,1)+0,0))</f>
        <v>6</v>
      </c>
      <c r="BF70">
        <f>IF(BA70="","",IFERROR(INDEX(wMean,1)+0,""))</f>
        <v>4.66666666666667</v>
      </c>
      <c r="BG70">
        <f>IF(BA70="","",IFERROR(INDEX(wVs,1)+0,""))</f>
        <v>0.462831890331891</v>
      </c>
      <c r="BH70">
        <f>IF(OR(BA70="",wLatest=""),"",IFERROR(INDEX(wData,1,MATCH(wLatest&amp;CHAR(10)&amp;"Stanine",wHdr,0))+0,""))</f>
        <v>5</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IFERROR(INDEX(tblY11[Class],ROWS(H$10:H71))&amp;"","")</f>
        <v>11S/Sc3</v>
      </c>
      <c r="I71" t="str">
        <f>IF(H71="","",IF(SUMPRODUCT(--(H$10:H71=H71))=1,SUMPRODUCT(--(H$10:H$609&lt;H71))+1,""))</f>
        <v/>
      </c>
      <c r="BA71" t="str">
        <f>IFERROR(INDEX(wLast,2)&amp;"","")</f>
        <v>Begum</v>
      </c>
      <c r="BB71" t="str">
        <f>IF(BA71="","",IFERROR(INDEX(wFirst,2)&amp;"",""))</f>
        <v>Rosie</v>
      </c>
      <c r="BC71" t="str">
        <f>IF(BA71="","",IFERROR(INDEX(wClass,2)&amp;"",""))</f>
        <v>11S/Sc1</v>
      </c>
      <c r="BD71">
        <f>IF(BA71="","",IFERROR(INDEX(wKsBand,2)+0,""))</f>
        <v>5</v>
      </c>
      <c r="BE71">
        <f>IF(BA71="","",IFERROR(INDEX(wTests,2)+0,0))</f>
        <v>6</v>
      </c>
      <c r="BF71">
        <f>IF(BA71="","",IFERROR(INDEX(wMean,2)+0,""))</f>
        <v>4.5</v>
      </c>
      <c r="BG71">
        <f>IF(BA71="","",IFERROR(INDEX(wVs,2)+0,""))</f>
        <v>-0.452698412698412</v>
      </c>
      <c r="BH71">
        <f>IF(OR(BA71="",wLatest=""),"",IFERROR(INDEX(wData,2,MATCH(wLatest&amp;CHAR(10)&amp;"Stanine",wHdr,0))+0,""))</f>
        <v>4</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IFERROR(INDEX(tblY11[Class],ROWS(H$10:H72))&amp;"","")</f>
        <v>11S/Sc3</v>
      </c>
      <c r="I72" t="str">
        <f>IF(H72="","",IF(SUMPRODUCT(--(H$10:H72=H72))=1,SUMPRODUCT(--(H$10:H$609&lt;H72))+1,""))</f>
        <v/>
      </c>
      <c r="BA72" t="str">
        <f>IFERROR(INDEX(wLast,3)&amp;"","")</f>
        <v>Bennett</v>
      </c>
      <c r="BB72" t="str">
        <f>IF(BA72="","",IFERROR(INDEX(wFirst,3)&amp;"",""))</f>
        <v>George</v>
      </c>
      <c r="BC72" t="str">
        <f>IF(BA72="","",IFERROR(INDEX(wClass,3)&amp;"",""))</f>
        <v>11S/Sc1</v>
      </c>
      <c r="BD72">
        <f>IF(BA72="","",IFERROR(INDEX(wKsBand,3)+0,""))</f>
        <v>7</v>
      </c>
      <c r="BE72">
        <f>IF(BA72="","",IFERROR(INDEX(wTests,3)+0,0))</f>
        <v>6</v>
      </c>
      <c r="BF72">
        <f>IF(BA72="","",IFERROR(INDEX(wMean,3)+0,""))</f>
        <v>6.33333333333333</v>
      </c>
      <c r="BG72">
        <f>IF(BA72="","",IFERROR(INDEX(wVs,3)+0,""))</f>
        <v>-0.117092352092352</v>
      </c>
      <c r="BH72">
        <f>IF(OR(BA72="",wLatest=""),"",IFERROR(INDEX(wData,3,MATCH(wLatest&amp;CHAR(10)&amp;"Stanine",wHdr,0))+0,""))</f>
        <v>6</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IFERROR(INDEX(tblY11[Class],ROWS(H$10:H73))&amp;"","")</f>
        <v>11S/Sc3</v>
      </c>
      <c r="I73" t="str">
        <f>IF(H73="","",IF(SUMPRODUCT(--(H$10:H73=H73))=1,SUMPRODUCT(--(H$10:H$609&lt;H73))+1,""))</f>
        <v/>
      </c>
      <c r="BA73" t="str">
        <f>IFERROR(INDEX(wLast,4)&amp;"","")</f>
        <v>Clarke</v>
      </c>
      <c r="BB73" t="str">
        <f>IF(BA73="","",IFERROR(INDEX(wFirst,4)&amp;"",""))</f>
        <v>Niamh</v>
      </c>
      <c r="BC73" t="str">
        <f>IF(BA73="","",IFERROR(INDEX(wClass,4)&amp;"",""))</f>
        <v>11S/Sc1</v>
      </c>
      <c r="BD73">
        <f>IF(BA73="","",IFERROR(INDEX(wKsBand,4)+0,""))</f>
        <v>8</v>
      </c>
      <c r="BE73">
        <f>IF(BA73="","",IFERROR(INDEX(wTests,4)+0,0))</f>
        <v>6</v>
      </c>
      <c r="BF73">
        <f>IF(BA73="","",IFERROR(INDEX(wMean,4)+0,""))</f>
        <v>9</v>
      </c>
      <c r="BG73">
        <f>IF(BA73="","",IFERROR(INDEX(wVs,4)+0,""))</f>
        <v>1.80071067821068</v>
      </c>
      <c r="BH73">
        <f>IF(OR(BA73="",wLatest=""),"",IFERROR(INDEX(wData,4,MATCH(wLatest&amp;CHAR(10)&amp;"Stanine",wHdr,0))+0,""))</f>
        <v>9</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IFERROR(INDEX(tblY11[Class],ROWS(H$10:H74))&amp;"","")</f>
        <v>11S/Sc3</v>
      </c>
      <c r="I74" t="str">
        <f>IF(H74="","",IF(SUMPRODUCT(--(H$10:H74=H74))=1,SUMPRODUCT(--(H$10:H$609&lt;H74))+1,""))</f>
        <v/>
      </c>
      <c r="BA74" t="str">
        <f>IFERROR(INDEX(wLast,5)&amp;"","")</f>
        <v>Cooper</v>
      </c>
      <c r="BB74" t="str">
        <f>IF(BA74="","",IFERROR(INDEX(wFirst,5)&amp;"",""))</f>
        <v>Ava</v>
      </c>
      <c r="BC74" t="str">
        <f>IF(BA74="","",IFERROR(INDEX(wClass,5)&amp;"",""))</f>
        <v>11S/Sc1</v>
      </c>
      <c r="BD74">
        <f>IF(BA74="","",IFERROR(INDEX(wKsBand,5)+0,""))</f>
        <v>5</v>
      </c>
      <c r="BE74">
        <f>IF(BA74="","",IFERROR(INDEX(wTests,5)+0,0))</f>
        <v>5</v>
      </c>
      <c r="BF74">
        <f>IF(BA74="","",IFERROR(INDEX(wMean,5)+0,""))</f>
        <v>6</v>
      </c>
      <c r="BG74">
        <f>IF(BA74="","",IFERROR(INDEX(wVs,5)+0,""))</f>
        <v>1.04730158730159</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IFERROR(INDEX(tblY11[Class],ROWS(H$10:H75))&amp;"","")</f>
        <v>11S/Sc3</v>
      </c>
      <c r="I75" t="str">
        <f>IF(H75="","",IF(SUMPRODUCT(--(H$10:H75=H75))=1,SUMPRODUCT(--(H$10:H$609&lt;H75))+1,""))</f>
        <v/>
      </c>
      <c r="BA75" t="str">
        <f>IFERROR(INDEX(wLast,6)&amp;"","")</f>
        <v>Cooper</v>
      </c>
      <c r="BB75" t="str">
        <f>IF(BA75="","",IFERROR(INDEX(wFirst,6)&amp;"",""))</f>
        <v>Lewis</v>
      </c>
      <c r="BC75" t="str">
        <f>IF(BA75="","",IFERROR(INDEX(wClass,6)&amp;"",""))</f>
        <v>11S/Sc1</v>
      </c>
      <c r="BD75">
        <f>IF(BA75="","",IFERROR(INDEX(wKsBand,6)+0,""))</f>
        <v>5</v>
      </c>
      <c r="BE75">
        <f>IF(BA75="","",IFERROR(INDEX(wTests,6)+0,0))</f>
        <v>5</v>
      </c>
      <c r="BF75">
        <f>IF(BA75="","",IFERROR(INDEX(wMean,6)+0,""))</f>
        <v>4.8</v>
      </c>
      <c r="BG75">
        <f>IF(BA75="","",IFERROR(INDEX(wVs,6)+0,""))</f>
        <v>-0.152698412698412</v>
      </c>
      <c r="BH75">
        <f>IF(OR(BA75="",wLatest=""),"",IFERROR(INDEX(wData,6,MATCH(wLatest&amp;CHAR(10)&amp;"Stanine",wHdr,0))+0,""))</f>
        <v>4</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IFERROR(INDEX(tblY11[Class],ROWS(H$10:H76))&amp;"","")</f>
        <v>11S/Sc3</v>
      </c>
      <c r="I76" t="str">
        <f>IF(H76="","",IF(SUMPRODUCT(--(H$10:H76=H76))=1,SUMPRODUCT(--(H$10:H$609&lt;H76))+1,""))</f>
        <v/>
      </c>
      <c r="BA76" t="str">
        <f>IFERROR(INDEX(wLast,7)&amp;"","")</f>
        <v>Evans</v>
      </c>
      <c r="BB76" t="str">
        <f>IF(BA76="","",IFERROR(INDEX(wFirst,7)&amp;"",""))</f>
        <v>Hannah</v>
      </c>
      <c r="BC76" t="str">
        <f>IF(BA76="","",IFERROR(INDEX(wClass,7)&amp;"",""))</f>
        <v>11S/Sc1</v>
      </c>
      <c r="BD76">
        <f>IF(BA76="","",IFERROR(INDEX(wKsBand,7)+0,""))</f>
        <v>6</v>
      </c>
      <c r="BE76">
        <f>IF(BA76="","",IFERROR(INDEX(wTests,7)+0,0))</f>
        <v>6</v>
      </c>
      <c r="BF76">
        <f>IF(BA76="","",IFERROR(INDEX(wMean,7)+0,""))</f>
        <v>6.16666666666667</v>
      </c>
      <c r="BG76">
        <f>IF(BA76="","",IFERROR(INDEX(wVs,7)+0,""))</f>
        <v>0.465104617604618</v>
      </c>
      <c r="BH76">
        <f>IF(OR(BA76="",wLatest=""),"",IFERROR(INDEX(wData,7,MATCH(wLatest&amp;CHAR(10)&amp;"Stanine",wHdr,0))+0,""))</f>
        <v>7</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IFERROR(INDEX(tblY11[Class],ROWS(H$10:H77))&amp;"","")</f>
        <v>11S/Sc3</v>
      </c>
      <c r="I77" t="str">
        <f>IF(H77="","",IF(SUMPRODUCT(--(H$10:H77=H77))=1,SUMPRODUCT(--(H$10:H$609&lt;H77))+1,""))</f>
        <v/>
      </c>
      <c r="BA77" t="str">
        <f>IFERROR(INDEX(wLast,8)&amp;"","")</f>
        <v>Hall</v>
      </c>
      <c r="BB77" t="str">
        <f>IF(BA77="","",IFERROR(INDEX(wFirst,8)&amp;"",""))</f>
        <v>Amara</v>
      </c>
      <c r="BC77" t="str">
        <f>IF(BA77="","",IFERROR(INDEX(wClass,8)&amp;"",""))</f>
        <v>11S/Sc1</v>
      </c>
      <c r="BD77">
        <f>IF(BA77="","",IFERROR(INDEX(wKsBand,8)+0,""))</f>
        <v>6</v>
      </c>
      <c r="BE77">
        <f>IF(BA77="","",IFERROR(INDEX(wTests,8)+0,0))</f>
        <v>5</v>
      </c>
      <c r="BF77">
        <f>IF(BA77="","",IFERROR(INDEX(wMean,8)+0,""))</f>
        <v>5.8</v>
      </c>
      <c r="BG77">
        <f>IF(BA77="","",IFERROR(INDEX(wVs,8)+0,""))</f>
        <v>0.0984379509379512</v>
      </c>
      <c r="BH77" t="str">
        <f>IF(OR(BA77="",wLatest=""),"",IFERROR(INDEX(wData,8,MATCH(wLatest&amp;CHAR(10)&amp;"Stanine",wHdr,0))+0,""))</f>
        <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IFERROR(INDEX(tblY11[Class],ROWS(H$10:H78))&amp;"","")</f>
        <v>11S/Sc3</v>
      </c>
      <c r="I78" t="str">
        <f>IF(H78="","",IF(SUMPRODUCT(--(H$10:H78=H78))=1,SUMPRODUCT(--(H$10:H$609&lt;H78))+1,""))</f>
        <v/>
      </c>
      <c r="BA78" t="str">
        <f>IFERROR(INDEX(wLast,9)&amp;"","")</f>
        <v>Harrison</v>
      </c>
      <c r="BB78" t="str">
        <f>IF(BA78="","",IFERROR(INDEX(wFirst,9)&amp;"",""))</f>
        <v>Ella</v>
      </c>
      <c r="BC78" t="str">
        <f>IF(BA78="","",IFERROR(INDEX(wClass,9)&amp;"",""))</f>
        <v>11S/Sc1</v>
      </c>
      <c r="BD78">
        <f>IF(BA78="","",IFERROR(INDEX(wKsBand,9)+0,""))</f>
        <v>6</v>
      </c>
      <c r="BE78">
        <f>IF(BA78="","",IFERROR(INDEX(wTests,9)+0,0))</f>
        <v>6</v>
      </c>
      <c r="BF78">
        <f>IF(BA78="","",IFERROR(INDEX(wMean,9)+0,""))</f>
        <v>6.5</v>
      </c>
      <c r="BG78">
        <f>IF(BA78="","",IFERROR(INDEX(wVs,9)+0,""))</f>
        <v>0.798437950937951</v>
      </c>
      <c r="BH78">
        <f>IF(OR(BA78="",wLatest=""),"",IFERROR(INDEX(wData,9,MATCH(wLatest&amp;CHAR(10)&amp;"Stanine",wHdr,0))+0,""))</f>
        <v>6</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IFERROR(INDEX(tblY11[Class],ROWS(H$10:H79))&amp;"","")</f>
        <v>11S/Sc3</v>
      </c>
      <c r="I79" t="str">
        <f>IF(H79="","",IF(SUMPRODUCT(--(H$10:H79=H79))=1,SUMPRODUCT(--(H$10:H$609&lt;H79))+1,""))</f>
        <v/>
      </c>
      <c r="BA79" t="str">
        <f>IFERROR(INDEX(wLast,10)&amp;"","")</f>
        <v>Hussain</v>
      </c>
      <c r="BB79" t="str">
        <f>IF(BA79="","",IFERROR(INDEX(wFirst,10)&amp;"",""))</f>
        <v>Freya</v>
      </c>
      <c r="BC79" t="str">
        <f>IF(BA79="","",IFERROR(INDEX(wClass,10)&amp;"",""))</f>
        <v>11S/Sc1</v>
      </c>
      <c r="BD79">
        <f>IF(BA79="","",IFERROR(INDEX(wKsBand,10)+0,""))</f>
        <v>8</v>
      </c>
      <c r="BE79">
        <f>IF(BA79="","",IFERROR(INDEX(wTests,10)+0,0))</f>
        <v>6</v>
      </c>
      <c r="BF79">
        <f>IF(BA79="","",IFERROR(INDEX(wMean,10)+0,""))</f>
        <v>7.83333333333333</v>
      </c>
      <c r="BG79">
        <f>IF(BA79="","",IFERROR(INDEX(wVs,10)+0,""))</f>
        <v>0.634044011544011</v>
      </c>
      <c r="BH79">
        <f>IF(OR(BA79="",wLatest=""),"",IFERROR(INDEX(wData,10,MATCH(wLatest&amp;CHAR(10)&amp;"Stanine",wHdr,0))+0,""))</f>
        <v>8</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IFERROR(INDEX(tblY11[Class],ROWS(H$10:H80))&amp;"","")</f>
        <v>11S/Sc3</v>
      </c>
      <c r="I80" t="str">
        <f>IF(H80="","",IF(SUMPRODUCT(--(H$10:H80=H80))=1,SUMPRODUCT(--(H$10:H$609&lt;H80))+1,""))</f>
        <v/>
      </c>
      <c r="BA80" t="str">
        <f>IFERROR(INDEX(wLast,11)&amp;"","")</f>
        <v>Hussain</v>
      </c>
      <c r="BB80" t="str">
        <f>IF(BA80="","",IFERROR(INDEX(wFirst,11)&amp;"",""))</f>
        <v>Hollie</v>
      </c>
      <c r="BC80" t="str">
        <f>IF(BA80="","",IFERROR(INDEX(wClass,11)&amp;"",""))</f>
        <v>11S/Sc1</v>
      </c>
      <c r="BD80" t="str">
        <f>IF(BA80="","",IFERROR(INDEX(wKsBand,11)+0,""))</f>
        <v/>
      </c>
      <c r="BE80">
        <f>IF(BA80="","",IFERROR(INDEX(wTests,11)+0,0))</f>
        <v>5</v>
      </c>
      <c r="BF80">
        <f>IF(BA80="","",IFERROR(INDEX(wMean,11)+0,""))</f>
        <v>7</v>
      </c>
      <c r="BG80" t="str">
        <f>IF(BA80="","",IFERROR(INDEX(wVs,11)+0,""))</f>
        <v/>
      </c>
      <c r="BH80">
        <f>IF(OR(BA80="",wLatest=""),"",IFERROR(INDEX(wData,11,MATCH(wLatest&amp;CHAR(10)&amp;"Stanine",wHdr,0))+0,""))</f>
        <v>7</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IFERROR(INDEX(tblY11[Class],ROWS(H$10:H81))&amp;"","")</f>
        <v>11S/Sc3</v>
      </c>
      <c r="I81" t="str">
        <f>IF(H81="","",IF(SUMPRODUCT(--(H$10:H81=H81))=1,SUMPRODUCT(--(H$10:H$609&lt;H81))+1,""))</f>
        <v/>
      </c>
      <c r="BA81" t="str">
        <f>IFERROR(INDEX(wLast,12)&amp;"","")</f>
        <v>Jones</v>
      </c>
      <c r="BB81" t="str">
        <f>IF(BA81="","",IFERROR(INDEX(wFirst,12)&amp;"",""))</f>
        <v>Nia</v>
      </c>
      <c r="BC81" t="str">
        <f>IF(BA81="","",IFERROR(INDEX(wClass,12)&amp;"",""))</f>
        <v>11S/Sc1</v>
      </c>
      <c r="BD81">
        <f>IF(BA81="","",IFERROR(INDEX(wKsBand,12)+0,""))</f>
        <v>7</v>
      </c>
      <c r="BE81">
        <f>IF(BA81="","",IFERROR(INDEX(wTests,12)+0,0))</f>
        <v>6</v>
      </c>
      <c r="BF81">
        <f>IF(BA81="","",IFERROR(INDEX(wMean,12)+0,""))</f>
        <v>7.33333333333333</v>
      </c>
      <c r="BG81">
        <f>IF(BA81="","",IFERROR(INDEX(wVs,12)+0,""))</f>
        <v>0.882907647907648</v>
      </c>
      <c r="BH81">
        <f>IF(OR(BA81="",wLatest=""),"",IFERROR(INDEX(wData,12,MATCH(wLatest&amp;CHAR(10)&amp;"Stanine",wHdr,0))+0,""))</f>
        <v>8</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IFERROR(INDEX(tblY11[Class],ROWS(H$10:H82))&amp;"","")</f>
        <v>11S/Sc3</v>
      </c>
      <c r="I82" t="str">
        <f>IF(H82="","",IF(SUMPRODUCT(--(H$10:H82=H82))=1,SUMPRODUCT(--(H$10:H$609&lt;H82))+1,""))</f>
        <v/>
      </c>
      <c r="BA82" t="str">
        <f>IFERROR(INDEX(wLast,13)&amp;"","")</f>
        <v>Jones</v>
      </c>
      <c r="BB82" t="str">
        <f>IF(BA82="","",IFERROR(INDEX(wFirst,13)&amp;"",""))</f>
        <v>Poppy</v>
      </c>
      <c r="BC82" t="str">
        <f>IF(BA82="","",IFERROR(INDEX(wClass,13)&amp;"",""))</f>
        <v>11S/Sc1</v>
      </c>
      <c r="BD82">
        <f>IF(BA82="","",IFERROR(INDEX(wKsBand,13)+0,""))</f>
        <v>9</v>
      </c>
      <c r="BE82">
        <f>IF(BA82="","",IFERROR(INDEX(wTests,13)+0,0))</f>
        <v>6</v>
      </c>
      <c r="BF82">
        <f>IF(BA82="","",IFERROR(INDEX(wMean,13)+0,""))</f>
        <v>7</v>
      </c>
      <c r="BG82">
        <f>IF(BA82="","",IFERROR(INDEX(wVs,13)+0,""))</f>
        <v>-0.948152958152958</v>
      </c>
      <c r="BH82">
        <f>IF(OR(BA82="",wLatest=""),"",IFERROR(INDEX(wData,13,MATCH(wLatest&amp;CHAR(10)&amp;"Stanine",wHdr,0))+0,""))</f>
        <v>6</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IFERROR(INDEX(tblY11[Class],ROWS(H$10:H83))&amp;"","")</f>
        <v>11S/Sc3</v>
      </c>
      <c r="I83" t="str">
        <f>IF(H83="","",IF(SUMPRODUCT(--(H$10:H83=H83))=1,SUMPRODUCT(--(H$10:H$609&lt;H83))+1,""))</f>
        <v/>
      </c>
      <c r="BA83" t="str">
        <f>IFERROR(INDEX(wLast,14)&amp;"","")</f>
        <v>Lewis</v>
      </c>
      <c r="BB83" t="str">
        <f>IF(BA83="","",IFERROR(INDEX(wFirst,14)&amp;"",""))</f>
        <v>Jacob</v>
      </c>
      <c r="BC83" t="str">
        <f>IF(BA83="","",IFERROR(INDEX(wClass,14)&amp;"",""))</f>
        <v>11S/Sc1</v>
      </c>
      <c r="BD83">
        <f>IF(BA83="","",IFERROR(INDEX(wKsBand,14)+0,""))</f>
        <v>7</v>
      </c>
      <c r="BE83">
        <f>IF(BA83="","",IFERROR(INDEX(wTests,14)+0,0))</f>
        <v>6</v>
      </c>
      <c r="BF83">
        <f>IF(BA83="","",IFERROR(INDEX(wMean,14)+0,""))</f>
        <v>7</v>
      </c>
      <c r="BG83">
        <f>IF(BA83="","",IFERROR(INDEX(wVs,14)+0,""))</f>
        <v>0.549574314574315</v>
      </c>
      <c r="BH83">
        <f>IF(OR(BA83="",wLatest=""),"",IFERROR(INDEX(wData,14,MATCH(wLatest&amp;CHAR(10)&amp;"Stanine",wHdr,0))+0,""))</f>
        <v>8</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IFERROR(INDEX(tblY11[Class],ROWS(H$10:H84))&amp;"","")</f>
        <v>11S/Sc3</v>
      </c>
      <c r="I84" t="str">
        <f>IF(H84="","",IF(SUMPRODUCT(--(H$10:H84=H84))=1,SUMPRODUCT(--(H$10:H$609&lt;H84))+1,""))</f>
        <v/>
      </c>
      <c r="BA84" t="str">
        <f>IFERROR(INDEX(wLast,15)&amp;"","")</f>
        <v>Morgan</v>
      </c>
      <c r="BB84" t="str">
        <f>IF(BA84="","",IFERROR(INDEX(wFirst,15)&amp;"",""))</f>
        <v>Arthur</v>
      </c>
      <c r="BC84" t="str">
        <f>IF(BA84="","",IFERROR(INDEX(wClass,15)&amp;"",""))</f>
        <v>11S/Sc1</v>
      </c>
      <c r="BD84">
        <f>IF(BA84="","",IFERROR(INDEX(wKsBand,15)+0,""))</f>
        <v>7</v>
      </c>
      <c r="BE84">
        <f>IF(BA84="","",IFERROR(INDEX(wTests,15)+0,0))</f>
        <v>6</v>
      </c>
      <c r="BF84">
        <f>IF(BA84="","",IFERROR(INDEX(wMean,15)+0,""))</f>
        <v>6</v>
      </c>
      <c r="BG84">
        <f>IF(BA84="","",IFERROR(INDEX(wVs,15)+0,""))</f>
        <v>-0.450425685425685</v>
      </c>
      <c r="BH84">
        <f>IF(OR(BA84="",wLatest=""),"",IFERROR(INDEX(wData,15,MATCH(wLatest&amp;CHAR(10)&amp;"Stanine",wHdr,0))+0,""))</f>
        <v>6</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IFERROR(INDEX(tblY11[Class],ROWS(H$10:H85))&amp;"","")</f>
        <v>11S/Sc4</v>
      </c>
      <c r="I85">
        <f>IF(H85="","",IF(SUMPRODUCT(--(H$10:H85=H85))=1,SUMPRODUCT(--(H$10:H$609&lt;H85))+1,""))</f>
        <v>570</v>
      </c>
      <c r="BA85" t="str">
        <f>IFERROR(INDEX(wLast,16)&amp;"","")</f>
        <v>Morgan</v>
      </c>
      <c r="BB85" t="str">
        <f>IF(BA85="","",IFERROR(INDEX(wFirst,16)&amp;"",""))</f>
        <v>Megan</v>
      </c>
      <c r="BC85" t="str">
        <f>IF(BA85="","",IFERROR(INDEX(wClass,16)&amp;"",""))</f>
        <v>11S/Sc1</v>
      </c>
      <c r="BD85">
        <f>IF(BA85="","",IFERROR(INDEX(wKsBand,16)+0,""))</f>
        <v>8</v>
      </c>
      <c r="BE85">
        <f>IF(BA85="","",IFERROR(INDEX(wTests,16)+0,0))</f>
        <v>6</v>
      </c>
      <c r="BF85">
        <f>IF(BA85="","",IFERROR(INDEX(wMean,16)+0,""))</f>
        <v>5.83333333333333</v>
      </c>
      <c r="BG85">
        <f>IF(BA85="","",IFERROR(INDEX(wVs,16)+0,""))</f>
        <v>-1.36595598845599</v>
      </c>
      <c r="BH85">
        <f>IF(OR(BA85="",wLatest=""),"",IFERROR(INDEX(wData,16,MATCH(wLatest&amp;CHAR(10)&amp;"Stanine",wHdr,0))+0,""))</f>
        <v>5</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IFERROR(INDEX(tblY11[Class],ROWS(H$10:H86))&amp;"","")</f>
        <v>11S/Sc4</v>
      </c>
      <c r="I86" t="str">
        <f>IF(H86="","",IF(SUMPRODUCT(--(H$10:H86=H86))=1,SUMPRODUCT(--(H$10:H$609&lt;H86))+1,""))</f>
        <v/>
      </c>
      <c r="BA86" t="str">
        <f>IFERROR(INDEX(wLast,17)&amp;"","")</f>
        <v>Murphy</v>
      </c>
      <c r="BB86" t="str">
        <f>IF(BA86="","",IFERROR(INDEX(wFirst,17)&amp;"",""))</f>
        <v>Mia</v>
      </c>
      <c r="BC86" t="str">
        <f>IF(BA86="","",IFERROR(INDEX(wClass,17)&amp;"",""))</f>
        <v>11S/Sc1</v>
      </c>
      <c r="BD86">
        <f>IF(BA86="","",IFERROR(INDEX(wKsBand,17)+0,""))</f>
        <v>7</v>
      </c>
      <c r="BE86">
        <f>IF(BA86="","",IFERROR(INDEX(wTests,17)+0,0))</f>
        <v>6</v>
      </c>
      <c r="BF86">
        <f>IF(BA86="","",IFERROR(INDEX(wMean,17)+0,""))</f>
        <v>6.16666666666667</v>
      </c>
      <c r="BG86">
        <f>IF(BA86="","",IFERROR(INDEX(wVs,17)+0,""))</f>
        <v>-0.283759018759018</v>
      </c>
      <c r="BH86">
        <f>IF(OR(BA86="",wLatest=""),"",IFERROR(INDEX(wData,17,MATCH(wLatest&amp;CHAR(10)&amp;"Stanine",wHdr,0))+0,""))</f>
        <v>6</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IFERROR(INDEX(tblY11[Class],ROWS(H$10:H87))&amp;"","")</f>
        <v>11S/Sc4</v>
      </c>
      <c r="I87" t="str">
        <f>IF(H87="","",IF(SUMPRODUCT(--(H$10:H87=H87))=1,SUMPRODUCT(--(H$10:H$609&lt;H87))+1,""))</f>
        <v/>
      </c>
      <c r="BA87" t="str">
        <f>IFERROR(INDEX(wLast,18)&amp;"","")</f>
        <v>Nowak</v>
      </c>
      <c r="BB87" t="str">
        <f>IF(BA87="","",IFERROR(INDEX(wFirst,18)&amp;"",""))</f>
        <v>Freya</v>
      </c>
      <c r="BC87" t="str">
        <f>IF(BA87="","",IFERROR(INDEX(wClass,18)&amp;"",""))</f>
        <v>11S/Sc1</v>
      </c>
      <c r="BD87">
        <f>IF(BA87="","",IFERROR(INDEX(wKsBand,18)+0,""))</f>
        <v>6</v>
      </c>
      <c r="BE87">
        <f>IF(BA87="","",IFERROR(INDEX(wTests,18)+0,0))</f>
        <v>6</v>
      </c>
      <c r="BF87">
        <f>IF(BA87="","",IFERROR(INDEX(wMean,18)+0,""))</f>
        <v>7.16666666666667</v>
      </c>
      <c r="BG87">
        <f>IF(BA87="","",IFERROR(INDEX(wVs,18)+0,""))</f>
        <v>1.46510461760462</v>
      </c>
      <c r="BH87">
        <f>IF(OR(BA87="",wLatest=""),"",IFERROR(INDEX(wData,18,MATCH(wLatest&amp;CHAR(10)&amp;"Stanine",wHdr,0))+0,""))</f>
        <v>8</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IFERROR(INDEX(tblY11[Class],ROWS(H$10:H88))&amp;"","")</f>
        <v>11S/Sc4</v>
      </c>
      <c r="I88" t="str">
        <f>IF(H88="","",IF(SUMPRODUCT(--(H$10:H88=H88))=1,SUMPRODUCT(--(H$10:H$609&lt;H88))+1,""))</f>
        <v/>
      </c>
      <c r="BA88" t="str">
        <f>IFERROR(INDEX(wLast,19)&amp;"","")</f>
        <v>Okafor</v>
      </c>
      <c r="BB88" t="str">
        <f>IF(BA88="","",IFERROR(INDEX(wFirst,19)&amp;"",""))</f>
        <v>Zara</v>
      </c>
      <c r="BC88" t="str">
        <f>IF(BA88="","",IFERROR(INDEX(wClass,19)&amp;"",""))</f>
        <v>11S/Sc1</v>
      </c>
      <c r="BD88">
        <f>IF(BA88="","",IFERROR(INDEX(wKsBand,19)+0,""))</f>
        <v>9</v>
      </c>
      <c r="BE88">
        <f>IF(BA88="","",IFERROR(INDEX(wTests,19)+0,0))</f>
        <v>6</v>
      </c>
      <c r="BF88">
        <f>IF(BA88="","",IFERROR(INDEX(wMean,19)+0,""))</f>
        <v>9</v>
      </c>
      <c r="BG88">
        <f>IF(BA88="","",IFERROR(INDEX(wVs,19)+0,""))</f>
        <v>1.05184704184704</v>
      </c>
      <c r="BH88">
        <f>IF(OR(BA88="",wLatest=""),"",IFERROR(INDEX(wData,19,MATCH(wLatest&amp;CHAR(10)&amp;"Stanine",wHdr,0))+0,""))</f>
        <v>9</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IFERROR(INDEX(tblY11[Class],ROWS(H$10:H89))&amp;"","")</f>
        <v>11S/Sc4</v>
      </c>
      <c r="I89" t="str">
        <f>IF(H89="","",IF(SUMPRODUCT(--(H$10:H89=H89))=1,SUMPRODUCT(--(H$10:H$609&lt;H89))+1,""))</f>
        <v/>
      </c>
      <c r="BA89" t="str">
        <f>IFERROR(INDEX(wLast,20)&amp;"","")</f>
        <v>Patel</v>
      </c>
      <c r="BB89" t="str">
        <f>IF(BA89="","",IFERROR(INDEX(wFirst,20)&amp;"",""))</f>
        <v>Maisie</v>
      </c>
      <c r="BC89" t="str">
        <f>IF(BA89="","",IFERROR(INDEX(wClass,20)&amp;"",""))</f>
        <v>11S/Sc1</v>
      </c>
      <c r="BD89">
        <f>IF(BA89="","",IFERROR(INDEX(wKsBand,20)+0,""))</f>
        <v>9</v>
      </c>
      <c r="BE89">
        <f>IF(BA89="","",IFERROR(INDEX(wTests,20)+0,0))</f>
        <v>5</v>
      </c>
      <c r="BF89">
        <f>IF(BA89="","",IFERROR(INDEX(wMean,20)+0,""))</f>
        <v>8</v>
      </c>
      <c r="BG89">
        <f>IF(BA89="","",IFERROR(INDEX(wVs,20)+0,""))</f>
        <v>0.0518470418470418</v>
      </c>
      <c r="BH89">
        <f>IF(OR(BA89="",wLatest=""),"",IFERROR(INDEX(wData,20,MATCH(wLatest&amp;CHAR(10)&amp;"Stanine",wHdr,0))+0,""))</f>
        <v>8</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IFERROR(INDEX(tblY11[Class],ROWS(H$10:H90))&amp;"","")</f>
        <v>11S/Sc4</v>
      </c>
      <c r="I90" t="str">
        <f>IF(H90="","",IF(SUMPRODUCT(--(H$10:H90=H90))=1,SUMPRODUCT(--(H$10:H$609&lt;H90))+1,""))</f>
        <v/>
      </c>
      <c r="BA90" t="str">
        <f>IFERROR(INDEX(wLast,21)&amp;"","")</f>
        <v>Robinson</v>
      </c>
      <c r="BB90" t="str">
        <f>IF(BA90="","",IFERROR(INDEX(wFirst,21)&amp;"",""))</f>
        <v>Jacob</v>
      </c>
      <c r="BC90" t="str">
        <f>IF(BA90="","",IFERROR(INDEX(wClass,21)&amp;"",""))</f>
        <v>11S/Sc1</v>
      </c>
      <c r="BD90">
        <f>IF(BA90="","",IFERROR(INDEX(wKsBand,21)+0,""))</f>
        <v>6</v>
      </c>
      <c r="BE90">
        <f>IF(BA90="","",IFERROR(INDEX(wTests,21)+0,0))</f>
        <v>6</v>
      </c>
      <c r="BF90">
        <f>IF(BA90="","",IFERROR(INDEX(wMean,21)+0,""))</f>
        <v>5.83333333333333</v>
      </c>
      <c r="BG90">
        <f>IF(BA90="","",IFERROR(INDEX(wVs,21)+0,""))</f>
        <v>0.131771284271284</v>
      </c>
      <c r="BH90">
        <f>IF(OR(BA90="",wLatest=""),"",IFERROR(INDEX(wData,21,MATCH(wLatest&amp;CHAR(10)&amp;"Stanine",wHdr,0))+0,""))</f>
        <v>4</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IFERROR(INDEX(tblY11[Class],ROWS(H$10:H91))&amp;"","")</f>
        <v>11S/Sc4</v>
      </c>
      <c r="I91" t="str">
        <f>IF(H91="","",IF(SUMPRODUCT(--(H$10:H91=H91))=1,SUMPRODUCT(--(H$10:H$609&lt;H91))+1,""))</f>
        <v/>
      </c>
      <c r="BA91" t="str">
        <f>IFERROR(INDEX(wLast,22)&amp;"","")</f>
        <v>Shaw</v>
      </c>
      <c r="BB91" t="str">
        <f>IF(BA91="","",IFERROR(INDEX(wFirst,22)&amp;"",""))</f>
        <v>Grace</v>
      </c>
      <c r="BC91" t="str">
        <f>IF(BA91="","",IFERROR(INDEX(wClass,22)&amp;"",""))</f>
        <v>11S/Sc1</v>
      </c>
      <c r="BD91">
        <f>IF(BA91="","",IFERROR(INDEX(wKsBand,22)+0,""))</f>
        <v>4</v>
      </c>
      <c r="BE91">
        <f>IF(BA91="","",IFERROR(INDEX(wTests,22)+0,0))</f>
        <v>6</v>
      </c>
      <c r="BF91">
        <f>IF(BA91="","",IFERROR(INDEX(wMean,22)+0,""))</f>
        <v>7.33333333333333</v>
      </c>
      <c r="BG91">
        <f>IF(BA91="","",IFERROR(INDEX(wVs,22)+0,""))</f>
        <v>3.12949855699856</v>
      </c>
      <c r="BH91">
        <f>IF(OR(BA91="",wLatest=""),"",IFERROR(INDEX(wData,22,MATCH(wLatest&amp;CHAR(10)&amp;"Stanine",wHdr,0))+0,""))</f>
        <v>7</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IFERROR(INDEX(tblY11[Class],ROWS(H$10:H92))&amp;"","")</f>
        <v>11S/Sc4</v>
      </c>
      <c r="I92" t="str">
        <f>IF(H92="","",IF(SUMPRODUCT(--(H$10:H92=H92))=1,SUMPRODUCT(--(H$10:H$609&lt;H92))+1,""))</f>
        <v/>
      </c>
      <c r="BA92" t="str">
        <f>IFERROR(INDEX(wLast,23)&amp;"","")</f>
        <v>Thompson</v>
      </c>
      <c r="BB92" t="str">
        <f>IF(BA92="","",IFERROR(INDEX(wFirst,23)&amp;"",""))</f>
        <v>Rosie</v>
      </c>
      <c r="BC92" t="str">
        <f>IF(BA92="","",IFERROR(INDEX(wClass,23)&amp;"",""))</f>
        <v>11S/Sc1</v>
      </c>
      <c r="BD92">
        <f>IF(BA92="","",IFERROR(INDEX(wKsBand,23)+0,""))</f>
        <v>5</v>
      </c>
      <c r="BE92">
        <f>IF(BA92="","",IFERROR(INDEX(wTests,23)+0,0))</f>
        <v>6</v>
      </c>
      <c r="BF92">
        <f>IF(BA92="","",IFERROR(INDEX(wMean,23)+0,""))</f>
        <v>8.33333333333333</v>
      </c>
      <c r="BG92">
        <f>IF(BA92="","",IFERROR(INDEX(wVs,23)+0,""))</f>
        <v>3.38063492063492</v>
      </c>
      <c r="BH92">
        <f>IF(OR(BA92="",wLatest=""),"",IFERROR(INDEX(wData,23,MATCH(wLatest&amp;CHAR(10)&amp;"Stanine",wHdr,0))+0,""))</f>
        <v>9</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IFERROR(INDEX(tblY11[Class],ROWS(H$10:H93))&amp;"","")</f>
        <v>11S/Sc4</v>
      </c>
      <c r="I93" t="str">
        <f>IF(H93="","",IF(SUMPRODUCT(--(H$10:H93=H93))=1,SUMPRODUCT(--(H$10:H$609&lt;H93))+1,""))</f>
        <v/>
      </c>
      <c r="BA93" t="str">
        <f>IFERROR(INDEX(wLast,24)&amp;"","")</f>
        <v>Turner</v>
      </c>
      <c r="BB93" t="str">
        <f>IF(BA93="","",IFERROR(INDEX(wFirst,24)&amp;"",""))</f>
        <v>Isla</v>
      </c>
      <c r="BC93" t="str">
        <f>IF(BA93="","",IFERROR(INDEX(wClass,24)&amp;"",""))</f>
        <v>11S/Sc1</v>
      </c>
      <c r="BD93">
        <f>IF(BA93="","",IFERROR(INDEX(wKsBand,24)+0,""))</f>
        <v>6</v>
      </c>
      <c r="BE93">
        <f>IF(BA93="","",IFERROR(INDEX(wTests,24)+0,0))</f>
        <v>6</v>
      </c>
      <c r="BF93">
        <f>IF(BA93="","",IFERROR(INDEX(wMean,24)+0,""))</f>
        <v>7.83333333333333</v>
      </c>
      <c r="BG93">
        <f>IF(BA93="","",IFERROR(INDEX(wVs,24)+0,""))</f>
        <v>2.13177128427128</v>
      </c>
      <c r="BH93">
        <f>IF(OR(BA93="",wLatest=""),"",IFERROR(INDEX(wData,24,MATCH(wLatest&amp;CHAR(10)&amp;"Stanine",wHdr,0))+0,""))</f>
        <v>8</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IFERROR(INDEX(tblY11[Class],ROWS(H$10:H94))&amp;"","")</f>
        <v>11S/Sc4</v>
      </c>
      <c r="I94" t="str">
        <f>IF(H94="","",IF(SUMPRODUCT(--(H$10:H94=H94))=1,SUMPRODUCT(--(H$10:H$609&lt;H94))+1,""))</f>
        <v/>
      </c>
      <c r="BA94" t="str">
        <f>IFERROR(INDEX(wLast,25)&amp;"","")</f>
        <v>Walker</v>
      </c>
      <c r="BB94" t="str">
        <f>IF(BA94="","",IFERROR(INDEX(wFirst,25)&amp;"",""))</f>
        <v>Oscar</v>
      </c>
      <c r="BC94" t="str">
        <f>IF(BA94="","",IFERROR(INDEX(wClass,25)&amp;"",""))</f>
        <v>11S/Sc1</v>
      </c>
      <c r="BD94">
        <f>IF(BA94="","",IFERROR(INDEX(wKsBand,25)+0,""))</f>
        <v>6</v>
      </c>
      <c r="BE94">
        <f>IF(BA94="","",IFERROR(INDEX(wTests,25)+0,0))</f>
        <v>6</v>
      </c>
      <c r="BF94">
        <f>IF(BA94="","",IFERROR(INDEX(wMean,25)+0,""))</f>
        <v>7.5</v>
      </c>
      <c r="BG94">
        <f>IF(BA94="","",IFERROR(INDEX(wVs,25)+0,""))</f>
        <v>1.79843795093795</v>
      </c>
      <c r="BH94">
        <f>IF(OR(BA94="",wLatest=""),"",IFERROR(INDEX(wData,25,MATCH(wLatest&amp;CHAR(10)&amp;"Stanine",wHdr,0))+0,""))</f>
        <v>7</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IFERROR(INDEX(tblY11[Class],ROWS(H$10:H95))&amp;"","")</f>
        <v>11S/Sc4</v>
      </c>
      <c r="I95" t="str">
        <f>IF(H95="","",IF(SUMPRODUCT(--(H$10:H95=H95))=1,SUMPRODUCT(--(H$10:H$609&lt;H95))+1,""))</f>
        <v/>
      </c>
      <c r="BA95" t="str">
        <f>IFERROR(INDEX(wLast,26)&amp;"","")</f>
        <v>Ward</v>
      </c>
      <c r="BB95" t="str">
        <f>IF(BA95="","",IFERROR(INDEX(wFirst,26)&amp;"",""))</f>
        <v>Aisha</v>
      </c>
      <c r="BC95" t="str">
        <f>IF(BA95="","",IFERROR(INDEX(wClass,26)&amp;"",""))</f>
        <v>11S/Sc1</v>
      </c>
      <c r="BD95">
        <f>IF(BA95="","",IFERROR(INDEX(wKsBand,26)+0,""))</f>
        <v>6</v>
      </c>
      <c r="BE95">
        <f>IF(BA95="","",IFERROR(INDEX(wTests,26)+0,0))</f>
        <v>6</v>
      </c>
      <c r="BF95">
        <f>IF(BA95="","",IFERROR(INDEX(wMean,26)+0,""))</f>
        <v>7</v>
      </c>
      <c r="BG95">
        <f>IF(BA95="","",IFERROR(INDEX(wVs,26)+0,""))</f>
        <v>1.29843795093795</v>
      </c>
      <c r="BH95">
        <f>IF(OR(BA95="",wLatest=""),"",IFERROR(INDEX(wData,26,MATCH(wLatest&amp;CHAR(10)&amp;"Stanine",wHdr,0))+0,""))</f>
        <v>8</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IFERROR(INDEX(tblY11[Class],ROWS(H$10:H96))&amp;"","")</f>
        <v>11S/Sc4</v>
      </c>
      <c r="I96" t="str">
        <f>IF(H96="","",IF(SUMPRODUCT(--(H$10:H96=H96))=1,SUMPRODUCT(--(H$10:H$609&lt;H96))+1,""))</f>
        <v/>
      </c>
      <c r="BA96" t="str">
        <f>IFERROR(INDEX(wLast,27)&amp;"","")</f>
        <v>Wright</v>
      </c>
      <c r="BB96" t="str">
        <f>IF(BA96="","",IFERROR(INDEX(wFirst,27)&amp;"",""))</f>
        <v>Amara</v>
      </c>
      <c r="BC96" t="str">
        <f>IF(BA96="","",IFERROR(INDEX(wClass,27)&amp;"",""))</f>
        <v>11S/Sc1</v>
      </c>
      <c r="BD96">
        <f>IF(BA96="","",IFERROR(INDEX(wKsBand,27)+0,""))</f>
        <v>8</v>
      </c>
      <c r="BE96">
        <f>IF(BA96="","",IFERROR(INDEX(wTests,27)+0,0))</f>
        <v>6</v>
      </c>
      <c r="BF96">
        <f>IF(BA96="","",IFERROR(INDEX(wMean,27)+0,""))</f>
        <v>7.83333333333333</v>
      </c>
      <c r="BG96">
        <f>IF(BA96="","",IFERROR(INDEX(wVs,27)+0,""))</f>
        <v>0.634044011544011</v>
      </c>
      <c r="BH96">
        <f>IF(OR(BA96="",wLatest=""),"",IFERROR(INDEX(wData,27,MATCH(wLatest&amp;CHAR(10)&amp;"Stanine",wHdr,0))+0,""))</f>
        <v>9</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IFERROR(INDEX(tblY11[Class],ROWS(H$10:H97))&amp;"","")</f>
        <v>11S/Sc4</v>
      </c>
      <c r="I97" t="str">
        <f>IF(H97="","",IF(SUMPRODUCT(--(H$10:H97=H97))=1,SUMPRODUCT(--(H$10:H$609&lt;H97))+1,""))</f>
        <v/>
      </c>
      <c r="BA97" t="str">
        <f>IFERROR(INDEX(wLast,28)&amp;"","")</f>
        <v>Wright</v>
      </c>
      <c r="BB97" t="str">
        <f>IF(BA97="","",IFERROR(INDEX(wFirst,28)&amp;"",""))</f>
        <v>Hollie</v>
      </c>
      <c r="BC97" t="str">
        <f>IF(BA97="","",IFERROR(INDEX(wClass,28)&amp;"",""))</f>
        <v>11S/Sc1</v>
      </c>
      <c r="BD97">
        <f>IF(BA97="","",IFERROR(INDEX(wKsBand,28)+0,""))</f>
        <v>7</v>
      </c>
      <c r="BE97">
        <f>IF(BA97="","",IFERROR(INDEX(wTests,28)+0,0))</f>
        <v>6</v>
      </c>
      <c r="BF97">
        <f>IF(BA97="","",IFERROR(INDEX(wMean,28)+0,""))</f>
        <v>6.33333333333333</v>
      </c>
      <c r="BG97">
        <f>IF(BA97="","",IFERROR(INDEX(wVs,28)+0,""))</f>
        <v>-0.117092352092352</v>
      </c>
      <c r="BH97">
        <f>IF(OR(BA97="",wLatest=""),"",IFERROR(INDEX(wData,28,MATCH(wLatest&amp;CHAR(10)&amp;"Stanine",wHdr,0))+0,""))</f>
        <v>6</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IFERROR(INDEX(tblY11[Class],ROWS(H$10:H98))&amp;"","")</f>
        <v>11S/Sc5</v>
      </c>
      <c r="I98">
        <f>IF(H98="","",IF(SUMPRODUCT(--(H$10:H98=H98))=1,SUMPRODUCT(--(H$10:H$609&lt;H98))+1,""))</f>
        <v>583</v>
      </c>
      <c r="BA98" t="str">
        <f>IFERROR(INDEX(wLast,29)&amp;"","")</f>
        <v>Cooper</v>
      </c>
      <c r="BB98" t="str">
        <f>IF(BA98="","",IFERROR(INDEX(wFirst,29)&amp;"",""))</f>
        <v>Dylan</v>
      </c>
      <c r="BC98" t="str">
        <f>IF(BA98="","",IFERROR(INDEX(wClass,29)&amp;"",""))</f>
        <v>11S/Sc2</v>
      </c>
      <c r="BD98">
        <f>IF(BA98="","",IFERROR(INDEX(wKsBand,29)+0,""))</f>
        <v>5</v>
      </c>
      <c r="BE98">
        <f>IF(BA98="","",IFERROR(INDEX(wTests,29)+0,0))</f>
        <v>6</v>
      </c>
      <c r="BF98">
        <f>IF(BA98="","",IFERROR(INDEX(wMean,29)+0,""))</f>
        <v>5.33333333333333</v>
      </c>
      <c r="BG98">
        <f>IF(BA98="","",IFERROR(INDEX(wVs,29)+0,""))</f>
        <v>0.380634920634921</v>
      </c>
      <c r="BH98">
        <f>IF(OR(BA98="",wLatest=""),"",IFERROR(INDEX(wData,29,MATCH(wLatest&amp;CHAR(10)&amp;"Stanine",wHdr,0))+0,""))</f>
        <v>5</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IFERROR(INDEX(tblY11[Class],ROWS(H$10:H99))&amp;"","")</f>
        <v>11S/Sc5</v>
      </c>
      <c r="I99" t="str">
        <f>IF(H99="","",IF(SUMPRODUCT(--(H$10:H99=H99))=1,SUMPRODUCT(--(H$10:H$609&lt;H99))+1,""))</f>
        <v/>
      </c>
      <c r="BA99" t="str">
        <f>IFERROR(INDEX(wLast,30)&amp;"","")</f>
        <v>Cooper</v>
      </c>
      <c r="BB99" t="str">
        <f>IF(BA99="","",IFERROR(INDEX(wFirst,30)&amp;"",""))</f>
        <v>Noah</v>
      </c>
      <c r="BC99" t="str">
        <f>IF(BA99="","",IFERROR(INDEX(wClass,30)&amp;"",""))</f>
        <v>11S/Sc2</v>
      </c>
      <c r="BD99">
        <f>IF(BA99="","",IFERROR(INDEX(wKsBand,30)+0,""))</f>
        <v>6</v>
      </c>
      <c r="BE99">
        <f>IF(BA99="","",IFERROR(INDEX(wTests,30)+0,0))</f>
        <v>6</v>
      </c>
      <c r="BF99">
        <f>IF(BA99="","",IFERROR(INDEX(wMean,30)+0,""))</f>
        <v>6.16666666666667</v>
      </c>
      <c r="BG99">
        <f>IF(BA99="","",IFERROR(INDEX(wVs,30)+0,""))</f>
        <v>0.465104617604618</v>
      </c>
      <c r="BH99">
        <f>IF(OR(BA99="",wLatest=""),"",IFERROR(INDEX(wData,30,MATCH(wLatest&amp;CHAR(10)&amp;"Stanine",wHdr,0))+0,""))</f>
        <v>6</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IFERROR(INDEX(tblY11[Class],ROWS(H$10:H100))&amp;"","")</f>
        <v>11S/Sc5</v>
      </c>
      <c r="I100" t="str">
        <f>IF(H100="","",IF(SUMPRODUCT(--(H$10:H100=H100))=1,SUMPRODUCT(--(H$10:H$609&lt;H100))+1,""))</f>
        <v/>
      </c>
      <c r="BA100" t="str">
        <f>IFERROR(INDEX(wLast,31)&amp;"","")</f>
        <v>Evans</v>
      </c>
      <c r="BB100" t="str">
        <f>IF(BA100="","",IFERROR(INDEX(wFirst,31)&amp;"",""))</f>
        <v>Arthur</v>
      </c>
      <c r="BC100" t="str">
        <f>IF(BA100="","",IFERROR(INDEX(wClass,31)&amp;"",""))</f>
        <v>11S/Sc2</v>
      </c>
      <c r="BD100">
        <f>IF(BA100="","",IFERROR(INDEX(wKsBand,31)+0,""))</f>
        <v>3</v>
      </c>
      <c r="BE100">
        <f>IF(BA100="","",IFERROR(INDEX(wTests,31)+0,0))</f>
        <v>6</v>
      </c>
      <c r="BF100">
        <f>IF(BA100="","",IFERROR(INDEX(wMean,31)+0,""))</f>
        <v>4</v>
      </c>
      <c r="BG100">
        <f>IF(BA100="","",IFERROR(INDEX(wVs,31)+0,""))</f>
        <v>0.545028860028861</v>
      </c>
      <c r="BH100">
        <f>IF(OR(BA100="",wLatest=""),"",IFERROR(INDEX(wData,31,MATCH(wLatest&amp;CHAR(10)&amp;"Stanine",wHdr,0))+0,""))</f>
        <v>4</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IFERROR(INDEX(tblY11[Class],ROWS(H$10:H101))&amp;"","")</f>
        <v>11S/Sc5</v>
      </c>
      <c r="I101" t="str">
        <f>IF(H101="","",IF(SUMPRODUCT(--(H$10:H101=H101))=1,SUMPRODUCT(--(H$10:H$609&lt;H101))+1,""))</f>
        <v/>
      </c>
      <c r="BA101" t="str">
        <f>IFERROR(INDEX(wLast,32)&amp;"","")</f>
        <v>Harrison</v>
      </c>
      <c r="BB101" t="str">
        <f>IF(BA101="","",IFERROR(INDEX(wFirst,32)&amp;"",""))</f>
        <v>Arjun</v>
      </c>
      <c r="BC101" t="str">
        <f>IF(BA101="","",IFERROR(INDEX(wClass,32)&amp;"",""))</f>
        <v>11S/Sc2</v>
      </c>
      <c r="BD101">
        <f>IF(BA101="","",IFERROR(INDEX(wKsBand,32)+0,""))</f>
        <v>5</v>
      </c>
      <c r="BE101">
        <f>IF(BA101="","",IFERROR(INDEX(wTests,32)+0,0))</f>
        <v>5</v>
      </c>
      <c r="BF101">
        <f>IF(BA101="","",IFERROR(INDEX(wMean,32)+0,""))</f>
        <v>4.4</v>
      </c>
      <c r="BG101">
        <f>IF(BA101="","",IFERROR(INDEX(wVs,32)+0,""))</f>
        <v>-0.552698412698412</v>
      </c>
      <c r="BH101">
        <f>IF(OR(BA101="",wLatest=""),"",IFERROR(INDEX(wData,32,MATCH(wLatest&amp;CHAR(10)&amp;"Stanine",wHdr,0))+0,""))</f>
        <v>4</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IFERROR(INDEX(tblY11[Class],ROWS(H$10:H102))&amp;"","")</f>
        <v>11S/Sc5</v>
      </c>
      <c r="I102" t="str">
        <f>IF(H102="","",IF(SUMPRODUCT(--(H$10:H102=H102))=1,SUMPRODUCT(--(H$10:H$609&lt;H102))+1,""))</f>
        <v/>
      </c>
      <c r="BA102" t="str">
        <f>IFERROR(INDEX(wLast,33)&amp;"","")</f>
        <v>Harrison</v>
      </c>
      <c r="BB102" t="str">
        <f>IF(BA102="","",IFERROR(INDEX(wFirst,33)&amp;"",""))</f>
        <v>Poppy</v>
      </c>
      <c r="BC102" t="str">
        <f>IF(BA102="","",IFERROR(INDEX(wClass,33)&amp;"",""))</f>
        <v>11S/Sc2</v>
      </c>
      <c r="BD102">
        <f>IF(BA102="","",IFERROR(INDEX(wKsBand,33)+0,""))</f>
        <v>5</v>
      </c>
      <c r="BE102">
        <f>IF(BA102="","",IFERROR(INDEX(wTests,33)+0,0))</f>
        <v>5</v>
      </c>
      <c r="BF102">
        <f>IF(BA102="","",IFERROR(INDEX(wMean,33)+0,""))</f>
        <v>5.8</v>
      </c>
      <c r="BG102">
        <f>IF(BA102="","",IFERROR(INDEX(wVs,33)+0,""))</f>
        <v>0.847301587301588</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IFERROR(INDEX(tblY11[Class],ROWS(H$10:H103))&amp;"","")</f>
        <v>11S/Sc5</v>
      </c>
      <c r="I103" t="str">
        <f>IF(H103="","",IF(SUMPRODUCT(--(H$10:H103=H103))=1,SUMPRODUCT(--(H$10:H$609&lt;H103))+1,""))</f>
        <v/>
      </c>
      <c r="BA103" t="str">
        <f>IFERROR(INDEX(wLast,34)&amp;"","")</f>
        <v>Jackson</v>
      </c>
      <c r="BB103" t="str">
        <f>IF(BA103="","",IFERROR(INDEX(wFirst,34)&amp;"",""))</f>
        <v>Priya</v>
      </c>
      <c r="BC103" t="str">
        <f>IF(BA103="","",IFERROR(INDEX(wClass,34)&amp;"",""))</f>
        <v>11S/Sc2</v>
      </c>
      <c r="BD103">
        <f>IF(BA103="","",IFERROR(INDEX(wKsBand,34)+0,""))</f>
        <v>6</v>
      </c>
      <c r="BE103">
        <f>IF(BA103="","",IFERROR(INDEX(wTests,34)+0,0))</f>
        <v>6</v>
      </c>
      <c r="BF103">
        <f>IF(BA103="","",IFERROR(INDEX(wMean,34)+0,""))</f>
        <v>5.33333333333333</v>
      </c>
      <c r="BG103">
        <f>IF(BA103="","",IFERROR(INDEX(wVs,34)+0,""))</f>
        <v>-0.368228715728716</v>
      </c>
      <c r="BH103">
        <f>IF(OR(BA103="",wLatest=""),"",IFERROR(INDEX(wData,34,MATCH(wLatest&amp;CHAR(10)&amp;"Stanine",wHdr,0))+0,""))</f>
        <v>6</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IFERROR(INDEX(tblY11[Class],ROWS(H$10:H104))&amp;"","")</f>
        <v>11S/Sc5</v>
      </c>
      <c r="I104" t="str">
        <f>IF(H104="","",IF(SUMPRODUCT(--(H$10:H104=H104))=1,SUMPRODUCT(--(H$10:H$609&lt;H104))+1,""))</f>
        <v/>
      </c>
      <c r="BA104" t="str">
        <f>IFERROR(INDEX(wLast,35)&amp;"","")</f>
        <v>Jones</v>
      </c>
      <c r="BB104" t="str">
        <f>IF(BA104="","",IFERROR(INDEX(wFirst,35)&amp;"",""))</f>
        <v>Seren</v>
      </c>
      <c r="BC104" t="str">
        <f>IF(BA104="","",IFERROR(INDEX(wClass,35)&amp;"",""))</f>
        <v>11S/Sc2</v>
      </c>
      <c r="BD104">
        <f>IF(BA104="","",IFERROR(INDEX(wKsBand,35)+0,""))</f>
        <v>6</v>
      </c>
      <c r="BE104">
        <f>IF(BA104="","",IFERROR(INDEX(wTests,35)+0,0))</f>
        <v>6</v>
      </c>
      <c r="BF104">
        <f>IF(BA104="","",IFERROR(INDEX(wMean,35)+0,""))</f>
        <v>6.66666666666667</v>
      </c>
      <c r="BG104">
        <f>IF(BA104="","",IFERROR(INDEX(wVs,35)+0,""))</f>
        <v>0.965104617604618</v>
      </c>
      <c r="BH104">
        <f>IF(OR(BA104="",wLatest=""),"",IFERROR(INDEX(wData,35,MATCH(wLatest&amp;CHAR(10)&amp;"Stanine",wHdr,0))+0,""))</f>
        <v>6</v>
      </c>
      <c r="BI104" t="str">
        <f>IF(BA104="","",IF(AND(ISNUMBER(BG104),N(BE104)&gt;=WlMinTests,BG104&lt;=-WlGap),"Below expected for KS2",IF(AND(NOT(ISNUMBER(BD104)),ISNUMBER(BF104),N(BE104)&gt;=WlMinTests,BF104&lt;=WlLowMean),"Low results, no KS2 data","")))</f>
        <v/>
      </c>
      <c r="BJ104" t="str">
        <f>IF(BI104="","",IF(BI104="Below expected for KS2",BG104,100+BF104)+ROW()/1000000)</f>
        <v/>
      </c>
    </row>
    <row r="105">
      <c r="H105" t="str">
        <f>IFERROR(INDEX(tblY11[Class],ROWS(H$10:H105))&amp;"","")</f>
        <v>11S/Sc5</v>
      </c>
      <c r="I105" t="str">
        <f>IF(H105="","",IF(SUMPRODUCT(--(H$10:H105=H105))=1,SUMPRODUCT(--(H$10:H$609&lt;H105))+1,""))</f>
        <v/>
      </c>
      <c r="BA105" t="str">
        <f>IFERROR(INDEX(wLast,36)&amp;"","")</f>
        <v>Kelly</v>
      </c>
      <c r="BB105" t="str">
        <f>IF(BA105="","",IFERROR(INDEX(wFirst,36)&amp;"",""))</f>
        <v>Amara</v>
      </c>
      <c r="BC105" t="str">
        <f>IF(BA105="","",IFERROR(INDEX(wClass,36)&amp;"",""))</f>
        <v>11S/Sc2</v>
      </c>
      <c r="BD105">
        <f>IF(BA105="","",IFERROR(INDEX(wKsBand,36)+0,""))</f>
        <v>7</v>
      </c>
      <c r="BE105">
        <f>IF(BA105="","",IFERROR(INDEX(wTests,36)+0,0))</f>
        <v>6</v>
      </c>
      <c r="BF105">
        <f>IF(BA105="","",IFERROR(INDEX(wMean,36)+0,""))</f>
        <v>7</v>
      </c>
      <c r="BG105">
        <f>IF(BA105="","",IFERROR(INDEX(wVs,36)+0,""))</f>
        <v>0.549574314574315</v>
      </c>
      <c r="BH105">
        <f>IF(OR(BA105="",wLatest=""),"",IFERROR(INDEX(wData,36,MATCH(wLatest&amp;CHAR(10)&amp;"Stanine",wHdr,0))+0,""))</f>
        <v>7</v>
      </c>
      <c r="BI105" t="str">
        <f>IF(BA105="","",IF(AND(ISNUMBER(BG105),N(BE105)&gt;=WlMinTests,BG105&lt;=-WlGap),"Below expected for KS2",IF(AND(NOT(ISNUMBER(BD105)),ISNUMBER(BF105),N(BE105)&gt;=WlMinTests,BF105&lt;=WlLowMean),"Low results, no KS2 data","")))</f>
        <v/>
      </c>
      <c r="BJ105" t="str">
        <f>IF(BI105="","",IF(BI105="Below expected for KS2",BG105,100+BF105)+ROW()/1000000)</f>
        <v/>
      </c>
    </row>
    <row r="106">
      <c r="H106" t="str">
        <f>IFERROR(INDEX(tblY11[Class],ROWS(H$10:H106))&amp;"","")</f>
        <v>11S/Sc5</v>
      </c>
      <c r="I106" t="str">
        <f>IF(H106="","",IF(SUMPRODUCT(--(H$10:H106=H106))=1,SUMPRODUCT(--(H$10:H$609&lt;H106))+1,""))</f>
        <v/>
      </c>
      <c r="BA106" t="str">
        <f>IFERROR(INDEX(wLast,37)&amp;"","")</f>
        <v>Kelly</v>
      </c>
      <c r="BB106" t="str">
        <f>IF(BA106="","",IFERROR(INDEX(wFirst,37)&amp;"",""))</f>
        <v>Jacob</v>
      </c>
      <c r="BC106" t="str">
        <f>IF(BA106="","",IFERROR(INDEX(wClass,37)&amp;"",""))</f>
        <v>11S/Sc2</v>
      </c>
      <c r="BD106">
        <f>IF(BA106="","",IFERROR(INDEX(wKsBand,37)+0,""))</f>
        <v>6</v>
      </c>
      <c r="BE106">
        <f>IF(BA106="","",IFERROR(INDEX(wTests,37)+0,0))</f>
        <v>6</v>
      </c>
      <c r="BF106">
        <f>IF(BA106="","",IFERROR(INDEX(wMean,37)+0,""))</f>
        <v>4.16666666666667</v>
      </c>
      <c r="BG106">
        <f>IF(BA106="","",IFERROR(INDEX(wVs,37)+0,""))</f>
        <v>-1.53489538239538</v>
      </c>
      <c r="BH106">
        <f>IF(OR(BA106="",wLatest=""),"",IFERROR(INDEX(wData,37,MATCH(wLatest&amp;CHAR(10)&amp;"Stanine",wHdr,0))+0,""))</f>
        <v>5</v>
      </c>
      <c r="BI106" t="str">
        <f>IF(BA106="","",IF(AND(ISNUMBER(BG106),N(BE106)&gt;=WlMinTests,BG106&lt;=-WlGap),"Below expected for KS2",IF(AND(NOT(ISNUMBER(BD106)),ISNUMBER(BF106),N(BE106)&gt;=WlMinTests,BF106&lt;=WlLowMean),"Low results, no KS2 data","")))</f>
        <v>Below expected for KS2</v>
      </c>
      <c r="BJ106">
        <f>IF(BI106="","",IF(BI106="Below expected for KS2",BG106,100+BF106)+ROW()/1000000)</f>
        <v>-1.53478938239538</v>
      </c>
    </row>
    <row r="107">
      <c r="H107" t="str">
        <f>IFERROR(INDEX(tblY11[Class],ROWS(H$10:H107))&amp;"","")</f>
        <v>11S/Sc5</v>
      </c>
      <c r="I107" t="str">
        <f>IF(H107="","",IF(SUMPRODUCT(--(H$10:H107=H107))=1,SUMPRODUCT(--(H$10:H$609&lt;H107))+1,""))</f>
        <v/>
      </c>
      <c r="BA107" t="str">
        <f>IFERROR(INDEX(wLast,38)&amp;"","")</f>
        <v>Kowalski</v>
      </c>
      <c r="BB107" t="str">
        <f>IF(BA107="","",IFERROR(INDEX(wFirst,38)&amp;"",""))</f>
        <v>Lewis</v>
      </c>
      <c r="BC107" t="str">
        <f>IF(BA107="","",IFERROR(INDEX(wClass,38)&amp;"",""))</f>
        <v>11S/Sc2</v>
      </c>
      <c r="BD107">
        <f>IF(BA107="","",IFERROR(INDEX(wKsBand,38)+0,""))</f>
        <v>4</v>
      </c>
      <c r="BE107">
        <f>IF(BA107="","",IFERROR(INDEX(wTests,38)+0,0))</f>
        <v>6</v>
      </c>
      <c r="BF107">
        <f>IF(BA107="","",IFERROR(INDEX(wMean,38)+0,""))</f>
        <v>4</v>
      </c>
      <c r="BG107">
        <f>IF(BA107="","",IFERROR(INDEX(wVs,38)+0,""))</f>
        <v>-0.203834776334776</v>
      </c>
      <c r="BH107">
        <f>IF(OR(BA107="",wLatest=""),"",IFERROR(INDEX(wData,38,MATCH(wLatest&amp;CHAR(10)&amp;"Stanine",wHdr,0))+0,""))</f>
        <v>5</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IFERROR(INDEX(tblY11[Class],ROWS(H$10:H108))&amp;"","")</f>
        <v>11S/Sc5</v>
      </c>
      <c r="I108" t="str">
        <f>IF(H108="","",IF(SUMPRODUCT(--(H$10:H108=H108))=1,SUMPRODUCT(--(H$10:H$609&lt;H108))+1,""))</f>
        <v/>
      </c>
      <c r="BA108" t="str">
        <f>IFERROR(INDEX(wLast,39)&amp;"","")</f>
        <v>Morgan</v>
      </c>
      <c r="BB108" t="str">
        <f>IF(BA108="","",IFERROR(INDEX(wFirst,39)&amp;"",""))</f>
        <v>George</v>
      </c>
      <c r="BC108" t="str">
        <f>IF(BA108="","",IFERROR(INDEX(wClass,39)&amp;"",""))</f>
        <v>11S/Sc2</v>
      </c>
      <c r="BD108">
        <f>IF(BA108="","",IFERROR(INDEX(wKsBand,39)+0,""))</f>
        <v>6</v>
      </c>
      <c r="BE108">
        <f>IF(BA108="","",IFERROR(INDEX(wTests,39)+0,0))</f>
        <v>6</v>
      </c>
      <c r="BF108">
        <f>IF(BA108="","",IFERROR(INDEX(wMean,39)+0,""))</f>
        <v>5.33333333333333</v>
      </c>
      <c r="BG108">
        <f>IF(BA108="","",IFERROR(INDEX(wVs,39)+0,""))</f>
        <v>-0.368228715728716</v>
      </c>
      <c r="BH108">
        <f>IF(OR(BA108="",wLatest=""),"",IFERROR(INDEX(wData,39,MATCH(wLatest&amp;CHAR(10)&amp;"Stanine",wHdr,0))+0,""))</f>
        <v>5</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IFERROR(INDEX(tblY11[Class],ROWS(H$10:H109))&amp;"","")</f>
        <v>11S/Sc5</v>
      </c>
      <c r="I109" t="str">
        <f>IF(H109="","",IF(SUMPRODUCT(--(H$10:H109=H109))=1,SUMPRODUCT(--(H$10:H$609&lt;H109))+1,""))</f>
        <v/>
      </c>
      <c r="BA109" t="str">
        <f>IFERROR(INDEX(wLast,40)&amp;"","")</f>
        <v>Morgan</v>
      </c>
      <c r="BB109" t="str">
        <f>IF(BA109="","",IFERROR(INDEX(wFirst,40)&amp;"",""))</f>
        <v>Noah</v>
      </c>
      <c r="BC109" t="str">
        <f>IF(BA109="","",IFERROR(INDEX(wClass,40)&amp;"",""))</f>
        <v>11S/Sc2</v>
      </c>
      <c r="BD109">
        <f>IF(BA109="","",IFERROR(INDEX(wKsBand,40)+0,""))</f>
        <v>4</v>
      </c>
      <c r="BE109">
        <f>IF(BA109="","",IFERROR(INDEX(wTests,40)+0,0))</f>
        <v>6</v>
      </c>
      <c r="BF109">
        <f>IF(BA109="","",IFERROR(INDEX(wMean,40)+0,""))</f>
        <v>4.5</v>
      </c>
      <c r="BG109">
        <f>IF(BA109="","",IFERROR(INDEX(wVs,40)+0,""))</f>
        <v>0.296165223665224</v>
      </c>
      <c r="BH109">
        <f>IF(OR(BA109="",wLatest=""),"",IFERROR(INDEX(wData,40,MATCH(wLatest&amp;CHAR(10)&amp;"Stanine",wHdr,0))+0,""))</f>
        <v>3</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IFERROR(INDEX(tblY11[Class],ROWS(H$10:H110))&amp;"","")</f>
        <v>11S/Sc5</v>
      </c>
      <c r="I110" t="str">
        <f>IF(H110="","",IF(SUMPRODUCT(--(H$10:H110=H110))=1,SUMPRODUCT(--(H$10:H$609&lt;H110))+1,""))</f>
        <v/>
      </c>
      <c r="BA110" t="str">
        <f>IFERROR(INDEX(wLast,41)&amp;"","")</f>
        <v>Murphy</v>
      </c>
      <c r="BB110" t="str">
        <f>IF(BA110="","",IFERROR(INDEX(wFirst,41)&amp;"",""))</f>
        <v>Ella</v>
      </c>
      <c r="BC110" t="str">
        <f>IF(BA110="","",IFERROR(INDEX(wClass,41)&amp;"",""))</f>
        <v>11S/Sc2</v>
      </c>
      <c r="BD110">
        <f>IF(BA110="","",IFERROR(INDEX(wKsBand,41)+0,""))</f>
        <v>6</v>
      </c>
      <c r="BE110">
        <f>IF(BA110="","",IFERROR(INDEX(wTests,41)+0,0))</f>
        <v>5</v>
      </c>
      <c r="BF110">
        <f>IF(BA110="","",IFERROR(INDEX(wMean,41)+0,""))</f>
        <v>4</v>
      </c>
      <c r="BG110">
        <f>IF(BA110="","",IFERROR(INDEX(wVs,41)+0,""))</f>
        <v>-1.70156204906205</v>
      </c>
      <c r="BH110">
        <f>IF(OR(BA110="",wLatest=""),"",IFERROR(INDEX(wData,41,MATCH(wLatest&amp;CHAR(10)&amp;"Stanine",wHdr,0))+0,""))</f>
        <v>4</v>
      </c>
      <c r="BI110" t="str">
        <f>IF(BA110="","",IF(AND(ISNUMBER(BG110),N(BE110)&gt;=WlMinTests,BG110&lt;=-WlGap),"Below expected for KS2",IF(AND(NOT(ISNUMBER(BD110)),ISNUMBER(BF110),N(BE110)&gt;=WlMinTests,BF110&lt;=WlLowMean),"Low results, no KS2 data","")))</f>
        <v>Below expected for KS2</v>
      </c>
      <c r="BJ110">
        <f>IF(BI110="","",IF(BI110="Below expected for KS2",BG110,100+BF110)+ROW()/1000000)</f>
        <v>-1.70145204906205</v>
      </c>
    </row>
    <row r="111">
      <c r="H111" t="str">
        <f>IFERROR(INDEX(tblY11[Class],ROWS(H$10:H111))&amp;"","")</f>
        <v>Science Support</v>
      </c>
      <c r="I111">
        <f>IF(H111="","",IF(SUMPRODUCT(--(H$10:H111=H111))=1,SUMPRODUCT(--(H$10:H$609&lt;H111))+1,""))</f>
        <v>596</v>
      </c>
      <c r="BA111" t="str">
        <f>IFERROR(INDEX(wLast,42)&amp;"","")</f>
        <v>Nowak</v>
      </c>
      <c r="BB111" t="str">
        <f>IF(BA111="","",IFERROR(INDEX(wFirst,42)&amp;"",""))</f>
        <v>Megan</v>
      </c>
      <c r="BC111" t="str">
        <f>IF(BA111="","",IFERROR(INDEX(wClass,42)&amp;"",""))</f>
        <v>11S/Sc2</v>
      </c>
      <c r="BD111">
        <f>IF(BA111="","",IFERROR(INDEX(wKsBand,42)+0,""))</f>
        <v>7</v>
      </c>
      <c r="BE111">
        <f>IF(BA111="","",IFERROR(INDEX(wTests,42)+0,0))</f>
        <v>5</v>
      </c>
      <c r="BF111">
        <f>IF(BA111="","",IFERROR(INDEX(wMean,42)+0,""))</f>
        <v>6.2</v>
      </c>
      <c r="BG111">
        <f>IF(BA111="","",IFERROR(INDEX(wVs,42)+0,""))</f>
        <v>-0.250425685425685</v>
      </c>
      <c r="BH111" t="str">
        <f>IF(OR(BA111="",wLatest=""),"",IFERROR(INDEX(wData,42,MATCH(wLatest&amp;CHAR(10)&amp;"Stanine",wHdr,0))+0,""))</f>
        <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IFERROR(INDEX(tblY11[Class],ROWS(H$10:H112))&amp;"","")</f>
        <v>Science Support</v>
      </c>
      <c r="I112" t="str">
        <f>IF(H112="","",IF(SUMPRODUCT(--(H$10:H112=H112))=1,SUMPRODUCT(--(H$10:H$609&lt;H112))+1,""))</f>
        <v/>
      </c>
      <c r="BA112" t="str">
        <f>IFERROR(INDEX(wLast,43)&amp;"","")</f>
        <v>Parker</v>
      </c>
      <c r="BB112" t="str">
        <f>IF(BA112="","",IFERROR(INDEX(wFirst,43)&amp;"",""))</f>
        <v>Lily</v>
      </c>
      <c r="BC112" t="str">
        <f>IF(BA112="","",IFERROR(INDEX(wClass,43)&amp;"",""))</f>
        <v>11S/Sc2</v>
      </c>
      <c r="BD112">
        <f>IF(BA112="","",IFERROR(INDEX(wKsBand,43)+0,""))</f>
        <v>7</v>
      </c>
      <c r="BE112">
        <f>IF(BA112="","",IFERROR(INDEX(wTests,43)+0,0))</f>
        <v>6</v>
      </c>
      <c r="BF112">
        <f>IF(BA112="","",IFERROR(INDEX(wMean,43)+0,""))</f>
        <v>6.33333333333333</v>
      </c>
      <c r="BG112">
        <f>IF(BA112="","",IFERROR(INDEX(wVs,43)+0,""))</f>
        <v>-0.117092352092352</v>
      </c>
      <c r="BH112">
        <f>IF(OR(BA112="",wLatest=""),"",IFERROR(INDEX(wData,43,MATCH(wLatest&amp;CHAR(10)&amp;"Stanine",wHdr,0))+0,""))</f>
        <v>5</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IFERROR(INDEX(tblY11[Class],ROWS(H$10:H113))&amp;"","")</f>
        <v>Science Support</v>
      </c>
      <c r="I113" t="str">
        <f>IF(H113="","",IF(SUMPRODUCT(--(H$10:H113=H113))=1,SUMPRODUCT(--(H$10:H$609&lt;H113))+1,""))</f>
        <v/>
      </c>
      <c r="BA113" t="str">
        <f>IFERROR(INDEX(wLast,44)&amp;"","")</f>
        <v>Pearson</v>
      </c>
      <c r="BB113" t="str">
        <f>IF(BA113="","",IFERROR(INDEX(wFirst,44)&amp;"",""))</f>
        <v>Ivy</v>
      </c>
      <c r="BC113" t="str">
        <f>IF(BA113="","",IFERROR(INDEX(wClass,44)&amp;"",""))</f>
        <v>11S/Sc2</v>
      </c>
      <c r="BD113">
        <f>IF(BA113="","",IFERROR(INDEX(wKsBand,44)+0,""))</f>
        <v>3</v>
      </c>
      <c r="BE113">
        <f>IF(BA113="","",IFERROR(INDEX(wTests,44)+0,0))</f>
        <v>6</v>
      </c>
      <c r="BF113">
        <f>IF(BA113="","",IFERROR(INDEX(wMean,44)+0,""))</f>
        <v>3.16666666666667</v>
      </c>
      <c r="BG113">
        <f>IF(BA113="","",IFERROR(INDEX(wVs,44)+0,""))</f>
        <v>-0.288304473304473</v>
      </c>
      <c r="BH113">
        <f>IF(OR(BA113="",wLatest=""),"",IFERROR(INDEX(wData,44,MATCH(wLatest&amp;CHAR(10)&amp;"Stanine",wHdr,0))+0,""))</f>
        <v>3</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IFERROR(INDEX(tblY11[Class],ROWS(H$10:H114))&amp;"","")</f>
        <v>Science Support</v>
      </c>
      <c r="I114" t="str">
        <f>IF(H114="","",IF(SUMPRODUCT(--(H$10:H114=H114))=1,SUMPRODUCT(--(H$10:H$609&lt;H114))+1,""))</f>
        <v/>
      </c>
      <c r="BA114" t="str">
        <f>IFERROR(INDEX(wLast,45)&amp;"","")</f>
        <v>Price</v>
      </c>
      <c r="BB114" t="str">
        <f>IF(BA114="","",IFERROR(INDEX(wFirst,45)&amp;"",""))</f>
        <v>Oliver</v>
      </c>
      <c r="BC114" t="str">
        <f>IF(BA114="","",IFERROR(INDEX(wClass,45)&amp;"",""))</f>
        <v>11S/Sc2</v>
      </c>
      <c r="BD114">
        <f>IF(BA114="","",IFERROR(INDEX(wKsBand,45)+0,""))</f>
        <v>8</v>
      </c>
      <c r="BE114">
        <f>IF(BA114="","",IFERROR(INDEX(wTests,45)+0,0))</f>
        <v>6</v>
      </c>
      <c r="BF114">
        <f>IF(BA114="","",IFERROR(INDEX(wMean,45)+0,""))</f>
        <v>4.83333333333333</v>
      </c>
      <c r="BG114">
        <f>IF(BA114="","",IFERROR(INDEX(wVs,45)+0,""))</f>
        <v>-2.36595598845599</v>
      </c>
      <c r="BH114">
        <f>IF(OR(BA114="",wLatest=""),"",IFERROR(INDEX(wData,45,MATCH(wLatest&amp;CHAR(10)&amp;"Stanine",wHdr,0))+0,""))</f>
        <v>6</v>
      </c>
      <c r="BI114" t="str">
        <f>IF(BA114="","",IF(AND(ISNUMBER(BG114),N(BE114)&gt;=WlMinTests,BG114&lt;=-WlGap),"Below expected for KS2",IF(AND(NOT(ISNUMBER(BD114)),ISNUMBER(BF114),N(BE114)&gt;=WlMinTests,BF114&lt;=WlLowMean),"Low results, no KS2 data","")))</f>
        <v>Below expected for KS2</v>
      </c>
      <c r="BJ114">
        <f>IF(BI114="","",IF(BI114="Below expected for KS2",BG114,100+BF114)+ROW()/1000000)</f>
        <v>-2.36584198845599</v>
      </c>
    </row>
    <row r="115">
      <c r="H115" t="str">
        <f>IFERROR(INDEX(tblY11[Class],ROWS(H$10:H115))&amp;"","")</f>
        <v>Science Support</v>
      </c>
      <c r="I115" t="str">
        <f>IF(H115="","",IF(SUMPRODUCT(--(H$10:H115=H115))=1,SUMPRODUCT(--(H$10:H$609&lt;H115))+1,""))</f>
        <v/>
      </c>
      <c r="BA115" t="str">
        <f>IFERROR(INDEX(wLast,46)&amp;"","")</f>
        <v>Shaw</v>
      </c>
      <c r="BB115" t="str">
        <f>IF(BA115="","",IFERROR(INDEX(wFirst,46)&amp;"",""))</f>
        <v>Arjun</v>
      </c>
      <c r="BC115" t="str">
        <f>IF(BA115="","",IFERROR(INDEX(wClass,46)&amp;"",""))</f>
        <v>11S/Sc2</v>
      </c>
      <c r="BD115">
        <f>IF(BA115="","",IFERROR(INDEX(wKsBand,46)+0,""))</f>
        <v>6</v>
      </c>
      <c r="BE115">
        <f>IF(BA115="","",IFERROR(INDEX(wTests,46)+0,0))</f>
        <v>6</v>
      </c>
      <c r="BF115">
        <f>IF(BA115="","",IFERROR(INDEX(wMean,46)+0,""))</f>
        <v>5.83333333333333</v>
      </c>
      <c r="BG115">
        <f>IF(BA115="","",IFERROR(INDEX(wVs,46)+0,""))</f>
        <v>0.131771284271284</v>
      </c>
      <c r="BH115">
        <f>IF(OR(BA115="",wLatest=""),"",IFERROR(INDEX(wData,46,MATCH(wLatest&amp;CHAR(10)&amp;"Stanine",wHdr,0))+0,""))</f>
        <v>5</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IFERROR(INDEX(tblY11[Class],ROWS(H$10:H116))&amp;"","")</f>
        <v/>
      </c>
      <c r="I116" t="str">
        <f>IF(H116="","",IF(SUMPRODUCT(--(H$10:H116=H116))=1,SUMPRODUCT(--(H$10:H$609&lt;H116))+1,""))</f>
        <v/>
      </c>
      <c r="BA116" t="str">
        <f>IFERROR(INDEX(wLast,47)&amp;"","")</f>
        <v>Taylor</v>
      </c>
      <c r="BB116" t="str">
        <f>IF(BA116="","",IFERROR(INDEX(wFirst,47)&amp;"",""))</f>
        <v>Maya</v>
      </c>
      <c r="BC116" t="str">
        <f>IF(BA116="","",IFERROR(INDEX(wClass,47)&amp;"",""))</f>
        <v>11S/Sc2</v>
      </c>
      <c r="BD116">
        <f>IF(BA116="","",IFERROR(INDEX(wKsBand,47)+0,""))</f>
        <v>8</v>
      </c>
      <c r="BE116">
        <f>IF(BA116="","",IFERROR(INDEX(wTests,47)+0,0))</f>
        <v>6</v>
      </c>
      <c r="BF116">
        <f>IF(BA116="","",IFERROR(INDEX(wMean,47)+0,""))</f>
        <v>8.33333333333333</v>
      </c>
      <c r="BG116">
        <f>IF(BA116="","",IFERROR(INDEX(wVs,47)+0,""))</f>
        <v>1.13404401154401</v>
      </c>
      <c r="BH116">
        <f>IF(OR(BA116="",wLatest=""),"",IFERROR(INDEX(wData,47,MATCH(wLatest&amp;CHAR(10)&amp;"Stanine",wHdr,0))+0,""))</f>
        <v>9</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IFERROR(INDEX(tblY11[Class],ROWS(H$10:H117))&amp;"","")</f>
        <v/>
      </c>
      <c r="I117" t="str">
        <f>IF(H117="","",IF(SUMPRODUCT(--(H$10:H117=H117))=1,SUMPRODUCT(--(H$10:H$609&lt;H117))+1,""))</f>
        <v/>
      </c>
      <c r="BA117" t="str">
        <f>IFERROR(INDEX(wLast,48)&amp;"","")</f>
        <v>Thompson</v>
      </c>
      <c r="BB117" t="str">
        <f>IF(BA117="","",IFERROR(INDEX(wFirst,48)&amp;"",""))</f>
        <v>Kai</v>
      </c>
      <c r="BC117" t="str">
        <f>IF(BA117="","",IFERROR(INDEX(wClass,48)&amp;"",""))</f>
        <v>11S/Sc2</v>
      </c>
      <c r="BD117">
        <f>IF(BA117="","",IFERROR(INDEX(wKsBand,48)+0,""))</f>
        <v>4</v>
      </c>
      <c r="BE117">
        <f>IF(BA117="","",IFERROR(INDEX(wTests,48)+0,0))</f>
        <v>6</v>
      </c>
      <c r="BF117">
        <f>IF(BA117="","",IFERROR(INDEX(wMean,48)+0,""))</f>
        <v>5.66666666666667</v>
      </c>
      <c r="BG117">
        <f>IF(BA117="","",IFERROR(INDEX(wVs,48)+0,""))</f>
        <v>1.46283189033189</v>
      </c>
      <c r="BH117">
        <f>IF(OR(BA117="",wLatest=""),"",IFERROR(INDEX(wData,48,MATCH(wLatest&amp;CHAR(10)&amp;"Stanine",wHdr,0))+0,""))</f>
        <v>6</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IFERROR(INDEX(tblY11[Class],ROWS(H$10:H118))&amp;"","")</f>
        <v/>
      </c>
      <c r="I118" t="str">
        <f>IF(H118="","",IF(SUMPRODUCT(--(H$10:H118=H118))=1,SUMPRODUCT(--(H$10:H$609&lt;H118))+1,""))</f>
        <v/>
      </c>
      <c r="BA118" t="str">
        <f>IFERROR(INDEX(wLast,49)&amp;"","")</f>
        <v>Walker</v>
      </c>
      <c r="BB118" t="str">
        <f>IF(BA118="","",IFERROR(INDEX(wFirst,49)&amp;"",""))</f>
        <v>Finley</v>
      </c>
      <c r="BC118" t="str">
        <f>IF(BA118="","",IFERROR(INDEX(wClass,49)&amp;"",""))</f>
        <v>11S/Sc2</v>
      </c>
      <c r="BD118">
        <f>IF(BA118="","",IFERROR(INDEX(wKsBand,49)+0,""))</f>
        <v>4</v>
      </c>
      <c r="BE118">
        <f>IF(BA118="","",IFERROR(INDEX(wTests,49)+0,0))</f>
        <v>5</v>
      </c>
      <c r="BF118">
        <f>IF(BA118="","",IFERROR(INDEX(wMean,49)+0,""))</f>
        <v>3.4</v>
      </c>
      <c r="BG118">
        <f>IF(BA118="","",IFERROR(INDEX(wVs,49)+0,""))</f>
        <v>-0.803834776334776</v>
      </c>
      <c r="BH118">
        <f>IF(OR(BA118="",wLatest=""),"",IFERROR(INDEX(wData,49,MATCH(wLatest&amp;CHAR(10)&amp;"Stanine",wHdr,0))+0,""))</f>
        <v>4</v>
      </c>
      <c r="BI118" t="str">
        <f>IF(BA118="","",IF(AND(ISNUMBER(BG118),N(BE118)&gt;=WlMinTests,BG118&lt;=-WlGap),"Below expected for KS2",IF(AND(NOT(ISNUMBER(BD118)),ISNUMBER(BF118),N(BE118)&gt;=WlMinTests,BF118&lt;=WlLowMean),"Low results, no KS2 data","")))</f>
        <v/>
      </c>
      <c r="BJ118" t="str">
        <f>IF(BI118="","",IF(BI118="Below expected for KS2",BG118,100+BF118)+ROW()/1000000)</f>
        <v/>
      </c>
    </row>
    <row r="119">
      <c r="H119" t="str">
        <f>IFERROR(INDEX(tblY11[Class],ROWS(H$10:H119))&amp;"","")</f>
        <v/>
      </c>
      <c r="I119" t="str">
        <f>IF(H119="","",IF(SUMPRODUCT(--(H$10:H119=H119))=1,SUMPRODUCT(--(H$10:H$609&lt;H119))+1,""))</f>
        <v/>
      </c>
      <c r="BA119" t="str">
        <f>IFERROR(INDEX(wLast,50)&amp;"","")</f>
        <v>Walker</v>
      </c>
      <c r="BB119" t="str">
        <f>IF(BA119="","",IFERROR(INDEX(wFirst,50)&amp;"",""))</f>
        <v>Leo</v>
      </c>
      <c r="BC119" t="str">
        <f>IF(BA119="","",IFERROR(INDEX(wClass,50)&amp;"",""))</f>
        <v>11S/Sc2</v>
      </c>
      <c r="BD119">
        <f>IF(BA119="","",IFERROR(INDEX(wKsBand,50)+0,""))</f>
        <v>6</v>
      </c>
      <c r="BE119">
        <f>IF(BA119="","",IFERROR(INDEX(wTests,50)+0,0))</f>
        <v>6</v>
      </c>
      <c r="BF119">
        <f>IF(BA119="","",IFERROR(INDEX(wMean,50)+0,""))</f>
        <v>4.83333333333333</v>
      </c>
      <c r="BG119">
        <f>IF(BA119="","",IFERROR(INDEX(wVs,50)+0,""))</f>
        <v>-0.868228715728716</v>
      </c>
      <c r="BH119">
        <f>IF(OR(BA119="",wLatest=""),"",IFERROR(INDEX(wData,50,MATCH(wLatest&amp;CHAR(10)&amp;"Stanine",wHdr,0))+0,""))</f>
        <v>5</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IFERROR(INDEX(tblY11[Class],ROWS(H$10:H120))&amp;"","")</f>
        <v/>
      </c>
      <c r="I120" t="str">
        <f>IF(H120="","",IF(SUMPRODUCT(--(H$10:H120=H120))=1,SUMPRODUCT(--(H$10:H$609&lt;H120))+1,""))</f>
        <v/>
      </c>
      <c r="BA120" t="str">
        <f>IFERROR(INDEX(wLast,51)&amp;"","")</f>
        <v>White</v>
      </c>
      <c r="BB120" t="str">
        <f>IF(BA120="","",IFERROR(INDEX(wFirst,51)&amp;"",""))</f>
        <v>George</v>
      </c>
      <c r="BC120" t="str">
        <f>IF(BA120="","",IFERROR(INDEX(wClass,51)&amp;"",""))</f>
        <v>11S/Sc2</v>
      </c>
      <c r="BD120">
        <f>IF(BA120="","",IFERROR(INDEX(wKsBand,51)+0,""))</f>
        <v>6</v>
      </c>
      <c r="BE120">
        <f>IF(BA120="","",IFERROR(INDEX(wTests,51)+0,0))</f>
        <v>6</v>
      </c>
      <c r="BF120">
        <f>IF(BA120="","",IFERROR(INDEX(wMean,51)+0,""))</f>
        <v>5.16666666666667</v>
      </c>
      <c r="BG120">
        <f>IF(BA120="","",IFERROR(INDEX(wVs,51)+0,""))</f>
        <v>-0.534895382395382</v>
      </c>
      <c r="BH120">
        <f>IF(OR(BA120="",wLatest=""),"",IFERROR(INDEX(wData,51,MATCH(wLatest&amp;CHAR(10)&amp;"Stanine",wHdr,0))+0,""))</f>
        <v>5</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IFERROR(INDEX(tblY11[Class],ROWS(H$10:H121))&amp;"","")</f>
        <v/>
      </c>
      <c r="I121" t="str">
        <f>IF(H121="","",IF(SUMPRODUCT(--(H$10:H121=H121))=1,SUMPRODUCT(--(H$10:H$609&lt;H121))+1,""))</f>
        <v/>
      </c>
      <c r="BA121" t="str">
        <f>IFERROR(INDEX(wLast,52)&amp;"","")</f>
        <v>White</v>
      </c>
      <c r="BB121" t="str">
        <f>IF(BA121="","",IFERROR(INDEX(wFirst,52)&amp;"",""))</f>
        <v>Nia</v>
      </c>
      <c r="BC121" t="str">
        <f>IF(BA121="","",IFERROR(INDEX(wClass,52)&amp;"",""))</f>
        <v>11S/Sc2</v>
      </c>
      <c r="BD121">
        <f>IF(BA121="","",IFERROR(INDEX(wKsBand,52)+0,""))</f>
        <v>6</v>
      </c>
      <c r="BE121">
        <f>IF(BA121="","",IFERROR(INDEX(wTests,52)+0,0))</f>
        <v>5</v>
      </c>
      <c r="BF121">
        <f>IF(BA121="","",IFERROR(INDEX(wMean,52)+0,""))</f>
        <v>5</v>
      </c>
      <c r="BG121">
        <f>IF(BA121="","",IFERROR(INDEX(wVs,52)+0,""))</f>
        <v>-0.701562049062049</v>
      </c>
      <c r="BH121">
        <f>IF(OR(BA121="",wLatest=""),"",IFERROR(INDEX(wData,52,MATCH(wLatest&amp;CHAR(10)&amp;"Stanine",wHdr,0))+0,""))</f>
        <v>5</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IFERROR(INDEX(tblY11[Class],ROWS(H$10:H122))&amp;"","")</f>
        <v/>
      </c>
      <c r="I122" t="str">
        <f>IF(H122="","",IF(SUMPRODUCT(--(H$10:H122=H122))=1,SUMPRODUCT(--(H$10:H$609&lt;H122))+1,""))</f>
        <v/>
      </c>
      <c r="BA122" t="str">
        <f>IFERROR(INDEX(wLast,53)&amp;"","")</f>
        <v>Williams</v>
      </c>
      <c r="BB122" t="str">
        <f>IF(BA122="","",IFERROR(INDEX(wFirst,53)&amp;"",""))</f>
        <v>Sophie</v>
      </c>
      <c r="BC122" t="str">
        <f>IF(BA122="","",IFERROR(INDEX(wClass,53)&amp;"",""))</f>
        <v>11S/Sc2</v>
      </c>
      <c r="BD122">
        <f>IF(BA122="","",IFERROR(INDEX(wKsBand,53)+0,""))</f>
        <v>8</v>
      </c>
      <c r="BE122">
        <f>IF(BA122="","",IFERROR(INDEX(wTests,53)+0,0))</f>
        <v>6</v>
      </c>
      <c r="BF122">
        <f>IF(BA122="","",IFERROR(INDEX(wMean,53)+0,""))</f>
        <v>5.66666666666667</v>
      </c>
      <c r="BG122">
        <f>IF(BA122="","",IFERROR(INDEX(wVs,53)+0,""))</f>
        <v>-1.53262265512265</v>
      </c>
      <c r="BH122">
        <f>IF(OR(BA122="",wLatest=""),"",IFERROR(INDEX(wData,53,MATCH(wLatest&amp;CHAR(10)&amp;"Stanine",wHdr,0))+0,""))</f>
        <v>4</v>
      </c>
      <c r="BI122" t="str">
        <f>IF(BA122="","",IF(AND(ISNUMBER(BG122),N(BE122)&gt;=WlMinTests,BG122&lt;=-WlGap),"Below expected for KS2",IF(AND(NOT(ISNUMBER(BD122)),ISNUMBER(BF122),N(BE122)&gt;=WlMinTests,BF122&lt;=WlLowMean),"Low results, no KS2 data","")))</f>
        <v>Below expected for KS2</v>
      </c>
      <c r="BJ122">
        <f>IF(BI122="","",IF(BI122="Below expected for KS2",BG122,100+BF122)+ROW()/1000000)</f>
        <v>-1.53250065512265</v>
      </c>
    </row>
    <row r="123">
      <c r="H123" t="str">
        <f>IFERROR(INDEX(tblY11[Class],ROWS(H$10:H123))&amp;"","")</f>
        <v/>
      </c>
      <c r="I123" t="str">
        <f>IF(H123="","",IF(SUMPRODUCT(--(H$10:H123=H123))=1,SUMPRODUCT(--(H$10:H$609&lt;H123))+1,""))</f>
        <v/>
      </c>
      <c r="BA123" t="str">
        <f>IFERROR(INDEX(wLast,54)&amp;"","")</f>
        <v>Wright</v>
      </c>
      <c r="BB123" t="str">
        <f>IF(BA123="","",IFERROR(INDEX(wFirst,54)&amp;"",""))</f>
        <v>Chidi</v>
      </c>
      <c r="BC123" t="str">
        <f>IF(BA123="","",IFERROR(INDEX(wClass,54)&amp;"",""))</f>
        <v>11S/Sc2</v>
      </c>
      <c r="BD123">
        <f>IF(BA123="","",IFERROR(INDEX(wKsBand,54)+0,""))</f>
        <v>8</v>
      </c>
      <c r="BE123">
        <f>IF(BA123="","",IFERROR(INDEX(wTests,54)+0,0))</f>
        <v>6</v>
      </c>
      <c r="BF123">
        <f>IF(BA123="","",IFERROR(INDEX(wMean,54)+0,""))</f>
        <v>6.83333333333333</v>
      </c>
      <c r="BG123">
        <f>IF(BA123="","",IFERROR(INDEX(wVs,54)+0,""))</f>
        <v>-0.365955988455989</v>
      </c>
      <c r="BH123">
        <f>IF(OR(BA123="",wLatest=""),"",IFERROR(INDEX(wData,54,MATCH(wLatest&amp;CHAR(10)&amp;"Stanine",wHdr,0))+0,""))</f>
        <v>6</v>
      </c>
      <c r="BI123" t="str">
        <f>IF(BA123="","",IF(AND(ISNUMBER(BG123),N(BE123)&gt;=WlMinTests,BG123&lt;=-WlGap),"Below expected for KS2",IF(AND(NOT(ISNUMBER(BD123)),ISNUMBER(BF123),N(BE123)&gt;=WlMinTests,BF123&lt;=WlLowMean),"Low results, no KS2 data","")))</f>
        <v/>
      </c>
      <c r="BJ123" t="str">
        <f>IF(BI123="","",IF(BI123="Below expected for KS2",BG123,100+BF123)+ROW()/1000000)</f>
        <v/>
      </c>
    </row>
    <row r="124">
      <c r="H124" t="str">
        <f>IFERROR(INDEX(tblY11[Class],ROWS(H$10:H124))&amp;"","")</f>
        <v/>
      </c>
      <c r="I124" t="str">
        <f>IF(H124="","",IF(SUMPRODUCT(--(H$10:H124=H124))=1,SUMPRODUCT(--(H$10:H$609&lt;H124))+1,""))</f>
        <v/>
      </c>
      <c r="BA124" t="str">
        <f>IFERROR(INDEX(wLast,55)&amp;"","")</f>
        <v>Cooper</v>
      </c>
      <c r="BB124" t="str">
        <f>IF(BA124="","",IFERROR(INDEX(wFirst,55)&amp;"",""))</f>
        <v>Sophie</v>
      </c>
      <c r="BC124" t="str">
        <f>IF(BA124="","",IFERROR(INDEX(wClass,55)&amp;"",""))</f>
        <v>11S/Sc3</v>
      </c>
      <c r="BD124">
        <f>IF(BA124="","",IFERROR(INDEX(wKsBand,55)+0,""))</f>
        <v>1</v>
      </c>
      <c r="BE124">
        <f>IF(BA124="","",IFERROR(INDEX(wTests,55)+0,0))</f>
        <v>5</v>
      </c>
      <c r="BF124">
        <f>IF(BA124="","",IFERROR(INDEX(wMean,55)+0,""))</f>
        <v>1.4</v>
      </c>
      <c r="BG124">
        <f>IF(BA124="","",IFERROR(INDEX(wVs,55)+0,""))</f>
        <v>-0.557243867243867</v>
      </c>
      <c r="BH124">
        <f>IF(OR(BA124="",wLatest=""),"",IFERROR(INDEX(wData,55,MATCH(wLatest&amp;CHAR(10)&amp;"Stanine",wHdr,0))+0,""))</f>
        <v>1</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IFERROR(INDEX(tblY11[Class],ROWS(H$10:H125))&amp;"","")</f>
        <v/>
      </c>
      <c r="I125" t="str">
        <f>IF(H125="","",IF(SUMPRODUCT(--(H$10:H125=H125))=1,SUMPRODUCT(--(H$10:H$609&lt;H125))+1,""))</f>
        <v/>
      </c>
      <c r="BA125" t="str">
        <f>IFERROR(INDEX(wLast,56)&amp;"","")</f>
        <v>Edwards</v>
      </c>
      <c r="BB125" t="str">
        <f>IF(BA125="","",IFERROR(INDEX(wFirst,56)&amp;"",""))</f>
        <v>Oscar</v>
      </c>
      <c r="BC125" t="str">
        <f>IF(BA125="","",IFERROR(INDEX(wClass,56)&amp;"",""))</f>
        <v>11S/Sc3</v>
      </c>
      <c r="BD125">
        <f>IF(BA125="","",IFERROR(INDEX(wKsBand,56)+0,""))</f>
        <v>3</v>
      </c>
      <c r="BE125">
        <f>IF(BA125="","",IFERROR(INDEX(wTests,56)+0,0))</f>
        <v>6</v>
      </c>
      <c r="BF125">
        <f>IF(BA125="","",IFERROR(INDEX(wMean,56)+0,""))</f>
        <v>2.66666666666667</v>
      </c>
      <c r="BG125">
        <f>IF(BA125="","",IFERROR(INDEX(wVs,56)+0,""))</f>
        <v>-0.788304473304473</v>
      </c>
      <c r="BH125">
        <f>IF(OR(BA125="",wLatest=""),"",IFERROR(INDEX(wData,56,MATCH(wLatest&amp;CHAR(10)&amp;"Stanine",wHdr,0))+0,""))</f>
        <v>3</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IFERROR(INDEX(tblY11[Class],ROWS(H$10:H126))&amp;"","")</f>
        <v/>
      </c>
      <c r="I126" t="str">
        <f>IF(H126="","",IF(SUMPRODUCT(--(H$10:H126=H126))=1,SUMPRODUCT(--(H$10:H$609&lt;H126))+1,""))</f>
        <v/>
      </c>
      <c r="BA126" t="str">
        <f>IFERROR(INDEX(wLast,57)&amp;"","")</f>
        <v>Hall</v>
      </c>
      <c r="BB126" t="str">
        <f>IF(BA126="","",IFERROR(INDEX(wFirst,57)&amp;"",""))</f>
        <v>Chidi</v>
      </c>
      <c r="BC126" t="str">
        <f>IF(BA126="","",IFERROR(INDEX(wClass,57)&amp;"",""))</f>
        <v>11S/Sc3</v>
      </c>
      <c r="BD126">
        <f>IF(BA126="","",IFERROR(INDEX(wKsBand,57)+0,""))</f>
        <v>6</v>
      </c>
      <c r="BE126">
        <f>IF(BA126="","",IFERROR(INDEX(wTests,57)+0,0))</f>
        <v>6</v>
      </c>
      <c r="BF126">
        <f>IF(BA126="","",IFERROR(INDEX(wMean,57)+0,""))</f>
        <v>5.16666666666667</v>
      </c>
      <c r="BG126">
        <f>IF(BA126="","",IFERROR(INDEX(wVs,57)+0,""))</f>
        <v>-0.534895382395382</v>
      </c>
      <c r="BH126">
        <f>IF(OR(BA126="",wLatest=""),"",IFERROR(INDEX(wData,57,MATCH(wLatest&amp;CHAR(10)&amp;"Stanine",wHdr,0))+0,""))</f>
        <v>5</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IFERROR(INDEX(tblY11[Class],ROWS(H$10:H127))&amp;"","")</f>
        <v/>
      </c>
      <c r="I127" t="str">
        <f>IF(H127="","",IF(SUMPRODUCT(--(H$10:H127=H127))=1,SUMPRODUCT(--(H$10:H$609&lt;H127))+1,""))</f>
        <v/>
      </c>
      <c r="BA127" t="str">
        <f>IFERROR(INDEX(wLast,58)&amp;"","")</f>
        <v>Hall</v>
      </c>
      <c r="BB127" t="str">
        <f>IF(BA127="","",IFERROR(INDEX(wFirst,58)&amp;"",""))</f>
        <v>George</v>
      </c>
      <c r="BC127" t="str">
        <f>IF(BA127="","",IFERROR(INDEX(wClass,58)&amp;"",""))</f>
        <v>11S/Sc3</v>
      </c>
      <c r="BD127">
        <f>IF(BA127="","",IFERROR(INDEX(wKsBand,58)+0,""))</f>
        <v>7</v>
      </c>
      <c r="BE127">
        <f>IF(BA127="","",IFERROR(INDEX(wTests,58)+0,0))</f>
        <v>6</v>
      </c>
      <c r="BF127">
        <f>IF(BA127="","",IFERROR(INDEX(wMean,58)+0,""))</f>
        <v>6.16666666666667</v>
      </c>
      <c r="BG127">
        <f>IF(BA127="","",IFERROR(INDEX(wVs,58)+0,""))</f>
        <v>-0.283759018759018</v>
      </c>
      <c r="BH127">
        <f>IF(OR(BA127="",wLatest=""),"",IFERROR(INDEX(wData,58,MATCH(wLatest&amp;CHAR(10)&amp;"Stanine",wHdr,0))+0,""))</f>
        <v>7</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IFERROR(INDEX(tblY11[Class],ROWS(H$10:H128))&amp;"","")</f>
        <v/>
      </c>
      <c r="I128" t="str">
        <f>IF(H128="","",IF(SUMPRODUCT(--(H$10:H128=H128))=1,SUMPRODUCT(--(H$10:H$609&lt;H128))+1,""))</f>
        <v/>
      </c>
      <c r="BA128" t="str">
        <f>IFERROR(INDEX(wLast,59)&amp;"","")</f>
        <v>Jackson</v>
      </c>
      <c r="BB128" t="str">
        <f>IF(BA128="","",IFERROR(INDEX(wFirst,59)&amp;"",""))</f>
        <v>Ella</v>
      </c>
      <c r="BC128" t="str">
        <f>IF(BA128="","",IFERROR(INDEX(wClass,59)&amp;"",""))</f>
        <v>11S/Sc3</v>
      </c>
      <c r="BD128">
        <f>IF(BA128="","",IFERROR(INDEX(wKsBand,59)+0,""))</f>
        <v>8</v>
      </c>
      <c r="BE128">
        <f>IF(BA128="","",IFERROR(INDEX(wTests,59)+0,0))</f>
        <v>6</v>
      </c>
      <c r="BF128">
        <f>IF(BA128="","",IFERROR(INDEX(wMean,59)+0,""))</f>
        <v>7.33333333333333</v>
      </c>
      <c r="BG128">
        <f>IF(BA128="","",IFERROR(INDEX(wVs,59)+0,""))</f>
        <v>0.134044011544011</v>
      </c>
      <c r="BH128">
        <f>IF(OR(BA128="",wLatest=""),"",IFERROR(INDEX(wData,59,MATCH(wLatest&amp;CHAR(10)&amp;"Stanine",wHdr,0))+0,""))</f>
        <v>8</v>
      </c>
      <c r="BI128" t="str">
        <f>IF(BA128="","",IF(AND(ISNUMBER(BG128),N(BE128)&gt;=WlMinTests,BG128&lt;=-WlGap),"Below expected for KS2",IF(AND(NOT(ISNUMBER(BD128)),ISNUMBER(BF128),N(BE128)&gt;=WlMinTests,BF128&lt;=WlLowMean),"Low results, no KS2 data","")))</f>
        <v/>
      </c>
      <c r="BJ128" t="str">
        <f>IF(BI128="","",IF(BI128="Below expected for KS2",BG128,100+BF128)+ROW()/1000000)</f>
        <v/>
      </c>
    </row>
    <row r="129">
      <c r="H129" t="str">
        <f>IFERROR(INDEX(tblY11[Class],ROWS(H$10:H129))&amp;"","")</f>
        <v/>
      </c>
      <c r="I129" t="str">
        <f>IF(H129="","",IF(SUMPRODUCT(--(H$10:H129=H129))=1,SUMPRODUCT(--(H$10:H$609&lt;H129))+1,""))</f>
        <v/>
      </c>
      <c r="BA129" t="str">
        <f>IFERROR(INDEX(wLast,60)&amp;"","")</f>
        <v>Jackson</v>
      </c>
      <c r="BB129" t="str">
        <f>IF(BA129="","",IFERROR(INDEX(wFirst,60)&amp;"",""))</f>
        <v>Theo</v>
      </c>
      <c r="BC129" t="str">
        <f>IF(BA129="","",IFERROR(INDEX(wClass,60)&amp;"",""))</f>
        <v>11S/Sc3</v>
      </c>
      <c r="BD129">
        <f>IF(BA129="","",IFERROR(INDEX(wKsBand,60)+0,""))</f>
        <v>6</v>
      </c>
      <c r="BE129">
        <f>IF(BA129="","",IFERROR(INDEX(wTests,60)+0,0))</f>
        <v>6</v>
      </c>
      <c r="BF129">
        <f>IF(BA129="","",IFERROR(INDEX(wMean,60)+0,""))</f>
        <v>5.33333333333333</v>
      </c>
      <c r="BG129">
        <f>IF(BA129="","",IFERROR(INDEX(wVs,60)+0,""))</f>
        <v>-0.368228715728716</v>
      </c>
      <c r="BH129">
        <f>IF(OR(BA129="",wLatest=""),"",IFERROR(INDEX(wData,60,MATCH(wLatest&amp;CHAR(10)&amp;"Stanine",wHdr,0))+0,""))</f>
        <v>5</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IFERROR(INDEX(tblY11[Class],ROWS(H$10:H130))&amp;"","")</f>
        <v/>
      </c>
      <c r="I130" t="str">
        <f>IF(H130="","",IF(SUMPRODUCT(--(H$10:H130=H130))=1,SUMPRODUCT(--(H$10:H$609&lt;H130))+1,""))</f>
        <v/>
      </c>
      <c r="BA130" t="str">
        <f>IFERROR(INDEX(wLast,61)&amp;"","")</f>
        <v>Johnson</v>
      </c>
      <c r="BB130" t="str">
        <f>IF(BA130="","",IFERROR(INDEX(wFirst,61)&amp;"",""))</f>
        <v>Kai</v>
      </c>
      <c r="BC130" t="str">
        <f>IF(BA130="","",IFERROR(INDEX(wClass,61)&amp;"",""))</f>
        <v>11S/Sc3</v>
      </c>
      <c r="BD130">
        <f>IF(BA130="","",IFERROR(INDEX(wKsBand,61)+0,""))</f>
        <v>5</v>
      </c>
      <c r="BE130">
        <f>IF(BA130="","",IFERROR(INDEX(wTests,61)+0,0))</f>
        <v>6</v>
      </c>
      <c r="BF130">
        <f>IF(BA130="","",IFERROR(INDEX(wMean,61)+0,""))</f>
        <v>4.5</v>
      </c>
      <c r="BG130">
        <f>IF(BA130="","",IFERROR(INDEX(wVs,61)+0,""))</f>
        <v>-0.452698412698412</v>
      </c>
      <c r="BH130">
        <f>IF(OR(BA130="",wLatest=""),"",IFERROR(INDEX(wData,61,MATCH(wLatest&amp;CHAR(10)&amp;"Stanine",wHdr,0))+0,""))</f>
        <v>5</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IFERROR(INDEX(tblY11[Class],ROWS(H$10:H131))&amp;"","")</f>
        <v/>
      </c>
      <c r="I131" t="str">
        <f>IF(H131="","",IF(SUMPRODUCT(--(H$10:H131=H131))=1,SUMPRODUCT(--(H$10:H$609&lt;H131))+1,""))</f>
        <v/>
      </c>
      <c r="BA131" t="str">
        <f>IFERROR(INDEX(wLast,62)&amp;"","")</f>
        <v>Johnson</v>
      </c>
      <c r="BB131" t="str">
        <f>IF(BA131="","",IFERROR(INDEX(wFirst,62)&amp;"",""))</f>
        <v>Oscar</v>
      </c>
      <c r="BC131" t="str">
        <f>IF(BA131="","",IFERROR(INDEX(wClass,62)&amp;"",""))</f>
        <v>11S/Sc3</v>
      </c>
      <c r="BD131">
        <f>IF(BA131="","",IFERROR(INDEX(wKsBand,62)+0,""))</f>
        <v>5</v>
      </c>
      <c r="BE131">
        <f>IF(BA131="","",IFERROR(INDEX(wTests,62)+0,0))</f>
        <v>6</v>
      </c>
      <c r="BF131">
        <f>IF(BA131="","",IFERROR(INDEX(wMean,62)+0,""))</f>
        <v>4.66666666666667</v>
      </c>
      <c r="BG131">
        <f>IF(BA131="","",IFERROR(INDEX(wVs,62)+0,""))</f>
        <v>-0.286031746031745</v>
      </c>
      <c r="BH131">
        <f>IF(OR(BA131="",wLatest=""),"",IFERROR(INDEX(wData,62,MATCH(wLatest&amp;CHAR(10)&amp;"Stanine",wHdr,0))+0,""))</f>
        <v>3</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IFERROR(INDEX(tblY11[Class],ROWS(H$10:H132))&amp;"","")</f>
        <v/>
      </c>
      <c r="I132" t="str">
        <f>IF(H132="","",IF(SUMPRODUCT(--(H$10:H132=H132))=1,SUMPRODUCT(--(H$10:H$609&lt;H132))+1,""))</f>
        <v/>
      </c>
      <c r="BA132" t="str">
        <f>IFERROR(INDEX(wLast,63)&amp;"","")</f>
        <v>Kelly</v>
      </c>
      <c r="BB132" t="str">
        <f>IF(BA132="","",IFERROR(INDEX(wFirst,63)&amp;"",""))</f>
        <v>Niamh</v>
      </c>
      <c r="BC132" t="str">
        <f>IF(BA132="","",IFERROR(INDEX(wClass,63)&amp;"",""))</f>
        <v>11S/Sc3</v>
      </c>
      <c r="BD132">
        <f>IF(BA132="","",IFERROR(INDEX(wKsBand,63)+0,""))</f>
        <v>8</v>
      </c>
      <c r="BE132">
        <f>IF(BA132="","",IFERROR(INDEX(wTests,63)+0,0))</f>
        <v>5</v>
      </c>
      <c r="BF132">
        <f>IF(BA132="","",IFERROR(INDEX(wMean,63)+0,""))</f>
        <v>5.6</v>
      </c>
      <c r="BG132">
        <f>IF(BA132="","",IFERROR(INDEX(wVs,63)+0,""))</f>
        <v>-1.59928932178932</v>
      </c>
      <c r="BH132" t="str">
        <f>IF(OR(BA132="",wLatest=""),"",IFERROR(INDEX(wData,63,MATCH(wLatest&amp;CHAR(10)&amp;"Stanine",wHdr,0))+0,""))</f>
        <v/>
      </c>
      <c r="BI132" t="str">
        <f>IF(BA132="","",IF(AND(ISNUMBER(BG132),N(BE132)&gt;=WlMinTests,BG132&lt;=-WlGap),"Below expected for KS2",IF(AND(NOT(ISNUMBER(BD132)),ISNUMBER(BF132),N(BE132)&gt;=WlMinTests,BF132&lt;=WlLowMean),"Low results, no KS2 data","")))</f>
        <v>Below expected for KS2</v>
      </c>
      <c r="BJ132">
        <f>IF(BI132="","",IF(BI132="Below expected for KS2",BG132,100+BF132)+ROW()/1000000)</f>
        <v>-1.59915732178932</v>
      </c>
    </row>
    <row r="133">
      <c r="H133" t="str">
        <f>IFERROR(INDEX(tblY11[Class],ROWS(H$10:H133))&amp;"","")</f>
        <v/>
      </c>
      <c r="I133" t="str">
        <f>IF(H133="","",IF(SUMPRODUCT(--(H$10:H133=H133))=1,SUMPRODUCT(--(H$10:H$609&lt;H133))+1,""))</f>
        <v/>
      </c>
      <c r="BA133" t="str">
        <f>IFERROR(INDEX(wLast,64)&amp;"","")</f>
        <v>Khan</v>
      </c>
      <c r="BB133" t="str">
        <f>IF(BA133="","",IFERROR(INDEX(wFirst,64)&amp;"",""))</f>
        <v>Megan</v>
      </c>
      <c r="BC133" t="str">
        <f>IF(BA133="","",IFERROR(INDEX(wClass,64)&amp;"",""))</f>
        <v>11S/Sc3</v>
      </c>
      <c r="BD133">
        <f>IF(BA133="","",IFERROR(INDEX(wKsBand,64)+0,""))</f>
        <v>8</v>
      </c>
      <c r="BE133">
        <f>IF(BA133="","",IFERROR(INDEX(wTests,64)+0,0))</f>
        <v>6</v>
      </c>
      <c r="BF133">
        <f>IF(BA133="","",IFERROR(INDEX(wMean,64)+0,""))</f>
        <v>7.83333333333333</v>
      </c>
      <c r="BG133">
        <f>IF(BA133="","",IFERROR(INDEX(wVs,64)+0,""))</f>
        <v>0.634044011544011</v>
      </c>
      <c r="BH133">
        <f>IF(OR(BA133="",wLatest=""),"",IFERROR(INDEX(wData,64,MATCH(wLatest&amp;CHAR(10)&amp;"Stanine",wHdr,0))+0,""))</f>
        <v>7</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IFERROR(INDEX(tblY11[Class],ROWS(H$10:H134))&amp;"","")</f>
        <v/>
      </c>
      <c r="I134" t="str">
        <f>IF(H134="","",IF(SUMPRODUCT(--(H$10:H134=H134))=1,SUMPRODUCT(--(H$10:H$609&lt;H134))+1,""))</f>
        <v/>
      </c>
      <c r="BA134" t="str">
        <f>IFERROR(INDEX(wLast,65)&amp;"","")</f>
        <v>Mistry</v>
      </c>
      <c r="BB134" t="str">
        <f>IF(BA134="","",IFERROR(INDEX(wFirst,65)&amp;"",""))</f>
        <v>Jacob</v>
      </c>
      <c r="BC134" t="str">
        <f>IF(BA134="","",IFERROR(INDEX(wClass,65)&amp;"",""))</f>
        <v>11S/Sc3</v>
      </c>
      <c r="BD134">
        <f>IF(BA134="","",IFERROR(INDEX(wKsBand,65)+0,""))</f>
        <v>2</v>
      </c>
      <c r="BE134">
        <f>IF(BA134="","",IFERROR(INDEX(wTests,65)+0,0))</f>
        <v>5</v>
      </c>
      <c r="BF134">
        <f>IF(BA134="","",IFERROR(INDEX(wMean,65)+0,""))</f>
        <v>4.2</v>
      </c>
      <c r="BG134">
        <f>IF(BA134="","",IFERROR(INDEX(wVs,65)+0,""))</f>
        <v>1.4938924963925</v>
      </c>
      <c r="BH134">
        <f>IF(OR(BA134="",wLatest=""),"",IFERROR(INDEX(wData,65,MATCH(wLatest&amp;CHAR(10)&amp;"Stanine",wHdr,0))+0,""))</f>
        <v>4</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IFERROR(INDEX(tblY11[Class],ROWS(H$10:H135))&amp;"","")</f>
        <v/>
      </c>
      <c r="I135" t="str">
        <f>IF(H135="","",IF(SUMPRODUCT(--(H$10:H135=H135))=1,SUMPRODUCT(--(H$10:H$609&lt;H135))+1,""))</f>
        <v/>
      </c>
      <c r="BA135" t="str">
        <f>IFERROR(INDEX(wLast,66)&amp;"","")</f>
        <v>Mistry</v>
      </c>
      <c r="BB135" t="str">
        <f>IF(BA135="","",IFERROR(INDEX(wFirst,66)&amp;"",""))</f>
        <v>Lewis</v>
      </c>
      <c r="BC135" t="str">
        <f>IF(BA135="","",IFERROR(INDEX(wClass,66)&amp;"",""))</f>
        <v>11S/Sc3</v>
      </c>
      <c r="BD135">
        <f>IF(BA135="","",IFERROR(INDEX(wKsBand,66)+0,""))</f>
        <v>1</v>
      </c>
      <c r="BE135">
        <f>IF(BA135="","",IFERROR(INDEX(wTests,66)+0,0))</f>
        <v>6</v>
      </c>
      <c r="BF135">
        <f>IF(BA135="","",IFERROR(INDEX(wMean,66)+0,""))</f>
        <v>1.33333333333333</v>
      </c>
      <c r="BG135">
        <f>IF(BA135="","",IFERROR(INDEX(wVs,66)+0,""))</f>
        <v>-0.623910533910533</v>
      </c>
      <c r="BH135">
        <f>IF(OR(BA135="",wLatest=""),"",IFERROR(INDEX(wData,66,MATCH(wLatest&amp;CHAR(10)&amp;"Stanine",wHdr,0))+0,""))</f>
        <v>2</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IFERROR(INDEX(tblY11[Class],ROWS(H$10:H136))&amp;"","")</f>
        <v/>
      </c>
      <c r="I136" t="str">
        <f>IF(H136="","",IF(SUMPRODUCT(--(H$10:H136=H136))=1,SUMPRODUCT(--(H$10:H$609&lt;H136))+1,""))</f>
        <v/>
      </c>
      <c r="BA136" t="str">
        <f>IFERROR(INDEX(wLast,67)&amp;"","")</f>
        <v>Murphy</v>
      </c>
      <c r="BB136" t="str">
        <f>IF(BA136="","",IFERROR(INDEX(wFirst,67)&amp;"",""))</f>
        <v>Muhammad</v>
      </c>
      <c r="BC136" t="str">
        <f>IF(BA136="","",IFERROR(INDEX(wClass,67)&amp;"",""))</f>
        <v>11S/Sc3</v>
      </c>
      <c r="BD136">
        <f>IF(BA136="","",IFERROR(INDEX(wKsBand,67)+0,""))</f>
        <v>2</v>
      </c>
      <c r="BE136">
        <f>IF(BA136="","",IFERROR(INDEX(wTests,67)+0,0))</f>
        <v>6</v>
      </c>
      <c r="BF136">
        <f>IF(BA136="","",IFERROR(INDEX(wMean,67)+0,""))</f>
        <v>1.66666666666667</v>
      </c>
      <c r="BG136">
        <f>IF(BA136="","",IFERROR(INDEX(wVs,67)+0,""))</f>
        <v>-1.03944083694084</v>
      </c>
      <c r="BH136">
        <f>IF(OR(BA136="",wLatest=""),"",IFERROR(INDEX(wData,67,MATCH(wLatest&amp;CHAR(10)&amp;"Stanine",wHdr,0))+0,""))</f>
        <v>2</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IFERROR(INDEX(tblY11[Class],ROWS(H$10:H137))&amp;"","")</f>
        <v/>
      </c>
      <c r="I137" t="str">
        <f>IF(H137="","",IF(SUMPRODUCT(--(H$10:H137=H137))=1,SUMPRODUCT(--(H$10:H$609&lt;H137))+1,""))</f>
        <v/>
      </c>
      <c r="BA137" t="str">
        <f>IFERROR(INDEX(wLast,68)&amp;"","")</f>
        <v>Okafor</v>
      </c>
      <c r="BB137" t="str">
        <f>IF(BA137="","",IFERROR(INDEX(wFirst,68)&amp;"",""))</f>
        <v>Zofia</v>
      </c>
      <c r="BC137" t="str">
        <f>IF(BA137="","",IFERROR(INDEX(wClass,68)&amp;"",""))</f>
        <v>11S/Sc3</v>
      </c>
      <c r="BD137">
        <f>IF(BA137="","",IFERROR(INDEX(wKsBand,68)+0,""))</f>
        <v>5</v>
      </c>
      <c r="BE137">
        <f>IF(BA137="","",IFERROR(INDEX(wTests,68)+0,0))</f>
        <v>6</v>
      </c>
      <c r="BF137">
        <f>IF(BA137="","",IFERROR(INDEX(wMean,68)+0,""))</f>
        <v>4.5</v>
      </c>
      <c r="BG137">
        <f>IF(BA137="","",IFERROR(INDEX(wVs,68)+0,""))</f>
        <v>-0.452698412698412</v>
      </c>
      <c r="BH137">
        <f>IF(OR(BA137="",wLatest=""),"",IFERROR(INDEX(wData,68,MATCH(wLatest&amp;CHAR(10)&amp;"Stanine",wHdr,0))+0,""))</f>
        <v>6</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IFERROR(INDEX(tblY11[Class],ROWS(H$10:H138))&amp;"","")</f>
        <v/>
      </c>
      <c r="I138" t="str">
        <f>IF(H138="","",IF(SUMPRODUCT(--(H$10:H138=H138))=1,SUMPRODUCT(--(H$10:H$609&lt;H138))+1,""))</f>
        <v/>
      </c>
      <c r="BA138" t="str">
        <f>IFERROR(INDEX(wLast,69)&amp;"","")</f>
        <v>Patel</v>
      </c>
      <c r="BB138" t="str">
        <f>IF(BA138="","",IFERROR(INDEX(wFirst,69)&amp;"",""))</f>
        <v>Layla</v>
      </c>
      <c r="BC138" t="str">
        <f>IF(BA138="","",IFERROR(INDEX(wClass,69)&amp;"",""))</f>
        <v>11S/Sc3</v>
      </c>
      <c r="BD138">
        <f>IF(BA138="","",IFERROR(INDEX(wKsBand,69)+0,""))</f>
        <v>1</v>
      </c>
      <c r="BE138">
        <f>IF(BA138="","",IFERROR(INDEX(wTests,69)+0,0))</f>
        <v>6</v>
      </c>
      <c r="BF138">
        <f>IF(BA138="","",IFERROR(INDEX(wMean,69)+0,""))</f>
        <v>4.5</v>
      </c>
      <c r="BG138">
        <f>IF(BA138="","",IFERROR(INDEX(wVs,69)+0,""))</f>
        <v>2.54275613275613</v>
      </c>
      <c r="BH138">
        <f>IF(OR(BA138="",wLatest=""),"",IFERROR(INDEX(wData,69,MATCH(wLatest&amp;CHAR(10)&amp;"Stanine",wHdr,0))+0,""))</f>
        <v>3</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IFERROR(INDEX(tblY11[Class],ROWS(H$10:H139))&amp;"","")</f>
        <v/>
      </c>
      <c r="I139" t="str">
        <f>IF(H139="","",IF(SUMPRODUCT(--(H$10:H139=H139))=1,SUMPRODUCT(--(H$10:H$609&lt;H139))+1,""))</f>
        <v/>
      </c>
      <c r="BA139" t="str">
        <f>IFERROR(INDEX(wLast,70)&amp;"","")</f>
        <v>Patel</v>
      </c>
      <c r="BB139" t="str">
        <f>IF(BA139="","",IFERROR(INDEX(wFirst,70)&amp;"",""))</f>
        <v>Priya</v>
      </c>
      <c r="BC139" t="str">
        <f>IF(BA139="","",IFERROR(INDEX(wClass,70)&amp;"",""))</f>
        <v>11S/Sc3</v>
      </c>
      <c r="BD139">
        <f>IF(BA139="","",IFERROR(INDEX(wKsBand,70)+0,""))</f>
        <v>4</v>
      </c>
      <c r="BE139">
        <f>IF(BA139="","",IFERROR(INDEX(wTests,70)+0,0))</f>
        <v>6</v>
      </c>
      <c r="BF139">
        <f>IF(BA139="","",IFERROR(INDEX(wMean,70)+0,""))</f>
        <v>4.5</v>
      </c>
      <c r="BG139">
        <f>IF(BA139="","",IFERROR(INDEX(wVs,70)+0,""))</f>
        <v>0.296165223665224</v>
      </c>
      <c r="BH139">
        <f>IF(OR(BA139="",wLatest=""),"",IFERROR(INDEX(wData,70,MATCH(wLatest&amp;CHAR(10)&amp;"Stanine",wHdr,0))+0,""))</f>
        <v>5</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IFERROR(INDEX(tblY11[Class],ROWS(H$10:H140))&amp;"","")</f>
        <v/>
      </c>
      <c r="I140" t="str">
        <f>IF(H140="","",IF(SUMPRODUCT(--(H$10:H140=H140))=1,SUMPRODUCT(--(H$10:H$609&lt;H140))+1,""))</f>
        <v/>
      </c>
      <c r="BA140" t="str">
        <f>IFERROR(INDEX(wLast,71)&amp;"","")</f>
        <v>Patel</v>
      </c>
      <c r="BB140" t="str">
        <f>IF(BA140="","",IFERROR(INDEX(wFirst,71)&amp;"",""))</f>
        <v>Sami</v>
      </c>
      <c r="BC140" t="str">
        <f>IF(BA140="","",IFERROR(INDEX(wClass,71)&amp;"",""))</f>
        <v>11S/Sc3</v>
      </c>
      <c r="BD140">
        <f>IF(BA140="","",IFERROR(INDEX(wKsBand,71)+0,""))</f>
        <v>7</v>
      </c>
      <c r="BE140">
        <f>IF(BA140="","",IFERROR(INDEX(wTests,71)+0,0))</f>
        <v>6</v>
      </c>
      <c r="BF140">
        <f>IF(BA140="","",IFERROR(INDEX(wMean,71)+0,""))</f>
        <v>7.33333333333333</v>
      </c>
      <c r="BG140">
        <f>IF(BA140="","",IFERROR(INDEX(wVs,71)+0,""))</f>
        <v>0.882907647907648</v>
      </c>
      <c r="BH140">
        <f>IF(OR(BA140="",wLatest=""),"",IFERROR(INDEX(wData,71,MATCH(wLatest&amp;CHAR(10)&amp;"Stanine",wHdr,0))+0,""))</f>
        <v>8</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IFERROR(INDEX(tblY11[Class],ROWS(H$10:H141))&amp;"","")</f>
        <v/>
      </c>
      <c r="I141" t="str">
        <f>IF(H141="","",IF(SUMPRODUCT(--(H$10:H141=H141))=1,SUMPRODUCT(--(H$10:H$609&lt;H141))+1,""))</f>
        <v/>
      </c>
      <c r="BA141" t="str">
        <f>IFERROR(INDEX(wLast,72)&amp;"","")</f>
        <v>Roberts</v>
      </c>
      <c r="BB141" t="str">
        <f>IF(BA141="","",IFERROR(INDEX(wFirst,72)&amp;"",""))</f>
        <v>Oscar</v>
      </c>
      <c r="BC141" t="str">
        <f>IF(BA141="","",IFERROR(INDEX(wClass,72)&amp;"",""))</f>
        <v>11S/Sc3</v>
      </c>
      <c r="BD141">
        <f>IF(BA141="","",IFERROR(INDEX(wKsBand,72)+0,""))</f>
        <v>4</v>
      </c>
      <c r="BE141">
        <f>IF(BA141="","",IFERROR(INDEX(wTests,72)+0,0))</f>
        <v>6</v>
      </c>
      <c r="BF141">
        <f>IF(BA141="","",IFERROR(INDEX(wMean,72)+0,""))</f>
        <v>3.66666666666667</v>
      </c>
      <c r="BG141">
        <f>IF(BA141="","",IFERROR(INDEX(wVs,72)+0,""))</f>
        <v>-0.537168109668109</v>
      </c>
      <c r="BH141">
        <f>IF(OR(BA141="",wLatest=""),"",IFERROR(INDEX(wData,72,MATCH(wLatest&amp;CHAR(10)&amp;"Stanine",wHdr,0))+0,""))</f>
        <v>5</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IFERROR(INDEX(tblY11[Class],ROWS(H$10:H142))&amp;"","")</f>
        <v/>
      </c>
      <c r="I142" t="str">
        <f>IF(H142="","",IF(SUMPRODUCT(--(H$10:H142=H142))=1,SUMPRODUCT(--(H$10:H$609&lt;H142))+1,""))</f>
        <v/>
      </c>
      <c r="BA142" t="str">
        <f>IFERROR(INDEX(wLast,73)&amp;"","")</f>
        <v>Shaw</v>
      </c>
      <c r="BB142" t="str">
        <f>IF(BA142="","",IFERROR(INDEX(wFirst,73)&amp;"",""))</f>
        <v>Ethan</v>
      </c>
      <c r="BC142" t="str">
        <f>IF(BA142="","",IFERROR(INDEX(wClass,73)&amp;"",""))</f>
        <v>11S/Sc3</v>
      </c>
      <c r="BD142">
        <f>IF(BA142="","",IFERROR(INDEX(wKsBand,73)+0,""))</f>
        <v>4</v>
      </c>
      <c r="BE142">
        <f>IF(BA142="","",IFERROR(INDEX(wTests,73)+0,0))</f>
        <v>5</v>
      </c>
      <c r="BF142">
        <f>IF(BA142="","",IFERROR(INDEX(wMean,73)+0,""))</f>
        <v>5</v>
      </c>
      <c r="BG142">
        <f>IF(BA142="","",IFERROR(INDEX(wVs,73)+0,""))</f>
        <v>0.796165223665224</v>
      </c>
      <c r="BH142">
        <f>IF(OR(BA142="",wLatest=""),"",IFERROR(INDEX(wData,73,MATCH(wLatest&amp;CHAR(10)&amp;"Stanine",wHdr,0))+0,""))</f>
        <v>6</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IFERROR(INDEX(tblY11[Class],ROWS(H$10:H143))&amp;"","")</f>
        <v/>
      </c>
      <c r="I143" t="str">
        <f>IF(H143="","",IF(SUMPRODUCT(--(H$10:H143=H143))=1,SUMPRODUCT(--(H$10:H$609&lt;H143))+1,""))</f>
        <v/>
      </c>
      <c r="BA143" t="str">
        <f>IFERROR(INDEX(wLast,74)&amp;"","")</f>
        <v>Taylor</v>
      </c>
      <c r="BB143" t="str">
        <f>IF(BA143="","",IFERROR(INDEX(wFirst,74)&amp;"",""))</f>
        <v>Nia</v>
      </c>
      <c r="BC143" t="str">
        <f>IF(BA143="","",IFERROR(INDEX(wClass,74)&amp;"",""))</f>
        <v>11S/Sc3</v>
      </c>
      <c r="BD143">
        <f>IF(BA143="","",IFERROR(INDEX(wKsBand,74)+0,""))</f>
        <v>5</v>
      </c>
      <c r="BE143">
        <f>IF(BA143="","",IFERROR(INDEX(wTests,74)+0,0))</f>
        <v>6</v>
      </c>
      <c r="BF143">
        <f>IF(BA143="","",IFERROR(INDEX(wMean,74)+0,""))</f>
        <v>4.66666666666667</v>
      </c>
      <c r="BG143">
        <f>IF(BA143="","",IFERROR(INDEX(wVs,74)+0,""))</f>
        <v>-0.286031746031745</v>
      </c>
      <c r="BH143">
        <f>IF(OR(BA143="",wLatest=""),"",IFERROR(INDEX(wData,74,MATCH(wLatest&amp;CHAR(10)&amp;"Stanine",wHdr,0))+0,""))</f>
        <v>5</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IFERROR(INDEX(tblY11[Class],ROWS(H$10:H144))&amp;"","")</f>
        <v/>
      </c>
      <c r="I144" t="str">
        <f>IF(H144="","",IF(SUMPRODUCT(--(H$10:H144=H144))=1,SUMPRODUCT(--(H$10:H$609&lt;H144))+1,""))</f>
        <v/>
      </c>
      <c r="BA144" t="str">
        <f>IFERROR(INDEX(wLast,75)&amp;"","")</f>
        <v>White</v>
      </c>
      <c r="BB144" t="str">
        <f>IF(BA144="","",IFERROR(INDEX(wFirst,75)&amp;"",""))</f>
        <v>Lily</v>
      </c>
      <c r="BC144" t="str">
        <f>IF(BA144="","",IFERROR(INDEX(wClass,75)&amp;"",""))</f>
        <v>11S/Sc3</v>
      </c>
      <c r="BD144">
        <f>IF(BA144="","",IFERROR(INDEX(wKsBand,75)+0,""))</f>
        <v>7</v>
      </c>
      <c r="BE144">
        <f>IF(BA144="","",IFERROR(INDEX(wTests,75)+0,0))</f>
        <v>6</v>
      </c>
      <c r="BF144">
        <f>IF(BA144="","",IFERROR(INDEX(wMean,75)+0,""))</f>
        <v>7.16666666666667</v>
      </c>
      <c r="BG144">
        <f>IF(BA144="","",IFERROR(INDEX(wVs,75)+0,""))</f>
        <v>0.716240981240982</v>
      </c>
      <c r="BH144">
        <f>IF(OR(BA144="",wLatest=""),"",IFERROR(INDEX(wData,75,MATCH(wLatest&amp;CHAR(10)&amp;"Stanine",wHdr,0))+0,""))</f>
        <v>7</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IFERROR(INDEX(tblY11[Class],ROWS(H$10:H145))&amp;"","")</f>
        <v/>
      </c>
      <c r="I145" t="str">
        <f>IF(H145="","",IF(SUMPRODUCT(--(H$10:H145=H145))=1,SUMPRODUCT(--(H$10:H$609&lt;H145))+1,""))</f>
        <v/>
      </c>
      <c r="BA145" t="str">
        <f>IFERROR(INDEX(wLast,76)&amp;"","")</f>
        <v>Adeyemi</v>
      </c>
      <c r="BB145" t="str">
        <f>IF(BA145="","",IFERROR(INDEX(wFirst,76)&amp;"",""))</f>
        <v>Isla</v>
      </c>
      <c r="BC145" t="str">
        <f>IF(BA145="","",IFERROR(INDEX(wClass,76)&amp;"",""))</f>
        <v>11S/Sc4</v>
      </c>
      <c r="BD145">
        <f>IF(BA145="","",IFERROR(INDEX(wKsBand,76)+0,""))</f>
        <v>4</v>
      </c>
      <c r="BE145">
        <f>IF(BA145="","",IFERROR(INDEX(wTests,76)+0,0))</f>
        <v>6</v>
      </c>
      <c r="BF145">
        <f>IF(BA145="","",IFERROR(INDEX(wMean,76)+0,""))</f>
        <v>3.66666666666667</v>
      </c>
      <c r="BG145">
        <f>IF(BA145="","",IFERROR(INDEX(wVs,76)+0,""))</f>
        <v>-0.537168109668109</v>
      </c>
      <c r="BH145">
        <f>IF(OR(BA145="",wLatest=""),"",IFERROR(INDEX(wData,76,MATCH(wLatest&amp;CHAR(10)&amp;"Stanine",wHdr,0))+0,""))</f>
        <v>5</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IFERROR(INDEX(tblY11[Class],ROWS(H$10:H146))&amp;"","")</f>
        <v/>
      </c>
      <c r="I146" t="str">
        <f>IF(H146="","",IF(SUMPRODUCT(--(H$10:H146=H146))=1,SUMPRODUCT(--(H$10:H$609&lt;H146))+1,""))</f>
        <v/>
      </c>
      <c r="BA146" t="str">
        <f>IFERROR(INDEX(wLast,77)&amp;"","")</f>
        <v>Ahmed</v>
      </c>
      <c r="BB146" t="str">
        <f>IF(BA146="","",IFERROR(INDEX(wFirst,77)&amp;"",""))</f>
        <v>Maisie</v>
      </c>
      <c r="BC146" t="str">
        <f>IF(BA146="","",IFERROR(INDEX(wClass,77)&amp;"",""))</f>
        <v>11S/Sc4</v>
      </c>
      <c r="BD146">
        <f>IF(BA146="","",IFERROR(INDEX(wKsBand,77)+0,""))</f>
        <v>3</v>
      </c>
      <c r="BE146">
        <f>IF(BA146="","",IFERROR(INDEX(wTests,77)+0,0))</f>
        <v>6</v>
      </c>
      <c r="BF146">
        <f>IF(BA146="","",IFERROR(INDEX(wMean,77)+0,""))</f>
        <v>2.16666666666667</v>
      </c>
      <c r="BG146">
        <f>IF(BA146="","",IFERROR(INDEX(wVs,77)+0,""))</f>
        <v>-1.28830447330447</v>
      </c>
      <c r="BH146">
        <f>IF(OR(BA146="",wLatest=""),"",IFERROR(INDEX(wData,77,MATCH(wLatest&amp;CHAR(10)&amp;"Stanine",wHdr,0))+0,""))</f>
        <v>2</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IFERROR(INDEX(tblY11[Class],ROWS(H$10:H147))&amp;"","")</f>
        <v/>
      </c>
      <c r="I147" t="str">
        <f>IF(H147="","",IF(SUMPRODUCT(--(H$10:H147=H147))=1,SUMPRODUCT(--(H$10:H$609&lt;H147))+1,""))</f>
        <v/>
      </c>
      <c r="BA147" t="str">
        <f>IFERROR(INDEX(wLast,78)&amp;"","")</f>
        <v>Cooper</v>
      </c>
      <c r="BB147" t="str">
        <f>IF(BA147="","",IFERROR(INDEX(wFirst,78)&amp;"",""))</f>
        <v>Amelia</v>
      </c>
      <c r="BC147" t="str">
        <f>IF(BA147="","",IFERROR(INDEX(wClass,78)&amp;"",""))</f>
        <v>11S/Sc4</v>
      </c>
      <c r="BD147">
        <f>IF(BA147="","",IFERROR(INDEX(wKsBand,78)+0,""))</f>
        <v>5</v>
      </c>
      <c r="BE147">
        <f>IF(BA147="","",IFERROR(INDEX(wTests,78)+0,0))</f>
        <v>6</v>
      </c>
      <c r="BF147">
        <f>IF(BA147="","",IFERROR(INDEX(wMean,78)+0,""))</f>
        <v>4.66666666666667</v>
      </c>
      <c r="BG147">
        <f>IF(BA147="","",IFERROR(INDEX(wVs,78)+0,""))</f>
        <v>-0.286031746031745</v>
      </c>
      <c r="BH147">
        <f>IF(OR(BA147="",wLatest=""),"",IFERROR(INDEX(wData,78,MATCH(wLatest&amp;CHAR(10)&amp;"Stanine",wHdr,0))+0,""))</f>
        <v>6</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IFERROR(INDEX(tblY11[Class],ROWS(H$10:H148))&amp;"","")</f>
        <v/>
      </c>
      <c r="I148" t="str">
        <f>IF(H148="","",IF(SUMPRODUCT(--(H$10:H148=H148))=1,SUMPRODUCT(--(H$10:H$609&lt;H148))+1,""))</f>
        <v/>
      </c>
      <c r="BA148" t="str">
        <f>IFERROR(INDEX(wLast,79)&amp;"","")</f>
        <v>Khan</v>
      </c>
      <c r="BB148" t="str">
        <f>IF(BA148="","",IFERROR(INDEX(wFirst,79)&amp;"",""))</f>
        <v>Zofia</v>
      </c>
      <c r="BC148" t="str">
        <f>IF(BA148="","",IFERROR(INDEX(wClass,79)&amp;"",""))</f>
        <v>11S/Sc4</v>
      </c>
      <c r="BD148">
        <f>IF(BA148="","",IFERROR(INDEX(wKsBand,79)+0,""))</f>
        <v>4</v>
      </c>
      <c r="BE148">
        <f>IF(BA148="","",IFERROR(INDEX(wTests,79)+0,0))</f>
        <v>6</v>
      </c>
      <c r="BF148">
        <f>IF(BA148="","",IFERROR(INDEX(wMean,79)+0,""))</f>
        <v>3.33333333333333</v>
      </c>
      <c r="BG148">
        <f>IF(BA148="","",IFERROR(INDEX(wVs,79)+0,""))</f>
        <v>-0.870501443001442</v>
      </c>
      <c r="BH148">
        <f>IF(OR(BA148="",wLatest=""),"",IFERROR(INDEX(wData,79,MATCH(wLatest&amp;CHAR(10)&amp;"Stanine",wHdr,0))+0,""))</f>
        <v>4</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IFERROR(INDEX(tblY11[Class],ROWS(H$10:H149))&amp;"","")</f>
        <v/>
      </c>
      <c r="I149" t="str">
        <f>IF(H149="","",IF(SUMPRODUCT(--(H$10:H149=H149))=1,SUMPRODUCT(--(H$10:H$609&lt;H149))+1,""))</f>
        <v/>
      </c>
      <c r="BA149" t="str">
        <f>IFERROR(INDEX(wLast,80)&amp;"","")</f>
        <v>Kowalski</v>
      </c>
      <c r="BB149" t="str">
        <f>IF(BA149="","",IFERROR(INDEX(wFirst,80)&amp;"",""))</f>
        <v>Layla</v>
      </c>
      <c r="BC149" t="str">
        <f>IF(BA149="","",IFERROR(INDEX(wClass,80)&amp;"",""))</f>
        <v>11S/Sc4</v>
      </c>
      <c r="BD149">
        <f>IF(BA149="","",IFERROR(INDEX(wKsBand,80)+0,""))</f>
        <v>2</v>
      </c>
      <c r="BE149">
        <f>IF(BA149="","",IFERROR(INDEX(wTests,80)+0,0))</f>
        <v>6</v>
      </c>
      <c r="BF149">
        <f>IF(BA149="","",IFERROR(INDEX(wMean,80)+0,""))</f>
        <v>2.66666666666667</v>
      </c>
      <c r="BG149">
        <f>IF(BA149="","",IFERROR(INDEX(wVs,80)+0,""))</f>
        <v>-0.0394408369408366</v>
      </c>
      <c r="BH149">
        <f>IF(OR(BA149="",wLatest=""),"",IFERROR(INDEX(wData,80,MATCH(wLatest&amp;CHAR(10)&amp;"Stanine",wHdr,0))+0,""))</f>
        <v>2</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IFERROR(INDEX(tblY11[Class],ROWS(H$10:H150))&amp;"","")</f>
        <v/>
      </c>
      <c r="I150" t="str">
        <f>IF(H150="","",IF(SUMPRODUCT(--(H$10:H150=H150))=1,SUMPRODUCT(--(H$10:H$609&lt;H150))+1,""))</f>
        <v/>
      </c>
      <c r="BA150" t="str">
        <f>IFERROR(INDEX(wLast,81)&amp;"","")</f>
        <v>Lewis</v>
      </c>
      <c r="BB150" t="str">
        <f>IF(BA150="","",IFERROR(INDEX(wFirst,81)&amp;"",""))</f>
        <v>Amara</v>
      </c>
      <c r="BC150" t="str">
        <f>IF(BA150="","",IFERROR(INDEX(wClass,81)&amp;"",""))</f>
        <v>11S/Sc4</v>
      </c>
      <c r="BD150">
        <f>IF(BA150="","",IFERROR(INDEX(wKsBand,81)+0,""))</f>
        <v>5</v>
      </c>
      <c r="BE150">
        <f>IF(BA150="","",IFERROR(INDEX(wTests,81)+0,0))</f>
        <v>6</v>
      </c>
      <c r="BF150">
        <f>IF(BA150="","",IFERROR(INDEX(wMean,81)+0,""))</f>
        <v>4.5</v>
      </c>
      <c r="BG150">
        <f>IF(BA150="","",IFERROR(INDEX(wVs,81)+0,""))</f>
        <v>-0.452698412698412</v>
      </c>
      <c r="BH150">
        <f>IF(OR(BA150="",wLatest=""),"",IFERROR(INDEX(wData,81,MATCH(wLatest&amp;CHAR(10)&amp;"Stanine",wHdr,0))+0,""))</f>
        <v>3</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IFERROR(INDEX(tblY11[Class],ROWS(H$10:H151))&amp;"","")</f>
        <v/>
      </c>
      <c r="I151" t="str">
        <f>IF(H151="","",IF(SUMPRODUCT(--(H$10:H151=H151))=1,SUMPRODUCT(--(H$10:H$609&lt;H151))+1,""))</f>
        <v/>
      </c>
      <c r="BA151" t="str">
        <f>IFERROR(INDEX(wLast,82)&amp;"","")</f>
        <v>Lewis</v>
      </c>
      <c r="BB151" t="str">
        <f>IF(BA151="","",IFERROR(INDEX(wFirst,82)&amp;"",""))</f>
        <v>Zara</v>
      </c>
      <c r="BC151" t="str">
        <f>IF(BA151="","",IFERROR(INDEX(wClass,82)&amp;"",""))</f>
        <v>11S/Sc4</v>
      </c>
      <c r="BD151">
        <f>IF(BA151="","",IFERROR(INDEX(wKsBand,82)+0,""))</f>
        <v>3</v>
      </c>
      <c r="BE151">
        <f>IF(BA151="","",IFERROR(INDEX(wTests,82)+0,0))</f>
        <v>5</v>
      </c>
      <c r="BF151">
        <f>IF(BA151="","",IFERROR(INDEX(wMean,82)+0,""))</f>
        <v>2.6</v>
      </c>
      <c r="BG151">
        <f>IF(BA151="","",IFERROR(INDEX(wVs,82)+0,""))</f>
        <v>-0.854971139971139</v>
      </c>
      <c r="BH151" t="str">
        <f>IF(OR(BA151="",wLatest=""),"",IFERROR(INDEX(wData,82,MATCH(wLatest&amp;CHAR(10)&amp;"Stanine",wHdr,0))+0,""))</f>
        <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IFERROR(INDEX(tblY11[Class],ROWS(H$10:H152))&amp;"","")</f>
        <v/>
      </c>
      <c r="I152" t="str">
        <f>IF(H152="","",IF(SUMPRODUCT(--(H$10:H152=H152))=1,SUMPRODUCT(--(H$10:H$609&lt;H152))+1,""))</f>
        <v/>
      </c>
      <c r="BA152" t="str">
        <f>IFERROR(INDEX(wLast,83)&amp;"","")</f>
        <v>Morgan</v>
      </c>
      <c r="BB152" t="str">
        <f>IF(BA152="","",IFERROR(INDEX(wFirst,83)&amp;"",""))</f>
        <v>Amara</v>
      </c>
      <c r="BC152" t="str">
        <f>IF(BA152="","",IFERROR(INDEX(wClass,83)&amp;"",""))</f>
        <v>11S/Sc4</v>
      </c>
      <c r="BD152">
        <f>IF(BA152="","",IFERROR(INDEX(wKsBand,83)+0,""))</f>
        <v>5</v>
      </c>
      <c r="BE152">
        <f>IF(BA152="","",IFERROR(INDEX(wTests,83)+0,0))</f>
        <v>6</v>
      </c>
      <c r="BF152">
        <f>IF(BA152="","",IFERROR(INDEX(wMean,83)+0,""))</f>
        <v>3.33333333333333</v>
      </c>
      <c r="BG152">
        <f>IF(BA152="","",IFERROR(INDEX(wVs,83)+0,""))</f>
        <v>-1.61936507936508</v>
      </c>
      <c r="BH152">
        <f>IF(OR(BA152="",wLatest=""),"",IFERROR(INDEX(wData,83,MATCH(wLatest&amp;CHAR(10)&amp;"Stanine",wHdr,0))+0,""))</f>
        <v>4</v>
      </c>
      <c r="BI152" t="str">
        <f>IF(BA152="","",IF(AND(ISNUMBER(BG152),N(BE152)&gt;=WlMinTests,BG152&lt;=-WlGap),"Below expected for KS2",IF(AND(NOT(ISNUMBER(BD152)),ISNUMBER(BF152),N(BE152)&gt;=WlMinTests,BF152&lt;=WlLowMean),"Low results, no KS2 data","")))</f>
        <v>Below expected for KS2</v>
      </c>
      <c r="BJ152">
        <f>IF(BI152="","",IF(BI152="Below expected for KS2",BG152,100+BF152)+ROW()/1000000)</f>
        <v>-1.61921307936508</v>
      </c>
    </row>
    <row r="153">
      <c r="H153" t="str">
        <f>IFERROR(INDEX(tblY11[Class],ROWS(H$10:H153))&amp;"","")</f>
        <v/>
      </c>
      <c r="I153" t="str">
        <f>IF(H153="","",IF(SUMPRODUCT(--(H$10:H153=H153))=1,SUMPRODUCT(--(H$10:H$609&lt;H153))+1,""))</f>
        <v/>
      </c>
      <c r="BA153" t="str">
        <f>IFERROR(INDEX(wLast,84)&amp;"","")</f>
        <v>Morgan</v>
      </c>
      <c r="BB153" t="str">
        <f>IF(BA153="","",IFERROR(INDEX(wFirst,84)&amp;"",""))</f>
        <v>Hannah</v>
      </c>
      <c r="BC153" t="str">
        <f>IF(BA153="","",IFERROR(INDEX(wClass,84)&amp;"",""))</f>
        <v>11S/Sc4</v>
      </c>
      <c r="BD153">
        <f>IF(BA153="","",IFERROR(INDEX(wKsBand,84)+0,""))</f>
        <v>4</v>
      </c>
      <c r="BE153">
        <f>IF(BA153="","",IFERROR(INDEX(wTests,84)+0,0))</f>
        <v>6</v>
      </c>
      <c r="BF153">
        <f>IF(BA153="","",IFERROR(INDEX(wMean,84)+0,""))</f>
        <v>4.66666666666667</v>
      </c>
      <c r="BG153">
        <f>IF(BA153="","",IFERROR(INDEX(wVs,84)+0,""))</f>
        <v>0.462831890331891</v>
      </c>
      <c r="BH153">
        <f>IF(OR(BA153="",wLatest=""),"",IFERROR(INDEX(wData,84,MATCH(wLatest&amp;CHAR(10)&amp;"Stanine",wHdr,0))+0,""))</f>
        <v>5</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IFERROR(INDEX(tblY11[Class],ROWS(H$10:H154))&amp;"","")</f>
        <v/>
      </c>
      <c r="I154" t="str">
        <f>IF(H154="","",IF(SUMPRODUCT(--(H$10:H154=H154))=1,SUMPRODUCT(--(H$10:H$609&lt;H154))+1,""))</f>
        <v/>
      </c>
      <c r="BA154" t="str">
        <f>IFERROR(INDEX(wLast,85)&amp;"","")</f>
        <v>Nowak</v>
      </c>
      <c r="BB154" t="str">
        <f>IF(BA154="","",IFERROR(INDEX(wFirst,85)&amp;"",""))</f>
        <v>Isla</v>
      </c>
      <c r="BC154" t="str">
        <f>IF(BA154="","",IFERROR(INDEX(wClass,85)&amp;"",""))</f>
        <v>11S/Sc4</v>
      </c>
      <c r="BD154">
        <f>IF(BA154="","",IFERROR(INDEX(wKsBand,85)+0,""))</f>
        <v>5</v>
      </c>
      <c r="BE154">
        <f>IF(BA154="","",IFERROR(INDEX(wTests,85)+0,0))</f>
        <v>6</v>
      </c>
      <c r="BF154">
        <f>IF(BA154="","",IFERROR(INDEX(wMean,85)+0,""))</f>
        <v>4.66666666666667</v>
      </c>
      <c r="BG154">
        <f>IF(BA154="","",IFERROR(INDEX(wVs,85)+0,""))</f>
        <v>-0.286031746031745</v>
      </c>
      <c r="BH154">
        <f>IF(OR(BA154="",wLatest=""),"",IFERROR(INDEX(wData,85,MATCH(wLatest&amp;CHAR(10)&amp;"Stanine",wHdr,0))+0,""))</f>
        <v>5</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IFERROR(INDEX(tblY11[Class],ROWS(H$10:H155))&amp;"","")</f>
        <v/>
      </c>
      <c r="I155" t="str">
        <f>IF(H155="","",IF(SUMPRODUCT(--(H$10:H155=H155))=1,SUMPRODUCT(--(H$10:H$609&lt;H155))+1,""))</f>
        <v/>
      </c>
      <c r="BA155" t="str">
        <f>IFERROR(INDEX(wLast,86)&amp;"","")</f>
        <v>Parker</v>
      </c>
      <c r="BB155" t="str">
        <f>IF(BA155="","",IFERROR(INDEX(wFirst,86)&amp;"",""))</f>
        <v>Rhys</v>
      </c>
      <c r="BC155" t="str">
        <f>IF(BA155="","",IFERROR(INDEX(wClass,86)&amp;"",""))</f>
        <v>11S/Sc4</v>
      </c>
      <c r="BD155">
        <f>IF(BA155="","",IFERROR(INDEX(wKsBand,86)+0,""))</f>
        <v>5</v>
      </c>
      <c r="BE155">
        <f>IF(BA155="","",IFERROR(INDEX(wTests,86)+0,0))</f>
        <v>6</v>
      </c>
      <c r="BF155">
        <f>IF(BA155="","",IFERROR(INDEX(wMean,86)+0,""))</f>
        <v>3.83333333333333</v>
      </c>
      <c r="BG155">
        <f>IF(BA155="","",IFERROR(INDEX(wVs,86)+0,""))</f>
        <v>-1.11936507936508</v>
      </c>
      <c r="BH155">
        <f>IF(OR(BA155="",wLatest=""),"",IFERROR(INDEX(wData,86,MATCH(wLatest&amp;CHAR(10)&amp;"Stanine",wHdr,0))+0,""))</f>
        <v>4</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IFERROR(INDEX(tblY11[Class],ROWS(H$10:H156))&amp;"","")</f>
        <v/>
      </c>
      <c r="I156" t="str">
        <f>IF(H156="","",IF(SUMPRODUCT(--(H$10:H156=H156))=1,SUMPRODUCT(--(H$10:H$609&lt;H156))+1,""))</f>
        <v/>
      </c>
      <c r="BA156" t="str">
        <f>IFERROR(INDEX(wLast,87)&amp;"","")</f>
        <v>Shaw</v>
      </c>
      <c r="BB156" t="str">
        <f>IF(BA156="","",IFERROR(INDEX(wFirst,87)&amp;"",""))</f>
        <v>Jacob</v>
      </c>
      <c r="BC156" t="str">
        <f>IF(BA156="","",IFERROR(INDEX(wClass,87)&amp;"",""))</f>
        <v>11S/Sc4</v>
      </c>
      <c r="BD156">
        <f>IF(BA156="","",IFERROR(INDEX(wKsBand,87)+0,""))</f>
        <v>1</v>
      </c>
      <c r="BE156">
        <f>IF(BA156="","",IFERROR(INDEX(wTests,87)+0,0))</f>
        <v>6</v>
      </c>
      <c r="BF156">
        <f>IF(BA156="","",IFERROR(INDEX(wMean,87)+0,""))</f>
        <v>2</v>
      </c>
      <c r="BG156">
        <f>IF(BA156="","",IFERROR(INDEX(wVs,87)+0,""))</f>
        <v>0.0427561327561334</v>
      </c>
      <c r="BH156">
        <f>IF(OR(BA156="",wLatest=""),"",IFERROR(INDEX(wData,87,MATCH(wLatest&amp;CHAR(10)&amp;"Stanine",wHdr,0))+0,""))</f>
        <v>2</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IFERROR(INDEX(tblY11[Class],ROWS(H$10:H157))&amp;"","")</f>
        <v/>
      </c>
      <c r="I157" t="str">
        <f>IF(H157="","",IF(SUMPRODUCT(--(H$10:H157=H157))=1,SUMPRODUCT(--(H$10:H$609&lt;H157))+1,""))</f>
        <v/>
      </c>
      <c r="BA157" t="str">
        <f>IFERROR(INDEX(wLast,88)&amp;"","")</f>
        <v>Ward</v>
      </c>
      <c r="BB157" t="str">
        <f>IF(BA157="","",IFERROR(INDEX(wFirst,88)&amp;"",""))</f>
        <v>Kai</v>
      </c>
      <c r="BC157" t="str">
        <f>IF(BA157="","",IFERROR(INDEX(wClass,88)&amp;"",""))</f>
        <v>11S/Sc4</v>
      </c>
      <c r="BD157">
        <f>IF(BA157="","",IFERROR(INDEX(wKsBand,88)+0,""))</f>
        <v>2</v>
      </c>
      <c r="BE157">
        <f>IF(BA157="","",IFERROR(INDEX(wTests,88)+0,0))</f>
        <v>5</v>
      </c>
      <c r="BF157">
        <f>IF(BA157="","",IFERROR(INDEX(wMean,88)+0,""))</f>
        <v>4</v>
      </c>
      <c r="BG157">
        <f>IF(BA157="","",IFERROR(INDEX(wVs,88)+0,""))</f>
        <v>1.2938924963925</v>
      </c>
      <c r="BH157">
        <f>IF(OR(BA157="",wLatest=""),"",IFERROR(INDEX(wData,88,MATCH(wLatest&amp;CHAR(10)&amp;"Stanine",wHdr,0))+0,""))</f>
        <v>5</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IFERROR(INDEX(tblY11[Class],ROWS(H$10:H158))&amp;"","")</f>
        <v/>
      </c>
      <c r="I158" t="str">
        <f>IF(H158="","",IF(SUMPRODUCT(--(H$10:H158=H158))=1,SUMPRODUCT(--(H$10:H$609&lt;H158))+1,""))</f>
        <v/>
      </c>
      <c r="BA158" t="str">
        <f>IFERROR(INDEX(wLast,89)&amp;"","")</f>
        <v>Begum</v>
      </c>
      <c r="BB158" t="str">
        <f>IF(BA158="","",IFERROR(INDEX(wFirst,89)&amp;"",""))</f>
        <v>Freya</v>
      </c>
      <c r="BC158" t="str">
        <f>IF(BA158="","",IFERROR(INDEX(wClass,89)&amp;"",""))</f>
        <v>11S/Sc5</v>
      </c>
      <c r="BD158">
        <f>IF(BA158="","",IFERROR(INDEX(wKsBand,89)+0,""))</f>
        <v>3</v>
      </c>
      <c r="BE158">
        <f>IF(BA158="","",IFERROR(INDEX(wTests,89)+0,0))</f>
        <v>6</v>
      </c>
      <c r="BF158">
        <f>IF(BA158="","",IFERROR(INDEX(wMean,89)+0,""))</f>
        <v>1.83333333333333</v>
      </c>
      <c r="BG158">
        <f>IF(BA158="","",IFERROR(INDEX(wVs,89)+0,""))</f>
        <v>-1.62163780663781</v>
      </c>
      <c r="BH158">
        <f>IF(OR(BA158="",wLatest=""),"",IFERROR(INDEX(wData,89,MATCH(wLatest&amp;CHAR(10)&amp;"Stanine",wHdr,0))+0,""))</f>
        <v>2</v>
      </c>
      <c r="BI158" t="str">
        <f>IF(BA158="","",IF(AND(ISNUMBER(BG158),N(BE158)&gt;=WlMinTests,BG158&lt;=-WlGap),"Below expected for KS2",IF(AND(NOT(ISNUMBER(BD158)),ISNUMBER(BF158),N(BE158)&gt;=WlMinTests,BF158&lt;=WlLowMean),"Low results, no KS2 data","")))</f>
        <v>Below expected for KS2</v>
      </c>
      <c r="BJ158">
        <f>IF(BI158="","",IF(BI158="Below expected for KS2",BG158,100+BF158)+ROW()/1000000)</f>
        <v>-1.62147980663781</v>
      </c>
    </row>
    <row r="159">
      <c r="H159" t="str">
        <f>IFERROR(INDEX(tblY11[Class],ROWS(H$10:H159))&amp;"","")</f>
        <v/>
      </c>
      <c r="I159" t="str">
        <f>IF(H159="","",IF(SUMPRODUCT(--(H$10:H159=H159))=1,SUMPRODUCT(--(H$10:H$609&lt;H159))+1,""))</f>
        <v/>
      </c>
      <c r="BA159" t="str">
        <f>IFERROR(INDEX(wLast,90)&amp;"","")</f>
        <v>Bennett</v>
      </c>
      <c r="BB159" t="str">
        <f>IF(BA159="","",IFERROR(INDEX(wFirst,90)&amp;"",""))</f>
        <v>Kai</v>
      </c>
      <c r="BC159" t="str">
        <f>IF(BA159="","",IFERROR(INDEX(wClass,90)&amp;"",""))</f>
        <v>11S/Sc5</v>
      </c>
      <c r="BD159">
        <f>IF(BA159="","",IFERROR(INDEX(wKsBand,90)+0,""))</f>
        <v>4</v>
      </c>
      <c r="BE159">
        <f>IF(BA159="","",IFERROR(INDEX(wTests,90)+0,0))</f>
        <v>6</v>
      </c>
      <c r="BF159">
        <f>IF(BA159="","",IFERROR(INDEX(wMean,90)+0,""))</f>
        <v>3.66666666666667</v>
      </c>
      <c r="BG159">
        <f>IF(BA159="","",IFERROR(INDEX(wVs,90)+0,""))</f>
        <v>-0.537168109668109</v>
      </c>
      <c r="BH159">
        <f>IF(OR(BA159="",wLatest=""),"",IFERROR(INDEX(wData,90,MATCH(wLatest&amp;CHAR(10)&amp;"Stanine",wHdr,0))+0,""))</f>
        <v>3</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IFERROR(INDEX(tblY11[Class],ROWS(H$10:H160))&amp;"","")</f>
        <v/>
      </c>
      <c r="I160" t="str">
        <f>IF(H160="","",IF(SUMPRODUCT(--(H$10:H160=H160))=1,SUMPRODUCT(--(H$10:H$609&lt;H160))+1,""))</f>
        <v/>
      </c>
      <c r="BA160" t="str">
        <f>IFERROR(INDEX(wLast,91)&amp;"","")</f>
        <v>Jackson</v>
      </c>
      <c r="BB160" t="str">
        <f>IF(BA160="","",IFERROR(INDEX(wFirst,91)&amp;"",""))</f>
        <v>Chidi</v>
      </c>
      <c r="BC160" t="str">
        <f>IF(BA160="","",IFERROR(INDEX(wClass,91)&amp;"",""))</f>
        <v>11S/Sc5</v>
      </c>
      <c r="BD160">
        <f>IF(BA160="","",IFERROR(INDEX(wKsBand,91)+0,""))</f>
        <v>3</v>
      </c>
      <c r="BE160">
        <f>IF(BA160="","",IFERROR(INDEX(wTests,91)+0,0))</f>
        <v>5</v>
      </c>
      <c r="BF160">
        <f>IF(BA160="","",IFERROR(INDEX(wMean,91)+0,""))</f>
        <v>5</v>
      </c>
      <c r="BG160">
        <f>IF(BA160="","",IFERROR(INDEX(wVs,91)+0,""))</f>
        <v>1.54502886002886</v>
      </c>
      <c r="BH160">
        <f>IF(OR(BA160="",wLatest=""),"",IFERROR(INDEX(wData,91,MATCH(wLatest&amp;CHAR(10)&amp;"Stanine",wHdr,0))+0,""))</f>
        <v>4</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IFERROR(INDEX(tblY11[Class],ROWS(H$10:H161))&amp;"","")</f>
        <v/>
      </c>
      <c r="I161" t="str">
        <f>IF(H161="","",IF(SUMPRODUCT(--(H$10:H161=H161))=1,SUMPRODUCT(--(H$10:H$609&lt;H161))+1,""))</f>
        <v/>
      </c>
      <c r="BA161" t="str">
        <f>IFERROR(INDEX(wLast,92)&amp;"","")</f>
        <v>Johnson</v>
      </c>
      <c r="BB161" t="str">
        <f>IF(BA161="","",IFERROR(INDEX(wFirst,92)&amp;"",""))</f>
        <v>Chidi</v>
      </c>
      <c r="BC161" t="str">
        <f>IF(BA161="","",IFERROR(INDEX(wClass,92)&amp;"",""))</f>
        <v>11S/Sc5</v>
      </c>
      <c r="BD161">
        <f>IF(BA161="","",IFERROR(INDEX(wKsBand,92)+0,""))</f>
        <v>3</v>
      </c>
      <c r="BE161">
        <f>IF(BA161="","",IFERROR(INDEX(wTests,92)+0,0))</f>
        <v>6</v>
      </c>
      <c r="BF161">
        <f>IF(BA161="","",IFERROR(INDEX(wMean,92)+0,""))</f>
        <v>2.33333333333333</v>
      </c>
      <c r="BG161">
        <f>IF(BA161="","",IFERROR(INDEX(wVs,92)+0,""))</f>
        <v>-1.12163780663781</v>
      </c>
      <c r="BH161">
        <f>IF(OR(BA161="",wLatest=""),"",IFERROR(INDEX(wData,92,MATCH(wLatest&amp;CHAR(10)&amp;"Stanine",wHdr,0))+0,""))</f>
        <v>2</v>
      </c>
      <c r="BI161" t="str">
        <f>IF(BA161="","",IF(AND(ISNUMBER(BG161),N(BE161)&gt;=WlMinTests,BG161&lt;=-WlGap),"Below expected for KS2",IF(AND(NOT(ISNUMBER(BD161)),ISNUMBER(BF161),N(BE161)&gt;=WlMinTests,BF161&lt;=WlLowMean),"Low results, no KS2 data","")))</f>
        <v/>
      </c>
      <c r="BJ161" t="str">
        <f>IF(BI161="","",IF(BI161="Below expected for KS2",BG161,100+BF161)+ROW()/1000000)</f>
        <v/>
      </c>
    </row>
    <row r="162">
      <c r="H162" t="str">
        <f>IFERROR(INDEX(tblY11[Class],ROWS(H$10:H162))&amp;"","")</f>
        <v/>
      </c>
      <c r="I162" t="str">
        <f>IF(H162="","",IF(SUMPRODUCT(--(H$10:H162=H162))=1,SUMPRODUCT(--(H$10:H$609&lt;H162))+1,""))</f>
        <v/>
      </c>
      <c r="BA162" t="str">
        <f>IFERROR(INDEX(wLast,93)&amp;"","")</f>
        <v>Lewis</v>
      </c>
      <c r="BB162" t="str">
        <f>IF(BA162="","",IFERROR(INDEX(wFirst,93)&amp;"",""))</f>
        <v>Zofia</v>
      </c>
      <c r="BC162" t="str">
        <f>IF(BA162="","",IFERROR(INDEX(wClass,93)&amp;"",""))</f>
        <v>11S/Sc5</v>
      </c>
      <c r="BD162">
        <f>IF(BA162="","",IFERROR(INDEX(wKsBand,93)+0,""))</f>
        <v>3</v>
      </c>
      <c r="BE162">
        <f>IF(BA162="","",IFERROR(INDEX(wTests,93)+0,0))</f>
        <v>6</v>
      </c>
      <c r="BF162">
        <f>IF(BA162="","",IFERROR(INDEX(wMean,93)+0,""))</f>
        <v>2.66666666666667</v>
      </c>
      <c r="BG162">
        <f>IF(BA162="","",IFERROR(INDEX(wVs,93)+0,""))</f>
        <v>-0.788304473304473</v>
      </c>
      <c r="BH162">
        <f>IF(OR(BA162="",wLatest=""),"",IFERROR(INDEX(wData,93,MATCH(wLatest&amp;CHAR(10)&amp;"Stanine",wHdr,0))+0,""))</f>
        <v>3</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IFERROR(INDEX(tblY11[Class],ROWS(H$10:H163))&amp;"","")</f>
        <v/>
      </c>
      <c r="I163" t="str">
        <f>IF(H163="","",IF(SUMPRODUCT(--(H$10:H163=H163))=1,SUMPRODUCT(--(H$10:H$609&lt;H163))+1,""))</f>
        <v/>
      </c>
      <c r="BA163" t="str">
        <f>IFERROR(INDEX(wLast,94)&amp;"","")</f>
        <v>Morgan</v>
      </c>
      <c r="BB163" t="str">
        <f>IF(BA163="","",IFERROR(INDEX(wFirst,94)&amp;"",""))</f>
        <v>Charlie</v>
      </c>
      <c r="BC163" t="str">
        <f>IF(BA163="","",IFERROR(INDEX(wClass,94)&amp;"",""))</f>
        <v>11S/Sc5</v>
      </c>
      <c r="BD163">
        <f>IF(BA163="","",IFERROR(INDEX(wKsBand,94)+0,""))</f>
        <v>2</v>
      </c>
      <c r="BE163">
        <f>IF(BA163="","",IFERROR(INDEX(wTests,94)+0,0))</f>
        <v>6</v>
      </c>
      <c r="BF163">
        <f>IF(BA163="","",IFERROR(INDEX(wMean,94)+0,""))</f>
        <v>3.83333333333333</v>
      </c>
      <c r="BG163">
        <f>IF(BA163="","",IFERROR(INDEX(wVs,94)+0,""))</f>
        <v>1.12722582972583</v>
      </c>
      <c r="BH163">
        <f>IF(OR(BA163="",wLatest=""),"",IFERROR(INDEX(wData,94,MATCH(wLatest&amp;CHAR(10)&amp;"Stanine",wHdr,0))+0,""))</f>
        <v>4</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IFERROR(INDEX(tblY11[Class],ROWS(H$10:H164))&amp;"","")</f>
        <v/>
      </c>
      <c r="I164" t="str">
        <f>IF(H164="","",IF(SUMPRODUCT(--(H$10:H164=H164))=1,SUMPRODUCT(--(H$10:H$609&lt;H164))+1,""))</f>
        <v/>
      </c>
      <c r="BA164" t="str">
        <f>IFERROR(INDEX(wLast,95)&amp;"","")</f>
        <v>Morgan</v>
      </c>
      <c r="BB164" t="str">
        <f>IF(BA164="","",IFERROR(INDEX(wFirst,95)&amp;"",""))</f>
        <v>Zofia</v>
      </c>
      <c r="BC164" t="str">
        <f>IF(BA164="","",IFERROR(INDEX(wClass,95)&amp;"",""))</f>
        <v>11S/Sc5</v>
      </c>
      <c r="BD164">
        <f>IF(BA164="","",IFERROR(INDEX(wKsBand,95)+0,""))</f>
        <v>3</v>
      </c>
      <c r="BE164">
        <f>IF(BA164="","",IFERROR(INDEX(wTests,95)+0,0))</f>
        <v>5</v>
      </c>
      <c r="BF164">
        <f>IF(BA164="","",IFERROR(INDEX(wMean,95)+0,""))</f>
        <v>1.6</v>
      </c>
      <c r="BG164">
        <f>IF(BA164="","",IFERROR(INDEX(wVs,95)+0,""))</f>
        <v>-1.85497113997114</v>
      </c>
      <c r="BH164">
        <f>IF(OR(BA164="",wLatest=""),"",IFERROR(INDEX(wData,95,MATCH(wLatest&amp;CHAR(10)&amp;"Stanine",wHdr,0))+0,""))</f>
        <v>1</v>
      </c>
      <c r="BI164" t="str">
        <f>IF(BA164="","",IF(AND(ISNUMBER(BG164),N(BE164)&gt;=WlMinTests,BG164&lt;=-WlGap),"Below expected for KS2",IF(AND(NOT(ISNUMBER(BD164)),ISNUMBER(BF164),N(BE164)&gt;=WlMinTests,BF164&lt;=WlLowMean),"Low results, no KS2 data","")))</f>
        <v>Below expected for KS2</v>
      </c>
      <c r="BJ164">
        <f>IF(BI164="","",IF(BI164="Below expected for KS2",BG164,100+BF164)+ROW()/1000000)</f>
        <v>-1.85480713997114</v>
      </c>
    </row>
    <row r="165">
      <c r="H165" t="str">
        <f>IFERROR(INDEX(tblY11[Class],ROWS(H$10:H165))&amp;"","")</f>
        <v/>
      </c>
      <c r="I165" t="str">
        <f>IF(H165="","",IF(SUMPRODUCT(--(H$10:H165=H165))=1,SUMPRODUCT(--(H$10:H$609&lt;H165))+1,""))</f>
        <v/>
      </c>
      <c r="BA165" t="str">
        <f>IFERROR(INDEX(wLast,96)&amp;"","")</f>
        <v>Murphy</v>
      </c>
      <c r="BB165" t="str">
        <f>IF(BA165="","",IFERROR(INDEX(wFirst,96)&amp;"",""))</f>
        <v>Freya</v>
      </c>
      <c r="BC165" t="str">
        <f>IF(BA165="","",IFERROR(INDEX(wClass,96)&amp;"",""))</f>
        <v>11S/Sc5</v>
      </c>
      <c r="BD165">
        <f>IF(BA165="","",IFERROR(INDEX(wKsBand,96)+0,""))</f>
        <v>3</v>
      </c>
      <c r="BE165">
        <f>IF(BA165="","",IFERROR(INDEX(wTests,96)+0,0))</f>
        <v>6</v>
      </c>
      <c r="BF165">
        <f>IF(BA165="","",IFERROR(INDEX(wMean,96)+0,""))</f>
        <v>3.16666666666667</v>
      </c>
      <c r="BG165">
        <f>IF(BA165="","",IFERROR(INDEX(wVs,96)+0,""))</f>
        <v>-0.288304473304473</v>
      </c>
      <c r="BH165">
        <f>IF(OR(BA165="",wLatest=""),"",IFERROR(INDEX(wData,96,MATCH(wLatest&amp;CHAR(10)&amp;"Stanine",wHdr,0))+0,""))</f>
        <v>4</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IFERROR(INDEX(tblY11[Class],ROWS(H$10:H166))&amp;"","")</f>
        <v/>
      </c>
      <c r="I166" t="str">
        <f>IF(H166="","",IF(SUMPRODUCT(--(H$10:H166=H166))=1,SUMPRODUCT(--(H$10:H$609&lt;H166))+1,""))</f>
        <v/>
      </c>
      <c r="BA166" t="str">
        <f>IFERROR(INDEX(wLast,97)&amp;"","")</f>
        <v>Okafor</v>
      </c>
      <c r="BB166" t="str">
        <f>IF(BA166="","",IFERROR(INDEX(wFirst,97)&amp;"",""))</f>
        <v>Arthur</v>
      </c>
      <c r="BC166" t="str">
        <f>IF(BA166="","",IFERROR(INDEX(wClass,97)&amp;"",""))</f>
        <v>11S/Sc5</v>
      </c>
      <c r="BD166">
        <f>IF(BA166="","",IFERROR(INDEX(wKsBand,97)+0,""))</f>
        <v>3</v>
      </c>
      <c r="BE166">
        <f>IF(BA166="","",IFERROR(INDEX(wTests,97)+0,0))</f>
        <v>4</v>
      </c>
      <c r="BF166">
        <f>IF(BA166="","",IFERROR(INDEX(wMean,97)+0,""))</f>
        <v>3</v>
      </c>
      <c r="BG166">
        <f>IF(BA166="","",IFERROR(INDEX(wVs,97)+0,""))</f>
        <v>-0.454971139971139</v>
      </c>
      <c r="BH166" t="str">
        <f>IF(OR(BA166="",wLatest=""),"",IFERROR(INDEX(wData,97,MATCH(wLatest&amp;CHAR(10)&amp;"Stanine",wHdr,0))+0,""))</f>
        <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IFERROR(INDEX(tblY11[Class],ROWS(H$10:H167))&amp;"","")</f>
        <v/>
      </c>
      <c r="I167" t="str">
        <f>IF(H167="","",IF(SUMPRODUCT(--(H$10:H167=H167))=1,SUMPRODUCT(--(H$10:H$609&lt;H167))+1,""))</f>
        <v/>
      </c>
      <c r="BA167" t="str">
        <f>IFERROR(INDEX(wLast,98)&amp;"","")</f>
        <v>Patel</v>
      </c>
      <c r="BB167" t="str">
        <f>IF(BA167="","",IFERROR(INDEX(wFirst,98)&amp;"",""))</f>
        <v>Arthur</v>
      </c>
      <c r="BC167" t="str">
        <f>IF(BA167="","",IFERROR(INDEX(wClass,98)&amp;"",""))</f>
        <v>11S/Sc5</v>
      </c>
      <c r="BD167">
        <f>IF(BA167="","",IFERROR(INDEX(wKsBand,98)+0,""))</f>
        <v>3</v>
      </c>
      <c r="BE167">
        <f>IF(BA167="","",IFERROR(INDEX(wTests,98)+0,0))</f>
        <v>6</v>
      </c>
      <c r="BF167">
        <f>IF(BA167="","",IFERROR(INDEX(wMean,98)+0,""))</f>
        <v>6.16666666666667</v>
      </c>
      <c r="BG167">
        <f>IF(BA167="","",IFERROR(INDEX(wVs,98)+0,""))</f>
        <v>2.71169552669553</v>
      </c>
      <c r="BH167">
        <f>IF(OR(BA167="",wLatest=""),"",IFERROR(INDEX(wData,98,MATCH(wLatest&amp;CHAR(10)&amp;"Stanine",wHdr,0))+0,""))</f>
        <v>6</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IFERROR(INDEX(tblY11[Class],ROWS(H$10:H168))&amp;"","")</f>
        <v/>
      </c>
      <c r="I168" t="str">
        <f>IF(H168="","",IF(SUMPRODUCT(--(H$10:H168=H168))=1,SUMPRODUCT(--(H$10:H$609&lt;H168))+1,""))</f>
        <v/>
      </c>
      <c r="BA168" t="str">
        <f>IFERROR(INDEX(wLast,99)&amp;"","")</f>
        <v>Robinson</v>
      </c>
      <c r="BB168" t="str">
        <f>IF(BA168="","",IFERROR(INDEX(wFirst,99)&amp;"",""))</f>
        <v>Priya</v>
      </c>
      <c r="BC168" t="str">
        <f>IF(BA168="","",IFERROR(INDEX(wClass,99)&amp;"",""))</f>
        <v>11S/Sc5</v>
      </c>
      <c r="BD168">
        <f>IF(BA168="","",IFERROR(INDEX(wKsBand,99)+0,""))</f>
        <v>3</v>
      </c>
      <c r="BE168">
        <f>IF(BA168="","",IFERROR(INDEX(wTests,99)+0,0))</f>
        <v>6</v>
      </c>
      <c r="BF168">
        <f>IF(BA168="","",IFERROR(INDEX(wMean,99)+0,""))</f>
        <v>2.16666666666667</v>
      </c>
      <c r="BG168">
        <f>IF(BA168="","",IFERROR(INDEX(wVs,99)+0,""))</f>
        <v>-1.28830447330447</v>
      </c>
      <c r="BH168">
        <f>IF(OR(BA168="",wLatest=""),"",IFERROR(INDEX(wData,99,MATCH(wLatest&amp;CHAR(10)&amp;"Stanine",wHdr,0))+0,""))</f>
        <v>2</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IFERROR(INDEX(tblY11[Class],ROWS(H$10:H169))&amp;"","")</f>
        <v/>
      </c>
      <c r="I169" t="str">
        <f>IF(H169="","",IF(SUMPRODUCT(--(H$10:H169=H169))=1,SUMPRODUCT(--(H$10:H$609&lt;H169))+1,""))</f>
        <v/>
      </c>
      <c r="BA169" t="str">
        <f>IFERROR(INDEX(wLast,100)&amp;"","")</f>
        <v>Smith</v>
      </c>
      <c r="BB169" t="str">
        <f>IF(BA169="","",IFERROR(INDEX(wFirst,100)&amp;"",""))</f>
        <v>Zofia</v>
      </c>
      <c r="BC169" t="str">
        <f>IF(BA169="","",IFERROR(INDEX(wClass,100)&amp;"",""))</f>
        <v>11S/Sc5</v>
      </c>
      <c r="BD169">
        <f>IF(BA169="","",IFERROR(INDEX(wKsBand,100)+0,""))</f>
        <v>2</v>
      </c>
      <c r="BE169">
        <f>IF(BA169="","",IFERROR(INDEX(wTests,100)+0,0))</f>
        <v>6</v>
      </c>
      <c r="BF169">
        <f>IF(BA169="","",IFERROR(INDEX(wMean,100)+0,""))</f>
        <v>4.33333333333333</v>
      </c>
      <c r="BG169">
        <f>IF(BA169="","",IFERROR(INDEX(wVs,100)+0,""))</f>
        <v>1.62722582972583</v>
      </c>
      <c r="BH169">
        <f>IF(OR(BA169="",wLatest=""),"",IFERROR(INDEX(wData,100,MATCH(wLatest&amp;CHAR(10)&amp;"Stanine",wHdr,0))+0,""))</f>
        <v>5</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IFERROR(INDEX(tblY11[Class],ROWS(H$10:H170))&amp;"","")</f>
        <v/>
      </c>
      <c r="I170" t="str">
        <f>IF(H170="","",IF(SUMPRODUCT(--(H$10:H170=H170))=1,SUMPRODUCT(--(H$10:H$609&lt;H170))+1,""))</f>
        <v/>
      </c>
      <c r="BA170" t="str">
        <f>IFERROR(INDEX(wLast,101)&amp;"","")</f>
        <v>Williams</v>
      </c>
      <c r="BB170" t="str">
        <f>IF(BA170="","",IFERROR(INDEX(wFirst,101)&amp;"",""))</f>
        <v>Amelia</v>
      </c>
      <c r="BC170" t="str">
        <f>IF(BA170="","",IFERROR(INDEX(wClass,101)&amp;"",""))</f>
        <v>11S/Sc5</v>
      </c>
      <c r="BD170">
        <f>IF(BA170="","",IFERROR(INDEX(wKsBand,101)+0,""))</f>
        <v>4</v>
      </c>
      <c r="BE170">
        <f>IF(BA170="","",IFERROR(INDEX(wTests,101)+0,0))</f>
        <v>6</v>
      </c>
      <c r="BF170">
        <f>IF(BA170="","",IFERROR(INDEX(wMean,101)+0,""))</f>
        <v>2.66666666666667</v>
      </c>
      <c r="BG170">
        <f>IF(BA170="","",IFERROR(INDEX(wVs,101)+0,""))</f>
        <v>-1.53716810966811</v>
      </c>
      <c r="BH170">
        <f>IF(OR(BA170="",wLatest=""),"",IFERROR(INDEX(wData,101,MATCH(wLatest&amp;CHAR(10)&amp;"Stanine",wHdr,0))+0,""))</f>
        <v>3</v>
      </c>
      <c r="BI170" t="str">
        <f>IF(BA170="","",IF(AND(ISNUMBER(BG170),N(BE170)&gt;=WlMinTests,BG170&lt;=-WlGap),"Below expected for KS2",IF(AND(NOT(ISNUMBER(BD170)),ISNUMBER(BF170),N(BE170)&gt;=WlMinTests,BF170&lt;=WlLowMean),"Low results, no KS2 data","")))</f>
        <v>Below expected for KS2</v>
      </c>
      <c r="BJ170">
        <f>IF(BI170="","",IF(BI170="Below expected for KS2",BG170,100+BF170)+ROW()/1000000)</f>
        <v>-1.53699810966811</v>
      </c>
    </row>
    <row r="171">
      <c r="H171" t="str">
        <f>IFERROR(INDEX(tblY11[Class],ROWS(H$10:H171))&amp;"","")</f>
        <v/>
      </c>
      <c r="I171" t="str">
        <f>IF(H171="","",IF(SUMPRODUCT(--(H$10:H171=H171))=1,SUMPRODUCT(--(H$10:H$609&lt;H171))+1,""))</f>
        <v/>
      </c>
      <c r="BA171" t="str">
        <f>IFERROR(INDEX(wLast,102)&amp;"","")</f>
        <v>Cooper</v>
      </c>
      <c r="BB171" t="str">
        <f>IF(BA171="","",IFERROR(INDEX(wFirst,102)&amp;"",""))</f>
        <v>Rosie</v>
      </c>
      <c r="BC171" t="str">
        <f>IF(BA171="","",IFERROR(INDEX(wClass,102)&amp;"",""))</f>
        <v>Science Support</v>
      </c>
      <c r="BD171">
        <f>IF(BA171="","",IFERROR(INDEX(wKsBand,102)+0,""))</f>
        <v>1</v>
      </c>
      <c r="BE171">
        <f>IF(BA171="","",IFERROR(INDEX(wTests,102)+0,0))</f>
        <v>6</v>
      </c>
      <c r="BF171">
        <f>IF(BA171="","",IFERROR(INDEX(wMean,102)+0,""))</f>
        <v>1.66666666666667</v>
      </c>
      <c r="BG171">
        <f>IF(BA171="","",IFERROR(INDEX(wVs,102)+0,""))</f>
        <v>-0.2905772005772</v>
      </c>
      <c r="BH171">
        <f>IF(OR(BA171="",wLatest=""),"",IFERROR(INDEX(wData,102,MATCH(wLatest&amp;CHAR(10)&amp;"Stanine",wHdr,0))+0,""))</f>
        <v>2</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IFERROR(INDEX(tblY11[Class],ROWS(H$10:H172))&amp;"","")</f>
        <v/>
      </c>
      <c r="I172" t="str">
        <f>IF(H172="","",IF(SUMPRODUCT(--(H$10:H172=H172))=1,SUMPRODUCT(--(H$10:H$609&lt;H172))+1,""))</f>
        <v/>
      </c>
      <c r="BA172" t="str">
        <f>IFERROR(INDEX(wLast,103)&amp;"","")</f>
        <v>Kelly</v>
      </c>
      <c r="BB172" t="str">
        <f>IF(BA172="","",IFERROR(INDEX(wFirst,103)&amp;"",""))</f>
        <v>Hannah</v>
      </c>
      <c r="BC172" t="str">
        <f>IF(BA172="","",IFERROR(INDEX(wClass,103)&amp;"",""))</f>
        <v>Science Support</v>
      </c>
      <c r="BD172">
        <f>IF(BA172="","",IFERROR(INDEX(wKsBand,103)+0,""))</f>
        <v>3</v>
      </c>
      <c r="BE172">
        <f>IF(BA172="","",IFERROR(INDEX(wTests,103)+0,0))</f>
        <v>6</v>
      </c>
      <c r="BF172">
        <f>IF(BA172="","",IFERROR(INDEX(wMean,103)+0,""))</f>
        <v>2</v>
      </c>
      <c r="BG172">
        <f>IF(BA172="","",IFERROR(INDEX(wVs,103)+0,""))</f>
        <v>-1.45497113997114</v>
      </c>
      <c r="BH172">
        <f>IF(OR(BA172="",wLatest=""),"",IFERROR(INDEX(wData,103,MATCH(wLatest&amp;CHAR(10)&amp;"Stanine",wHdr,0))+0,""))</f>
        <v>2</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IFERROR(INDEX(tblY11[Class],ROWS(H$10:H173))&amp;"","")</f>
        <v/>
      </c>
      <c r="I173" t="str">
        <f>IF(H173="","",IF(SUMPRODUCT(--(H$10:H173=H173))=1,SUMPRODUCT(--(H$10:H$609&lt;H173))+1,""))</f>
        <v/>
      </c>
      <c r="BA173" t="str">
        <f>IFERROR(INDEX(wLast,104)&amp;"","")</f>
        <v>Lloyd</v>
      </c>
      <c r="BB173" t="str">
        <f>IF(BA173="","",IFERROR(INDEX(wFirst,104)&amp;"",""))</f>
        <v>Oliver</v>
      </c>
      <c r="BC173" t="str">
        <f>IF(BA173="","",IFERROR(INDEX(wClass,104)&amp;"",""))</f>
        <v>Science Support</v>
      </c>
      <c r="BD173">
        <f>IF(BA173="","",IFERROR(INDEX(wKsBand,104)+0,""))</f>
        <v>2</v>
      </c>
      <c r="BE173">
        <f>IF(BA173="","",IFERROR(INDEX(wTests,104)+0,0))</f>
        <v>5</v>
      </c>
      <c r="BF173">
        <f>IF(BA173="","",IFERROR(INDEX(wMean,104)+0,""))</f>
        <v>2.2</v>
      </c>
      <c r="BG173">
        <f>IF(BA173="","",IFERROR(INDEX(wVs,104)+0,""))</f>
        <v>-0.506107503607503</v>
      </c>
      <c r="BH173">
        <f>IF(OR(BA173="",wLatest=""),"",IFERROR(INDEX(wData,104,MATCH(wLatest&amp;CHAR(10)&amp;"Stanine",wHdr,0))+0,""))</f>
        <v>2</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IFERROR(INDEX(tblY11[Class],ROWS(H$10:H174))&amp;"","")</f>
        <v/>
      </c>
      <c r="I174" t="str">
        <f>IF(H174="","",IF(SUMPRODUCT(--(H$10:H174=H174))=1,SUMPRODUCT(--(H$10:H$609&lt;H174))+1,""))</f>
        <v/>
      </c>
      <c r="BA174" t="str">
        <f>IFERROR(INDEX(wLast,105)&amp;"","")</f>
        <v>Okafor</v>
      </c>
      <c r="BB174" t="str">
        <f>IF(BA174="","",IFERROR(INDEX(wFirst,105)&amp;"",""))</f>
        <v>Lewis</v>
      </c>
      <c r="BC174" t="str">
        <f>IF(BA174="","",IFERROR(INDEX(wClass,105)&amp;"",""))</f>
        <v>Science Support</v>
      </c>
      <c r="BD174">
        <f>IF(BA174="","",IFERROR(INDEX(wKsBand,105)+0,""))</f>
        <v>3</v>
      </c>
      <c r="BE174">
        <f>IF(BA174="","",IFERROR(INDEX(wTests,105)+0,0))</f>
        <v>6</v>
      </c>
      <c r="BF174">
        <f>IF(BA174="","",IFERROR(INDEX(wMean,105)+0,""))</f>
        <v>2.16666666666667</v>
      </c>
      <c r="BG174">
        <f>IF(BA174="","",IFERROR(INDEX(wVs,105)+0,""))</f>
        <v>-1.28830447330447</v>
      </c>
      <c r="BH174">
        <f>IF(OR(BA174="",wLatest=""),"",IFERROR(INDEX(wData,105,MATCH(wLatest&amp;CHAR(10)&amp;"Stanine",wHdr,0))+0,""))</f>
        <v>2</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IFERROR(INDEX(tblY11[Class],ROWS(H$10:H175))&amp;"","")</f>
        <v/>
      </c>
      <c r="I175" t="str">
        <f>IF(H175="","",IF(SUMPRODUCT(--(H$10:H175=H175))=1,SUMPRODUCT(--(H$10:H$609&lt;H175))+1,""))</f>
        <v/>
      </c>
      <c r="BA175" t="str">
        <f>IFERROR(INDEX(wLast,106)&amp;"","")</f>
        <v>Okafor</v>
      </c>
      <c r="BB175" t="str">
        <f>IF(BA175="","",IFERROR(INDEX(wFirst,106)&amp;"",""))</f>
        <v>Rosie</v>
      </c>
      <c r="BC175" t="str">
        <f>IF(BA175="","",IFERROR(INDEX(wClass,106)&amp;"",""))</f>
        <v>Science Support</v>
      </c>
      <c r="BD175">
        <f>IF(BA175="","",IFERROR(INDEX(wKsBand,106)+0,""))</f>
        <v>3</v>
      </c>
      <c r="BE175">
        <f>IF(BA175="","",IFERROR(INDEX(wTests,106)+0,0))</f>
        <v>5</v>
      </c>
      <c r="BF175">
        <f>IF(BA175="","",IFERROR(INDEX(wMean,106)+0,""))</f>
        <v>3.2</v>
      </c>
      <c r="BG175">
        <f>IF(BA175="","",IFERROR(INDEX(wVs,106)+0,""))</f>
        <v>-0.254971139971139</v>
      </c>
      <c r="BH175">
        <f>IF(OR(BA175="",wLatest=""),"",IFERROR(INDEX(wData,106,MATCH(wLatest&amp;CHAR(10)&amp;"Stanine",wHdr,0))+0,""))</f>
        <v>4</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IFERROR(INDEX(tblY11[Class],ROWS(H$10:H176))&amp;"","")</f>
        <v/>
      </c>
      <c r="I176" t="str">
        <f>IF(H176="","",IF(SUMPRODUCT(--(H$10:H176=H176))=1,SUMPRODUCT(--(H$10:H$609&lt;H176))+1,""))</f>
        <v/>
      </c>
      <c r="BA176" t="str">
        <f>IFERROR(INDEX(wLast,107)&amp;"","")</f>
        <v/>
      </c>
      <c r="BB176" t="str">
        <f>IF(BA176="","",IFERROR(INDEX(wFirst,107)&amp;"",""))</f>
        <v/>
      </c>
      <c r="BC176" t="str">
        <f>IF(BA176="","",IFERROR(INDEX(wClass,107)&amp;"",""))</f>
        <v/>
      </c>
      <c r="BD176" t="str">
        <f>IF(BA176="","",IFERROR(INDEX(wKsBand,107)+0,""))</f>
        <v/>
      </c>
      <c r="BE176" t="str">
        <f>IF(BA176="","",IFERROR(INDEX(wTests,107)+0,0))</f>
        <v/>
      </c>
      <c r="BF176" t="str">
        <f>IF(BA176="","",IFERROR(INDEX(wMean,107)+0,""))</f>
        <v/>
      </c>
      <c r="BG176" t="str">
        <f>IF(BA176="","",IFERROR(INDEX(wVs,107)+0,""))</f>
        <v/>
      </c>
      <c r="BH176" t="str">
        <f>IF(OR(BA176="",wLatest=""),"",IFERROR(INDEX(wData,107,MATCH(wLatest&amp;CHAR(10)&amp;"Stanine",wHdr,0))+0,""))</f>
        <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IFERROR(INDEX(tblY11[Class],ROWS(H$10:H177))&amp;"","")</f>
        <v/>
      </c>
      <c r="I177" t="str">
        <f>IF(H177="","",IF(SUMPRODUCT(--(H$10:H177=H177))=1,SUMPRODUCT(--(H$10:H$609&lt;H177))+1,""))</f>
        <v/>
      </c>
      <c r="BA177" t="str">
        <f>IFERROR(INDEX(wLast,108)&amp;"","")</f>
        <v/>
      </c>
      <c r="BB177" t="str">
        <f>IF(BA177="","",IFERROR(INDEX(wFirst,108)&amp;"",""))</f>
        <v/>
      </c>
      <c r="BC177" t="str">
        <f>IF(BA177="","",IFERROR(INDEX(wClass,108)&amp;"",""))</f>
        <v/>
      </c>
      <c r="BD177" t="str">
        <f>IF(BA177="","",IFERROR(INDEX(wKsBand,108)+0,""))</f>
        <v/>
      </c>
      <c r="BE177" t="str">
        <f>IF(BA177="","",IFERROR(INDEX(wTests,108)+0,0))</f>
        <v/>
      </c>
      <c r="BF177" t="str">
        <f>IF(BA177="","",IFERROR(INDEX(wMean,108)+0,""))</f>
        <v/>
      </c>
      <c r="BG177" t="str">
        <f>IF(BA177="","",IFERROR(INDEX(wVs,108)+0,""))</f>
        <v/>
      </c>
      <c r="BH177" t="str">
        <f>IF(OR(BA177="",wLatest=""),"",IFERROR(INDEX(wData,108,MATCH(wLatest&amp;CHAR(10)&amp;"Stanine",wHdr,0))+0,""))</f>
        <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IFERROR(INDEX(tblY11[Class],ROWS(H$10:H178))&amp;"","")</f>
        <v/>
      </c>
      <c r="I178" t="str">
        <f>IF(H178="","",IF(SUMPRODUCT(--(H$10:H178=H178))=1,SUMPRODUCT(--(H$10:H$609&lt;H178))+1,""))</f>
        <v/>
      </c>
      <c r="BA178" t="str">
        <f>IFERROR(INDEX(wLast,109)&amp;"","")</f>
        <v/>
      </c>
      <c r="BB178" t="str">
        <f>IF(BA178="","",IFERROR(INDEX(wFirst,109)&amp;"",""))</f>
        <v/>
      </c>
      <c r="BC178" t="str">
        <f>IF(BA178="","",IFERROR(INDEX(wClass,109)&amp;"",""))</f>
        <v/>
      </c>
      <c r="BD178" t="str">
        <f>IF(BA178="","",IFERROR(INDEX(wKsBand,109)+0,""))</f>
        <v/>
      </c>
      <c r="BE178" t="str">
        <f>IF(BA178="","",IFERROR(INDEX(wTests,109)+0,0))</f>
        <v/>
      </c>
      <c r="BF178" t="str">
        <f>IF(BA178="","",IFERROR(INDEX(wMean,109)+0,""))</f>
        <v/>
      </c>
      <c r="BG178" t="str">
        <f>IF(BA178="","",IFERROR(INDEX(wVs,109)+0,""))</f>
        <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IFERROR(INDEX(tblY11[Class],ROWS(H$10:H179))&amp;"","")</f>
        <v/>
      </c>
      <c r="I179" t="str">
        <f>IF(H179="","",IF(SUMPRODUCT(--(H$10:H179=H179))=1,SUMPRODUCT(--(H$10:H$609&lt;H179))+1,""))</f>
        <v/>
      </c>
      <c r="BA179" t="str">
        <f>IFERROR(INDEX(wLast,110)&amp;"","")</f>
        <v/>
      </c>
      <c r="BB179" t="str">
        <f>IF(BA179="","",IFERROR(INDEX(wFirst,110)&amp;"",""))</f>
        <v/>
      </c>
      <c r="BC179" t="str">
        <f>IF(BA179="","",IFERROR(INDEX(wClass,110)&amp;"",""))</f>
        <v/>
      </c>
      <c r="BD179" t="str">
        <f>IF(BA179="","",IFERROR(INDEX(wKsBand,110)+0,""))</f>
        <v/>
      </c>
      <c r="BE179" t="str">
        <f>IF(BA179="","",IFERROR(INDEX(wTests,110)+0,0))</f>
        <v/>
      </c>
      <c r="BF179" t="str">
        <f>IF(BA179="","",IFERROR(INDEX(wMean,110)+0,""))</f>
        <v/>
      </c>
      <c r="BG179" t="str">
        <f>IF(BA179="","",IFERROR(INDEX(wVs,110)+0,""))</f>
        <v/>
      </c>
      <c r="BH179" t="str">
        <f>IF(OR(BA179="",wLatest=""),"",IFERROR(INDEX(wData,110,MATCH(wLatest&amp;CHAR(10)&amp;"Stanine",wHdr,0))+0,""))</f>
        <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IFERROR(INDEX(tblY11[Class],ROWS(H$10:H180))&amp;"","")</f>
        <v/>
      </c>
      <c r="I180" t="str">
        <f>IF(H180="","",IF(SUMPRODUCT(--(H$10:H180=H180))=1,SUMPRODUCT(--(H$10:H$609&lt;H180))+1,""))</f>
        <v/>
      </c>
      <c r="BA180" t="str">
        <f>IFERROR(INDEX(wLast,111)&amp;"","")</f>
        <v/>
      </c>
      <c r="BB180" t="str">
        <f>IF(BA180="","",IFERROR(INDEX(wFirst,111)&amp;"",""))</f>
        <v/>
      </c>
      <c r="BC180" t="str">
        <f>IF(BA180="","",IFERROR(INDEX(wClass,111)&amp;"",""))</f>
        <v/>
      </c>
      <c r="BD180" t="str">
        <f>IF(BA180="","",IFERROR(INDEX(wKsBand,111)+0,""))</f>
        <v/>
      </c>
      <c r="BE180" t="str">
        <f>IF(BA180="","",IFERROR(INDEX(wTests,111)+0,0))</f>
        <v/>
      </c>
      <c r="BF180" t="str">
        <f>IF(BA180="","",IFERROR(INDEX(wMean,111)+0,""))</f>
        <v/>
      </c>
      <c r="BG180" t="str">
        <f>IF(BA180="","",IFERROR(INDEX(wVs,111)+0,""))</f>
        <v/>
      </c>
      <c r="BH180" t="str">
        <f>IF(OR(BA180="",wLatest=""),"",IFERROR(INDEX(wData,111,MATCH(wLatest&amp;CHAR(10)&amp;"Stanine",wHdr,0))+0,""))</f>
        <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IFERROR(INDEX(tblY11[Class],ROWS(H$10:H181))&amp;"","")</f>
        <v/>
      </c>
      <c r="I181" t="str">
        <f>IF(H181="","",IF(SUMPRODUCT(--(H$10:H181=H181))=1,SUMPRODUCT(--(H$10:H$609&lt;H181))+1,""))</f>
        <v/>
      </c>
      <c r="BA181" t="str">
        <f>IFERROR(INDEX(wLast,112)&amp;"","")</f>
        <v/>
      </c>
      <c r="BB181" t="str">
        <f>IF(BA181="","",IFERROR(INDEX(wFirst,112)&amp;"",""))</f>
        <v/>
      </c>
      <c r="BC181" t="str">
        <f>IF(BA181="","",IFERROR(INDEX(wClass,112)&amp;"",""))</f>
        <v/>
      </c>
      <c r="BD181" t="str">
        <f>IF(BA181="","",IFERROR(INDEX(wKsBand,112)+0,""))</f>
        <v/>
      </c>
      <c r="BE181" t="str">
        <f>IF(BA181="","",IFERROR(INDEX(wTests,112)+0,0))</f>
        <v/>
      </c>
      <c r="BF181" t="str">
        <f>IF(BA181="","",IFERROR(INDEX(wMean,112)+0,""))</f>
        <v/>
      </c>
      <c r="BG181" t="str">
        <f>IF(BA181="","",IFERROR(INDEX(wVs,112)+0,""))</f>
        <v/>
      </c>
      <c r="BH181" t="str">
        <f>IF(OR(BA181="",wLatest=""),"",IFERROR(INDEX(wData,112,MATCH(wLatest&amp;CHAR(10)&amp;"Stanine",wHdr,0))+0,""))</f>
        <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IFERROR(INDEX(tblY11[Class],ROWS(H$10:H182))&amp;"","")</f>
        <v/>
      </c>
      <c r="I182" t="str">
        <f>IF(H182="","",IF(SUMPRODUCT(--(H$10:H182=H182))=1,SUMPRODUCT(--(H$10:H$609&lt;H182))+1,""))</f>
        <v/>
      </c>
      <c r="BA182" t="str">
        <f>IFERROR(INDEX(wLast,113)&amp;"","")</f>
        <v/>
      </c>
      <c r="BB182" t="str">
        <f>IF(BA182="","",IFERROR(INDEX(wFirst,113)&amp;"",""))</f>
        <v/>
      </c>
      <c r="BC182" t="str">
        <f>IF(BA182="","",IFERROR(INDEX(wClass,113)&amp;"",""))</f>
        <v/>
      </c>
      <c r="BD182" t="str">
        <f>IF(BA182="","",IFERROR(INDEX(wKsBand,113)+0,""))</f>
        <v/>
      </c>
      <c r="BE182" t="str">
        <f>IF(BA182="","",IFERROR(INDEX(wTests,113)+0,0))</f>
        <v/>
      </c>
      <c r="BF182" t="str">
        <f>IF(BA182="","",IFERROR(INDEX(wMean,113)+0,""))</f>
        <v/>
      </c>
      <c r="BG182" t="str">
        <f>IF(BA182="","",IFERROR(INDEX(wVs,113)+0,""))</f>
        <v/>
      </c>
      <c r="BH182" t="str">
        <f>IF(OR(BA182="",wLatest=""),"",IFERROR(INDEX(wData,113,MATCH(wLatest&amp;CHAR(10)&amp;"Stanine",wHdr,0))+0,""))</f>
        <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IFERROR(INDEX(tblY11[Class],ROWS(H$10:H183))&amp;"","")</f>
        <v/>
      </c>
      <c r="I183" t="str">
        <f>IF(H183="","",IF(SUMPRODUCT(--(H$10:H183=H183))=1,SUMPRODUCT(--(H$10:H$609&lt;H183))+1,""))</f>
        <v/>
      </c>
      <c r="BA183" t="str">
        <f>IFERROR(INDEX(wLast,114)&amp;"","")</f>
        <v/>
      </c>
      <c r="BB183" t="str">
        <f>IF(BA183="","",IFERROR(INDEX(wFirst,114)&amp;"",""))</f>
        <v/>
      </c>
      <c r="BC183" t="str">
        <f>IF(BA183="","",IFERROR(INDEX(wClass,114)&amp;"",""))</f>
        <v/>
      </c>
      <c r="BD183" t="str">
        <f>IF(BA183="","",IFERROR(INDEX(wKsBand,114)+0,""))</f>
        <v/>
      </c>
      <c r="BE183" t="str">
        <f>IF(BA183="","",IFERROR(INDEX(wTests,114)+0,0))</f>
        <v/>
      </c>
      <c r="BF183" t="str">
        <f>IF(BA183="","",IFERROR(INDEX(wMean,114)+0,""))</f>
        <v/>
      </c>
      <c r="BG183" t="str">
        <f>IF(BA183="","",IFERROR(INDEX(wVs,114)+0,""))</f>
        <v/>
      </c>
      <c r="BH183" t="str">
        <f>IF(OR(BA183="",wLatest=""),"",IFERROR(INDEX(wData,114,MATCH(wLatest&amp;CHAR(10)&amp;"Stanine",wHdr,0))+0,""))</f>
        <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IFERROR(INDEX(tblY11[Class],ROWS(H$10:H184))&amp;"","")</f>
        <v/>
      </c>
      <c r="I184" t="str">
        <f>IF(H184="","",IF(SUMPRODUCT(--(H$10:H184=H184))=1,SUMPRODUCT(--(H$10:H$609&lt;H184))+1,""))</f>
        <v/>
      </c>
      <c r="BA184" t="str">
        <f>IFERROR(INDEX(wLast,115)&amp;"","")</f>
        <v/>
      </c>
      <c r="BB184" t="str">
        <f>IF(BA184="","",IFERROR(INDEX(wFirst,115)&amp;"",""))</f>
        <v/>
      </c>
      <c r="BC184" t="str">
        <f>IF(BA184="","",IFERROR(INDEX(wClass,115)&amp;"",""))</f>
        <v/>
      </c>
      <c r="BD184" t="str">
        <f>IF(BA184="","",IFERROR(INDEX(wKsBand,115)+0,""))</f>
        <v/>
      </c>
      <c r="BE184" t="str">
        <f>IF(BA184="","",IFERROR(INDEX(wTests,115)+0,0))</f>
        <v/>
      </c>
      <c r="BF184" t="str">
        <f>IF(BA184="","",IFERROR(INDEX(wMean,115)+0,""))</f>
        <v/>
      </c>
      <c r="BG184" t="str">
        <f>IF(BA184="","",IFERROR(INDEX(wVs,115)+0,""))</f>
        <v/>
      </c>
      <c r="BH184" t="str">
        <f>IF(OR(BA184="",wLatest=""),"",IFERROR(INDEX(wData,115,MATCH(wLatest&amp;CHAR(10)&amp;"Stanine",wHdr,0))+0,""))</f>
        <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IFERROR(INDEX(tblY11[Class],ROWS(H$10:H185))&amp;"","")</f>
        <v/>
      </c>
      <c r="I185" t="str">
        <f>IF(H185="","",IF(SUMPRODUCT(--(H$10:H185=H185))=1,SUMPRODUCT(--(H$10:H$609&lt;H185))+1,""))</f>
        <v/>
      </c>
      <c r="BA185" t="str">
        <f>IFERROR(INDEX(wLast,116)&amp;"","")</f>
        <v/>
      </c>
      <c r="BB185" t="str">
        <f>IF(BA185="","",IFERROR(INDEX(wFirst,116)&amp;"",""))</f>
        <v/>
      </c>
      <c r="BC185" t="str">
        <f>IF(BA185="","",IFERROR(INDEX(wClass,116)&amp;"",""))</f>
        <v/>
      </c>
      <c r="BD185" t="str">
        <f>IF(BA185="","",IFERROR(INDEX(wKsBand,116)+0,""))</f>
        <v/>
      </c>
      <c r="BE185" t="str">
        <f>IF(BA185="","",IFERROR(INDEX(wTests,116)+0,0))</f>
        <v/>
      </c>
      <c r="BF185" t="str">
        <f>IF(BA185="","",IFERROR(INDEX(wMean,116)+0,""))</f>
        <v/>
      </c>
      <c r="BG185" t="str">
        <f>IF(BA185="","",IFERROR(INDEX(wVs,116)+0,""))</f>
        <v/>
      </c>
      <c r="BH185" t="str">
        <f>IF(OR(BA185="",wLatest=""),"",IFERROR(INDEX(wData,116,MATCH(wLatest&amp;CHAR(10)&amp;"Stanine",wHdr,0))+0,""))</f>
        <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IFERROR(INDEX(tblY11[Class],ROWS(H$10:H186))&amp;"","")</f>
        <v/>
      </c>
      <c r="I186" t="str">
        <f>IF(H186="","",IF(SUMPRODUCT(--(H$10:H186=H186))=1,SUMPRODUCT(--(H$10:H$609&lt;H186))+1,""))</f>
        <v/>
      </c>
      <c r="BA186" t="str">
        <f>IFERROR(INDEX(wLast,117)&amp;"","")</f>
        <v/>
      </c>
      <c r="BB186" t="str">
        <f>IF(BA186="","",IFERROR(INDEX(wFirst,117)&amp;"",""))</f>
        <v/>
      </c>
      <c r="BC186" t="str">
        <f>IF(BA186="","",IFERROR(INDEX(wClass,117)&amp;"",""))</f>
        <v/>
      </c>
      <c r="BD186" t="str">
        <f>IF(BA186="","",IFERROR(INDEX(wKsBand,117)+0,""))</f>
        <v/>
      </c>
      <c r="BE186" t="str">
        <f>IF(BA186="","",IFERROR(INDEX(wTests,117)+0,0))</f>
        <v/>
      </c>
      <c r="BF186" t="str">
        <f>IF(BA186="","",IFERROR(INDEX(wMean,117)+0,""))</f>
        <v/>
      </c>
      <c r="BG186" t="str">
        <f>IF(BA186="","",IFERROR(INDEX(wVs,117)+0,""))</f>
        <v/>
      </c>
      <c r="BH186" t="str">
        <f>IF(OR(BA186="",wLatest=""),"",IFERROR(INDEX(wData,117,MATCH(wLatest&amp;CHAR(10)&amp;"Stanine",wHdr,0))+0,""))</f>
        <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IFERROR(INDEX(tblY11[Class],ROWS(H$10:H187))&amp;"","")</f>
        <v/>
      </c>
      <c r="I187" t="str">
        <f>IF(H187="","",IF(SUMPRODUCT(--(H$10:H187=H187))=1,SUMPRODUCT(--(H$10:H$609&lt;H187))+1,""))</f>
        <v/>
      </c>
      <c r="BA187" t="str">
        <f>IFERROR(INDEX(wLast,118)&amp;"","")</f>
        <v/>
      </c>
      <c r="BB187" t="str">
        <f>IF(BA187="","",IFERROR(INDEX(wFirst,118)&amp;"",""))</f>
        <v/>
      </c>
      <c r="BC187" t="str">
        <f>IF(BA187="","",IFERROR(INDEX(wClass,118)&amp;"",""))</f>
        <v/>
      </c>
      <c r="BD187" t="str">
        <f>IF(BA187="","",IFERROR(INDEX(wKsBand,118)+0,""))</f>
        <v/>
      </c>
      <c r="BE187" t="str">
        <f>IF(BA187="","",IFERROR(INDEX(wTests,118)+0,0))</f>
        <v/>
      </c>
      <c r="BF187" t="str">
        <f>IF(BA187="","",IFERROR(INDEX(wMean,118)+0,""))</f>
        <v/>
      </c>
      <c r="BG187" t="str">
        <f>IF(BA187="","",IFERROR(INDEX(wVs,118)+0,""))</f>
        <v/>
      </c>
      <c r="BH187" t="str">
        <f>IF(OR(BA187="",wLatest=""),"",IFERROR(INDEX(wData,118,MATCH(wLatest&amp;CHAR(10)&amp;"Stanine",wHdr,0))+0,""))</f>
        <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IFERROR(INDEX(tblY11[Class],ROWS(H$10:H188))&amp;"","")</f>
        <v/>
      </c>
      <c r="I188" t="str">
        <f>IF(H188="","",IF(SUMPRODUCT(--(H$10:H188=H188))=1,SUMPRODUCT(--(H$10:H$609&lt;H188))+1,""))</f>
        <v/>
      </c>
      <c r="BA188" t="str">
        <f>IFERROR(INDEX(wLast,119)&amp;"","")</f>
        <v/>
      </c>
      <c r="BB188" t="str">
        <f>IF(BA188="","",IFERROR(INDEX(wFirst,119)&amp;"",""))</f>
        <v/>
      </c>
      <c r="BC188" t="str">
        <f>IF(BA188="","",IFERROR(INDEX(wClass,119)&amp;"",""))</f>
        <v/>
      </c>
      <c r="BD188" t="str">
        <f>IF(BA188="","",IFERROR(INDEX(wKsBand,119)+0,""))</f>
        <v/>
      </c>
      <c r="BE188" t="str">
        <f>IF(BA188="","",IFERROR(INDEX(wTests,119)+0,0))</f>
        <v/>
      </c>
      <c r="BF188" t="str">
        <f>IF(BA188="","",IFERROR(INDEX(wMean,119)+0,""))</f>
        <v/>
      </c>
      <c r="BG188" t="str">
        <f>IF(BA188="","",IFERROR(INDEX(wVs,119)+0,""))</f>
        <v/>
      </c>
      <c r="BH188" t="str">
        <f>IF(OR(BA188="",wLatest=""),"",IFERROR(INDEX(wData,119,MATCH(wLatest&amp;CHAR(10)&amp;"Stanine",wHdr,0))+0,""))</f>
        <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IFERROR(INDEX(tblY11[Class],ROWS(H$10:H189))&amp;"","")</f>
        <v/>
      </c>
      <c r="I189" t="str">
        <f>IF(H189="","",IF(SUMPRODUCT(--(H$10:H189=H189))=1,SUMPRODUCT(--(H$10:H$609&lt;H189))+1,""))</f>
        <v/>
      </c>
      <c r="BA189" t="str">
        <f>IFERROR(INDEX(wLast,120)&amp;"","")</f>
        <v/>
      </c>
      <c r="BB189" t="str">
        <f>IF(BA189="","",IFERROR(INDEX(wFirst,120)&amp;"",""))</f>
        <v/>
      </c>
      <c r="BC189" t="str">
        <f>IF(BA189="","",IFERROR(INDEX(wClass,120)&amp;"",""))</f>
        <v/>
      </c>
      <c r="BD189" t="str">
        <f>IF(BA189="","",IFERROR(INDEX(wKsBand,120)+0,""))</f>
        <v/>
      </c>
      <c r="BE189" t="str">
        <f>IF(BA189="","",IFERROR(INDEX(wTests,120)+0,0))</f>
        <v/>
      </c>
      <c r="BF189" t="str">
        <f>IF(BA189="","",IFERROR(INDEX(wMean,120)+0,""))</f>
        <v/>
      </c>
      <c r="BG189" t="str">
        <f>IF(BA189="","",IFERROR(INDEX(wVs,120)+0,""))</f>
        <v/>
      </c>
      <c r="BH189" t="str">
        <f>IF(OR(BA189="",wLatest=""),"",IFERROR(INDEX(wData,120,MATCH(wLatest&amp;CHAR(10)&amp;"Stanine",wHdr,0))+0,""))</f>
        <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IFERROR(INDEX(tblY11[Class],ROWS(H$10:H190))&amp;"","")</f>
        <v/>
      </c>
      <c r="I190" t="str">
        <f>IF(H190="","",IF(SUMPRODUCT(--(H$10:H190=H190))=1,SUMPRODUCT(--(H$10:H$609&lt;H190))+1,""))</f>
        <v/>
      </c>
      <c r="BA190" t="str">
        <f>IFERROR(INDEX(wLast,121)&amp;"","")</f>
        <v/>
      </c>
      <c r="BB190" t="str">
        <f>IF(BA190="","",IFERROR(INDEX(wFirst,121)&amp;"",""))</f>
        <v/>
      </c>
      <c r="BC190" t="str">
        <f>IF(BA190="","",IFERROR(INDEX(wClass,121)&amp;"",""))</f>
        <v/>
      </c>
      <c r="BD190" t="str">
        <f>IF(BA190="","",IFERROR(INDEX(wKsBand,121)+0,""))</f>
        <v/>
      </c>
      <c r="BE190" t="str">
        <f>IF(BA190="","",IFERROR(INDEX(wTests,121)+0,0))</f>
        <v/>
      </c>
      <c r="BF190" t="str">
        <f>IF(BA190="","",IFERROR(INDEX(wMean,121)+0,""))</f>
        <v/>
      </c>
      <c r="BG190" t="str">
        <f>IF(BA190="","",IFERROR(INDEX(wVs,121)+0,""))</f>
        <v/>
      </c>
      <c r="BH190" t="str">
        <f>IF(OR(BA190="",wLatest=""),"",IFERROR(INDEX(wData,121,MATCH(wLatest&amp;CHAR(10)&amp;"Stanine",wHdr,0))+0,""))</f>
        <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IFERROR(INDEX(tblY11[Class],ROWS(H$10:H191))&amp;"","")</f>
        <v/>
      </c>
      <c r="I191" t="str">
        <f>IF(H191="","",IF(SUMPRODUCT(--(H$10:H191=H191))=1,SUMPRODUCT(--(H$10:H$609&lt;H191))+1,""))</f>
        <v/>
      </c>
      <c r="BA191" t="str">
        <f>IFERROR(INDEX(wLast,122)&amp;"","")</f>
        <v/>
      </c>
      <c r="BB191" t="str">
        <f>IF(BA191="","",IFERROR(INDEX(wFirst,122)&amp;"",""))</f>
        <v/>
      </c>
      <c r="BC191" t="str">
        <f>IF(BA191="","",IFERROR(INDEX(wClass,122)&amp;"",""))</f>
        <v/>
      </c>
      <c r="BD191" t="str">
        <f>IF(BA191="","",IFERROR(INDEX(wKsBand,122)+0,""))</f>
        <v/>
      </c>
      <c r="BE191" t="str">
        <f>IF(BA191="","",IFERROR(INDEX(wTests,122)+0,0))</f>
        <v/>
      </c>
      <c r="BF191" t="str">
        <f>IF(BA191="","",IFERROR(INDEX(wMean,122)+0,""))</f>
        <v/>
      </c>
      <c r="BG191" t="str">
        <f>IF(BA191="","",IFERROR(INDEX(wVs,122)+0,""))</f>
        <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IFERROR(INDEX(tblY11[Class],ROWS(H$10:H192))&amp;"","")</f>
        <v/>
      </c>
      <c r="I192" t="str">
        <f>IF(H192="","",IF(SUMPRODUCT(--(H$10:H192=H192))=1,SUMPRODUCT(--(H$10:H$609&lt;H192))+1,""))</f>
        <v/>
      </c>
      <c r="BA192" t="str">
        <f>IFERROR(INDEX(wLast,123)&amp;"","")</f>
        <v/>
      </c>
      <c r="BB192" t="str">
        <f>IF(BA192="","",IFERROR(INDEX(wFirst,123)&amp;"",""))</f>
        <v/>
      </c>
      <c r="BC192" t="str">
        <f>IF(BA192="","",IFERROR(INDEX(wClass,123)&amp;"",""))</f>
        <v/>
      </c>
      <c r="BD192" t="str">
        <f>IF(BA192="","",IFERROR(INDEX(wKsBand,123)+0,""))</f>
        <v/>
      </c>
      <c r="BE192" t="str">
        <f>IF(BA192="","",IFERROR(INDEX(wTests,123)+0,0))</f>
        <v/>
      </c>
      <c r="BF192" t="str">
        <f>IF(BA192="","",IFERROR(INDEX(wMean,123)+0,""))</f>
        <v/>
      </c>
      <c r="BG192" t="str">
        <f>IF(BA192="","",IFERROR(INDEX(wVs,123)+0,""))</f>
        <v/>
      </c>
      <c r="BH192" t="str">
        <f>IF(OR(BA192="",wLatest=""),"",IFERROR(INDEX(wData,123,MATCH(wLatest&amp;CHAR(10)&amp;"Stanine",wHdr,0))+0,""))</f>
        <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IFERROR(INDEX(tblY11[Class],ROWS(H$10:H193))&amp;"","")</f>
        <v/>
      </c>
      <c r="I193" t="str">
        <f>IF(H193="","",IF(SUMPRODUCT(--(H$10:H193=H193))=1,SUMPRODUCT(--(H$10:H$609&lt;H193))+1,""))</f>
        <v/>
      </c>
      <c r="BA193" t="str">
        <f>IFERROR(INDEX(wLast,124)&amp;"","")</f>
        <v/>
      </c>
      <c r="BB193" t="str">
        <f>IF(BA193="","",IFERROR(INDEX(wFirst,124)&amp;"",""))</f>
        <v/>
      </c>
      <c r="BC193" t="str">
        <f>IF(BA193="","",IFERROR(INDEX(wClass,124)&amp;"",""))</f>
        <v/>
      </c>
      <c r="BD193" t="str">
        <f>IF(BA193="","",IFERROR(INDEX(wKsBand,124)+0,""))</f>
        <v/>
      </c>
      <c r="BE193" t="str">
        <f>IF(BA193="","",IFERROR(INDEX(wTests,124)+0,0))</f>
        <v/>
      </c>
      <c r="BF193" t="str">
        <f>IF(BA193="","",IFERROR(INDEX(wMean,124)+0,""))</f>
        <v/>
      </c>
      <c r="BG193" t="str">
        <f>IF(BA193="","",IFERROR(INDEX(wVs,124)+0,""))</f>
        <v/>
      </c>
      <c r="BH193" t="str">
        <f>IF(OR(BA193="",wLatest=""),"",IFERROR(INDEX(wData,124,MATCH(wLatest&amp;CHAR(10)&amp;"Stanine",wHdr,0))+0,""))</f>
        <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IFERROR(INDEX(tblY11[Class],ROWS(H$10:H194))&amp;"","")</f>
        <v/>
      </c>
      <c r="I194" t="str">
        <f>IF(H194="","",IF(SUMPRODUCT(--(H$10:H194=H194))=1,SUMPRODUCT(--(H$10:H$609&lt;H194))+1,""))</f>
        <v/>
      </c>
      <c r="BA194" t="str">
        <f>IFERROR(INDEX(wLast,125)&amp;"","")</f>
        <v/>
      </c>
      <c r="BB194" t="str">
        <f>IF(BA194="","",IFERROR(INDEX(wFirst,125)&amp;"",""))</f>
        <v/>
      </c>
      <c r="BC194" t="str">
        <f>IF(BA194="","",IFERROR(INDEX(wClass,125)&amp;"",""))</f>
        <v/>
      </c>
      <c r="BD194" t="str">
        <f>IF(BA194="","",IFERROR(INDEX(wKsBand,125)+0,""))</f>
        <v/>
      </c>
      <c r="BE194" t="str">
        <f>IF(BA194="","",IFERROR(INDEX(wTests,125)+0,0))</f>
        <v/>
      </c>
      <c r="BF194" t="str">
        <f>IF(BA194="","",IFERROR(INDEX(wMean,125)+0,""))</f>
        <v/>
      </c>
      <c r="BG194" t="str">
        <f>IF(BA194="","",IFERROR(INDEX(wVs,125)+0,""))</f>
        <v/>
      </c>
      <c r="BH194" t="str">
        <f>IF(OR(BA194="",wLatest=""),"",IFERROR(INDEX(wData,125,MATCH(wLatest&amp;CHAR(10)&amp;"Stanine",wHdr,0))+0,""))</f>
        <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IFERROR(INDEX(tblY11[Class],ROWS(H$10:H195))&amp;"","")</f>
        <v/>
      </c>
      <c r="I195" t="str">
        <f>IF(H195="","",IF(SUMPRODUCT(--(H$10:H195=H195))=1,SUMPRODUCT(--(H$10:H$609&lt;H195))+1,""))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IFERROR(INDEX(tblY11[Class],ROWS(H$10:H196))&amp;"","")</f>
        <v/>
      </c>
      <c r="I196" t="str">
        <f>IF(H196="","",IF(SUMPRODUCT(--(H$10:H196=H196))=1,SUMPRODUCT(--(H$10:H$609&lt;H196))+1,""))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IFERROR(INDEX(tblY11[Class],ROWS(H$10:H197))&amp;"","")</f>
        <v/>
      </c>
      <c r="I197" t="str">
        <f>IF(H197="","",IF(SUMPRODUCT(--(H$10:H197=H197))=1,SUMPRODUCT(--(H$10:H$609&lt;H197))+1,""))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IFERROR(INDEX(tblY11[Class],ROWS(H$10:H198))&amp;"","")</f>
        <v/>
      </c>
      <c r="I198" t="str">
        <f>IF(H198="","",IF(SUMPRODUCT(--(H$10:H198=H198))=1,SUMPRODUCT(--(H$10:H$609&lt;H198))+1,""))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IFERROR(INDEX(tblY11[Class],ROWS(H$10:H199))&amp;"","")</f>
        <v/>
      </c>
      <c r="I199" t="str">
        <f>IF(H199="","",IF(SUMPRODUCT(--(H$10:H199=H199))=1,SUMPRODUCT(--(H$10:H$609&lt;H199))+1,""))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IFERROR(INDEX(tblY11[Class],ROWS(H$10:H200))&amp;"","")</f>
        <v/>
      </c>
      <c r="I200" t="str">
        <f>IF(H200="","",IF(SUMPRODUCT(--(H$10:H200=H200))=1,SUMPRODUCT(--(H$10:H$609&lt;H200))+1,""))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IFERROR(INDEX(tblY11[Class],ROWS(H$10:H201))&amp;"","")</f>
        <v/>
      </c>
      <c r="I201" t="str">
        <f>IF(H201="","",IF(SUMPRODUCT(--(H$10:H201=H201))=1,SUMPRODUCT(--(H$10:H$609&lt;H201))+1,""))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IFERROR(INDEX(tblY11[Class],ROWS(H$10:H202))&amp;"","")</f>
        <v/>
      </c>
      <c r="I202" t="str">
        <f>IF(H202="","",IF(SUMPRODUCT(--(H$10:H202=H202))=1,SUMPRODUCT(--(H$10:H$609&lt;H202))+1,""))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IFERROR(INDEX(tblY11[Class],ROWS(H$10:H203))&amp;"","")</f>
        <v/>
      </c>
      <c r="I203" t="str">
        <f>IF(H203="","",IF(SUMPRODUCT(--(H$10:H203=H203))=1,SUMPRODUCT(--(H$10:H$609&lt;H203))+1,""))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IFERROR(INDEX(tblY11[Class],ROWS(H$10:H204))&amp;"","")</f>
        <v/>
      </c>
      <c r="I204" t="str">
        <f>IF(H204="","",IF(SUMPRODUCT(--(H$10:H204=H204))=1,SUMPRODUCT(--(H$10:H$609&lt;H204))+1,""))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IFERROR(INDEX(tblY11[Class],ROWS(H$10:H205))&amp;"","")</f>
        <v/>
      </c>
      <c r="I205" t="str">
        <f>IF(H205="","",IF(SUMPRODUCT(--(H$10:H205=H205))=1,SUMPRODUCT(--(H$10:H$609&lt;H205))+1,""))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IFERROR(INDEX(tblY11[Class],ROWS(H$10:H206))&amp;"","")</f>
        <v/>
      </c>
      <c r="I206" t="str">
        <f>IF(H206="","",IF(SUMPRODUCT(--(H$10:H206=H206))=1,SUMPRODUCT(--(H$10:H$609&lt;H206))+1,""))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IFERROR(INDEX(tblY11[Class],ROWS(H$10:H207))&amp;"","")</f>
        <v/>
      </c>
      <c r="I207" t="str">
        <f>IF(H207="","",IF(SUMPRODUCT(--(H$10:H207=H207))=1,SUMPRODUCT(--(H$10:H$609&lt;H207))+1,""))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IFERROR(INDEX(tblY11[Class],ROWS(H$10:H208))&amp;"","")</f>
        <v/>
      </c>
      <c r="I208" t="str">
        <f>IF(H208="","",IF(SUMPRODUCT(--(H$10:H208=H208))=1,SUMPRODUCT(--(H$10:H$609&lt;H208))+1,""))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IFERROR(INDEX(tblY11[Class],ROWS(H$10:H209))&amp;"","")</f>
        <v/>
      </c>
      <c r="I209" t="str">
        <f>IF(H209="","",IF(SUMPRODUCT(--(H$10:H209=H209))=1,SUMPRODUCT(--(H$10:H$609&lt;H209))+1,""))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IFERROR(INDEX(tblY11[Class],ROWS(H$10:H210))&amp;"","")</f>
        <v/>
      </c>
      <c r="I210" t="str">
        <f>IF(H210="","",IF(SUMPRODUCT(--(H$10:H210=H210))=1,SUMPRODUCT(--(H$10:H$609&lt;H210))+1,""))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IFERROR(INDEX(tblY11[Class],ROWS(H$10:H211))&amp;"","")</f>
        <v/>
      </c>
      <c r="I211" t="str">
        <f>IF(H211="","",IF(SUMPRODUCT(--(H$10:H211=H211))=1,SUMPRODUCT(--(H$10:H$609&lt;H211))+1,""))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IFERROR(INDEX(tblY11[Class],ROWS(H$10:H212))&amp;"","")</f>
        <v/>
      </c>
      <c r="I212" t="str">
        <f>IF(H212="","",IF(SUMPRODUCT(--(H$10:H212=H212))=1,SUMPRODUCT(--(H$10:H$609&lt;H212))+1,""))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IFERROR(INDEX(tblY11[Class],ROWS(H$10:H213))&amp;"","")</f>
        <v/>
      </c>
      <c r="I213" t="str">
        <f>IF(H213="","",IF(SUMPRODUCT(--(H$10:H213=H213))=1,SUMPRODUCT(--(H$10:H$609&lt;H213))+1,""))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IFERROR(INDEX(tblY11[Class],ROWS(H$10:H214))&amp;"","")</f>
        <v/>
      </c>
      <c r="I214" t="str">
        <f>IF(H214="","",IF(SUMPRODUCT(--(H$10:H214=H214))=1,SUMPRODUCT(--(H$10:H$609&lt;H214))+1,""))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IFERROR(INDEX(tblY11[Class],ROWS(H$10:H215))&amp;"","")</f>
        <v/>
      </c>
      <c r="I215" t="str">
        <f>IF(H215="","",IF(SUMPRODUCT(--(H$10:H215=H215))=1,SUMPRODUCT(--(H$10:H$609&lt;H215))+1,""))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IFERROR(INDEX(tblY11[Class],ROWS(H$10:H216))&amp;"","")</f>
        <v/>
      </c>
      <c r="I216" t="str">
        <f>IF(H216="","",IF(SUMPRODUCT(--(H$10:H216=H216))=1,SUMPRODUCT(--(H$10:H$609&lt;H216))+1,""))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IFERROR(INDEX(tblY11[Class],ROWS(H$10:H217))&amp;"","")</f>
        <v/>
      </c>
      <c r="I217" t="str">
        <f>IF(H217="","",IF(SUMPRODUCT(--(H$10:H217=H217))=1,SUMPRODUCT(--(H$10:H$609&lt;H217))+1,""))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IFERROR(INDEX(tblY11[Class],ROWS(H$10:H218))&amp;"","")</f>
        <v/>
      </c>
      <c r="I218" t="str">
        <f>IF(H218="","",IF(SUMPRODUCT(--(H$10:H218=H218))=1,SUMPRODUCT(--(H$10:H$609&lt;H218))+1,""))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IFERROR(INDEX(tblY11[Class],ROWS(H$10:H219))&amp;"","")</f>
        <v/>
      </c>
      <c r="I219" t="str">
        <f>IF(H219="","",IF(SUMPRODUCT(--(H$10:H219=H219))=1,SUMPRODUCT(--(H$10:H$609&lt;H219))+1,""))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IFERROR(INDEX(tblY11[Class],ROWS(H$10:H220))&amp;"","")</f>
        <v/>
      </c>
      <c r="I220" t="str">
        <f>IF(H220="","",IF(SUMPRODUCT(--(H$10:H220=H220))=1,SUMPRODUCT(--(H$10:H$609&lt;H220))+1,""))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IFERROR(INDEX(tblY11[Class],ROWS(H$10:H221))&amp;"","")</f>
        <v/>
      </c>
      <c r="I221" t="str">
        <f>IF(H221="","",IF(SUMPRODUCT(--(H$10:H221=H221))=1,SUMPRODUCT(--(H$10:H$609&lt;H221))+1,""))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IFERROR(INDEX(tblY11[Class],ROWS(H$10:H222))&amp;"","")</f>
        <v/>
      </c>
      <c r="I222" t="str">
        <f>IF(H222="","",IF(SUMPRODUCT(--(H$10:H222=H222))=1,SUMPRODUCT(--(H$10:H$609&lt;H222))+1,""))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IFERROR(INDEX(tblY11[Class],ROWS(H$10:H223))&amp;"","")</f>
        <v/>
      </c>
      <c r="I223" t="str">
        <f>IF(H223="","",IF(SUMPRODUCT(--(H$10:H223=H223))=1,SUMPRODUCT(--(H$10:H$609&lt;H223))+1,""))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IFERROR(INDEX(tblY11[Class],ROWS(H$10:H224))&amp;"","")</f>
        <v/>
      </c>
      <c r="I224" t="str">
        <f>IF(H224="","",IF(SUMPRODUCT(--(H$10:H224=H224))=1,SUMPRODUCT(--(H$10:H$609&lt;H224))+1,""))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IFERROR(INDEX(tblY11[Class],ROWS(H$10:H225))&amp;"","")</f>
        <v/>
      </c>
      <c r="I225" t="str">
        <f>IF(H225="","",IF(SUMPRODUCT(--(H$10:H225=H225))=1,SUMPRODUCT(--(H$10:H$609&lt;H225))+1,""))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IFERROR(INDEX(tblY11[Class],ROWS(H$10:H226))&amp;"","")</f>
        <v/>
      </c>
      <c r="I226" t="str">
        <f>IF(H226="","",IF(SUMPRODUCT(--(H$10:H226=H226))=1,SUMPRODUCT(--(H$10:H$609&lt;H226))+1,""))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IFERROR(INDEX(tblY11[Class],ROWS(H$10:H227))&amp;"","")</f>
        <v/>
      </c>
      <c r="I227" t="str">
        <f>IF(H227="","",IF(SUMPRODUCT(--(H$10:H227=H227))=1,SUMPRODUCT(--(H$10:H$609&lt;H227))+1,""))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IFERROR(INDEX(tblY11[Class],ROWS(H$10:H228))&amp;"","")</f>
        <v/>
      </c>
      <c r="I228" t="str">
        <f>IF(H228="","",IF(SUMPRODUCT(--(H$10:H228=H228))=1,SUMPRODUCT(--(H$10:H$609&lt;H228))+1,""))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IFERROR(INDEX(tblY11[Class],ROWS(H$10:H229))&amp;"","")</f>
        <v/>
      </c>
      <c r="I229" t="str">
        <f>IF(H229="","",IF(SUMPRODUCT(--(H$10:H229=H229))=1,SUMPRODUCT(--(H$10:H$609&lt;H229))+1,""))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IFERROR(INDEX(tblY11[Class],ROWS(H$10:H230))&amp;"","")</f>
        <v/>
      </c>
      <c r="I230" t="str">
        <f>IF(H230="","",IF(SUMPRODUCT(--(H$10:H230=H230))=1,SUMPRODUCT(--(H$10:H$609&lt;H230))+1,""))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IFERROR(INDEX(tblY11[Class],ROWS(H$10:H231))&amp;"","")</f>
        <v/>
      </c>
      <c r="I231" t="str">
        <f>IF(H231="","",IF(SUMPRODUCT(--(H$10:H231=H231))=1,SUMPRODUCT(--(H$10:H$609&lt;H231))+1,""))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IFERROR(INDEX(tblY11[Class],ROWS(H$10:H232))&amp;"","")</f>
        <v/>
      </c>
      <c r="I232" t="str">
        <f>IF(H232="","",IF(SUMPRODUCT(--(H$10:H232=H232))=1,SUMPRODUCT(--(H$10:H$609&lt;H232))+1,""))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IFERROR(INDEX(tblY11[Class],ROWS(H$10:H233))&amp;"","")</f>
        <v/>
      </c>
      <c r="I233" t="str">
        <f>IF(H233="","",IF(SUMPRODUCT(--(H$10:H233=H233))=1,SUMPRODUCT(--(H$10:H$609&lt;H233))+1,""))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IFERROR(INDEX(tblY11[Class],ROWS(H$10:H234))&amp;"","")</f>
        <v/>
      </c>
      <c r="I234" t="str">
        <f>IF(H234="","",IF(SUMPRODUCT(--(H$10:H234=H234))=1,SUMPRODUCT(--(H$10:H$609&lt;H234))+1,""))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IFERROR(INDEX(tblY11[Class],ROWS(H$10:H235))&amp;"","")</f>
        <v/>
      </c>
      <c r="I235" t="str">
        <f>IF(H235="","",IF(SUMPRODUCT(--(H$10:H235=H235))=1,SUMPRODUCT(--(H$10:H$609&lt;H235))+1,""))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IFERROR(INDEX(tblY11[Class],ROWS(H$10:H236))&amp;"","")</f>
        <v/>
      </c>
      <c r="I236" t="str">
        <f>IF(H236="","",IF(SUMPRODUCT(--(H$10:H236=H236))=1,SUMPRODUCT(--(H$10:H$609&lt;H236))+1,""))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IFERROR(INDEX(tblY11[Class],ROWS(H$10:H237))&amp;"","")</f>
        <v/>
      </c>
      <c r="I237" t="str">
        <f>IF(H237="","",IF(SUMPRODUCT(--(H$10:H237=H237))=1,SUMPRODUCT(--(H$10:H$609&lt;H237))+1,""))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IFERROR(INDEX(tblY11[Class],ROWS(H$10:H238))&amp;"","")</f>
        <v/>
      </c>
      <c r="I238" t="str">
        <f>IF(H238="","",IF(SUMPRODUCT(--(H$10:H238=H238))=1,SUMPRODUCT(--(H$10:H$609&lt;H238))+1,""))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IFERROR(INDEX(tblY11[Class],ROWS(H$10:H239))&amp;"","")</f>
        <v/>
      </c>
      <c r="I239" t="str">
        <f>IF(H239="","",IF(SUMPRODUCT(--(H$10:H239=H239))=1,SUMPRODUCT(--(H$10:H$609&lt;H239))+1,""))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IFERROR(INDEX(tblY11[Class],ROWS(H$10:H240))&amp;"","")</f>
        <v/>
      </c>
      <c r="I240" t="str">
        <f>IF(H240="","",IF(SUMPRODUCT(--(H$10:H240=H240))=1,SUMPRODUCT(--(H$10:H$609&lt;H240))+1,""))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IFERROR(INDEX(tblY11[Class],ROWS(H$10:H241))&amp;"","")</f>
        <v/>
      </c>
      <c r="I241" t="str">
        <f>IF(H241="","",IF(SUMPRODUCT(--(H$10:H241=H241))=1,SUMPRODUCT(--(H$10:H$609&lt;H241))+1,""))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IFERROR(INDEX(tblY11[Class],ROWS(H$10:H242))&amp;"","")</f>
        <v/>
      </c>
      <c r="I242" t="str">
        <f>IF(H242="","",IF(SUMPRODUCT(--(H$10:H242=H242))=1,SUMPRODUCT(--(H$10:H$609&lt;H242))+1,""))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IFERROR(INDEX(tblY11[Class],ROWS(H$10:H243))&amp;"","")</f>
        <v/>
      </c>
      <c r="I243" t="str">
        <f>IF(H243="","",IF(SUMPRODUCT(--(H$10:H243=H243))=1,SUMPRODUCT(--(H$10:H$609&lt;H243))+1,""))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IFERROR(INDEX(tblY11[Class],ROWS(H$10:H244))&amp;"","")</f>
        <v/>
      </c>
      <c r="I244" t="str">
        <f>IF(H244="","",IF(SUMPRODUCT(--(H$10:H244=H244))=1,SUMPRODUCT(--(H$10:H$609&lt;H244))+1,""))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IFERROR(INDEX(tblY11[Class],ROWS(H$10:H245))&amp;"","")</f>
        <v/>
      </c>
      <c r="I245" t="str">
        <f>IF(H245="","",IF(SUMPRODUCT(--(H$10:H245=H245))=1,SUMPRODUCT(--(H$10:H$609&lt;H245))+1,""))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IFERROR(INDEX(tblY11[Class],ROWS(H$10:H246))&amp;"","")</f>
        <v/>
      </c>
      <c r="I246" t="str">
        <f>IF(H246="","",IF(SUMPRODUCT(--(H$10:H246=H246))=1,SUMPRODUCT(--(H$10:H$609&lt;H246))+1,""))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IFERROR(INDEX(tblY11[Class],ROWS(H$10:H247))&amp;"","")</f>
        <v/>
      </c>
      <c r="I247" t="str">
        <f>IF(H247="","",IF(SUMPRODUCT(--(H$10:H247=H247))=1,SUMPRODUCT(--(H$10:H$609&lt;H247))+1,""))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IFERROR(INDEX(tblY11[Class],ROWS(H$10:H248))&amp;"","")</f>
        <v/>
      </c>
      <c r="I248" t="str">
        <f>IF(H248="","",IF(SUMPRODUCT(--(H$10:H248=H248))=1,SUMPRODUCT(--(H$10:H$609&lt;H248))+1,""))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IFERROR(INDEX(tblY11[Class],ROWS(H$10:H249))&amp;"","")</f>
        <v/>
      </c>
      <c r="I249" t="str">
        <f>IF(H249="","",IF(SUMPRODUCT(--(H$10:H249=H249))=1,SUMPRODUCT(--(H$10:H$609&lt;H249))+1,""))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IFERROR(INDEX(tblY11[Class],ROWS(H$10:H250))&amp;"","")</f>
        <v/>
      </c>
      <c r="I250" t="str">
        <f>IF(H250="","",IF(SUMPRODUCT(--(H$10:H250=H250))=1,SUMPRODUCT(--(H$10:H$609&lt;H250))+1,""))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IFERROR(INDEX(tblY11[Class],ROWS(H$10:H251))&amp;"","")</f>
        <v/>
      </c>
      <c r="I251" t="str">
        <f>IF(H251="","",IF(SUMPRODUCT(--(H$10:H251=H251))=1,SUMPRODUCT(--(H$10:H$609&lt;H251))+1,""))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IFERROR(INDEX(tblY11[Class],ROWS(H$10:H252))&amp;"","")</f>
        <v/>
      </c>
      <c r="I252" t="str">
        <f>IF(H252="","",IF(SUMPRODUCT(--(H$10:H252=H252))=1,SUMPRODUCT(--(H$10:H$609&lt;H252))+1,""))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IFERROR(INDEX(tblY11[Class],ROWS(H$10:H253))&amp;"","")</f>
        <v/>
      </c>
      <c r="I253" t="str">
        <f>IF(H253="","",IF(SUMPRODUCT(--(H$10:H253=H253))=1,SUMPRODUCT(--(H$10:H$609&lt;H253))+1,""))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IFERROR(INDEX(tblY11[Class],ROWS(H$10:H254))&amp;"","")</f>
        <v/>
      </c>
      <c r="I254" t="str">
        <f>IF(H254="","",IF(SUMPRODUCT(--(H$10:H254=H254))=1,SUMPRODUCT(--(H$10:H$609&lt;H254))+1,""))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IFERROR(INDEX(tblY11[Class],ROWS(H$10:H255))&amp;"","")</f>
        <v/>
      </c>
      <c r="I255" t="str">
        <f>IF(H255="","",IF(SUMPRODUCT(--(H$10:H255=H255))=1,SUMPRODUCT(--(H$10:H$609&lt;H255))+1,""))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IFERROR(INDEX(tblY11[Class],ROWS(H$10:H256))&amp;"","")</f>
        <v/>
      </c>
      <c r="I256" t="str">
        <f>IF(H256="","",IF(SUMPRODUCT(--(H$10:H256=H256))=1,SUMPRODUCT(--(H$10:H$609&lt;H256))+1,""))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IFERROR(INDEX(tblY11[Class],ROWS(H$10:H257))&amp;"","")</f>
        <v/>
      </c>
      <c r="I257" t="str">
        <f>IF(H257="","",IF(SUMPRODUCT(--(H$10:H257=H257))=1,SUMPRODUCT(--(H$10:H$609&lt;H257))+1,""))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IFERROR(INDEX(tblY11[Class],ROWS(H$10:H258))&amp;"","")</f>
        <v/>
      </c>
      <c r="I258" t="str">
        <f>IF(H258="","",IF(SUMPRODUCT(--(H$10:H258=H258))=1,SUMPRODUCT(--(H$10:H$609&lt;H258))+1,""))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IFERROR(INDEX(tblY11[Class],ROWS(H$10:H259))&amp;"","")</f>
        <v/>
      </c>
      <c r="I259" t="str">
        <f>IF(H259="","",IF(SUMPRODUCT(--(H$10:H259=H259))=1,SUMPRODUCT(--(H$10:H$609&lt;H259))+1,""))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IFERROR(INDEX(tblY11[Class],ROWS(H$10:H260))&amp;"","")</f>
        <v/>
      </c>
      <c r="I260" t="str">
        <f>IF(H260="","",IF(SUMPRODUCT(--(H$10:H260=H260))=1,SUMPRODUCT(--(H$10:H$609&lt;H260))+1,""))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IFERROR(INDEX(tblY11[Class],ROWS(H$10:H261))&amp;"","")</f>
        <v/>
      </c>
      <c r="I261" t="str">
        <f>IF(H261="","",IF(SUMPRODUCT(--(H$10:H261=H261))=1,SUMPRODUCT(--(H$10:H$609&lt;H261))+1,""))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IFERROR(INDEX(tblY11[Class],ROWS(H$10:H262))&amp;"","")</f>
        <v/>
      </c>
      <c r="I262" t="str">
        <f>IF(H262="","",IF(SUMPRODUCT(--(H$10:H262=H262))=1,SUMPRODUCT(--(H$10:H$609&lt;H262))+1,""))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IFERROR(INDEX(tblY11[Class],ROWS(H$10:H263))&amp;"","")</f>
        <v/>
      </c>
      <c r="I263" t="str">
        <f>IF(H263="","",IF(SUMPRODUCT(--(H$10:H263=H263))=1,SUMPRODUCT(--(H$10:H$609&lt;H263))+1,""))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IFERROR(INDEX(tblY11[Class],ROWS(H$10:H264))&amp;"","")</f>
        <v/>
      </c>
      <c r="I264" t="str">
        <f>IF(H264="","",IF(SUMPRODUCT(--(H$10:H264=H264))=1,SUMPRODUCT(--(H$10:H$609&lt;H264))+1,""))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IFERROR(INDEX(tblY11[Class],ROWS(H$10:H265))&amp;"","")</f>
        <v/>
      </c>
      <c r="I265" t="str">
        <f>IF(H265="","",IF(SUMPRODUCT(--(H$10:H265=H265))=1,SUMPRODUCT(--(H$10:H$609&lt;H265))+1,""))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IFERROR(INDEX(tblY11[Class],ROWS(H$10:H266))&amp;"","")</f>
        <v/>
      </c>
      <c r="I266" t="str">
        <f>IF(H266="","",IF(SUMPRODUCT(--(H$10:H266=H266))=1,SUMPRODUCT(--(H$10:H$609&lt;H266))+1,""))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IFERROR(INDEX(tblY11[Class],ROWS(H$10:H267))&amp;"","")</f>
        <v/>
      </c>
      <c r="I267" t="str">
        <f>IF(H267="","",IF(SUMPRODUCT(--(H$10:H267=H267))=1,SUMPRODUCT(--(H$10:H$609&lt;H267))+1,""))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IFERROR(INDEX(tblY11[Class],ROWS(H$10:H268))&amp;"","")</f>
        <v/>
      </c>
      <c r="I268" t="str">
        <f>IF(H268="","",IF(SUMPRODUCT(--(H$10:H268=H268))=1,SUMPRODUCT(--(H$10:H$609&lt;H268))+1,""))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IFERROR(INDEX(tblY11[Class],ROWS(H$10:H269))&amp;"","")</f>
        <v/>
      </c>
      <c r="I269" t="str">
        <f>IF(H269="","",IF(SUMPRODUCT(--(H$10:H269=H269))=1,SUMPRODUCT(--(H$10:H$609&lt;H269))+1,""))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IFERROR(INDEX(tblY11[Class],ROWS(H$10:H270))&amp;"","")</f>
        <v/>
      </c>
      <c r="I270" t="str">
        <f>IF(H270="","",IF(SUMPRODUCT(--(H$10:H270=H270))=1,SUMPRODUCT(--(H$10:H$609&lt;H270))+1,""))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IFERROR(INDEX(tblY11[Class],ROWS(H$10:H271))&amp;"","")</f>
        <v/>
      </c>
      <c r="I271" t="str">
        <f>IF(H271="","",IF(SUMPRODUCT(--(H$10:H271=H271))=1,SUMPRODUCT(--(H$10:H$609&lt;H271))+1,""))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IFERROR(INDEX(tblY11[Class],ROWS(H$10:H272))&amp;"","")</f>
        <v/>
      </c>
      <c r="I272" t="str">
        <f>IF(H272="","",IF(SUMPRODUCT(--(H$10:H272=H272))=1,SUMPRODUCT(--(H$10:H$609&lt;H272))+1,""))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IFERROR(INDEX(tblY11[Class],ROWS(H$10:H273))&amp;"","")</f>
        <v/>
      </c>
      <c r="I273" t="str">
        <f>IF(H273="","",IF(SUMPRODUCT(--(H$10:H273=H273))=1,SUMPRODUCT(--(H$10:H$609&lt;H273))+1,""))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IFERROR(INDEX(tblY11[Class],ROWS(H$10:H274))&amp;"","")</f>
        <v/>
      </c>
      <c r="I274" t="str">
        <f>IF(H274="","",IF(SUMPRODUCT(--(H$10:H274=H274))=1,SUMPRODUCT(--(H$10:H$609&lt;H274))+1,""))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IFERROR(INDEX(tblY11[Class],ROWS(H$10:H275))&amp;"","")</f>
        <v/>
      </c>
      <c r="I275" t="str">
        <f>IF(H275="","",IF(SUMPRODUCT(--(H$10:H275=H275))=1,SUMPRODUCT(--(H$10:H$609&lt;H275))+1,""))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IFERROR(INDEX(tblY11[Class],ROWS(H$10:H276))&amp;"","")</f>
        <v/>
      </c>
      <c r="I276" t="str">
        <f>IF(H276="","",IF(SUMPRODUCT(--(H$10:H276=H276))=1,SUMPRODUCT(--(H$10:H$609&lt;H276))+1,""))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IFERROR(INDEX(tblY11[Class],ROWS(H$10:H277))&amp;"","")</f>
        <v/>
      </c>
      <c r="I277" t="str">
        <f>IF(H277="","",IF(SUMPRODUCT(--(H$10:H277=H277))=1,SUMPRODUCT(--(H$10:H$609&lt;H277))+1,""))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IFERROR(INDEX(tblY11[Class],ROWS(H$10:H278))&amp;"","")</f>
        <v/>
      </c>
      <c r="I278" t="str">
        <f>IF(H278="","",IF(SUMPRODUCT(--(H$10:H278=H278))=1,SUMPRODUCT(--(H$10:H$609&lt;H278))+1,""))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IFERROR(INDEX(tblY11[Class],ROWS(H$10:H279))&amp;"","")</f>
        <v/>
      </c>
      <c r="I279" t="str">
        <f>IF(H279="","",IF(SUMPRODUCT(--(H$10:H279=H279))=1,SUMPRODUCT(--(H$10:H$609&lt;H279))+1,""))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IFERROR(INDEX(tblY11[Class],ROWS(H$10:H280))&amp;"","")</f>
        <v/>
      </c>
      <c r="I280" t="str">
        <f>IF(H280="","",IF(SUMPRODUCT(--(H$10:H280=H280))=1,SUMPRODUCT(--(H$10:H$609&lt;H280))+1,""))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IFERROR(INDEX(tblY11[Class],ROWS(H$10:H281))&amp;"","")</f>
        <v/>
      </c>
      <c r="I281" t="str">
        <f>IF(H281="","",IF(SUMPRODUCT(--(H$10:H281=H281))=1,SUMPRODUCT(--(H$10:H$609&lt;H281))+1,""))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IFERROR(INDEX(tblY11[Class],ROWS(H$10:H282))&amp;"","")</f>
        <v/>
      </c>
      <c r="I282" t="str">
        <f>IF(H282="","",IF(SUMPRODUCT(--(H$10:H282=H282))=1,SUMPRODUCT(--(H$10:H$609&lt;H282))+1,""))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IFERROR(INDEX(tblY11[Class],ROWS(H$10:H283))&amp;"","")</f>
        <v/>
      </c>
      <c r="I283" t="str">
        <f>IF(H283="","",IF(SUMPRODUCT(--(H$10:H283=H283))=1,SUMPRODUCT(--(H$10:H$609&lt;H283))+1,""))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IFERROR(INDEX(tblY11[Class],ROWS(H$10:H284))&amp;"","")</f>
        <v/>
      </c>
      <c r="I284" t="str">
        <f>IF(H284="","",IF(SUMPRODUCT(--(H$10:H284=H284))=1,SUMPRODUCT(--(H$10:H$609&lt;H284))+1,""))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IFERROR(INDEX(tblY11[Class],ROWS(H$10:H285))&amp;"","")</f>
        <v/>
      </c>
      <c r="I285" t="str">
        <f>IF(H285="","",IF(SUMPRODUCT(--(H$10:H285=H285))=1,SUMPRODUCT(--(H$10:H$609&lt;H285))+1,""))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IFERROR(INDEX(tblY11[Class],ROWS(H$10:H286))&amp;"","")</f>
        <v/>
      </c>
      <c r="I286" t="str">
        <f>IF(H286="","",IF(SUMPRODUCT(--(H$10:H286=H286))=1,SUMPRODUCT(--(H$10:H$609&lt;H286))+1,""))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IFERROR(INDEX(tblY11[Class],ROWS(H$10:H287))&amp;"","")</f>
        <v/>
      </c>
      <c r="I287" t="str">
        <f>IF(H287="","",IF(SUMPRODUCT(--(H$10:H287=H287))=1,SUMPRODUCT(--(H$10:H$609&lt;H287))+1,""))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IFERROR(INDEX(tblY11[Class],ROWS(H$10:H288))&amp;"","")</f>
        <v/>
      </c>
      <c r="I288" t="str">
        <f>IF(H288="","",IF(SUMPRODUCT(--(H$10:H288=H288))=1,SUMPRODUCT(--(H$10:H$609&lt;H288))+1,""))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IFERROR(INDEX(tblY11[Class],ROWS(H$10:H289))&amp;"","")</f>
        <v/>
      </c>
      <c r="I289" t="str">
        <f>IF(H289="","",IF(SUMPRODUCT(--(H$10:H289=H289))=1,SUMPRODUCT(--(H$10:H$609&lt;H289))+1,""))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IFERROR(INDEX(tblY11[Class],ROWS(H$10:H290))&amp;"","")</f>
        <v/>
      </c>
      <c r="I290" t="str">
        <f>IF(H290="","",IF(SUMPRODUCT(--(H$10:H290=H290))=1,SUMPRODUCT(--(H$10:H$609&lt;H290))+1,""))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IFERROR(INDEX(tblY11[Class],ROWS(H$10:H291))&amp;"","")</f>
        <v/>
      </c>
      <c r="I291" t="str">
        <f>IF(H291="","",IF(SUMPRODUCT(--(H$10:H291=H291))=1,SUMPRODUCT(--(H$10:H$609&lt;H291))+1,""))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IFERROR(INDEX(tblY11[Class],ROWS(H$10:H292))&amp;"","")</f>
        <v/>
      </c>
      <c r="I292" t="str">
        <f>IF(H292="","",IF(SUMPRODUCT(--(H$10:H292=H292))=1,SUMPRODUCT(--(H$10:H$609&lt;H292))+1,""))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IFERROR(INDEX(tblY11[Class],ROWS(H$10:H293))&amp;"","")</f>
        <v/>
      </c>
      <c r="I293" t="str">
        <f>IF(H293="","",IF(SUMPRODUCT(--(H$10:H293=H293))=1,SUMPRODUCT(--(H$10:H$609&lt;H293))+1,""))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IFERROR(INDEX(tblY11[Class],ROWS(H$10:H294))&amp;"","")</f>
        <v/>
      </c>
      <c r="I294" t="str">
        <f>IF(H294="","",IF(SUMPRODUCT(--(H$10:H294=H294))=1,SUMPRODUCT(--(H$10:H$609&lt;H294))+1,""))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IFERROR(INDEX(tblY11[Class],ROWS(H$10:H295))&amp;"","")</f>
        <v/>
      </c>
      <c r="I295" t="str">
        <f>IF(H295="","",IF(SUMPRODUCT(--(H$10:H295=H295))=1,SUMPRODUCT(--(H$10:H$609&lt;H295))+1,""))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IFERROR(INDEX(tblY11[Class],ROWS(H$10:H296))&amp;"","")</f>
        <v/>
      </c>
      <c r="I296" t="str">
        <f>IF(H296="","",IF(SUMPRODUCT(--(H$10:H296=H296))=1,SUMPRODUCT(--(H$10:H$609&lt;H296))+1,""))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IFERROR(INDEX(tblY11[Class],ROWS(H$10:H297))&amp;"","")</f>
        <v/>
      </c>
      <c r="I297" t="str">
        <f>IF(H297="","",IF(SUMPRODUCT(--(H$10:H297=H297))=1,SUMPRODUCT(--(H$10:H$609&lt;H297))+1,""))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IFERROR(INDEX(tblY11[Class],ROWS(H$10:H298))&amp;"","")</f>
        <v/>
      </c>
      <c r="I298" t="str">
        <f>IF(H298="","",IF(SUMPRODUCT(--(H$10:H298=H298))=1,SUMPRODUCT(--(H$10:H$609&lt;H298))+1,""))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IFERROR(INDEX(tblY11[Class],ROWS(H$10:H299))&amp;"","")</f>
        <v/>
      </c>
      <c r="I299" t="str">
        <f>IF(H299="","",IF(SUMPRODUCT(--(H$10:H299=H299))=1,SUMPRODUCT(--(H$10:H$609&lt;H299))+1,""))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IFERROR(INDEX(tblY11[Class],ROWS(H$10:H300))&amp;"","")</f>
        <v/>
      </c>
      <c r="I300" t="str">
        <f>IF(H300="","",IF(SUMPRODUCT(--(H$10:H300=H300))=1,SUMPRODUCT(--(H$10:H$609&lt;H300))+1,""))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IFERROR(INDEX(tblY11[Class],ROWS(H$10:H301))&amp;"","")</f>
        <v/>
      </c>
      <c r="I301" t="str">
        <f>IF(H301="","",IF(SUMPRODUCT(--(H$10:H301=H301))=1,SUMPRODUCT(--(H$10:H$609&lt;H301))+1,""))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IFERROR(INDEX(tblY11[Class],ROWS(H$10:H302))&amp;"","")</f>
        <v/>
      </c>
      <c r="I302" t="str">
        <f>IF(H302="","",IF(SUMPRODUCT(--(H$10:H302=H302))=1,SUMPRODUCT(--(H$10:H$609&lt;H302))+1,""))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IFERROR(INDEX(tblY11[Class],ROWS(H$10:H303))&amp;"","")</f>
        <v/>
      </c>
      <c r="I303" t="str">
        <f>IF(H303="","",IF(SUMPRODUCT(--(H$10:H303=H303))=1,SUMPRODUCT(--(H$10:H$609&lt;H303))+1,""))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IFERROR(INDEX(tblY11[Class],ROWS(H$10:H304))&amp;"","")</f>
        <v/>
      </c>
      <c r="I304" t="str">
        <f>IF(H304="","",IF(SUMPRODUCT(--(H$10:H304=H304))=1,SUMPRODUCT(--(H$10:H$609&lt;H304))+1,""))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IFERROR(INDEX(tblY11[Class],ROWS(H$10:H305))&amp;"","")</f>
        <v/>
      </c>
      <c r="I305" t="str">
        <f>IF(H305="","",IF(SUMPRODUCT(--(H$10:H305=H305))=1,SUMPRODUCT(--(H$10:H$609&lt;H305))+1,""))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IFERROR(INDEX(tblY11[Class],ROWS(H$10:H306))&amp;"","")</f>
        <v/>
      </c>
      <c r="I306" t="str">
        <f>IF(H306="","",IF(SUMPRODUCT(--(H$10:H306=H306))=1,SUMPRODUCT(--(H$10:H$609&lt;H306))+1,""))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IFERROR(INDEX(tblY11[Class],ROWS(H$10:H307))&amp;"","")</f>
        <v/>
      </c>
      <c r="I307" t="str">
        <f>IF(H307="","",IF(SUMPRODUCT(--(H$10:H307=H307))=1,SUMPRODUCT(--(H$10:H$609&lt;H307))+1,""))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IFERROR(INDEX(tblY11[Class],ROWS(H$10:H308))&amp;"","")</f>
        <v/>
      </c>
      <c r="I308" t="str">
        <f>IF(H308="","",IF(SUMPRODUCT(--(H$10:H308=H308))=1,SUMPRODUCT(--(H$10:H$609&lt;H308))+1,""))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IFERROR(INDEX(tblY11[Class],ROWS(H$10:H309))&amp;"","")</f>
        <v/>
      </c>
      <c r="I309" t="str">
        <f>IF(H309="","",IF(SUMPRODUCT(--(H$10:H309=H309))=1,SUMPRODUCT(--(H$10:H$609&lt;H309))+1,""))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IFERROR(INDEX(tblY11[Class],ROWS(H$10:H310))&amp;"","")</f>
        <v/>
      </c>
      <c r="I310" t="str">
        <f>IF(H310="","",IF(SUMPRODUCT(--(H$10:H310=H310))=1,SUMPRODUCT(--(H$10:H$609&lt;H310))+1,""))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IFERROR(INDEX(tblY11[Class],ROWS(H$10:H311))&amp;"","")</f>
        <v/>
      </c>
      <c r="I311" t="str">
        <f>IF(H311="","",IF(SUMPRODUCT(--(H$10:H311=H311))=1,SUMPRODUCT(--(H$10:H$609&lt;H311))+1,""))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IFERROR(INDEX(tblY11[Class],ROWS(H$10:H312))&amp;"","")</f>
        <v/>
      </c>
      <c r="I312" t="str">
        <f>IF(H312="","",IF(SUMPRODUCT(--(H$10:H312=H312))=1,SUMPRODUCT(--(H$10:H$609&lt;H312))+1,""))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IFERROR(INDEX(tblY11[Class],ROWS(H$10:H313))&amp;"","")</f>
        <v/>
      </c>
      <c r="I313" t="str">
        <f>IF(H313="","",IF(SUMPRODUCT(--(H$10:H313=H313))=1,SUMPRODUCT(--(H$10:H$609&lt;H313))+1,""))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IFERROR(INDEX(tblY11[Class],ROWS(H$10:H314))&amp;"","")</f>
        <v/>
      </c>
      <c r="I314" t="str">
        <f>IF(H314="","",IF(SUMPRODUCT(--(H$10:H314=H314))=1,SUMPRODUCT(--(H$10:H$609&lt;H314))+1,""))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IFERROR(INDEX(tblY11[Class],ROWS(H$10:H315))&amp;"","")</f>
        <v/>
      </c>
      <c r="I315" t="str">
        <f>IF(H315="","",IF(SUMPRODUCT(--(H$10:H315=H315))=1,SUMPRODUCT(--(H$10:H$609&lt;H315))+1,""))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IFERROR(INDEX(tblY11[Class],ROWS(H$10:H316))&amp;"","")</f>
        <v/>
      </c>
      <c r="I316" t="str">
        <f>IF(H316="","",IF(SUMPRODUCT(--(H$10:H316=H316))=1,SUMPRODUCT(--(H$10:H$609&lt;H316))+1,""))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IFERROR(INDEX(tblY11[Class],ROWS(H$10:H317))&amp;"","")</f>
        <v/>
      </c>
      <c r="I317" t="str">
        <f>IF(H317="","",IF(SUMPRODUCT(--(H$10:H317=H317))=1,SUMPRODUCT(--(H$10:H$609&lt;H317))+1,""))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IFERROR(INDEX(tblY11[Class],ROWS(H$10:H318))&amp;"","")</f>
        <v/>
      </c>
      <c r="I318" t="str">
        <f>IF(H318="","",IF(SUMPRODUCT(--(H$10:H318=H318))=1,SUMPRODUCT(--(H$10:H$609&lt;H318))+1,""))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IFERROR(INDEX(tblY11[Class],ROWS(H$10:H319))&amp;"","")</f>
        <v/>
      </c>
      <c r="I319" t="str">
        <f>IF(H319="","",IF(SUMPRODUCT(--(H$10:H319=H319))=1,SUMPRODUCT(--(H$10:H$609&lt;H319))+1,""))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IFERROR(INDEX(tblY11[Class],ROWS(H$10:H320))&amp;"","")</f>
        <v/>
      </c>
      <c r="I320" t="str">
        <f>IF(H320="","",IF(SUMPRODUCT(--(H$10:H320=H320))=1,SUMPRODUCT(--(H$10:H$609&lt;H320))+1,""))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IFERROR(INDEX(tblY11[Class],ROWS(H$10:H321))&amp;"","")</f>
        <v/>
      </c>
      <c r="I321" t="str">
        <f>IF(H321="","",IF(SUMPRODUCT(--(H$10:H321=H321))=1,SUMPRODUCT(--(H$10:H$609&lt;H321))+1,""))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IFERROR(INDEX(tblY11[Class],ROWS(H$10:H322))&amp;"","")</f>
        <v/>
      </c>
      <c r="I322" t="str">
        <f>IF(H322="","",IF(SUMPRODUCT(--(H$10:H322=H322))=1,SUMPRODUCT(--(H$10:H$609&lt;H322))+1,""))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IFERROR(INDEX(tblY11[Class],ROWS(H$10:H323))&amp;"","")</f>
        <v/>
      </c>
      <c r="I323" t="str">
        <f>IF(H323="","",IF(SUMPRODUCT(--(H$10:H323=H323))=1,SUMPRODUCT(--(H$10:H$609&lt;H323))+1,""))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IFERROR(INDEX(tblY11[Class],ROWS(H$10:H324))&amp;"","")</f>
        <v/>
      </c>
      <c r="I324" t="str">
        <f>IF(H324="","",IF(SUMPRODUCT(--(H$10:H324=H324))=1,SUMPRODUCT(--(H$10:H$609&lt;H324))+1,""))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IFERROR(INDEX(tblY11[Class],ROWS(H$10:H325))&amp;"","")</f>
        <v/>
      </c>
      <c r="I325" t="str">
        <f>IF(H325="","",IF(SUMPRODUCT(--(H$10:H325=H325))=1,SUMPRODUCT(--(H$10:H$609&lt;H325))+1,""))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IFERROR(INDEX(tblY11[Class],ROWS(H$10:H326))&amp;"","")</f>
        <v/>
      </c>
      <c r="I326" t="str">
        <f>IF(H326="","",IF(SUMPRODUCT(--(H$10:H326=H326))=1,SUMPRODUCT(--(H$10:H$609&lt;H326))+1,""))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IFERROR(INDEX(tblY11[Class],ROWS(H$10:H327))&amp;"","")</f>
        <v/>
      </c>
      <c r="I327" t="str">
        <f>IF(H327="","",IF(SUMPRODUCT(--(H$10:H327=H327))=1,SUMPRODUCT(--(H$10:H$609&lt;H327))+1,""))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IFERROR(INDEX(tblY11[Class],ROWS(H$10:H328))&amp;"","")</f>
        <v/>
      </c>
      <c r="I328" t="str">
        <f>IF(H328="","",IF(SUMPRODUCT(--(H$10:H328=H328))=1,SUMPRODUCT(--(H$10:H$609&lt;H328))+1,""))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IFERROR(INDEX(tblY11[Class],ROWS(H$10:H329))&amp;"","")</f>
        <v/>
      </c>
      <c r="I329" t="str">
        <f>IF(H329="","",IF(SUMPRODUCT(--(H$10:H329=H329))=1,SUMPRODUCT(--(H$10:H$609&lt;H329))+1,""))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IFERROR(INDEX(tblY11[Class],ROWS(H$10:H330))&amp;"","")</f>
        <v/>
      </c>
      <c r="I330" t="str">
        <f>IF(H330="","",IF(SUMPRODUCT(--(H$10:H330=H330))=1,SUMPRODUCT(--(H$10:H$609&lt;H330))+1,""))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IFERROR(INDEX(tblY11[Class],ROWS(H$10:H331))&amp;"","")</f>
        <v/>
      </c>
      <c r="I331" t="str">
        <f>IF(H331="","",IF(SUMPRODUCT(--(H$10:H331=H331))=1,SUMPRODUCT(--(H$10:H$609&lt;H331))+1,""))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IFERROR(INDEX(tblY11[Class],ROWS(H$10:H332))&amp;"","")</f>
        <v/>
      </c>
      <c r="I332" t="str">
        <f>IF(H332="","",IF(SUMPRODUCT(--(H$10:H332=H332))=1,SUMPRODUCT(--(H$10:H$609&lt;H332))+1,""))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IFERROR(INDEX(tblY11[Class],ROWS(H$10:H333))&amp;"","")</f>
        <v/>
      </c>
      <c r="I333" t="str">
        <f>IF(H333="","",IF(SUMPRODUCT(--(H$10:H333=H333))=1,SUMPRODUCT(--(H$10:H$609&lt;H333))+1,""))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IFERROR(INDEX(tblY11[Class],ROWS(H$10:H334))&amp;"","")</f>
        <v/>
      </c>
      <c r="I334" t="str">
        <f>IF(H334="","",IF(SUMPRODUCT(--(H$10:H334=H334))=1,SUMPRODUCT(--(H$10:H$609&lt;H334))+1,""))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IFERROR(INDEX(tblY11[Class],ROWS(H$10:H335))&amp;"","")</f>
        <v/>
      </c>
      <c r="I335" t="str">
        <f>IF(H335="","",IF(SUMPRODUCT(--(H$10:H335=H335))=1,SUMPRODUCT(--(H$10:H$609&lt;H335))+1,""))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IFERROR(INDEX(tblY11[Class],ROWS(H$10:H336))&amp;"","")</f>
        <v/>
      </c>
      <c r="I336" t="str">
        <f>IF(H336="","",IF(SUMPRODUCT(--(H$10:H336=H336))=1,SUMPRODUCT(--(H$10:H$609&lt;H336))+1,""))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IFERROR(INDEX(tblY11[Class],ROWS(H$10:H337))&amp;"","")</f>
        <v/>
      </c>
      <c r="I337" t="str">
        <f>IF(H337="","",IF(SUMPRODUCT(--(H$10:H337=H337))=1,SUMPRODUCT(--(H$10:H$609&lt;H337))+1,""))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IFERROR(INDEX(tblY11[Class],ROWS(H$10:H338))&amp;"","")</f>
        <v/>
      </c>
      <c r="I338" t="str">
        <f>IF(H338="","",IF(SUMPRODUCT(--(H$10:H338=H338))=1,SUMPRODUCT(--(H$10:H$609&lt;H338))+1,""))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IFERROR(INDEX(tblY11[Class],ROWS(H$10:H339))&amp;"","")</f>
        <v/>
      </c>
      <c r="I339" t="str">
        <f>IF(H339="","",IF(SUMPRODUCT(--(H$10:H339=H339))=1,SUMPRODUCT(--(H$10:H$609&lt;H339))+1,""))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IFERROR(INDEX(tblY11[Class],ROWS(H$10:H340))&amp;"","")</f>
        <v/>
      </c>
      <c r="I340" t="str">
        <f>IF(H340="","",IF(SUMPRODUCT(--(H$10:H340=H340))=1,SUMPRODUCT(--(H$10:H$609&lt;H340))+1,""))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IFERROR(INDEX(tblY11[Class],ROWS(H$10:H341))&amp;"","")</f>
        <v/>
      </c>
      <c r="I341" t="str">
        <f>IF(H341="","",IF(SUMPRODUCT(--(H$10:H341=H341))=1,SUMPRODUCT(--(H$10:H$609&lt;H341))+1,""))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IFERROR(INDEX(tblY11[Class],ROWS(H$10:H342))&amp;"","")</f>
        <v/>
      </c>
      <c r="I342" t="str">
        <f>IF(H342="","",IF(SUMPRODUCT(--(H$10:H342=H342))=1,SUMPRODUCT(--(H$10:H$609&lt;H342))+1,""))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IFERROR(INDEX(tblY11[Class],ROWS(H$10:H343))&amp;"","")</f>
        <v/>
      </c>
      <c r="I343" t="str">
        <f>IF(H343="","",IF(SUMPRODUCT(--(H$10:H343=H343))=1,SUMPRODUCT(--(H$10:H$609&lt;H343))+1,""))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IFERROR(INDEX(tblY11[Class],ROWS(H$10:H344))&amp;"","")</f>
        <v/>
      </c>
      <c r="I344" t="str">
        <f>IF(H344="","",IF(SUMPRODUCT(--(H$10:H344=H344))=1,SUMPRODUCT(--(H$10:H$609&lt;H344))+1,""))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IFERROR(INDEX(tblY11[Class],ROWS(H$10:H345))&amp;"","")</f>
        <v/>
      </c>
      <c r="I345" t="str">
        <f>IF(H345="","",IF(SUMPRODUCT(--(H$10:H345=H345))=1,SUMPRODUCT(--(H$10:H$609&lt;H345))+1,""))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IFERROR(INDEX(tblY11[Class],ROWS(H$10:H346))&amp;"","")</f>
        <v/>
      </c>
      <c r="I346" t="str">
        <f>IF(H346="","",IF(SUMPRODUCT(--(H$10:H346=H346))=1,SUMPRODUCT(--(H$10:H$609&lt;H346))+1,""))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IFERROR(INDEX(tblY11[Class],ROWS(H$10:H347))&amp;"","")</f>
        <v/>
      </c>
      <c r="I347" t="str">
        <f>IF(H347="","",IF(SUMPRODUCT(--(H$10:H347=H347))=1,SUMPRODUCT(--(H$10:H$609&lt;H347))+1,""))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IFERROR(INDEX(tblY11[Class],ROWS(H$10:H348))&amp;"","")</f>
        <v/>
      </c>
      <c r="I348" t="str">
        <f>IF(H348="","",IF(SUMPRODUCT(--(H$10:H348=H348))=1,SUMPRODUCT(--(H$10:H$609&lt;H348))+1,""))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IFERROR(INDEX(tblY11[Class],ROWS(H$10:H349))&amp;"","")</f>
        <v/>
      </c>
      <c r="I349" t="str">
        <f>IF(H349="","",IF(SUMPRODUCT(--(H$10:H349=H349))=1,SUMPRODUCT(--(H$10:H$609&lt;H349))+1,""))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IFERROR(INDEX(tblY11[Class],ROWS(H$10:H350))&amp;"","")</f>
        <v/>
      </c>
      <c r="I350" t="str">
        <f>IF(H350="","",IF(SUMPRODUCT(--(H$10:H350=H350))=1,SUMPRODUCT(--(H$10:H$609&lt;H350))+1,""))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IFERROR(INDEX(tblY11[Class],ROWS(H$10:H351))&amp;"","")</f>
        <v/>
      </c>
      <c r="I351" t="str">
        <f>IF(H351="","",IF(SUMPRODUCT(--(H$10:H351=H351))=1,SUMPRODUCT(--(H$10:H$609&lt;H351))+1,""))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IFERROR(INDEX(tblY11[Class],ROWS(H$10:H352))&amp;"","")</f>
        <v/>
      </c>
      <c r="I352" t="str">
        <f>IF(H352="","",IF(SUMPRODUCT(--(H$10:H352=H352))=1,SUMPRODUCT(--(H$10:H$609&lt;H352))+1,""))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IFERROR(INDEX(tblY11[Class],ROWS(H$10:H353))&amp;"","")</f>
        <v/>
      </c>
      <c r="I353" t="str">
        <f>IF(H353="","",IF(SUMPRODUCT(--(H$10:H353=H353))=1,SUMPRODUCT(--(H$10:H$609&lt;H353))+1,""))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IFERROR(INDEX(tblY11[Class],ROWS(H$10:H354))&amp;"","")</f>
        <v/>
      </c>
      <c r="I354" t="str">
        <f>IF(H354="","",IF(SUMPRODUCT(--(H$10:H354=H354))=1,SUMPRODUCT(--(H$10:H$609&lt;H354))+1,""))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IFERROR(INDEX(tblY11[Class],ROWS(H$10:H355))&amp;"","")</f>
        <v/>
      </c>
      <c r="I355" t="str">
        <f>IF(H355="","",IF(SUMPRODUCT(--(H$10:H355=H355))=1,SUMPRODUCT(--(H$10:H$609&lt;H355))+1,""))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IFERROR(INDEX(tblY11[Class],ROWS(H$10:H356))&amp;"","")</f>
        <v/>
      </c>
      <c r="I356" t="str">
        <f>IF(H356="","",IF(SUMPRODUCT(--(H$10:H356=H356))=1,SUMPRODUCT(--(H$10:H$609&lt;H356))+1,""))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IFERROR(INDEX(tblY11[Class],ROWS(H$10:H357))&amp;"","")</f>
        <v/>
      </c>
      <c r="I357" t="str">
        <f>IF(H357="","",IF(SUMPRODUCT(--(H$10:H357=H357))=1,SUMPRODUCT(--(H$10:H$609&lt;H357))+1,""))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IFERROR(INDEX(tblY11[Class],ROWS(H$10:H358))&amp;"","")</f>
        <v/>
      </c>
      <c r="I358" t="str">
        <f>IF(H358="","",IF(SUMPRODUCT(--(H$10:H358=H358))=1,SUMPRODUCT(--(H$10:H$609&lt;H358))+1,""))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IFERROR(INDEX(tblY11[Class],ROWS(H$10:H359))&amp;"","")</f>
        <v/>
      </c>
      <c r="I359" t="str">
        <f>IF(H359="","",IF(SUMPRODUCT(--(H$10:H359=H359))=1,SUMPRODUCT(--(H$10:H$609&lt;H359))+1,""))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IFERROR(INDEX(tblY11[Class],ROWS(H$10:H360))&amp;"","")</f>
        <v/>
      </c>
      <c r="I360" t="str">
        <f>IF(H360="","",IF(SUMPRODUCT(--(H$10:H360=H360))=1,SUMPRODUCT(--(H$10:H$609&lt;H360))+1,""))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IFERROR(INDEX(tblY11[Class],ROWS(H$10:H361))&amp;"","")</f>
        <v/>
      </c>
      <c r="I361" t="str">
        <f>IF(H361="","",IF(SUMPRODUCT(--(H$10:H361=H361))=1,SUMPRODUCT(--(H$10:H$609&lt;H361))+1,""))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IFERROR(INDEX(tblY11[Class],ROWS(H$10:H362))&amp;"","")</f>
        <v/>
      </c>
      <c r="I362" t="str">
        <f>IF(H362="","",IF(SUMPRODUCT(--(H$10:H362=H362))=1,SUMPRODUCT(--(H$10:H$609&lt;H362))+1,""))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IFERROR(INDEX(tblY11[Class],ROWS(H$10:H363))&amp;"","")</f>
        <v/>
      </c>
      <c r="I363" t="str">
        <f>IF(H363="","",IF(SUMPRODUCT(--(H$10:H363=H363))=1,SUMPRODUCT(--(H$10:H$609&lt;H363))+1,""))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IFERROR(INDEX(tblY11[Class],ROWS(H$10:H364))&amp;"","")</f>
        <v/>
      </c>
      <c r="I364" t="str">
        <f>IF(H364="","",IF(SUMPRODUCT(--(H$10:H364=H364))=1,SUMPRODUCT(--(H$10:H$609&lt;H364))+1,""))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IFERROR(INDEX(tblY11[Class],ROWS(H$10:H365))&amp;"","")</f>
        <v/>
      </c>
      <c r="I365" t="str">
        <f>IF(H365="","",IF(SUMPRODUCT(--(H$10:H365=H365))=1,SUMPRODUCT(--(H$10:H$609&lt;H365))+1,""))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IFERROR(INDEX(tblY11[Class],ROWS(H$10:H366))&amp;"","")</f>
        <v/>
      </c>
      <c r="I366" t="str">
        <f>IF(H366="","",IF(SUMPRODUCT(--(H$10:H366=H366))=1,SUMPRODUCT(--(H$10:H$609&lt;H366))+1,""))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IFERROR(INDEX(tblY11[Class],ROWS(H$10:H367))&amp;"","")</f>
        <v/>
      </c>
      <c r="I367" t="str">
        <f>IF(H367="","",IF(SUMPRODUCT(--(H$10:H367=H367))=1,SUMPRODUCT(--(H$10:H$609&lt;H367))+1,""))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IFERROR(INDEX(tblY11[Class],ROWS(H$10:H368))&amp;"","")</f>
        <v/>
      </c>
      <c r="I368" t="str">
        <f>IF(H368="","",IF(SUMPRODUCT(--(H$10:H368=H368))=1,SUMPRODUCT(--(H$10:H$609&lt;H368))+1,""))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IFERROR(INDEX(tblY11[Class],ROWS(H$10:H369))&amp;"","")</f>
        <v/>
      </c>
      <c r="I369" t="str">
        <f>IF(H369="","",IF(SUMPRODUCT(--(H$10:H369=H369))=1,SUMPRODUCT(--(H$10:H$609&lt;H369))+1,""))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IFERROR(INDEX(tblY11[Class],ROWS(H$10:H370))&amp;"","")</f>
        <v/>
      </c>
      <c r="I370" t="str">
        <f>IF(H370="","",IF(SUMPRODUCT(--(H$10:H370=H370))=1,SUMPRODUCT(--(H$10:H$609&lt;H370))+1,""))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IFERROR(INDEX(tblY11[Class],ROWS(H$10:H371))&amp;"","")</f>
        <v/>
      </c>
      <c r="I371" t="str">
        <f>IF(H371="","",IF(SUMPRODUCT(--(H$10:H371=H371))=1,SUMPRODUCT(--(H$10:H$609&lt;H371))+1,""))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IFERROR(INDEX(tblY11[Class],ROWS(H$10:H372))&amp;"","")</f>
        <v/>
      </c>
      <c r="I372" t="str">
        <f>IF(H372="","",IF(SUMPRODUCT(--(H$10:H372=H372))=1,SUMPRODUCT(--(H$10:H$609&lt;H372))+1,""))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IFERROR(INDEX(tblY11[Class],ROWS(H$10:H373))&amp;"","")</f>
        <v/>
      </c>
      <c r="I373" t="str">
        <f>IF(H373="","",IF(SUMPRODUCT(--(H$10:H373=H373))=1,SUMPRODUCT(--(H$10:H$609&lt;H373))+1,""))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IFERROR(INDEX(tblY11[Class],ROWS(H$10:H374))&amp;"","")</f>
        <v/>
      </c>
      <c r="I374" t="str">
        <f>IF(H374="","",IF(SUMPRODUCT(--(H$10:H374=H374))=1,SUMPRODUCT(--(H$10:H$609&lt;H374))+1,""))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IFERROR(INDEX(tblY11[Class],ROWS(H$10:H375))&amp;"","")</f>
        <v/>
      </c>
      <c r="I375" t="str">
        <f>IF(H375="","",IF(SUMPRODUCT(--(H$10:H375=H375))=1,SUMPRODUCT(--(H$10:H$609&lt;H375))+1,""))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IFERROR(INDEX(tblY11[Class],ROWS(H$10:H376))&amp;"","")</f>
        <v/>
      </c>
      <c r="I376" t="str">
        <f>IF(H376="","",IF(SUMPRODUCT(--(H$10:H376=H376))=1,SUMPRODUCT(--(H$10:H$609&lt;H376))+1,""))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IFERROR(INDEX(tblY11[Class],ROWS(H$10:H377))&amp;"","")</f>
        <v/>
      </c>
      <c r="I377" t="str">
        <f>IF(H377="","",IF(SUMPRODUCT(--(H$10:H377=H377))=1,SUMPRODUCT(--(H$10:H$609&lt;H377))+1,""))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IFERROR(INDEX(tblY11[Class],ROWS(H$10:H378))&amp;"","")</f>
        <v/>
      </c>
      <c r="I378" t="str">
        <f>IF(H378="","",IF(SUMPRODUCT(--(H$10:H378=H378))=1,SUMPRODUCT(--(H$10:H$609&lt;H378))+1,""))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IFERROR(INDEX(tblY11[Class],ROWS(H$10:H379))&amp;"","")</f>
        <v/>
      </c>
      <c r="I379" t="str">
        <f>IF(H379="","",IF(SUMPRODUCT(--(H$10:H379=H379))=1,SUMPRODUCT(--(H$10:H$609&lt;H379))+1,""))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IFERROR(INDEX(tblY11[Class],ROWS(H$10:H380))&amp;"","")</f>
        <v/>
      </c>
      <c r="I380" t="str">
        <f>IF(H380="","",IF(SUMPRODUCT(--(H$10:H380=H380))=1,SUMPRODUCT(--(H$10:H$609&lt;H380))+1,""))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IFERROR(INDEX(tblY11[Class],ROWS(H$10:H381))&amp;"","")</f>
        <v/>
      </c>
      <c r="I381" t="str">
        <f>IF(H381="","",IF(SUMPRODUCT(--(H$10:H381=H381))=1,SUMPRODUCT(--(H$10:H$609&lt;H381))+1,""))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IFERROR(INDEX(tblY11[Class],ROWS(H$10:H382))&amp;"","")</f>
        <v/>
      </c>
      <c r="I382" t="str">
        <f>IF(H382="","",IF(SUMPRODUCT(--(H$10:H382=H382))=1,SUMPRODUCT(--(H$10:H$609&lt;H382))+1,""))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IFERROR(INDEX(tblY11[Class],ROWS(H$10:H383))&amp;"","")</f>
        <v/>
      </c>
      <c r="I383" t="str">
        <f>IF(H383="","",IF(SUMPRODUCT(--(H$10:H383=H383))=1,SUMPRODUCT(--(H$10:H$609&lt;H383))+1,""))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IFERROR(INDEX(tblY11[Class],ROWS(H$10:H384))&amp;"","")</f>
        <v/>
      </c>
      <c r="I384" t="str">
        <f>IF(H384="","",IF(SUMPRODUCT(--(H$10:H384=H384))=1,SUMPRODUCT(--(H$10:H$609&lt;H384))+1,""))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IFERROR(INDEX(tblY11[Class],ROWS(H$10:H385))&amp;"","")</f>
        <v/>
      </c>
      <c r="I385" t="str">
        <f>IF(H385="","",IF(SUMPRODUCT(--(H$10:H385=H385))=1,SUMPRODUCT(--(H$10:H$609&lt;H385))+1,""))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IFERROR(INDEX(tblY11[Class],ROWS(H$10:H386))&amp;"","")</f>
        <v/>
      </c>
      <c r="I386" t="str">
        <f>IF(H386="","",IF(SUMPRODUCT(--(H$10:H386=H386))=1,SUMPRODUCT(--(H$10:H$609&lt;H386))+1,""))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IFERROR(INDEX(tblY11[Class],ROWS(H$10:H387))&amp;"","")</f>
        <v/>
      </c>
      <c r="I387" t="str">
        <f>IF(H387="","",IF(SUMPRODUCT(--(H$10:H387=H387))=1,SUMPRODUCT(--(H$10:H$609&lt;H387))+1,""))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IFERROR(INDEX(tblY11[Class],ROWS(H$10:H388))&amp;"","")</f>
        <v/>
      </c>
      <c r="I388" t="str">
        <f>IF(H388="","",IF(SUMPRODUCT(--(H$10:H388=H388))=1,SUMPRODUCT(--(H$10:H$609&lt;H388))+1,""))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IFERROR(INDEX(tblY11[Class],ROWS(H$10:H389))&amp;"","")</f>
        <v/>
      </c>
      <c r="I389" t="str">
        <f>IF(H389="","",IF(SUMPRODUCT(--(H$10:H389=H389))=1,SUMPRODUCT(--(H$10:H$609&lt;H389))+1,""))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IFERROR(INDEX(tblY11[Class],ROWS(H$10:H390))&amp;"","")</f>
        <v/>
      </c>
      <c r="I390" t="str">
        <f>IF(H390="","",IF(SUMPRODUCT(--(H$10:H390=H390))=1,SUMPRODUCT(--(H$10:H$609&lt;H390))+1,""))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IFERROR(INDEX(tblY11[Class],ROWS(H$10:H391))&amp;"","")</f>
        <v/>
      </c>
      <c r="I391" t="str">
        <f>IF(H391="","",IF(SUMPRODUCT(--(H$10:H391=H391))=1,SUMPRODUCT(--(H$10:H$609&lt;H391))+1,""))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IFERROR(INDEX(tblY11[Class],ROWS(H$10:H392))&amp;"","")</f>
        <v/>
      </c>
      <c r="I392" t="str">
        <f>IF(H392="","",IF(SUMPRODUCT(--(H$10:H392=H392))=1,SUMPRODUCT(--(H$10:H$609&lt;H392))+1,""))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IFERROR(INDEX(tblY11[Class],ROWS(H$10:H393))&amp;"","")</f>
        <v/>
      </c>
      <c r="I393" t="str">
        <f>IF(H393="","",IF(SUMPRODUCT(--(H$10:H393=H393))=1,SUMPRODUCT(--(H$10:H$609&lt;H393))+1,""))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IFERROR(INDEX(tblY11[Class],ROWS(H$10:H394))&amp;"","")</f>
        <v/>
      </c>
      <c r="I394" t="str">
        <f>IF(H394="","",IF(SUMPRODUCT(--(H$10:H394=H394))=1,SUMPRODUCT(--(H$10:H$609&lt;H394))+1,""))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IFERROR(INDEX(tblY11[Class],ROWS(H$10:H395))&amp;"","")</f>
        <v/>
      </c>
      <c r="I395" t="str">
        <f>IF(H395="","",IF(SUMPRODUCT(--(H$10:H395=H395))=1,SUMPRODUCT(--(H$10:H$609&lt;H395))+1,""))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IFERROR(INDEX(tblY11[Class],ROWS(H$10:H396))&amp;"","")</f>
        <v/>
      </c>
      <c r="I396" t="str">
        <f>IF(H396="","",IF(SUMPRODUCT(--(H$10:H396=H396))=1,SUMPRODUCT(--(H$10:H$609&lt;H396))+1,""))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IFERROR(INDEX(tblY11[Class],ROWS(H$10:H397))&amp;"","")</f>
        <v/>
      </c>
      <c r="I397" t="str">
        <f>IF(H397="","",IF(SUMPRODUCT(--(H$10:H397=H397))=1,SUMPRODUCT(--(H$10:H$609&lt;H397))+1,""))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IFERROR(INDEX(tblY11[Class],ROWS(H$10:H398))&amp;"","")</f>
        <v/>
      </c>
      <c r="I398" t="str">
        <f>IF(H398="","",IF(SUMPRODUCT(--(H$10:H398=H398))=1,SUMPRODUCT(--(H$10:H$609&lt;H398))+1,""))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IFERROR(INDEX(tblY11[Class],ROWS(H$10:H399))&amp;"","")</f>
        <v/>
      </c>
      <c r="I399" t="str">
        <f>IF(H399="","",IF(SUMPRODUCT(--(H$10:H399=H399))=1,SUMPRODUCT(--(H$10:H$609&lt;H399))+1,""))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IFERROR(INDEX(tblY11[Class],ROWS(H$10:H400))&amp;"","")</f>
        <v/>
      </c>
      <c r="I400" t="str">
        <f>IF(H400="","",IF(SUMPRODUCT(--(H$10:H400=H400))=1,SUMPRODUCT(--(H$10:H$609&lt;H400))+1,""))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IFERROR(INDEX(tblY11[Class],ROWS(H$10:H401))&amp;"","")</f>
        <v/>
      </c>
      <c r="I401" t="str">
        <f>IF(H401="","",IF(SUMPRODUCT(--(H$10:H401=H401))=1,SUMPRODUCT(--(H$10:H$609&lt;H401))+1,""))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IFERROR(INDEX(tblY11[Class],ROWS(H$10:H402))&amp;"","")</f>
        <v/>
      </c>
      <c r="I402" t="str">
        <f>IF(H402="","",IF(SUMPRODUCT(--(H$10:H402=H402))=1,SUMPRODUCT(--(H$10:H$609&lt;H402))+1,""))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IFERROR(INDEX(tblY11[Class],ROWS(H$10:H403))&amp;"","")</f>
        <v/>
      </c>
      <c r="I403" t="str">
        <f>IF(H403="","",IF(SUMPRODUCT(--(H$10:H403=H403))=1,SUMPRODUCT(--(H$10:H$609&lt;H403))+1,""))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IFERROR(INDEX(tblY11[Class],ROWS(H$10:H404))&amp;"","")</f>
        <v/>
      </c>
      <c r="I404" t="str">
        <f>IF(H404="","",IF(SUMPRODUCT(--(H$10:H404=H404))=1,SUMPRODUCT(--(H$10:H$609&lt;H404))+1,""))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IFERROR(INDEX(tblY11[Class],ROWS(H$10:H405))&amp;"","")</f>
        <v/>
      </c>
      <c r="I405" t="str">
        <f>IF(H405="","",IF(SUMPRODUCT(--(H$10:H405=H405))=1,SUMPRODUCT(--(H$10:H$609&lt;H405))+1,""))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IFERROR(INDEX(tblY11[Class],ROWS(H$10:H406))&amp;"","")</f>
        <v/>
      </c>
      <c r="I406" t="str">
        <f>IF(H406="","",IF(SUMPRODUCT(--(H$10:H406=H406))=1,SUMPRODUCT(--(H$10:H$609&lt;H406))+1,""))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IFERROR(INDEX(tblY11[Class],ROWS(H$10:H407))&amp;"","")</f>
        <v/>
      </c>
      <c r="I407" t="str">
        <f>IF(H407="","",IF(SUMPRODUCT(--(H$10:H407=H407))=1,SUMPRODUCT(--(H$10:H$609&lt;H407))+1,""))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IFERROR(INDEX(tblY11[Class],ROWS(H$10:H408))&amp;"","")</f>
        <v/>
      </c>
      <c r="I408" t="str">
        <f>IF(H408="","",IF(SUMPRODUCT(--(H$10:H408=H408))=1,SUMPRODUCT(--(H$10:H$609&lt;H408))+1,""))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IFERROR(INDEX(tblY11[Class],ROWS(H$10:H409))&amp;"","")</f>
        <v/>
      </c>
      <c r="I409" t="str">
        <f>IF(H409="","",IF(SUMPRODUCT(--(H$10:H409=H409))=1,SUMPRODUCT(--(H$10:H$609&lt;H409))+1,""))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IFERROR(INDEX(tblY11[Class],ROWS(H$10:H410))&amp;"","")</f>
        <v/>
      </c>
      <c r="I410" t="str">
        <f>IF(H410="","",IF(SUMPRODUCT(--(H$10:H410=H410))=1,SUMPRODUCT(--(H$10:H$609&lt;H410))+1,""))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IFERROR(INDEX(tblY11[Class],ROWS(H$10:H411))&amp;"","")</f>
        <v/>
      </c>
      <c r="I411" t="str">
        <f>IF(H411="","",IF(SUMPRODUCT(--(H$10:H411=H411))=1,SUMPRODUCT(--(H$10:H$609&lt;H411))+1,""))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IFERROR(INDEX(tblY11[Class],ROWS(H$10:H412))&amp;"","")</f>
        <v/>
      </c>
      <c r="I412" t="str">
        <f>IF(H412="","",IF(SUMPRODUCT(--(H$10:H412=H412))=1,SUMPRODUCT(--(H$10:H$609&lt;H412))+1,""))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IFERROR(INDEX(tblY11[Class],ROWS(H$10:H413))&amp;"","")</f>
        <v/>
      </c>
      <c r="I413" t="str">
        <f>IF(H413="","",IF(SUMPRODUCT(--(H$10:H413=H413))=1,SUMPRODUCT(--(H$10:H$609&lt;H413))+1,""))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IFERROR(INDEX(tblY11[Class],ROWS(H$10:H414))&amp;"","")</f>
        <v/>
      </c>
      <c r="I414" t="str">
        <f>IF(H414="","",IF(SUMPRODUCT(--(H$10:H414=H414))=1,SUMPRODUCT(--(H$10:H$609&lt;H414))+1,""))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IFERROR(INDEX(tblY11[Class],ROWS(H$10:H415))&amp;"","")</f>
        <v/>
      </c>
      <c r="I415" t="str">
        <f>IF(H415="","",IF(SUMPRODUCT(--(H$10:H415=H415))=1,SUMPRODUCT(--(H$10:H$609&lt;H415))+1,""))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IFERROR(INDEX(tblY11[Class],ROWS(H$10:H416))&amp;"","")</f>
        <v/>
      </c>
      <c r="I416" t="str">
        <f>IF(H416="","",IF(SUMPRODUCT(--(H$10:H416=H416))=1,SUMPRODUCT(--(H$10:H$609&lt;H416))+1,""))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IFERROR(INDEX(tblY11[Class],ROWS(H$10:H417))&amp;"","")</f>
        <v/>
      </c>
      <c r="I417" t="str">
        <f>IF(H417="","",IF(SUMPRODUCT(--(H$10:H417=H417))=1,SUMPRODUCT(--(H$10:H$609&lt;H417))+1,""))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IFERROR(INDEX(tblY11[Class],ROWS(H$10:H418))&amp;"","")</f>
        <v/>
      </c>
      <c r="I418" t="str">
        <f>IF(H418="","",IF(SUMPRODUCT(--(H$10:H418=H418))=1,SUMPRODUCT(--(H$10:H$609&lt;H418))+1,""))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IFERROR(INDEX(tblY11[Class],ROWS(H$10:H419))&amp;"","")</f>
        <v/>
      </c>
      <c r="I419" t="str">
        <f>IF(H419="","",IF(SUMPRODUCT(--(H$10:H419=H419))=1,SUMPRODUCT(--(H$10:H$609&lt;H419))+1,""))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IFERROR(INDEX(tblY11[Class],ROWS(H$10:H420))&amp;"","")</f>
        <v/>
      </c>
      <c r="I420" t="str">
        <f>IF(H420="","",IF(SUMPRODUCT(--(H$10:H420=H420))=1,SUMPRODUCT(--(H$10:H$609&lt;H420))+1,""))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IFERROR(INDEX(tblY11[Class],ROWS(H$10:H421))&amp;"","")</f>
        <v/>
      </c>
      <c r="I421" t="str">
        <f>IF(H421="","",IF(SUMPRODUCT(--(H$10:H421=H421))=1,SUMPRODUCT(--(H$10:H$609&lt;H421))+1,""))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IFERROR(INDEX(tblY11[Class],ROWS(H$10:H422))&amp;"","")</f>
        <v/>
      </c>
      <c r="I422" t="str">
        <f>IF(H422="","",IF(SUMPRODUCT(--(H$10:H422=H422))=1,SUMPRODUCT(--(H$10:H$609&lt;H422))+1,""))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IFERROR(INDEX(tblY11[Class],ROWS(H$10:H423))&amp;"","")</f>
        <v/>
      </c>
      <c r="I423" t="str">
        <f>IF(H423="","",IF(SUMPRODUCT(--(H$10:H423=H423))=1,SUMPRODUCT(--(H$10:H$609&lt;H423))+1,""))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IFERROR(INDEX(tblY11[Class],ROWS(H$10:H424))&amp;"","")</f>
        <v/>
      </c>
      <c r="I424" t="str">
        <f>IF(H424="","",IF(SUMPRODUCT(--(H$10:H424=H424))=1,SUMPRODUCT(--(H$10:H$609&lt;H424))+1,""))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IFERROR(INDEX(tblY11[Class],ROWS(H$10:H425))&amp;"","")</f>
        <v/>
      </c>
      <c r="I425" t="str">
        <f>IF(H425="","",IF(SUMPRODUCT(--(H$10:H425=H425))=1,SUMPRODUCT(--(H$10:H$609&lt;H425))+1,""))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IFERROR(INDEX(tblY11[Class],ROWS(H$10:H426))&amp;"","")</f>
        <v/>
      </c>
      <c r="I426" t="str">
        <f>IF(H426="","",IF(SUMPRODUCT(--(H$10:H426=H426))=1,SUMPRODUCT(--(H$10:H$609&lt;H426))+1,""))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IFERROR(INDEX(tblY11[Class],ROWS(H$10:H427))&amp;"","")</f>
        <v/>
      </c>
      <c r="I427" t="str">
        <f>IF(H427="","",IF(SUMPRODUCT(--(H$10:H427=H427))=1,SUMPRODUCT(--(H$10:H$609&lt;H427))+1,""))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IFERROR(INDEX(tblY11[Class],ROWS(H$10:H428))&amp;"","")</f>
        <v/>
      </c>
      <c r="I428" t="str">
        <f>IF(H428="","",IF(SUMPRODUCT(--(H$10:H428=H428))=1,SUMPRODUCT(--(H$10:H$609&lt;H428))+1,""))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IFERROR(INDEX(tblY11[Class],ROWS(H$10:H429))&amp;"","")</f>
        <v/>
      </c>
      <c r="I429" t="str">
        <f>IF(H429="","",IF(SUMPRODUCT(--(H$10:H429=H429))=1,SUMPRODUCT(--(H$10:H$609&lt;H429))+1,""))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IFERROR(INDEX(tblY11[Class],ROWS(H$10:H430))&amp;"","")</f>
        <v/>
      </c>
      <c r="I430" t="str">
        <f>IF(H430="","",IF(SUMPRODUCT(--(H$10:H430=H430))=1,SUMPRODUCT(--(H$10:H$609&lt;H430))+1,""))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IFERROR(INDEX(tblY11[Class],ROWS(H$10:H431))&amp;"","")</f>
        <v/>
      </c>
      <c r="I431" t="str">
        <f>IF(H431="","",IF(SUMPRODUCT(--(H$10:H431=H431))=1,SUMPRODUCT(--(H$10:H$609&lt;H431))+1,""))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IFERROR(INDEX(tblY11[Class],ROWS(H$10:H432))&amp;"","")</f>
        <v/>
      </c>
      <c r="I432" t="str">
        <f>IF(H432="","",IF(SUMPRODUCT(--(H$10:H432=H432))=1,SUMPRODUCT(--(H$10:H$609&lt;H432))+1,""))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IFERROR(INDEX(tblY11[Class],ROWS(H$10:H433))&amp;"","")</f>
        <v/>
      </c>
      <c r="I433" t="str">
        <f>IF(H433="","",IF(SUMPRODUCT(--(H$10:H433=H433))=1,SUMPRODUCT(--(H$10:H$609&lt;H433))+1,""))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IFERROR(INDEX(tblY11[Class],ROWS(H$10:H434))&amp;"","")</f>
        <v/>
      </c>
      <c r="I434" t="str">
        <f>IF(H434="","",IF(SUMPRODUCT(--(H$10:H434=H434))=1,SUMPRODUCT(--(H$10:H$609&lt;H434))+1,""))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IFERROR(INDEX(tblY11[Class],ROWS(H$10:H435))&amp;"","")</f>
        <v/>
      </c>
      <c r="I435" t="str">
        <f>IF(H435="","",IF(SUMPRODUCT(--(H$10:H435=H435))=1,SUMPRODUCT(--(H$10:H$609&lt;H435))+1,""))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IFERROR(INDEX(tblY11[Class],ROWS(H$10:H436))&amp;"","")</f>
        <v/>
      </c>
      <c r="I436" t="str">
        <f>IF(H436="","",IF(SUMPRODUCT(--(H$10:H436=H436))=1,SUMPRODUCT(--(H$10:H$609&lt;H436))+1,""))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IFERROR(INDEX(tblY11[Class],ROWS(H$10:H437))&amp;"","")</f>
        <v/>
      </c>
      <c r="I437" t="str">
        <f>IF(H437="","",IF(SUMPRODUCT(--(H$10:H437=H437))=1,SUMPRODUCT(--(H$10:H$609&lt;H437))+1,""))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IFERROR(INDEX(tblY11[Class],ROWS(H$10:H438))&amp;"","")</f>
        <v/>
      </c>
      <c r="I438" t="str">
        <f>IF(H438="","",IF(SUMPRODUCT(--(H$10:H438=H438))=1,SUMPRODUCT(--(H$10:H$609&lt;H438))+1,""))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IFERROR(INDEX(tblY11[Class],ROWS(H$10:H439))&amp;"","")</f>
        <v/>
      </c>
      <c r="I439" t="str">
        <f>IF(H439="","",IF(SUMPRODUCT(--(H$10:H439=H439))=1,SUMPRODUCT(--(H$10:H$609&lt;H439))+1,""))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IFERROR(INDEX(tblY11[Class],ROWS(H$10:H440))&amp;"","")</f>
        <v/>
      </c>
      <c r="I440" t="str">
        <f>IF(H440="","",IF(SUMPRODUCT(--(H$10:H440=H440))=1,SUMPRODUCT(--(H$10:H$609&lt;H440))+1,""))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IFERROR(INDEX(tblY11[Class],ROWS(H$10:H441))&amp;"","")</f>
        <v/>
      </c>
      <c r="I441" t="str">
        <f>IF(H441="","",IF(SUMPRODUCT(--(H$10:H441=H441))=1,SUMPRODUCT(--(H$10:H$609&lt;H441))+1,""))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IFERROR(INDEX(tblY11[Class],ROWS(H$10:H442))&amp;"","")</f>
        <v/>
      </c>
      <c r="I442" t="str">
        <f>IF(H442="","",IF(SUMPRODUCT(--(H$10:H442=H442))=1,SUMPRODUCT(--(H$10:H$609&lt;H442))+1,""))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IFERROR(INDEX(tblY11[Class],ROWS(H$10:H443))&amp;"","")</f>
        <v/>
      </c>
      <c r="I443" t="str">
        <f>IF(H443="","",IF(SUMPRODUCT(--(H$10:H443=H443))=1,SUMPRODUCT(--(H$10:H$609&lt;H443))+1,""))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IFERROR(INDEX(tblY11[Class],ROWS(H$10:H444))&amp;"","")</f>
        <v/>
      </c>
      <c r="I444" t="str">
        <f>IF(H444="","",IF(SUMPRODUCT(--(H$10:H444=H444))=1,SUMPRODUCT(--(H$10:H$609&lt;H444))+1,""))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IFERROR(INDEX(tblY11[Class],ROWS(H$10:H445))&amp;"","")</f>
        <v/>
      </c>
      <c r="I445" t="str">
        <f>IF(H445="","",IF(SUMPRODUCT(--(H$10:H445=H445))=1,SUMPRODUCT(--(H$10:H$609&lt;H445))+1,""))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IFERROR(INDEX(tblY11[Class],ROWS(H$10:H446))&amp;"","")</f>
        <v/>
      </c>
      <c r="I446" t="str">
        <f>IF(H446="","",IF(SUMPRODUCT(--(H$10:H446=H446))=1,SUMPRODUCT(--(H$10:H$609&lt;H446))+1,""))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IFERROR(INDEX(tblY11[Class],ROWS(H$10:H447))&amp;"","")</f>
        <v/>
      </c>
      <c r="I447" t="str">
        <f>IF(H447="","",IF(SUMPRODUCT(--(H$10:H447=H447))=1,SUMPRODUCT(--(H$10:H$609&lt;H447))+1,""))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IFERROR(INDEX(tblY11[Class],ROWS(H$10:H448))&amp;"","")</f>
        <v/>
      </c>
      <c r="I448" t="str">
        <f>IF(H448="","",IF(SUMPRODUCT(--(H$10:H448=H448))=1,SUMPRODUCT(--(H$10:H$609&lt;H448))+1,""))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IFERROR(INDEX(tblY11[Class],ROWS(H$10:H449))&amp;"","")</f>
        <v/>
      </c>
      <c r="I449" t="str">
        <f>IF(H449="","",IF(SUMPRODUCT(--(H$10:H449=H449))=1,SUMPRODUCT(--(H$10:H$609&lt;H449))+1,""))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IFERROR(INDEX(tblY11[Class],ROWS(H$10:H450))&amp;"","")</f>
        <v/>
      </c>
      <c r="I450" t="str">
        <f>IF(H450="","",IF(SUMPRODUCT(--(H$10:H450=H450))=1,SUMPRODUCT(--(H$10:H$609&lt;H450))+1,""))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IFERROR(INDEX(tblY11[Class],ROWS(H$10:H451))&amp;"","")</f>
        <v/>
      </c>
      <c r="I451" t="str">
        <f>IF(H451="","",IF(SUMPRODUCT(--(H$10:H451=H451))=1,SUMPRODUCT(--(H$10:H$609&lt;H451))+1,""))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IFERROR(INDEX(tblY11[Class],ROWS(H$10:H452))&amp;"","")</f>
        <v/>
      </c>
      <c r="I452" t="str">
        <f>IF(H452="","",IF(SUMPRODUCT(--(H$10:H452=H452))=1,SUMPRODUCT(--(H$10:H$609&lt;H452))+1,""))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IFERROR(INDEX(tblY11[Class],ROWS(H$10:H453))&amp;"","")</f>
        <v/>
      </c>
      <c r="I453" t="str">
        <f>IF(H453="","",IF(SUMPRODUCT(--(H$10:H453=H453))=1,SUMPRODUCT(--(H$10:H$609&lt;H453))+1,""))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IFERROR(INDEX(tblY11[Class],ROWS(H$10:H454))&amp;"","")</f>
        <v/>
      </c>
      <c r="I454" t="str">
        <f>IF(H454="","",IF(SUMPRODUCT(--(H$10:H454=H454))=1,SUMPRODUCT(--(H$10:H$609&lt;H454))+1,""))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IFERROR(INDEX(tblY11[Class],ROWS(H$10:H455))&amp;"","")</f>
        <v/>
      </c>
      <c r="I455" t="str">
        <f>IF(H455="","",IF(SUMPRODUCT(--(H$10:H455=H455))=1,SUMPRODUCT(--(H$10:H$609&lt;H455))+1,""))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IFERROR(INDEX(tblY11[Class],ROWS(H$10:H456))&amp;"","")</f>
        <v/>
      </c>
      <c r="I456" t="str">
        <f>IF(H456="","",IF(SUMPRODUCT(--(H$10:H456=H456))=1,SUMPRODUCT(--(H$10:H$609&lt;H456))+1,""))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IFERROR(INDEX(tblY11[Class],ROWS(H$10:H457))&amp;"","")</f>
        <v/>
      </c>
      <c r="I457" t="str">
        <f>IF(H457="","",IF(SUMPRODUCT(--(H$10:H457=H457))=1,SUMPRODUCT(--(H$10:H$609&lt;H457))+1,""))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IFERROR(INDEX(tblY11[Class],ROWS(H$10:H458))&amp;"","")</f>
        <v/>
      </c>
      <c r="I458" t="str">
        <f>IF(H458="","",IF(SUMPRODUCT(--(H$10:H458=H458))=1,SUMPRODUCT(--(H$10:H$609&lt;H458))+1,""))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IFERROR(INDEX(tblY11[Class],ROWS(H$10:H459))&amp;"","")</f>
        <v/>
      </c>
      <c r="I459" t="str">
        <f>IF(H459="","",IF(SUMPRODUCT(--(H$10:H459=H459))=1,SUMPRODUCT(--(H$10:H$609&lt;H459))+1,""))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IFERROR(INDEX(tblY11[Class],ROWS(H$10:H460))&amp;"","")</f>
        <v/>
      </c>
      <c r="I460" t="str">
        <f>IF(H460="","",IF(SUMPRODUCT(--(H$10:H460=H460))=1,SUMPRODUCT(--(H$10:H$609&lt;H460))+1,""))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IFERROR(INDEX(tblY11[Class],ROWS(H$10:H461))&amp;"","")</f>
        <v/>
      </c>
      <c r="I461" t="str">
        <f>IF(H461="","",IF(SUMPRODUCT(--(H$10:H461=H461))=1,SUMPRODUCT(--(H$10:H$609&lt;H461))+1,""))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IFERROR(INDEX(tblY11[Class],ROWS(H$10:H462))&amp;"","")</f>
        <v/>
      </c>
      <c r="I462" t="str">
        <f>IF(H462="","",IF(SUMPRODUCT(--(H$10:H462=H462))=1,SUMPRODUCT(--(H$10:H$609&lt;H462))+1,""))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IFERROR(INDEX(tblY11[Class],ROWS(H$10:H463))&amp;"","")</f>
        <v/>
      </c>
      <c r="I463" t="str">
        <f>IF(H463="","",IF(SUMPRODUCT(--(H$10:H463=H463))=1,SUMPRODUCT(--(H$10:H$609&lt;H463))+1,""))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IFERROR(INDEX(tblY11[Class],ROWS(H$10:H464))&amp;"","")</f>
        <v/>
      </c>
      <c r="I464" t="str">
        <f>IF(H464="","",IF(SUMPRODUCT(--(H$10:H464=H464))=1,SUMPRODUCT(--(H$10:H$609&lt;H464))+1,""))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IFERROR(INDEX(tblY11[Class],ROWS(H$10:H465))&amp;"","")</f>
        <v/>
      </c>
      <c r="I465" t="str">
        <f>IF(H465="","",IF(SUMPRODUCT(--(H$10:H465=H465))=1,SUMPRODUCT(--(H$10:H$609&lt;H465))+1,""))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IFERROR(INDEX(tblY11[Class],ROWS(H$10:H466))&amp;"","")</f>
        <v/>
      </c>
      <c r="I466" t="str">
        <f>IF(H466="","",IF(SUMPRODUCT(--(H$10:H466=H466))=1,SUMPRODUCT(--(H$10:H$609&lt;H466))+1,""))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IFERROR(INDEX(tblY11[Class],ROWS(H$10:H467))&amp;"","")</f>
        <v/>
      </c>
      <c r="I467" t="str">
        <f>IF(H467="","",IF(SUMPRODUCT(--(H$10:H467=H467))=1,SUMPRODUCT(--(H$10:H$609&lt;H467))+1,""))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IFERROR(INDEX(tblY11[Class],ROWS(H$10:H468))&amp;"","")</f>
        <v/>
      </c>
      <c r="I468" t="str">
        <f>IF(H468="","",IF(SUMPRODUCT(--(H$10:H468=H468))=1,SUMPRODUCT(--(H$10:H$609&lt;H468))+1,""))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IFERROR(INDEX(tblY11[Class],ROWS(H$10:H469))&amp;"","")</f>
        <v/>
      </c>
      <c r="I469" t="str">
        <f>IF(H469="","",IF(SUMPRODUCT(--(H$10:H469=H469))=1,SUMPRODUCT(--(H$10:H$609&lt;H469))+1,""))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IFERROR(INDEX(tblY11[Class],ROWS(H$10:H470))&amp;"","")</f>
        <v/>
      </c>
      <c r="I470" t="str">
        <f>IF(H470="","",IF(SUMPRODUCT(--(H$10:H470=H470))=1,SUMPRODUCT(--(H$10:H$609&lt;H470))+1,""))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IFERROR(INDEX(tblY11[Class],ROWS(H$10:H471))&amp;"","")</f>
        <v/>
      </c>
      <c r="I471" t="str">
        <f>IF(H471="","",IF(SUMPRODUCT(--(H$10:H471=H471))=1,SUMPRODUCT(--(H$10:H$609&lt;H471))+1,""))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IFERROR(INDEX(tblY11[Class],ROWS(H$10:H472))&amp;"","")</f>
        <v/>
      </c>
      <c r="I472" t="str">
        <f>IF(H472="","",IF(SUMPRODUCT(--(H$10:H472=H472))=1,SUMPRODUCT(--(H$10:H$609&lt;H472))+1,""))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IFERROR(INDEX(tblY11[Class],ROWS(H$10:H473))&amp;"","")</f>
        <v/>
      </c>
      <c r="I473" t="str">
        <f>IF(H473="","",IF(SUMPRODUCT(--(H$10:H473=H473))=1,SUMPRODUCT(--(H$10:H$609&lt;H473))+1,""))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IFERROR(INDEX(tblY11[Class],ROWS(H$10:H474))&amp;"","")</f>
        <v/>
      </c>
      <c r="I474" t="str">
        <f>IF(H474="","",IF(SUMPRODUCT(--(H$10:H474=H474))=1,SUMPRODUCT(--(H$10:H$609&lt;H474))+1,""))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IFERROR(INDEX(tblY11[Class],ROWS(H$10:H475))&amp;"","")</f>
        <v/>
      </c>
      <c r="I475" t="str">
        <f>IF(H475="","",IF(SUMPRODUCT(--(H$10:H475=H475))=1,SUMPRODUCT(--(H$10:H$609&lt;H475))+1,""))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IFERROR(INDEX(tblY11[Class],ROWS(H$10:H476))&amp;"","")</f>
        <v/>
      </c>
      <c r="I476" t="str">
        <f>IF(H476="","",IF(SUMPRODUCT(--(H$10:H476=H476))=1,SUMPRODUCT(--(H$10:H$609&lt;H476))+1,""))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IFERROR(INDEX(tblY11[Class],ROWS(H$10:H477))&amp;"","")</f>
        <v/>
      </c>
      <c r="I477" t="str">
        <f>IF(H477="","",IF(SUMPRODUCT(--(H$10:H477=H477))=1,SUMPRODUCT(--(H$10:H$609&lt;H477))+1,""))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IFERROR(INDEX(tblY11[Class],ROWS(H$10:H478))&amp;"","")</f>
        <v/>
      </c>
      <c r="I478" t="str">
        <f>IF(H478="","",IF(SUMPRODUCT(--(H$10:H478=H478))=1,SUMPRODUCT(--(H$10:H$609&lt;H478))+1,""))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IFERROR(INDEX(tblY11[Class],ROWS(H$10:H479))&amp;"","")</f>
        <v/>
      </c>
      <c r="I479" t="str">
        <f>IF(H479="","",IF(SUMPRODUCT(--(H$10:H479=H479))=1,SUMPRODUCT(--(H$10:H$609&lt;H479))+1,""))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IFERROR(INDEX(tblY11[Class],ROWS(H$10:H480))&amp;"","")</f>
        <v/>
      </c>
      <c r="I480" t="str">
        <f>IF(H480="","",IF(SUMPRODUCT(--(H$10:H480=H480))=1,SUMPRODUCT(--(H$10:H$609&lt;H480))+1,""))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IFERROR(INDEX(tblY11[Class],ROWS(H$10:H481))&amp;"","")</f>
        <v/>
      </c>
      <c r="I481" t="str">
        <f>IF(H481="","",IF(SUMPRODUCT(--(H$10:H481=H481))=1,SUMPRODUCT(--(H$10:H$609&lt;H481))+1,""))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IFERROR(INDEX(tblY11[Class],ROWS(H$10:H482))&amp;"","")</f>
        <v/>
      </c>
      <c r="I482" t="str">
        <f>IF(H482="","",IF(SUMPRODUCT(--(H$10:H482=H482))=1,SUMPRODUCT(--(H$10:H$609&lt;H482))+1,""))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IFERROR(INDEX(tblY11[Class],ROWS(H$10:H483))&amp;"","")</f>
        <v/>
      </c>
      <c r="I483" t="str">
        <f>IF(H483="","",IF(SUMPRODUCT(--(H$10:H483=H483))=1,SUMPRODUCT(--(H$10:H$609&lt;H483))+1,""))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IFERROR(INDEX(tblY11[Class],ROWS(H$10:H484))&amp;"","")</f>
        <v/>
      </c>
      <c r="I484" t="str">
        <f>IF(H484="","",IF(SUMPRODUCT(--(H$10:H484=H484))=1,SUMPRODUCT(--(H$10:H$609&lt;H484))+1,""))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IFERROR(INDEX(tblY11[Class],ROWS(H$10:H485))&amp;"","")</f>
        <v/>
      </c>
      <c r="I485" t="str">
        <f>IF(H485="","",IF(SUMPRODUCT(--(H$10:H485=H485))=1,SUMPRODUCT(--(H$10:H$609&lt;H485))+1,""))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IFERROR(INDEX(tblY11[Class],ROWS(H$10:H486))&amp;"","")</f>
        <v/>
      </c>
      <c r="I486" t="str">
        <f>IF(H486="","",IF(SUMPRODUCT(--(H$10:H486=H486))=1,SUMPRODUCT(--(H$10:H$609&lt;H486))+1,""))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IFERROR(INDEX(tblY11[Class],ROWS(H$10:H487))&amp;"","")</f>
        <v/>
      </c>
      <c r="I487" t="str">
        <f>IF(H487="","",IF(SUMPRODUCT(--(H$10:H487=H487))=1,SUMPRODUCT(--(H$10:H$609&lt;H487))+1,""))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IFERROR(INDEX(tblY11[Class],ROWS(H$10:H488))&amp;"","")</f>
        <v/>
      </c>
      <c r="I488" t="str">
        <f>IF(H488="","",IF(SUMPRODUCT(--(H$10:H488=H488))=1,SUMPRODUCT(--(H$10:H$609&lt;H488))+1,""))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IFERROR(INDEX(tblY11[Class],ROWS(H$10:H489))&amp;"","")</f>
        <v/>
      </c>
      <c r="I489" t="str">
        <f>IF(H489="","",IF(SUMPRODUCT(--(H$10:H489=H489))=1,SUMPRODUCT(--(H$10:H$609&lt;H489))+1,""))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IFERROR(INDEX(tblY11[Class],ROWS(H$10:H490))&amp;"","")</f>
        <v/>
      </c>
      <c r="I490" t="str">
        <f>IF(H490="","",IF(SUMPRODUCT(--(H$10:H490=H490))=1,SUMPRODUCT(--(H$10:H$609&lt;H490))+1,""))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IFERROR(INDEX(tblY11[Class],ROWS(H$10:H491))&amp;"","")</f>
        <v/>
      </c>
      <c r="I491" t="str">
        <f>IF(H491="","",IF(SUMPRODUCT(--(H$10:H491=H491))=1,SUMPRODUCT(--(H$10:H$609&lt;H491))+1,""))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IFERROR(INDEX(tblY11[Class],ROWS(H$10:H492))&amp;"","")</f>
        <v/>
      </c>
      <c r="I492" t="str">
        <f>IF(H492="","",IF(SUMPRODUCT(--(H$10:H492=H492))=1,SUMPRODUCT(--(H$10:H$609&lt;H492))+1,""))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IFERROR(INDEX(tblY11[Class],ROWS(H$10:H493))&amp;"","")</f>
        <v/>
      </c>
      <c r="I493" t="str">
        <f>IF(H493="","",IF(SUMPRODUCT(--(H$10:H493=H493))=1,SUMPRODUCT(--(H$10:H$609&lt;H493))+1,""))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IFERROR(INDEX(tblY11[Class],ROWS(H$10:H494))&amp;"","")</f>
        <v/>
      </c>
      <c r="I494" t="str">
        <f>IF(H494="","",IF(SUMPRODUCT(--(H$10:H494=H494))=1,SUMPRODUCT(--(H$10:H$609&lt;H494))+1,""))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IFERROR(INDEX(tblY11[Class],ROWS(H$10:H495))&amp;"","")</f>
        <v/>
      </c>
      <c r="I495" t="str">
        <f>IF(H495="","",IF(SUMPRODUCT(--(H$10:H495=H495))=1,SUMPRODUCT(--(H$10:H$609&lt;H495))+1,""))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IFERROR(INDEX(tblY11[Class],ROWS(H$10:H496))&amp;"","")</f>
        <v/>
      </c>
      <c r="I496" t="str">
        <f>IF(H496="","",IF(SUMPRODUCT(--(H$10:H496=H496))=1,SUMPRODUCT(--(H$10:H$609&lt;H496))+1,""))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IFERROR(INDEX(tblY11[Class],ROWS(H$10:H497))&amp;"","")</f>
        <v/>
      </c>
      <c r="I497" t="str">
        <f>IF(H497="","",IF(SUMPRODUCT(--(H$10:H497=H497))=1,SUMPRODUCT(--(H$10:H$609&lt;H497))+1,""))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IFERROR(INDEX(tblY11[Class],ROWS(H$10:H498))&amp;"","")</f>
        <v/>
      </c>
      <c r="I498" t="str">
        <f>IF(H498="","",IF(SUMPRODUCT(--(H$10:H498=H498))=1,SUMPRODUCT(--(H$10:H$609&lt;H498))+1,""))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IFERROR(INDEX(tblY11[Class],ROWS(H$10:H499))&amp;"","")</f>
        <v/>
      </c>
      <c r="I499" t="str">
        <f>IF(H499="","",IF(SUMPRODUCT(--(H$10:H499=H499))=1,SUMPRODUCT(--(H$10:H$609&lt;H499))+1,""))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IFERROR(INDEX(tblY11[Class],ROWS(H$10:H500))&amp;"","")</f>
        <v/>
      </c>
      <c r="I500" t="str">
        <f>IF(H500="","",IF(SUMPRODUCT(--(H$10:H500=H500))=1,SUMPRODUCT(--(H$10:H$609&lt;H500))+1,""))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IFERROR(INDEX(tblY11[Class],ROWS(H$10:H501))&amp;"","")</f>
        <v/>
      </c>
      <c r="I501" t="str">
        <f>IF(H501="","",IF(SUMPRODUCT(--(H$10:H501=H501))=1,SUMPRODUCT(--(H$10:H$609&lt;H501))+1,""))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IFERROR(INDEX(tblY11[Class],ROWS(H$10:H502))&amp;"","")</f>
        <v/>
      </c>
      <c r="I502" t="str">
        <f>IF(H502="","",IF(SUMPRODUCT(--(H$10:H502=H502))=1,SUMPRODUCT(--(H$10:H$609&lt;H502))+1,""))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IFERROR(INDEX(tblY11[Class],ROWS(H$10:H503))&amp;"","")</f>
        <v/>
      </c>
      <c r="I503" t="str">
        <f>IF(H503="","",IF(SUMPRODUCT(--(H$10:H503=H503))=1,SUMPRODUCT(--(H$10:H$609&lt;H503))+1,""))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IFERROR(INDEX(tblY11[Class],ROWS(H$10:H504))&amp;"","")</f>
        <v/>
      </c>
      <c r="I504" t="str">
        <f>IF(H504="","",IF(SUMPRODUCT(--(H$10:H504=H504))=1,SUMPRODUCT(--(H$10:H$609&lt;H504))+1,""))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IFERROR(INDEX(tblY11[Class],ROWS(H$10:H505))&amp;"","")</f>
        <v/>
      </c>
      <c r="I505" t="str">
        <f>IF(H505="","",IF(SUMPRODUCT(--(H$10:H505=H505))=1,SUMPRODUCT(--(H$10:H$609&lt;H505))+1,""))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IFERROR(INDEX(tblY11[Class],ROWS(H$10:H506))&amp;"","")</f>
        <v/>
      </c>
      <c r="I506" t="str">
        <f>IF(H506="","",IF(SUMPRODUCT(--(H$10:H506=H506))=1,SUMPRODUCT(--(H$10:H$609&lt;H506))+1,""))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IFERROR(INDEX(tblY11[Class],ROWS(H$10:H507))&amp;"","")</f>
        <v/>
      </c>
      <c r="I507" t="str">
        <f>IF(H507="","",IF(SUMPRODUCT(--(H$10:H507=H507))=1,SUMPRODUCT(--(H$10:H$609&lt;H507))+1,""))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IFERROR(INDEX(tblY11[Class],ROWS(H$10:H508))&amp;"","")</f>
        <v/>
      </c>
      <c r="I508" t="str">
        <f>IF(H508="","",IF(SUMPRODUCT(--(H$10:H508=H508))=1,SUMPRODUCT(--(H$10:H$609&lt;H508))+1,""))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IFERROR(INDEX(tblY11[Class],ROWS(H$10:H509))&amp;"","")</f>
        <v/>
      </c>
      <c r="I509" t="str">
        <f>IF(H509="","",IF(SUMPRODUCT(--(H$10:H509=H509))=1,SUMPRODUCT(--(H$10:H$609&lt;H509))+1,""))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IFERROR(INDEX(tblY11[Class],ROWS(H$10:H510))&amp;"","")</f>
        <v/>
      </c>
      <c r="I510" t="str">
        <f>IF(H510="","",IF(SUMPRODUCT(--(H$10:H510=H510))=1,SUMPRODUCT(--(H$10:H$609&lt;H510))+1,""))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IFERROR(INDEX(tblY11[Class],ROWS(H$10:H511))&amp;"","")</f>
        <v/>
      </c>
      <c r="I511" t="str">
        <f>IF(H511="","",IF(SUMPRODUCT(--(H$10:H511=H511))=1,SUMPRODUCT(--(H$10:H$609&lt;H511))+1,""))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IFERROR(INDEX(tblY11[Class],ROWS(H$10:H512))&amp;"","")</f>
        <v/>
      </c>
      <c r="I512" t="str">
        <f>IF(H512="","",IF(SUMPRODUCT(--(H$10:H512=H512))=1,SUMPRODUCT(--(H$10:H$609&lt;H512))+1,""))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IFERROR(INDEX(tblY11[Class],ROWS(H$10:H513))&amp;"","")</f>
        <v/>
      </c>
      <c r="I513" t="str">
        <f>IF(H513="","",IF(SUMPRODUCT(--(H$10:H513=H513))=1,SUMPRODUCT(--(H$10:H$609&lt;H513))+1,""))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IFERROR(INDEX(tblY11[Class],ROWS(H$10:H514))&amp;"","")</f>
        <v/>
      </c>
      <c r="I514" t="str">
        <f>IF(H514="","",IF(SUMPRODUCT(--(H$10:H514=H514))=1,SUMPRODUCT(--(H$10:H$609&lt;H514))+1,""))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IFERROR(INDEX(tblY11[Class],ROWS(H$10:H515))&amp;"","")</f>
        <v/>
      </c>
      <c r="I515" t="str">
        <f>IF(H515="","",IF(SUMPRODUCT(--(H$10:H515=H515))=1,SUMPRODUCT(--(H$10:H$609&lt;H515))+1,""))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IFERROR(INDEX(tblY11[Class],ROWS(H$10:H516))&amp;"","")</f>
        <v/>
      </c>
      <c r="I516" t="str">
        <f>IF(H516="","",IF(SUMPRODUCT(--(H$10:H516=H516))=1,SUMPRODUCT(--(H$10:H$609&lt;H516))+1,""))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IFERROR(INDEX(tblY11[Class],ROWS(H$10:H517))&amp;"","")</f>
        <v/>
      </c>
      <c r="I517" t="str">
        <f>IF(H517="","",IF(SUMPRODUCT(--(H$10:H517=H517))=1,SUMPRODUCT(--(H$10:H$609&lt;H517))+1,""))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IFERROR(INDEX(tblY11[Class],ROWS(H$10:H518))&amp;"","")</f>
        <v/>
      </c>
      <c r="I518" t="str">
        <f>IF(H518="","",IF(SUMPRODUCT(--(H$10:H518=H518))=1,SUMPRODUCT(--(H$10:H$609&lt;H518))+1,""))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IFERROR(INDEX(tblY11[Class],ROWS(H$10:H519))&amp;"","")</f>
        <v/>
      </c>
      <c r="I519" t="str">
        <f>IF(H519="","",IF(SUMPRODUCT(--(H$10:H519=H519))=1,SUMPRODUCT(--(H$10:H$609&lt;H519))+1,""))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IFERROR(INDEX(tblY11[Class],ROWS(H$10:H520))&amp;"","")</f>
        <v/>
      </c>
      <c r="I520" t="str">
        <f>IF(H520="","",IF(SUMPRODUCT(--(H$10:H520=H520))=1,SUMPRODUCT(--(H$10:H$609&lt;H520))+1,""))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IFERROR(INDEX(tblY11[Class],ROWS(H$10:H521))&amp;"","")</f>
        <v/>
      </c>
      <c r="I521" t="str">
        <f>IF(H521="","",IF(SUMPRODUCT(--(H$10:H521=H521))=1,SUMPRODUCT(--(H$10:H$609&lt;H521))+1,""))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IFERROR(INDEX(tblY11[Class],ROWS(H$10:H522))&amp;"","")</f>
        <v/>
      </c>
      <c r="I522" t="str">
        <f>IF(H522="","",IF(SUMPRODUCT(--(H$10:H522=H522))=1,SUMPRODUCT(--(H$10:H$609&lt;H522))+1,""))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IFERROR(INDEX(tblY11[Class],ROWS(H$10:H523))&amp;"","")</f>
        <v/>
      </c>
      <c r="I523" t="str">
        <f>IF(H523="","",IF(SUMPRODUCT(--(H$10:H523=H523))=1,SUMPRODUCT(--(H$10:H$609&lt;H523))+1,""))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IFERROR(INDEX(tblY11[Class],ROWS(H$10:H524))&amp;"","")</f>
        <v/>
      </c>
      <c r="I524" t="str">
        <f>IF(H524="","",IF(SUMPRODUCT(--(H$10:H524=H524))=1,SUMPRODUCT(--(H$10:H$609&lt;H524))+1,""))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IFERROR(INDEX(tblY11[Class],ROWS(H$10:H525))&amp;"","")</f>
        <v/>
      </c>
      <c r="I525" t="str">
        <f>IF(H525="","",IF(SUMPRODUCT(--(H$10:H525=H525))=1,SUMPRODUCT(--(H$10:H$609&lt;H525))+1,""))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IFERROR(INDEX(tblY11[Class],ROWS(H$10:H526))&amp;"","")</f>
        <v/>
      </c>
      <c r="I526" t="str">
        <f>IF(H526="","",IF(SUMPRODUCT(--(H$10:H526=H526))=1,SUMPRODUCT(--(H$10:H$609&lt;H526))+1,""))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IFERROR(INDEX(tblY11[Class],ROWS(H$10:H527))&amp;"","")</f>
        <v/>
      </c>
      <c r="I527" t="str">
        <f>IF(H527="","",IF(SUMPRODUCT(--(H$10:H527=H527))=1,SUMPRODUCT(--(H$10:H$609&lt;H527))+1,""))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IFERROR(INDEX(tblY11[Class],ROWS(H$10:H528))&amp;"","")</f>
        <v/>
      </c>
      <c r="I528" t="str">
        <f>IF(H528="","",IF(SUMPRODUCT(--(H$10:H528=H528))=1,SUMPRODUCT(--(H$10:H$609&lt;H528))+1,""))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IFERROR(INDEX(tblY11[Class],ROWS(H$10:H529))&amp;"","")</f>
        <v/>
      </c>
      <c r="I529" t="str">
        <f>IF(H529="","",IF(SUMPRODUCT(--(H$10:H529=H529))=1,SUMPRODUCT(--(H$10:H$609&lt;H529))+1,""))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IFERROR(INDEX(tblY11[Class],ROWS(H$10:H530))&amp;"","")</f>
        <v/>
      </c>
      <c r="I530" t="str">
        <f>IF(H530="","",IF(SUMPRODUCT(--(H$10:H530=H530))=1,SUMPRODUCT(--(H$10:H$609&lt;H530))+1,""))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IFERROR(INDEX(tblY11[Class],ROWS(H$10:H531))&amp;"","")</f>
        <v/>
      </c>
      <c r="I531" t="str">
        <f>IF(H531="","",IF(SUMPRODUCT(--(H$10:H531=H531))=1,SUMPRODUCT(--(H$10:H$609&lt;H531))+1,""))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IFERROR(INDEX(tblY11[Class],ROWS(H$10:H532))&amp;"","")</f>
        <v/>
      </c>
      <c r="I532" t="str">
        <f>IF(H532="","",IF(SUMPRODUCT(--(H$10:H532=H532))=1,SUMPRODUCT(--(H$10:H$609&lt;H532))+1,""))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IFERROR(INDEX(tblY11[Class],ROWS(H$10:H533))&amp;"","")</f>
        <v/>
      </c>
      <c r="I533" t="str">
        <f>IF(H533="","",IF(SUMPRODUCT(--(H$10:H533=H533))=1,SUMPRODUCT(--(H$10:H$609&lt;H533))+1,""))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IFERROR(INDEX(tblY11[Class],ROWS(H$10:H534))&amp;"","")</f>
        <v/>
      </c>
      <c r="I534" t="str">
        <f>IF(H534="","",IF(SUMPRODUCT(--(H$10:H534=H534))=1,SUMPRODUCT(--(H$10:H$609&lt;H534))+1,""))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IFERROR(INDEX(tblY11[Class],ROWS(H$10:H535))&amp;"","")</f>
        <v/>
      </c>
      <c r="I535" t="str">
        <f>IF(H535="","",IF(SUMPRODUCT(--(H$10:H535=H535))=1,SUMPRODUCT(--(H$10:H$609&lt;H535))+1,""))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IFERROR(INDEX(tblY11[Class],ROWS(H$10:H536))&amp;"","")</f>
        <v/>
      </c>
      <c r="I536" t="str">
        <f>IF(H536="","",IF(SUMPRODUCT(--(H$10:H536=H536))=1,SUMPRODUCT(--(H$10:H$609&lt;H536))+1,""))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IFERROR(INDEX(tblY11[Class],ROWS(H$10:H537))&amp;"","")</f>
        <v/>
      </c>
      <c r="I537" t="str">
        <f>IF(H537="","",IF(SUMPRODUCT(--(H$10:H537=H537))=1,SUMPRODUCT(--(H$10:H$609&lt;H537))+1,""))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IFERROR(INDEX(tblY11[Class],ROWS(H$10:H538))&amp;"","")</f>
        <v/>
      </c>
      <c r="I538" t="str">
        <f>IF(H538="","",IF(SUMPRODUCT(--(H$10:H538=H538))=1,SUMPRODUCT(--(H$10:H$609&lt;H538))+1,""))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IFERROR(INDEX(tblY11[Class],ROWS(H$10:H539))&amp;"","")</f>
        <v/>
      </c>
      <c r="I539" t="str">
        <f>IF(H539="","",IF(SUMPRODUCT(--(H$10:H539=H539))=1,SUMPRODUCT(--(H$10:H$609&lt;H539))+1,""))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IFERROR(INDEX(tblY11[Class],ROWS(H$10:H540))&amp;"","")</f>
        <v/>
      </c>
      <c r="I540" t="str">
        <f>IF(H540="","",IF(SUMPRODUCT(--(H$10:H540=H540))=1,SUMPRODUCT(--(H$10:H$609&lt;H540))+1,""))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IFERROR(INDEX(tblY11[Class],ROWS(H$10:H541))&amp;"","")</f>
        <v/>
      </c>
      <c r="I541" t="str">
        <f>IF(H541="","",IF(SUMPRODUCT(--(H$10:H541=H541))=1,SUMPRODUCT(--(H$10:H$609&lt;H541))+1,""))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IFERROR(INDEX(tblY11[Class],ROWS(H$10:H542))&amp;"","")</f>
        <v/>
      </c>
      <c r="I542" t="str">
        <f>IF(H542="","",IF(SUMPRODUCT(--(H$10:H542=H542))=1,SUMPRODUCT(--(H$10:H$609&lt;H542))+1,""))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IFERROR(INDEX(tblY11[Class],ROWS(H$10:H543))&amp;"","")</f>
        <v/>
      </c>
      <c r="I543" t="str">
        <f>IF(H543="","",IF(SUMPRODUCT(--(H$10:H543=H543))=1,SUMPRODUCT(--(H$10:H$609&lt;H543))+1,""))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IFERROR(INDEX(tblY11[Class],ROWS(H$10:H544))&amp;"","")</f>
        <v/>
      </c>
      <c r="I544" t="str">
        <f>IF(H544="","",IF(SUMPRODUCT(--(H$10:H544=H544))=1,SUMPRODUCT(--(H$10:H$609&lt;H544))+1,""))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IFERROR(INDEX(tblY11[Class],ROWS(H$10:H545))&amp;"","")</f>
        <v/>
      </c>
      <c r="I545" t="str">
        <f>IF(H545="","",IF(SUMPRODUCT(--(H$10:H545=H545))=1,SUMPRODUCT(--(H$10:H$609&lt;H545))+1,""))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IFERROR(INDEX(tblY11[Class],ROWS(H$10:H546))&amp;"","")</f>
        <v/>
      </c>
      <c r="I546" t="str">
        <f>IF(H546="","",IF(SUMPRODUCT(--(H$10:H546=H546))=1,SUMPRODUCT(--(H$10:H$609&lt;H546))+1,""))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IFERROR(INDEX(tblY11[Class],ROWS(H$10:H547))&amp;"","")</f>
        <v/>
      </c>
      <c r="I547" t="str">
        <f>IF(H547="","",IF(SUMPRODUCT(--(H$10:H547=H547))=1,SUMPRODUCT(--(H$10:H$609&lt;H547))+1,""))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IFERROR(INDEX(tblY11[Class],ROWS(H$10:H548))&amp;"","")</f>
        <v/>
      </c>
      <c r="I548" t="str">
        <f>IF(H548="","",IF(SUMPRODUCT(--(H$10:H548=H548))=1,SUMPRODUCT(--(H$10:H$609&lt;H548))+1,""))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IFERROR(INDEX(tblY11[Class],ROWS(H$10:H549))&amp;"","")</f>
        <v/>
      </c>
      <c r="I549" t="str">
        <f>IF(H549="","",IF(SUMPRODUCT(--(H$10:H549=H549))=1,SUMPRODUCT(--(H$10:H$609&lt;H549))+1,""))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IFERROR(INDEX(tblY11[Class],ROWS(H$10:H550))&amp;"","")</f>
        <v/>
      </c>
      <c r="I550" t="str">
        <f>IF(H550="","",IF(SUMPRODUCT(--(H$10:H550=H550))=1,SUMPRODUCT(--(H$10:H$609&lt;H550))+1,""))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IFERROR(INDEX(tblY11[Class],ROWS(H$10:H551))&amp;"","")</f>
        <v/>
      </c>
      <c r="I551" t="str">
        <f>IF(H551="","",IF(SUMPRODUCT(--(H$10:H551=H551))=1,SUMPRODUCT(--(H$10:H$609&lt;H551))+1,""))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IFERROR(INDEX(tblY11[Class],ROWS(H$10:H552))&amp;"","")</f>
        <v/>
      </c>
      <c r="I552" t="str">
        <f>IF(H552="","",IF(SUMPRODUCT(--(H$10:H552=H552))=1,SUMPRODUCT(--(H$10:H$609&lt;H552))+1,""))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IFERROR(INDEX(tblY11[Class],ROWS(H$10:H553))&amp;"","")</f>
        <v/>
      </c>
      <c r="I553" t="str">
        <f>IF(H553="","",IF(SUMPRODUCT(--(H$10:H553=H553))=1,SUMPRODUCT(--(H$10:H$609&lt;H553))+1,""))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IFERROR(INDEX(tblY11[Class],ROWS(H$10:H554))&amp;"","")</f>
        <v/>
      </c>
      <c r="I554" t="str">
        <f>IF(H554="","",IF(SUMPRODUCT(--(H$10:H554=H554))=1,SUMPRODUCT(--(H$10:H$609&lt;H554))+1,""))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IFERROR(INDEX(tblY11[Class],ROWS(H$10:H555))&amp;"","")</f>
        <v/>
      </c>
      <c r="I555" t="str">
        <f>IF(H555="","",IF(SUMPRODUCT(--(H$10:H555=H555))=1,SUMPRODUCT(--(H$10:H$609&lt;H555))+1,""))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IFERROR(INDEX(tblY11[Class],ROWS(H$10:H556))&amp;"","")</f>
        <v/>
      </c>
      <c r="I556" t="str">
        <f>IF(H556="","",IF(SUMPRODUCT(--(H$10:H556=H556))=1,SUMPRODUCT(--(H$10:H$609&lt;H556))+1,""))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IFERROR(INDEX(tblY11[Class],ROWS(H$10:H557))&amp;"","")</f>
        <v/>
      </c>
      <c r="I557" t="str">
        <f>IF(H557="","",IF(SUMPRODUCT(--(H$10:H557=H557))=1,SUMPRODUCT(--(H$10:H$609&lt;H557))+1,""))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IFERROR(INDEX(tblY11[Class],ROWS(H$10:H558))&amp;"","")</f>
        <v/>
      </c>
      <c r="I558" t="str">
        <f>IF(H558="","",IF(SUMPRODUCT(--(H$10:H558=H558))=1,SUMPRODUCT(--(H$10:H$609&lt;H558))+1,""))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IFERROR(INDEX(tblY11[Class],ROWS(H$10:H559))&amp;"","")</f>
        <v/>
      </c>
      <c r="I559" t="str">
        <f>IF(H559="","",IF(SUMPRODUCT(--(H$10:H559=H559))=1,SUMPRODUCT(--(H$10:H$609&lt;H559))+1,""))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IFERROR(INDEX(tblY11[Class],ROWS(H$10:H560))&amp;"","")</f>
        <v/>
      </c>
      <c r="I560" t="str">
        <f>IF(H560="","",IF(SUMPRODUCT(--(H$10:H560=H560))=1,SUMPRODUCT(--(H$10:H$609&lt;H560))+1,""))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IFERROR(INDEX(tblY11[Class],ROWS(H$10:H561))&amp;"","")</f>
        <v/>
      </c>
      <c r="I561" t="str">
        <f>IF(H561="","",IF(SUMPRODUCT(--(H$10:H561=H561))=1,SUMPRODUCT(--(H$10:H$609&lt;H561))+1,""))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IFERROR(INDEX(tblY11[Class],ROWS(H$10:H562))&amp;"","")</f>
        <v/>
      </c>
      <c r="I562" t="str">
        <f>IF(H562="","",IF(SUMPRODUCT(--(H$10:H562=H562))=1,SUMPRODUCT(--(H$10:H$609&lt;H562))+1,""))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IFERROR(INDEX(tblY11[Class],ROWS(H$10:H563))&amp;"","")</f>
        <v/>
      </c>
      <c r="I563" t="str">
        <f>IF(H563="","",IF(SUMPRODUCT(--(H$10:H563=H563))=1,SUMPRODUCT(--(H$10:H$609&lt;H563))+1,""))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IFERROR(INDEX(tblY11[Class],ROWS(H$10:H564))&amp;"","")</f>
        <v/>
      </c>
      <c r="I564" t="str">
        <f>IF(H564="","",IF(SUMPRODUCT(--(H$10:H564=H564))=1,SUMPRODUCT(--(H$10:H$609&lt;H564))+1,""))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IFERROR(INDEX(tblY11[Class],ROWS(H$10:H565))&amp;"","")</f>
        <v/>
      </c>
      <c r="I565" t="str">
        <f>IF(H565="","",IF(SUMPRODUCT(--(H$10:H565=H565))=1,SUMPRODUCT(--(H$10:H$609&lt;H565))+1,""))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IFERROR(INDEX(tblY11[Class],ROWS(H$10:H566))&amp;"","")</f>
        <v/>
      </c>
      <c r="I566" t="str">
        <f>IF(H566="","",IF(SUMPRODUCT(--(H$10:H566=H566))=1,SUMPRODUCT(--(H$10:H$609&lt;H566))+1,""))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IFERROR(INDEX(tblY11[Class],ROWS(H$10:H567))&amp;"","")</f>
        <v/>
      </c>
      <c r="I567" t="str">
        <f>IF(H567="","",IF(SUMPRODUCT(--(H$10:H567=H567))=1,SUMPRODUCT(--(H$10:H$609&lt;H567))+1,""))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IFERROR(INDEX(tblY11[Class],ROWS(H$10:H568))&amp;"","")</f>
        <v/>
      </c>
      <c r="I568" t="str">
        <f>IF(H568="","",IF(SUMPRODUCT(--(H$10:H568=H568))=1,SUMPRODUCT(--(H$10:H$609&lt;H568))+1,""))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IFERROR(INDEX(tblY11[Class],ROWS(H$10:H569))&amp;"","")</f>
        <v/>
      </c>
      <c r="I569" t="str">
        <f>IF(H569="","",IF(SUMPRODUCT(--(H$10:H569=H569))=1,SUMPRODUCT(--(H$10:H$609&lt;H569))+1,""))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IFERROR(INDEX(tblY11[Class],ROWS(H$10:H570))&amp;"","")</f>
        <v/>
      </c>
      <c r="I570" t="str">
        <f>IF(H570="","",IF(SUMPRODUCT(--(H$10:H570=H570))=1,SUMPRODUCT(--(H$10:H$609&lt;H570))+1,""))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IFERROR(INDEX(tblY11[Class],ROWS(H$10:H571))&amp;"","")</f>
        <v/>
      </c>
      <c r="I571" t="str">
        <f>IF(H571="","",IF(SUMPRODUCT(--(H$10:H571=H571))=1,SUMPRODUCT(--(H$10:H$609&lt;H571))+1,""))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IFERROR(INDEX(tblY11[Class],ROWS(H$10:H572))&amp;"","")</f>
        <v/>
      </c>
      <c r="I572" t="str">
        <f>IF(H572="","",IF(SUMPRODUCT(--(H$10:H572=H572))=1,SUMPRODUCT(--(H$10:H$609&lt;H572))+1,""))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IFERROR(INDEX(tblY11[Class],ROWS(H$10:H573))&amp;"","")</f>
        <v/>
      </c>
      <c r="I573" t="str">
        <f>IF(H573="","",IF(SUMPRODUCT(--(H$10:H573=H573))=1,SUMPRODUCT(--(H$10:H$609&lt;H573))+1,""))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IFERROR(INDEX(tblY11[Class],ROWS(H$10:H574))&amp;"","")</f>
        <v/>
      </c>
      <c r="I574" t="str">
        <f>IF(H574="","",IF(SUMPRODUCT(--(H$10:H574=H574))=1,SUMPRODUCT(--(H$10:H$609&lt;H574))+1,""))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IFERROR(INDEX(tblY11[Class],ROWS(H$10:H575))&amp;"","")</f>
        <v/>
      </c>
      <c r="I575" t="str">
        <f>IF(H575="","",IF(SUMPRODUCT(--(H$10:H575=H575))=1,SUMPRODUCT(--(H$10:H$609&lt;H575))+1,""))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IFERROR(INDEX(tblY11[Class],ROWS(H$10:H576))&amp;"","")</f>
        <v/>
      </c>
      <c r="I576" t="str">
        <f>IF(H576="","",IF(SUMPRODUCT(--(H$10:H576=H576))=1,SUMPRODUCT(--(H$10:H$609&lt;H576))+1,""))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IFERROR(INDEX(tblY11[Class],ROWS(H$10:H577))&amp;"","")</f>
        <v/>
      </c>
      <c r="I577" t="str">
        <f>IF(H577="","",IF(SUMPRODUCT(--(H$10:H577=H577))=1,SUMPRODUCT(--(H$10:H$609&lt;H577))+1,""))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IFERROR(INDEX(tblY11[Class],ROWS(H$10:H578))&amp;"","")</f>
        <v/>
      </c>
      <c r="I578" t="str">
        <f>IF(H578="","",IF(SUMPRODUCT(--(H$10:H578=H578))=1,SUMPRODUCT(--(H$10:H$609&lt;H578))+1,""))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IFERROR(INDEX(tblY11[Class],ROWS(H$10:H579))&amp;"","")</f>
        <v/>
      </c>
      <c r="I579" t="str">
        <f>IF(H579="","",IF(SUMPRODUCT(--(H$10:H579=H579))=1,SUMPRODUCT(--(H$10:H$609&lt;H579))+1,""))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IFERROR(INDEX(tblY11[Class],ROWS(H$10:H580))&amp;"","")</f>
        <v/>
      </c>
      <c r="I580" t="str">
        <f>IF(H580="","",IF(SUMPRODUCT(--(H$10:H580=H580))=1,SUMPRODUCT(--(H$10:H$609&lt;H580))+1,""))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IFERROR(INDEX(tblY11[Class],ROWS(H$10:H581))&amp;"","")</f>
        <v/>
      </c>
      <c r="I581" t="str">
        <f>IF(H581="","",IF(SUMPRODUCT(--(H$10:H581=H581))=1,SUMPRODUCT(--(H$10:H$609&lt;H581))+1,""))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IFERROR(INDEX(tblY11[Class],ROWS(H$10:H582))&amp;"","")</f>
        <v/>
      </c>
      <c r="I582" t="str">
        <f>IF(H582="","",IF(SUMPRODUCT(--(H$10:H582=H582))=1,SUMPRODUCT(--(H$10:H$609&lt;H582))+1,""))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IFERROR(INDEX(tblY11[Class],ROWS(H$10:H583))&amp;"","")</f>
        <v/>
      </c>
      <c r="I583" t="str">
        <f>IF(H583="","",IF(SUMPRODUCT(--(H$10:H583=H583))=1,SUMPRODUCT(--(H$10:H$609&lt;H583))+1,""))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IFERROR(INDEX(tblY11[Class],ROWS(H$10:H584))&amp;"","")</f>
        <v/>
      </c>
      <c r="I584" t="str">
        <f>IF(H584="","",IF(SUMPRODUCT(--(H$10:H584=H584))=1,SUMPRODUCT(--(H$10:H$609&lt;H584))+1,""))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IFERROR(INDEX(tblY11[Class],ROWS(H$10:H585))&amp;"","")</f>
        <v/>
      </c>
      <c r="I585" t="str">
        <f>IF(H585="","",IF(SUMPRODUCT(--(H$10:H585=H585))=1,SUMPRODUCT(--(H$10:H$609&lt;H585))+1,""))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IFERROR(INDEX(tblY11[Class],ROWS(H$10:H586))&amp;"","")</f>
        <v/>
      </c>
      <c r="I586" t="str">
        <f>IF(H586="","",IF(SUMPRODUCT(--(H$10:H586=H586))=1,SUMPRODUCT(--(H$10:H$609&lt;H586))+1,""))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IFERROR(INDEX(tblY11[Class],ROWS(H$10:H587))&amp;"","")</f>
        <v/>
      </c>
      <c r="I587" t="str">
        <f>IF(H587="","",IF(SUMPRODUCT(--(H$10:H587=H587))=1,SUMPRODUCT(--(H$10:H$609&lt;H587))+1,""))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IFERROR(INDEX(tblY11[Class],ROWS(H$10:H588))&amp;"","")</f>
        <v/>
      </c>
      <c r="I588" t="str">
        <f>IF(H588="","",IF(SUMPRODUCT(--(H$10:H588=H588))=1,SUMPRODUCT(--(H$10:H$609&lt;H588))+1,""))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IFERROR(INDEX(tblY11[Class],ROWS(H$10:H589))&amp;"","")</f>
        <v/>
      </c>
      <c r="I589" t="str">
        <f>IF(H589="","",IF(SUMPRODUCT(--(H$10:H589=H589))=1,SUMPRODUCT(--(H$10:H$609&lt;H589))+1,""))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IFERROR(INDEX(tblY11[Class],ROWS(H$10:H590))&amp;"","")</f>
        <v/>
      </c>
      <c r="I590" t="str">
        <f>IF(H590="","",IF(SUMPRODUCT(--(H$10:H590=H590))=1,SUMPRODUCT(--(H$10:H$609&lt;H590))+1,""))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IFERROR(INDEX(tblY11[Class],ROWS(H$10:H591))&amp;"","")</f>
        <v/>
      </c>
      <c r="I591" t="str">
        <f>IF(H591="","",IF(SUMPRODUCT(--(H$10:H591=H591))=1,SUMPRODUCT(--(H$10:H$609&lt;H591))+1,""))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IFERROR(INDEX(tblY11[Class],ROWS(H$10:H592))&amp;"","")</f>
        <v/>
      </c>
      <c r="I592" t="str">
        <f>IF(H592="","",IF(SUMPRODUCT(--(H$10:H592=H592))=1,SUMPRODUCT(--(H$10:H$609&lt;H592))+1,""))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IFERROR(INDEX(tblY11[Class],ROWS(H$10:H593))&amp;"","")</f>
        <v/>
      </c>
      <c r="I593" t="str">
        <f>IF(H593="","",IF(SUMPRODUCT(--(H$10:H593=H593))=1,SUMPRODUCT(--(H$10:H$609&lt;H593))+1,""))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IFERROR(INDEX(tblY11[Class],ROWS(H$10:H594))&amp;"","")</f>
        <v/>
      </c>
      <c r="I594" t="str">
        <f>IF(H594="","",IF(SUMPRODUCT(--(H$10:H594=H594))=1,SUMPRODUCT(--(H$10:H$609&lt;H594))+1,""))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IFERROR(INDEX(tblY11[Class],ROWS(H$10:H595))&amp;"","")</f>
        <v/>
      </c>
      <c r="I595" t="str">
        <f>IF(H595="","",IF(SUMPRODUCT(--(H$10:H595=H595))=1,SUMPRODUCT(--(H$10:H$609&lt;H595))+1,""))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IFERROR(INDEX(tblY11[Class],ROWS(H$10:H596))&amp;"","")</f>
        <v/>
      </c>
      <c r="I596" t="str">
        <f>IF(H596="","",IF(SUMPRODUCT(--(H$10:H596=H596))=1,SUMPRODUCT(--(H$10:H$609&lt;H596))+1,""))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IFERROR(INDEX(tblY11[Class],ROWS(H$10:H597))&amp;"","")</f>
        <v/>
      </c>
      <c r="I597" t="str">
        <f>IF(H597="","",IF(SUMPRODUCT(--(H$10:H597=H597))=1,SUMPRODUCT(--(H$10:H$609&lt;H597))+1,""))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IFERROR(INDEX(tblY11[Class],ROWS(H$10:H598))&amp;"","")</f>
        <v/>
      </c>
      <c r="I598" t="str">
        <f>IF(H598="","",IF(SUMPRODUCT(--(H$10:H598=H598))=1,SUMPRODUCT(--(H$10:H$609&lt;H598))+1,""))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IFERROR(INDEX(tblY11[Class],ROWS(H$10:H599))&amp;"","")</f>
        <v/>
      </c>
      <c r="I599" t="str">
        <f>IF(H599="","",IF(SUMPRODUCT(--(H$10:H599=H599))=1,SUMPRODUCT(--(H$10:H$609&lt;H599))+1,""))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IFERROR(INDEX(tblY11[Class],ROWS(H$10:H600))&amp;"","")</f>
        <v/>
      </c>
      <c r="I600" t="str">
        <f>IF(H600="","",IF(SUMPRODUCT(--(H$10:H600=H600))=1,SUMPRODUCT(--(H$10:H$609&lt;H600))+1,""))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IFERROR(INDEX(tblY11[Class],ROWS(H$10:H601))&amp;"","")</f>
        <v/>
      </c>
      <c r="I601" t="str">
        <f>IF(H601="","",IF(SUMPRODUCT(--(H$10:H601=H601))=1,SUMPRODUCT(--(H$10:H$609&lt;H601))+1,""))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IFERROR(INDEX(tblY11[Class],ROWS(H$10:H602))&amp;"","")</f>
        <v/>
      </c>
      <c r="I602" t="str">
        <f>IF(H602="","",IF(SUMPRODUCT(--(H$10:H602=H602))=1,SUMPRODUCT(--(H$10:H$609&lt;H602))+1,""))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IFERROR(INDEX(tblY11[Class],ROWS(H$10:H603))&amp;"","")</f>
        <v/>
      </c>
      <c r="I603" t="str">
        <f>IF(H603="","",IF(SUMPRODUCT(--(H$10:H603=H603))=1,SUMPRODUCT(--(H$10:H$609&lt;H603))+1,""))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IFERROR(INDEX(tblY11[Class],ROWS(H$10:H604))&amp;"","")</f>
        <v/>
      </c>
      <c r="I604" t="str">
        <f>IF(H604="","",IF(SUMPRODUCT(--(H$10:H604=H604))=1,SUMPRODUCT(--(H$10:H$609&lt;H604))+1,""))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IFERROR(INDEX(tblY11[Class],ROWS(H$10:H605))&amp;"","")</f>
        <v/>
      </c>
      <c r="I605" t="str">
        <f>IF(H605="","",IF(SUMPRODUCT(--(H$10:H605=H605))=1,SUMPRODUCT(--(H$10:H$609&lt;H605))+1,""))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IFERROR(INDEX(tblY11[Class],ROWS(H$10:H606))&amp;"","")</f>
        <v/>
      </c>
      <c r="I606" t="str">
        <f>IF(H606="","",IF(SUMPRODUCT(--(H$10:H606=H606))=1,SUMPRODUCT(--(H$10:H$609&lt;H606))+1,""))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IFERROR(INDEX(tblY11[Class],ROWS(H$10:H607))&amp;"","")</f>
        <v/>
      </c>
      <c r="I607" t="str">
        <f>IF(H607="","",IF(SUMPRODUCT(--(H$10:H607=H607))=1,SUMPRODUCT(--(H$10:H$609&lt;H607))+1,""))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IFERROR(INDEX(tblY11[Class],ROWS(H$10:H608))&amp;"","")</f>
        <v/>
      </c>
      <c r="I608" t="str">
        <f>IF(H608="","",IF(SUMPRODUCT(--(H$10:H608=H608))=1,SUMPRODUCT(--(H$10:H$609&lt;H608))+1,""))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IFERROR(INDEX(tblY11[Class],ROWS(H$10:H609))&amp;"","")</f>
        <v/>
      </c>
      <c r="I609" t="str">
        <f>IF(H609="","",IF(SUMPRODUCT(--(H$10:H609=H609))=1,SUMPRODUCT(--(H$10:H$609&lt;H609))+1,""))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 11   ·   leaves 2027, 2026-27</dc:subject>
  <dcterms:created xmlns:dcterms="http://purl.org/dc/terms/" xmlns:xsi="http://www.w3.org/2001/XMLSchema-instance" xsi:type="dcterms:W3CDTF">2026-09-29T19:30:05Z</dcterms:created>
  <dcterms:modified xmlns:dcterms="http://purl.org/dc/terms/" xmlns:xsi="http://www.w3.org/2001/XMLSchema-instance" xsi:type="dcterms:W3CDTF">2026-09-29T19:30:05Z</dcterms:modified>
  <cp:lastModifiedBy>Mastery Quiz Tracker generator</cp:lastModifiedBy>
  <cp:keywords>stanine; mastery quiz; KS3; KS4; science</cp:keywords>
</cp:coreProperties>
</file>