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worksheets/sheet6.xml" ContentType="application/vnd.openxmlformats-officedocument.spreadsheetml.worksheet+xml"/>
  <Override PartName="/xl/tables/table2.xml" ContentType="application/vnd.openxmlformats-officedocument.spreadsheetml.table+xml"/>
  <Override PartName="/xl/worksheets/sheet7.xml" ContentType="application/vnd.openxmlformats-officedocument.spreadsheetml.worksheet+xml"/>
  <Override PartName="/xl/tables/table3.xml" ContentType="application/vnd.openxmlformats-officedocument.spreadsheetml.table+xml"/>
  <Override PartName="/xl/worksheets/sheet8.xml" ContentType="application/vnd.openxmlformats-officedocument.spreadsheetml.worksheet+xml"/>
  <Override PartName="/xl/tables/table4.xml" ContentType="application/vnd.openxmlformats-officedocument.spreadsheetml.table+xml"/>
  <Override PartName="/xl/worksheets/sheet9.xml" ContentType="application/vnd.openxmlformats-officedocument.spreadsheetml.worksheet+xml"/>
  <Override PartName="/xl/tables/table5.xml" ContentType="application/vnd.openxmlformats-officedocument.spreadsheetml.table+xml"/>
  <Override PartName="/xl/worksheets/sheet10.xml" ContentType="application/vnd.openxmlformats-officedocument.spreadsheetml.worksheet+xml"/>
  <Override PartName="/xl/tables/table6.xml" ContentType="application/vnd.openxmlformats-officedocument.spreadsheetml.table+xml"/>
  <Override PartName="/xl/worksheets/sheet11.xml" ContentType="application/vnd.openxmlformats-officedocument.spreadsheetml.worksheet+xml"/>
  <Override PartName="/xl/tables/table7.xml" ContentType="application/vnd.openxmlformats-officedocument.spreadsheetml.table+xml"/>
  <Override PartName="/xl/worksheets/sheet12.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Override PartName="/xl/slicerCaches/slicerCache1.xml" ContentType="application/vnd.ms-excel.slicerCache+xml"/>
  <Override PartName="/xl/slicerCaches/slicerCache2.xml" ContentType="application/vnd.ms-excel.slicerCache+xml"/>
  <Override PartName="/xl/slicers/slicer1.xml" ContentType="application/vnd.ms-excel.slicer+xml"/>
  <Override PartName="/xl/drawings/drawing2.xml" ContentType="application/vnd.openxmlformats-officedocument.drawing+xml"/>
  <Override PartName="/xl/slicerCaches/slicerCache3.xml" ContentType="application/vnd.ms-excel.slicerCache+xml"/>
  <Override PartName="/xl/slicerCaches/slicerCache4.xml" ContentType="application/vnd.ms-excel.slicerCache+xml"/>
  <Override PartName="/xl/slicers/slicer2.xml" ContentType="application/vnd.ms-excel.slicer+xml"/>
  <Override PartName="/xl/drawings/drawing3.xml" ContentType="application/vnd.openxmlformats-officedocument.drawing+xml"/>
  <Override PartName="/xl/slicerCaches/slicerCache5.xml" ContentType="application/vnd.ms-excel.slicerCache+xml"/>
  <Override PartName="/xl/slicerCaches/slicerCache6.xml" ContentType="application/vnd.ms-excel.slicerCache+xml"/>
  <Override PartName="/xl/slicers/slicer3.xml" ContentType="application/vnd.ms-excel.slicer+xml"/>
  <Override PartName="/xl/drawings/drawing4.xml" ContentType="application/vnd.openxmlformats-officedocument.drawing+xml"/>
  <Override PartName="/xl/slicerCaches/slicerCache7.xml" ContentType="application/vnd.ms-excel.slicerCache+xml"/>
  <Override PartName="/xl/slicerCaches/slicerCache8.xml" ContentType="application/vnd.ms-excel.slicerCache+xml"/>
  <Override PartName="/xl/slicers/slicer4.xml" ContentType="application/vnd.ms-excel.slicer+xml"/>
  <Override PartName="/xl/drawings/drawing5.xml" ContentType="application/vnd.openxmlformats-officedocument.drawing+xml"/>
  <Override PartName="/xl/slicerCaches/slicerCache9.xml" ContentType="application/vnd.ms-excel.slicerCache+xml"/>
  <Override PartName="/xl/slicerCaches/slicerCache10.xml" ContentType="application/vnd.ms-excel.slicerCache+xml"/>
  <Override PartName="/xl/slicers/slicer5.xml" ContentType="application/vnd.ms-excel.slicer+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Start" sheetId="1" state="visible" r:id="rId1"/>
    <sheet xmlns:r="http://schemas.openxmlformats.org/officeDocument/2006/relationships" name="Overview" sheetId="2" state="visible" r:id="rId2"/>
    <sheet xmlns:r="http://schemas.openxmlformats.org/officeDocument/2006/relationships" name="Dashboard" sheetId="3" state="visible" r:id="rId3"/>
    <sheet xmlns:r="http://schemas.openxmlformats.org/officeDocument/2006/relationships" name="Watch List" sheetId="4" state="visible" r:id="rId4"/>
    <sheet xmlns:r="http://schemas.openxmlformats.org/officeDocument/2006/relationships" name="Year 7" sheetId="5" state="visible" r:id="rId5"/>
    <sheet xmlns:r="http://schemas.openxmlformats.org/officeDocument/2006/relationships" name="Year 8" sheetId="6" state="visible" r:id="rId6"/>
    <sheet xmlns:r="http://schemas.openxmlformats.org/officeDocument/2006/relationships" name="Year 9" sheetId="7" state="visible" r:id="rId7"/>
    <sheet xmlns:r="http://schemas.openxmlformats.org/officeDocument/2006/relationships" name="Year 10" sheetId="8" state="visible" r:id="rId8"/>
    <sheet xmlns:r="http://schemas.openxmlformats.org/officeDocument/2006/relationships" name="Year 11" sheetId="9" state="visible" r:id="rId9"/>
    <sheet xmlns:r="http://schemas.openxmlformats.org/officeDocument/2006/relationships" name="Assessment Info" sheetId="10" state="visible" r:id="rId10"/>
    <sheet xmlns:r="http://schemas.openxmlformats.org/officeDocument/2006/relationships" name="Settings" sheetId="11" state="visible" r:id="rId11"/>
    <sheet xmlns:r="http://schemas.openxmlformats.org/officeDocument/2006/relationships" name="Calc" sheetId="12" state="hidden" r:id="rId12"/>
  </sheets>
  <definedNames>
    <definedName name="YearNames">Calc!$B$3:$B$7</definedName>
    <definedName name="MeasureList">Calc!$E$3:$E$5</definedName>
    <definedName name="SlopeY7">Calc!$BT$3</definedName>
    <definedName name="InterceptY7">Calc!$BU$3</definedName>
    <definedName name="SlopeY8">Calc!$BT$4</definedName>
    <definedName name="InterceptY8">Calc!$BU$4</definedName>
    <definedName name="SlopeY9">Calc!$BT$5</definedName>
    <definedName name="InterceptY9">Calc!$BU$5</definedName>
    <definedName name="SlopeY10">Calc!$BT$6</definedName>
    <definedName name="InterceptY10">Calc!$BU$6</definedName>
    <definedName name="SlopeY11">Calc!$BT$7</definedName>
    <definedName name="InterceptY11">Calc!$BU$7</definedName>
    <definedName name="_Stanine">'Assessment Info'!$V$5:$W$13</definedName>
    <definedName name="AcademicYear">Settings!$C$5</definedName>
    <definedName name="SchoolName">Settings!$C$6</definedName>
    <definedName name="WlGap">Settings!$C$9</definedName>
    <definedName name="WlMinTests">Settings!$C$10</definedName>
    <definedName name="WlLowMean">Settings!$C$11</definedName>
    <definedName name="ClassSlotsY7">Calc!$S$3:$S$10</definedName>
    <definedName name="ClassSlotsY8">Calc!$T$3:$T$10</definedName>
    <definedName name="ClassSlotsY9">Calc!$U$3:$U$10</definedName>
    <definedName name="ClassSlotsY10">Calc!$V$3:$V$10</definedName>
    <definedName name="ClassSlotsY11">Calc!$W$3:$W$10</definedName>
    <definedName name="SelYear">Dashboard!$C$4</definedName>
    <definedName name="SelMeasure">Dashboard!$C$5</definedName>
    <definedName name="SelTest">Dashboard!$C$6</definedName>
    <definedName name="SelClass">Dashboard!$C$7</definedName>
    <definedName name="dYear">MATCH(SelYear,YearNames,0)</definedName>
    <definedName name="dData">CHOOSE(dYear,tblY7[#Data],tblY8[#Data],tblY9[#Data],tblY10[#Data],tblY11[#Data])</definedName>
    <definedName name="dHdr">CHOOSE(dYear,tblY7[#Headers],tblY8[#Headers],tblY9[#Headers],tblY10[#Headers],tblY11[#Headers])</definedName>
    <definedName name="dClass">CHOOSE(dYear,tblY7[Class],tblY8[Class],tblY9[Class],tblY10[Class],tblY11[Class])</definedName>
    <definedName name="dLast">CHOOSE(dYear,tblY7[Preferred Last name],tblY8[Preferred Last name],tblY9[Preferred Last name],tblY10[Preferred Last name],tblY11[Preferred Last name])</definedName>
    <definedName name="dFirst">CHOOSE(dYear,tblY7[Preferred First name],tblY8[Preferred First name],tblY9[Preferred First name],tblY10[Preferred First name],tblY11[Preferred First name])</definedName>
    <definedName name="dMean">CHOOSE(dYear,tblY7[Mean Stanine],tblY8[Mean Stanine],tblY9[Mean Stanine],tblY10[Mean Stanine],tblY11[Mean Stanine])</definedName>
    <definedName name="dVs">CHOOSE(dYear,tblY7[vs Expected],tblY8[vs Expected],tblY9[vs Expected],tblY10[vs Expected],tblY11[vs Expected])</definedName>
    <definedName name="dKsBand">CHOOSE(dYear,tblY7[Avg KS2 Band],tblY8[Avg KS2 Band],tblY9[Avg KS2 Band],tblY10[Avg KS2 Band],tblY11[Avg KS2 Band])</definedName>
    <definedName name="dPP">CHOOSE(dYear,tblY7[PP Deprivation],tblY8[PP Deprivation],tblY9[PP Deprivation],tblY10[PP Deprivation],tblY11[PP Deprivation])</definedName>
    <definedName name="dSEN">CHOOSE(dYear,tblY7[SEN Status Code],tblY8[SEN Status Code],tblY9[SEN Status Code],tblY10[SEN Status Code],tblY11[SEN Status Code])</definedName>
    <definedName name="dSex">CHOOSE(dYear,tblY7[Sex Code],tblY8[Sex Code],tblY9[Sex Code],tblY10[Sex Code],tblY11[Sex Code])</definedName>
    <definedName name="dTests">CHOOSE(dYear,tblY7[Tests Sat],tblY8[Tests Sat],tblY9[Tests Sat],tblY10[Tests Sat],tblY11[Tests Sat])</definedName>
    <definedName name="dRaw">INDEX(dData,0,MATCH(SelTest&amp;CHAR(10)&amp;"Raw Score",dHdr,0))</definedName>
    <definedName name="dStn">INDEX(dData,0,MATCH(SelTest&amp;CHAR(10)&amp;"Stanine",dHdr,0))</definedName>
    <definedName name="dHasTest">ISNUMBER(MATCH(SelTest&amp;CHAR(10)&amp;"Raw Score",dHdr,0))</definedName>
    <definedName name="dMax">INDEX(tblAssessments[Max Marks],MATCH(SelYear&amp;"|"&amp;SelTest,tblAssessments[Name Key],0))</definedName>
    <definedName name="dTestCount">Calc!$AA$64</definedName>
    <definedName name="DashTests">OFFSET(Calc!$AA$3,0,0,MAX(1,MIN(60,Calc!$AA$64)),1)</definedName>
    <definedName name="DashClasses">OFFSET(Calc!$Y$3,0,0,MAX(1,Calc!$Y$12),1)</definedName>
    <definedName name="WlYear">'Watch List'!$C$4</definedName>
    <definedName name="wYear">MATCH(WlYear,YearNames,0)</definedName>
    <definedName name="wData">CHOOSE(wYear,tblY7[#Data],tblY8[#Data],tblY9[#Data],tblY10[#Data],tblY11[#Data])</definedName>
    <definedName name="wHdr">CHOOSE(wYear,tblY7[#Headers],tblY8[#Headers],tblY9[#Headers],tblY10[#Headers],tblY11[#Headers])</definedName>
    <definedName name="wLast">CHOOSE(wYear,tblY7[Preferred Last name],tblY8[Preferred Last name],tblY9[Preferred Last name],tblY10[Preferred Last name],tblY11[Preferred Last name])</definedName>
    <definedName name="wFirst">CHOOSE(wYear,tblY7[Preferred First name],tblY8[Preferred First name],tblY9[Preferred First name],tblY10[Preferred First name],tblY11[Preferred First name])</definedName>
    <definedName name="wClass">CHOOSE(wYear,tblY7[Class],tblY8[Class],tblY9[Class],tblY10[Class],tblY11[Class])</definedName>
    <definedName name="wKsBand">CHOOSE(wYear,tblY7[Avg KS2 Band],tblY8[Avg KS2 Band],tblY9[Avg KS2 Band],tblY10[Avg KS2 Band],tblY11[Avg KS2 Band])</definedName>
    <definedName name="wTests">CHOOSE(wYear,tblY7[Tests Sat],tblY8[Tests Sat],tblY9[Tests Sat],tblY10[Tests Sat],tblY11[Tests Sat])</definedName>
    <definedName name="wMean">CHOOSE(wYear,tblY7[Mean Stanine],tblY8[Mean Stanine],tblY9[Mean Stanine],tblY10[Mean Stanine],tblY11[Mean Stanine])</definedName>
    <definedName name="wVs">CHOOSE(wYear,tblY7[vs Expected],tblY8[vs Expected],tblY9[vs Expected],tblY10[vs Expected],tblY11[vs Expected])</definedName>
    <definedName name="wLatest">INDEX(Calc!$AF$3:$AF$7,wYear)</definedName>
    <definedName name="wlCount">Calc!$BA$67</definedName>
    <definedName name="_xlnm.Print_Titles" localSheetId="4">'Year 7'!$1:$1,'Year 7'!$A:$C</definedName>
    <definedName name="_xlnm.Print_Titles" localSheetId="5">'Year 8'!$1:$1,'Year 8'!$A:$C</definedName>
    <definedName name="_xlnm.Print_Titles" localSheetId="6">'Year 9'!$1:$1,'Year 9'!$A:$C</definedName>
    <definedName name="_xlnm.Print_Titles" localSheetId="7">'Year 10'!$1:$1,'Year 10'!$A:$C</definedName>
    <definedName name="_xlnm.Print_Titles" localSheetId="8">'Year 11'!$1:$1,'Year 11'!$A:$C</definedName>
    <definedName name="chTrendCats" localSheetId="11">OFFSET(Calc!$AK$3,0,0,MAX(1,MIN(60,Calc!$AA$64)),1)</definedName>
    <definedName name="chTrendYear" localSheetId="11">OFFSET(Calc!$AL$3,0,0,MAX(1,MIN(60,Calc!$AA$64)),1)</definedName>
    <definedName name="chTrendClass" localSheetId="11">OFFSET(Calc!$AM$3,0,0,MAX(1,MIN(60,Calc!$AA$64)),1)</definedName>
    <definedName name="chClassCats" localSheetId="11">OFFSET(Calc!$AO$3,0,0,1+Calc!$Y$12,1)</definedName>
    <definedName name="chClassVals" localSheetId="11">OFFSET(Calc!$AP$3,0,0,1+Calc!$Y$12,1)</definedName>
    <definedName name="Slicer_Class_Y7">#N/A</definedName>
    <definedName name="Slicer_KS2_Band_Y7">#N/A</definedName>
    <definedName name="Slicer_Class_Y8">#N/A</definedName>
    <definedName name="Slicer_KS2_Band_Y8">#N/A</definedName>
    <definedName name="Slicer_Class_Y9">#N/A</definedName>
    <definedName name="Slicer_KS2_Band_Y9">#N/A</definedName>
    <definedName name="Slicer_Class_Y10">#N/A</definedName>
    <definedName name="Slicer_KS2_Band_Y10">#N/A</definedName>
    <definedName name="Slicer_Class_Y11">#N/A</definedName>
    <definedName name="Slicer_KS2_Band_Y11">#N/A</definedName>
  </definedNames>
  <calcPr calcId="124519" fullCalcOnLoad="1"/>
  <extLst>
    <ext xmlns:x15="http://schemas.microsoft.com/office/spreadsheetml/2010/11/main" uri="{46BE6895-7355-4a93-B00E-2C351335B9C9}">
      <x15:slicerCaches xmlns:x14="http://schemas.microsoft.com/office/spreadsheetml/2009/9/main">
        <x14:slicerCache xmlns:r="http://schemas.openxmlformats.org/officeDocument/2006/relationships" r:id="rId15"/>
        <x14:slicerCache xmlns:r="http://schemas.openxmlformats.org/officeDocument/2006/relationships" r:id="rId16"/>
        <x14:slicerCache xmlns:r="http://schemas.openxmlformats.org/officeDocument/2006/relationships" r:id="rId17"/>
        <x14:slicerCache xmlns:r="http://schemas.openxmlformats.org/officeDocument/2006/relationships" r:id="rId18"/>
        <x14:slicerCache xmlns:r="http://schemas.openxmlformats.org/officeDocument/2006/relationships" r:id="rId19"/>
        <x14:slicerCache xmlns:r="http://schemas.openxmlformats.org/officeDocument/2006/relationships" r:id="rId20"/>
        <x14:slicerCache xmlns:r="http://schemas.openxmlformats.org/officeDocument/2006/relationships" r:id="rId21"/>
        <x14:slicerCache xmlns:r="http://schemas.openxmlformats.org/officeDocument/2006/relationships" r:id="rId22"/>
        <x14:slicerCache xmlns:r="http://schemas.openxmlformats.org/officeDocument/2006/relationships" r:id="rId23"/>
        <x14:slicerCache xmlns:r="http://schemas.openxmlformats.org/officeDocument/2006/relationships" r:id="rId24"/>
      </x15:slicerCaches>
    </ext>
  </extLst>
</workbook>
</file>

<file path=xl/styles.xml><?xml version="1.0" encoding="utf-8"?>
<styleSheet xmlns="http://schemas.openxmlformats.org/spreadsheetml/2006/main">
  <numFmts count="7">
    <numFmt numFmtId="164" formatCode="0.0"/>
    <numFmt numFmtId="165" formatCode="+0.0;-0.0;0.0"/>
    <numFmt numFmtId="166" formatCode="yyyy-mm-dd"/>
    <numFmt numFmtId="167" formatCode="dd/mm/yyyy"/>
    <numFmt numFmtId="168" formatCode="+0;-0;0"/>
    <numFmt numFmtId="169" formatCode="+0.0&quot; pts&quot;;-0.0&quot; pts&quot;;0.0&quot; pts&quot;"/>
    <numFmt numFmtId="170" formatCode="dd/mm/yy"/>
  </numFmts>
  <fonts count="21">
    <font>
      <name val="Arial"/>
      <family val="2"/>
      <sz val="10"/>
    </font>
    <font>
      <name val="Arial"/>
      <b val="1"/>
      <color rgb="00B42318"/>
      <sz val="10"/>
    </font>
    <font>
      <name val="Arial"/>
      <color rgb="000B0B0B"/>
      <sz val="10"/>
    </font>
    <font>
      <name val="Arial"/>
      <b val="1"/>
      <color rgb="000B0B0B"/>
      <sz val="9"/>
    </font>
    <font>
      <name val="Arial"/>
      <b val="1"/>
      <color rgb="00FFFFFF"/>
      <sz val="9"/>
    </font>
    <font>
      <name val="Arial"/>
      <b val="1"/>
      <color rgb="00FFFFFF"/>
      <sz val="16"/>
    </font>
    <font>
      <name val="Arial"/>
      <i val="1"/>
      <color rgb="0052514E"/>
      <sz val="10"/>
    </font>
    <font>
      <name val="Arial"/>
      <b val="1"/>
      <color rgb="000D366B"/>
      <sz val="12"/>
    </font>
    <font>
      <name val="Arial"/>
      <b val="1"/>
      <color rgb="000B0B0B"/>
      <sz val="10"/>
    </font>
    <font>
      <name val="Arial"/>
      <color rgb="0052514E"/>
      <sz val="9"/>
    </font>
    <font>
      <name val="Arial"/>
      <b val="1"/>
      <color rgb="000B0B0B"/>
      <sz val="11"/>
    </font>
    <font>
      <name val="Arial"/>
      <color rgb="0052514E"/>
      <sz val="10"/>
    </font>
    <font>
      <name val="Arial"/>
      <color rgb="00898781"/>
      <sz val="9"/>
    </font>
    <font>
      <name val="Arial"/>
      <b val="1"/>
      <color rgb="0052514E"/>
      <sz val="9"/>
    </font>
    <font>
      <name val="Arial"/>
      <b val="1"/>
      <color rgb="000D366B"/>
      <sz val="20"/>
    </font>
    <font>
      <name val="Arial"/>
      <b val="1"/>
      <color rgb="0052514E"/>
      <sz val="10"/>
    </font>
    <font>
      <name val="Arial"/>
      <i val="1"/>
      <color rgb="0052514E"/>
      <sz val="9"/>
    </font>
    <font>
      <name val="Arial"/>
      <b val="1"/>
      <color rgb="000D366B"/>
      <sz val="11"/>
    </font>
    <font>
      <name val="Arial"/>
      <color rgb="0052514E"/>
      <sz val="11"/>
    </font>
    <font>
      <name val="Arial"/>
      <b val="1"/>
      <color rgb="00FFFFFF"/>
      <sz val="11"/>
    </font>
    <font>
      <name val="Arial"/>
      <color rgb="00256ABF"/>
      <sz val="10"/>
    </font>
  </fonts>
  <fills count="10">
    <fill>
      <patternFill/>
    </fill>
    <fill>
      <patternFill patternType="gray125"/>
    </fill>
    <fill>
      <patternFill patternType="solid">
        <fgColor rgb="000D366B"/>
      </patternFill>
    </fill>
    <fill>
      <patternFill patternType="solid">
        <fgColor rgb="00256ABF"/>
      </patternFill>
    </fill>
    <fill>
      <patternFill patternType="solid">
        <fgColor rgb="00CDE2FB"/>
      </patternFill>
    </fill>
    <fill>
      <patternFill patternType="solid">
        <fgColor rgb="00E1E0D9"/>
      </patternFill>
    </fill>
    <fill>
      <patternFill patternType="solid">
        <fgColor rgb="00F4F5F5"/>
      </patternFill>
    </fill>
    <fill>
      <patternFill patternType="solid">
        <fgColor rgb="00F5F5F4"/>
      </patternFill>
    </fill>
    <fill>
      <patternFill patternType="solid">
        <fgColor rgb="00FFF3BF"/>
      </patternFill>
    </fill>
    <fill>
      <patternFill patternType="solid">
        <fgColor rgb="00B42318"/>
      </patternFill>
    </fill>
  </fills>
  <borders count="8">
    <border>
      <left/>
      <right/>
      <top/>
      <bottom/>
      <diagonal/>
    </border>
    <border>
      <left style="thin">
        <color rgb="00E1E0D9"/>
      </left>
      <right style="thin">
        <color rgb="00E1E0D9"/>
      </right>
      <top style="thin">
        <color rgb="00E1E0D9"/>
      </top>
      <bottom style="thin">
        <color rgb="00E1E0D9"/>
      </bottom>
    </border>
    <border>
      <bottom style="thin">
        <color rgb="00C3C2B7"/>
      </bottom>
    </border>
    <border>
      <top style="thin">
        <color rgb="00C3C2B7"/>
      </top>
    </border>
    <border>
      <left/>
      <right/>
      <top style="thin">
        <color rgb="00E1E0D9"/>
      </top>
      <bottom/>
      <diagonal/>
    </border>
    <border>
      <left/>
      <right style="thin">
        <color rgb="00E1E0D9"/>
      </right>
      <top style="thin">
        <color rgb="00E1E0D9"/>
      </top>
      <bottom/>
      <diagonal/>
    </border>
    <border>
      <left/>
      <right style="thin">
        <color rgb="00E1E0D9"/>
      </right>
      <top style="thin">
        <color rgb="00E1E0D9"/>
      </top>
      <bottom style="thin">
        <color rgb="00E1E0D9"/>
      </bottom>
      <diagonal/>
    </border>
    <border>
      <left/>
      <right/>
      <top style="thin">
        <color rgb="00E1E0D9"/>
      </top>
      <bottom style="thin">
        <color rgb="00E1E0D9"/>
      </bottom>
      <diagonal/>
    </border>
  </borders>
  <cellStyleXfs count="1">
    <xf numFmtId="0" fontId="0" fillId="0" borderId="0"/>
  </cellStyleXfs>
  <cellXfs count="85">
    <xf numFmtId="0" fontId="0" fillId="0" borderId="0" pivotButton="0" quotePrefix="0" xfId="0"/>
    <xf numFmtId="0" fontId="0" fillId="2" borderId="0" pivotButton="0" quotePrefix="0" xfId="0"/>
    <xf numFmtId="0" fontId="5" fillId="2" borderId="0" applyAlignment="1" pivotButton="0" quotePrefix="0" xfId="0">
      <alignment horizontal="left" vertical="center"/>
    </xf>
    <xf numFmtId="0" fontId="18" fillId="0" borderId="0" applyAlignment="1" pivotButton="0" quotePrefix="0" xfId="0">
      <alignment horizontal="left" vertical="center"/>
    </xf>
    <xf numFmtId="0" fontId="19" fillId="9" borderId="0" pivotButton="0" quotePrefix="0" xfId="0"/>
    <xf numFmtId="0" fontId="0" fillId="9" borderId="0" pivotButton="0" quotePrefix="0" xfId="0"/>
    <xf numFmtId="0" fontId="7" fillId="0" borderId="0" applyAlignment="1" pivotButton="0" quotePrefix="0" xfId="0">
      <alignment horizontal="left" vertical="center"/>
    </xf>
    <xf numFmtId="0" fontId="4" fillId="2" borderId="1" applyAlignment="1" pivotButton="0" quotePrefix="0" xfId="0">
      <alignment horizontal="center" vertical="center" wrapText="1"/>
    </xf>
    <xf numFmtId="0" fontId="8" fillId="0" borderId="1" pivotButton="0" quotePrefix="0" xfId="0"/>
    <xf numFmtId="1" fontId="2" fillId="0" borderId="1" applyAlignment="1" pivotButton="0" quotePrefix="0" xfId="0">
      <alignment horizontal="center" vertical="center"/>
    </xf>
    <xf numFmtId="0" fontId="2" fillId="0" borderId="1" applyAlignment="1" pivotButton="0" quotePrefix="0" xfId="0">
      <alignment horizontal="center" vertical="center"/>
    </xf>
    <xf numFmtId="3" fontId="2" fillId="0" borderId="1" applyAlignment="1" pivotButton="0" quotePrefix="0" xfId="0">
      <alignment horizontal="center" vertical="center"/>
    </xf>
    <xf numFmtId="0" fontId="2" fillId="0" borderId="1" pivotButton="0" quotePrefix="0" xfId="0"/>
    <xf numFmtId="0" fontId="20" fillId="0" borderId="1" pivotButton="0" quotePrefix="0" xfId="0"/>
    <xf numFmtId="0" fontId="2" fillId="0" borderId="0" applyAlignment="1" pivotButton="0" quotePrefix="0" xfId="0">
      <alignment horizontal="left" vertical="top" wrapText="1"/>
    </xf>
    <xf numFmtId="0" fontId="0" fillId="0" borderId="6" pivotButton="0" quotePrefix="0" xfId="0"/>
    <xf numFmtId="0" fontId="8" fillId="0" borderId="1" applyAlignment="1" pivotButton="0" quotePrefix="0" xfId="0">
      <alignment horizontal="center" vertical="center"/>
    </xf>
    <xf numFmtId="0" fontId="6" fillId="0" borderId="0" applyAlignment="1" pivotButton="0" quotePrefix="0" xfId="0">
      <alignment horizontal="left" vertical="center"/>
    </xf>
    <xf numFmtId="0" fontId="13" fillId="7" borderId="0" applyAlignment="1" pivotButton="0" quotePrefix="0" xfId="0">
      <alignment horizontal="left" vertical="center"/>
    </xf>
    <xf numFmtId="0" fontId="0" fillId="7" borderId="0" pivotButton="0" quotePrefix="0" xfId="0"/>
    <xf numFmtId="1" fontId="14" fillId="7" borderId="0" applyAlignment="1" pivotButton="0" quotePrefix="0" xfId="0">
      <alignment horizontal="left" vertical="center"/>
    </xf>
    <xf numFmtId="3" fontId="14" fillId="7" borderId="0" applyAlignment="1" pivotButton="0" quotePrefix="0" xfId="0">
      <alignment horizontal="left" vertical="center"/>
    </xf>
    <xf numFmtId="0" fontId="7" fillId="4" borderId="0" pivotButton="0" quotePrefix="0" xfId="0"/>
    <xf numFmtId="0" fontId="9" fillId="4" borderId="0" pivotButton="0" quotePrefix="0" xfId="0"/>
    <xf numFmtId="0" fontId="0" fillId="4" borderId="0" pivotButton="0" quotePrefix="0" xfId="0"/>
    <xf numFmtId="0" fontId="13" fillId="4" borderId="0" pivotButton="0" quotePrefix="0" xfId="0"/>
    <xf numFmtId="0" fontId="8" fillId="0" borderId="2" pivotButton="0" quotePrefix="0" xfId="0"/>
    <xf numFmtId="1" fontId="8" fillId="0" borderId="3" applyAlignment="1" pivotButton="0" quotePrefix="0" xfId="0">
      <alignment horizontal="center" vertical="center"/>
    </xf>
    <xf numFmtId="164" fontId="8" fillId="0" borderId="3" applyAlignment="1" pivotButton="0" quotePrefix="0" xfId="0">
      <alignment horizontal="center" vertical="center"/>
    </xf>
    <xf numFmtId="165" fontId="8" fillId="0" borderId="3" applyAlignment="1" pivotButton="0" quotePrefix="0" xfId="0">
      <alignment horizontal="center" vertical="center"/>
    </xf>
    <xf numFmtId="9" fontId="8" fillId="0" borderId="3" applyAlignment="1" pivotButton="0" quotePrefix="0" xfId="0">
      <alignment horizontal="center" vertical="center"/>
    </xf>
    <xf numFmtId="0" fontId="2" fillId="0" borderId="0" pivotButton="0" quotePrefix="0" xfId="0"/>
    <xf numFmtId="0" fontId="2" fillId="0" borderId="0" applyAlignment="1" pivotButton="0" quotePrefix="0" xfId="0">
      <alignment horizontal="left" vertical="center"/>
    </xf>
    <xf numFmtId="1" fontId="2" fillId="0" borderId="0" applyAlignment="1" pivotButton="0" quotePrefix="0" xfId="0">
      <alignment horizontal="center" vertical="center"/>
    </xf>
    <xf numFmtId="164" fontId="2" fillId="0" borderId="0" applyAlignment="1" pivotButton="0" quotePrefix="0" xfId="0">
      <alignment horizontal="center" vertical="center"/>
    </xf>
    <xf numFmtId="165" fontId="2" fillId="0" borderId="0" applyAlignment="1" pivotButton="0" quotePrefix="0" xfId="0">
      <alignment horizontal="center" vertical="center"/>
    </xf>
    <xf numFmtId="9" fontId="2" fillId="0" borderId="0" applyAlignment="1" pivotButton="0" quotePrefix="0" xfId="0">
      <alignment horizontal="center" vertical="center"/>
    </xf>
    <xf numFmtId="0" fontId="9" fillId="0" borderId="0" applyAlignment="1" pivotButton="0" quotePrefix="0" xfId="0">
      <alignment horizontal="left" vertical="top" wrapText="1"/>
    </xf>
    <xf numFmtId="0" fontId="8" fillId="0" borderId="0" pivotButton="0" quotePrefix="0" xfId="0"/>
    <xf numFmtId="0" fontId="10" fillId="8" borderId="1" applyAlignment="1" applyProtection="1" pivotButton="0" quotePrefix="0" xfId="0">
      <alignment horizontal="left" vertical="center"/>
      <protection locked="0" hidden="0"/>
    </xf>
    <xf numFmtId="0" fontId="0" fillId="0" borderId="6" applyProtection="1" pivotButton="0" quotePrefix="0" xfId="0">
      <protection locked="0" hidden="0"/>
    </xf>
    <xf numFmtId="9" fontId="14" fillId="7" borderId="0" applyAlignment="1" pivotButton="0" quotePrefix="0" xfId="0">
      <alignment horizontal="left" vertical="center"/>
    </xf>
    <xf numFmtId="0" fontId="0" fillId="0" borderId="7" applyProtection="1" pivotButton="0" quotePrefix="0" xfId="0">
      <protection locked="0" hidden="0"/>
    </xf>
    <xf numFmtId="0" fontId="6" fillId="0" borderId="0" pivotButton="0" quotePrefix="0" xfId="0"/>
    <xf numFmtId="0" fontId="8" fillId="7" borderId="2" pivotButton="0" quotePrefix="0" xfId="0"/>
    <xf numFmtId="0" fontId="0" fillId="7" borderId="2" pivotButton="0" quotePrefix="0" xfId="0"/>
    <xf numFmtId="1" fontId="8" fillId="7" borderId="2" applyAlignment="1" pivotButton="0" quotePrefix="0" xfId="0">
      <alignment horizontal="center" vertical="center"/>
    </xf>
    <xf numFmtId="164" fontId="8" fillId="7" borderId="2" applyAlignment="1" pivotButton="0" quotePrefix="0" xfId="0">
      <alignment horizontal="center" vertical="center"/>
    </xf>
    <xf numFmtId="9" fontId="8" fillId="7" borderId="2" applyAlignment="1" pivotButton="0" quotePrefix="0" xfId="0">
      <alignment horizontal="center" vertical="center"/>
    </xf>
    <xf numFmtId="168" fontId="2" fillId="0" borderId="0" applyAlignment="1" pivotButton="0" quotePrefix="0" xfId="0">
      <alignment horizontal="center" vertical="center"/>
    </xf>
    <xf numFmtId="0" fontId="11" fillId="0" borderId="0" pivotButton="0" quotePrefix="0" xfId="0"/>
    <xf numFmtId="9" fontId="11" fillId="0" borderId="0" applyAlignment="1" pivotButton="0" quotePrefix="0" xfId="0">
      <alignment horizontal="center" vertical="center"/>
    </xf>
    <xf numFmtId="0" fontId="15" fillId="0" borderId="3" pivotButton="0" quotePrefix="0" xfId="0"/>
    <xf numFmtId="0" fontId="0" fillId="0" borderId="3" pivotButton="0" quotePrefix="0" xfId="0"/>
    <xf numFmtId="169" fontId="15" fillId="0" borderId="3" applyAlignment="1" pivotButton="0" quotePrefix="0" xfId="0">
      <alignment horizontal="center" vertical="center"/>
    </xf>
    <xf numFmtId="165" fontId="15" fillId="0" borderId="3" applyAlignment="1" pivotButton="0" quotePrefix="0" xfId="0">
      <alignment horizontal="center" vertical="center"/>
    </xf>
    <xf numFmtId="0" fontId="16" fillId="0" borderId="0" pivotButton="0" quotePrefix="0" xfId="0"/>
    <xf numFmtId="170" fontId="2" fillId="0" borderId="0" applyAlignment="1" pivotButton="0" quotePrefix="0" xfId="0">
      <alignment horizontal="center" vertical="center"/>
    </xf>
    <xf numFmtId="9" fontId="8" fillId="0" borderId="0" applyAlignment="1" pivotButton="0" quotePrefix="0" xfId="0">
      <alignment horizontal="center" vertical="center"/>
    </xf>
    <xf numFmtId="0" fontId="17" fillId="0" borderId="0" pivotButton="0" quotePrefix="0" xfId="0"/>
    <xf numFmtId="0" fontId="4" fillId="2" borderId="1" applyAlignment="1" pivotButton="0" quotePrefix="0" xfId="0">
      <alignment horizontal="left" vertical="bottom" wrapText="1"/>
    </xf>
    <xf numFmtId="0" fontId="4" fillId="2" borderId="1" applyAlignment="1" pivotButton="0" quotePrefix="0" xfId="0">
      <alignment horizontal="center" vertical="bottom" textRotation="90" wrapText="1"/>
    </xf>
    <xf numFmtId="0" fontId="4" fillId="3" borderId="1" applyAlignment="1" pivotButton="0" quotePrefix="0" xfId="0">
      <alignment horizontal="center" vertical="bottom" textRotation="90" wrapText="1"/>
    </xf>
    <xf numFmtId="0" fontId="3" fillId="4" borderId="1" applyAlignment="1" pivotButton="0" quotePrefix="0" xfId="0">
      <alignment horizontal="center" vertical="bottom" textRotation="90" wrapText="1"/>
    </xf>
    <xf numFmtId="0" fontId="3" fillId="5" borderId="1" applyAlignment="1" pivotButton="0" quotePrefix="0" xfId="0">
      <alignment horizontal="center" vertical="bottom" textRotation="90" wrapText="1"/>
    </xf>
    <xf numFmtId="49" fontId="2" fillId="0" borderId="0" pivotButton="0" quotePrefix="0" xfId="0"/>
    <xf numFmtId="0" fontId="2" fillId="0" borderId="0" applyAlignment="1" pivotButton="0" quotePrefix="0" xfId="0">
      <alignment horizontal="center" vertical="center"/>
    </xf>
    <xf numFmtId="1" fontId="2" fillId="6" borderId="0" applyAlignment="1" pivotButton="0" quotePrefix="0" xfId="0">
      <alignment horizontal="center" vertical="center"/>
    </xf>
    <xf numFmtId="164" fontId="2" fillId="6" borderId="0" applyAlignment="1" pivotButton="0" quotePrefix="0" xfId="0">
      <alignment horizontal="center" vertical="center"/>
    </xf>
    <xf numFmtId="165" fontId="2" fillId="6" borderId="0" applyAlignment="1" pivotButton="0" quotePrefix="0" xfId="0">
      <alignment horizontal="center" vertical="center"/>
    </xf>
    <xf numFmtId="0" fontId="2" fillId="0" borderId="1" applyAlignment="1" pivotButton="0" quotePrefix="0" xfId="0">
      <alignment horizontal="left" vertical="center"/>
    </xf>
    <xf numFmtId="167" fontId="2" fillId="0" borderId="1" applyAlignment="1" pivotButton="0" quotePrefix="0" xfId="0">
      <alignment horizontal="center" vertical="center"/>
    </xf>
    <xf numFmtId="0" fontId="2" fillId="7" borderId="1" applyAlignment="1" pivotButton="0" quotePrefix="0" xfId="0">
      <alignment horizontal="center" vertical="center"/>
    </xf>
    <xf numFmtId="9" fontId="2" fillId="7" borderId="1" applyAlignment="1" pivotButton="0" quotePrefix="0" xfId="0">
      <alignment horizontal="center" vertical="center"/>
    </xf>
    <xf numFmtId="164" fontId="2" fillId="7" borderId="1" applyAlignment="1" pivotButton="0" quotePrefix="0" xfId="0">
      <alignment horizontal="center" vertical="center"/>
    </xf>
    <xf numFmtId="0" fontId="2" fillId="7" borderId="1" applyAlignment="1" pivotButton="0" quotePrefix="0" xfId="0">
      <alignment horizontal="left" vertical="center"/>
    </xf>
    <xf numFmtId="2" fontId="2" fillId="0" borderId="1" applyAlignment="1" pivotButton="0" quotePrefix="0" xfId="0">
      <alignment horizontal="center" vertical="center"/>
    </xf>
    <xf numFmtId="164" fontId="10" fillId="8" borderId="1" applyAlignment="1" applyProtection="1" pivotButton="0" quotePrefix="0" xfId="0">
      <alignment horizontal="left" vertical="center"/>
      <protection locked="0" hidden="0"/>
    </xf>
    <xf numFmtId="2" fontId="11" fillId="0" borderId="1" applyAlignment="1" pivotButton="0" quotePrefix="0" xfId="0">
      <alignment horizontal="center" vertical="center"/>
    </xf>
    <xf numFmtId="0" fontId="2" fillId="8" borderId="1" applyProtection="1" pivotButton="0" quotePrefix="0" xfId="0">
      <protection locked="0" hidden="0"/>
    </xf>
    <xf numFmtId="0" fontId="12" fillId="0" borderId="1" pivotButton="0" quotePrefix="0" xfId="0"/>
    <xf numFmtId="0" fontId="1" fillId="0" borderId="0" pivotButton="0" quotePrefix="0" xfId="0"/>
    <xf numFmtId="0" fontId="3" fillId="0" borderId="0" pivotButton="0" quotePrefix="0" xfId="0"/>
    <xf numFmtId="167" fontId="0" fillId="0" borderId="0" pivotButton="0" quotePrefix="0" xfId="0"/>
    <xf numFmtId="9" fontId="0" fillId="0" borderId="0" pivotButton="0" quotePrefix="0" xfId="0"/>
  </cellXfs>
  <cellStyles count="1">
    <cellStyle name="Normal" xfId="0" builtinId="0" hidden="0"/>
  </cellStyles>
  <dxfs count="10">
    <dxf>
      <fill>
        <patternFill patternType="solid">
          <bgColor rgb="009EC5F4"/>
        </patternFill>
      </fill>
    </dxf>
    <dxf>
      <fill>
        <patternFill patternType="solid">
          <bgColor rgb="00CDE2FB"/>
        </patternFill>
      </fill>
    </dxf>
    <dxf>
      <fill>
        <patternFill patternType="solid">
          <bgColor rgb="00F2C4C3"/>
        </patternFill>
      </fill>
    </dxf>
    <dxf>
      <fill>
        <patternFill patternType="solid">
          <bgColor rgb="00FBE4E3"/>
        </patternFill>
      </fill>
    </dxf>
    <dxf>
      <fill>
        <patternFill patternType="solid">
          <bgColor rgb="00FDEBC4"/>
        </patternFill>
      </fill>
    </dxf>
    <dxf>
      <numFmt numFmtId="200" formatCode="0.0"/>
    </dxf>
    <dxf>
      <font>
        <name val="Arial"/>
        <i val="1"/>
        <color rgb="00898781"/>
      </font>
      <fill>
        <patternFill patternType="solid">
          <bgColor rgb="00FFFFFF"/>
        </patternFill>
      </fill>
    </dxf>
    <dxf>
      <fill>
        <patternFill patternType="solid">
          <bgColor rgb="00FFFFFF"/>
        </patternFill>
      </fill>
    </dxf>
    <dxf>
      <border>
        <bottom style="thin">
          <color rgb="00E1E0D9"/>
        </bottom>
      </border>
    </dxf>
    <dxf>
      <font>
        <name val="Arial"/>
        <b val="1"/>
        <color rgb="00B4231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Id="rId15" Type="http://schemas.microsoft.com/office/2007/relationships/slicerCache" Target="slicerCaches/slicerCache1.xml"/><Relationship Id="rId16" Type="http://schemas.microsoft.com/office/2007/relationships/slicerCache" Target="slicerCaches/slicerCache2.xml"/><Relationship Id="rId17" Type="http://schemas.microsoft.com/office/2007/relationships/slicerCache" Target="slicerCaches/slicerCache3.xml"/><Relationship Id="rId18" Type="http://schemas.microsoft.com/office/2007/relationships/slicerCache" Target="slicerCaches/slicerCache4.xml"/><Relationship Id="rId19" Type="http://schemas.microsoft.com/office/2007/relationships/slicerCache" Target="slicerCaches/slicerCache5.xml"/><Relationship Id="rId20" Type="http://schemas.microsoft.com/office/2007/relationships/slicerCache" Target="slicerCaches/slicerCache6.xml"/><Relationship Id="rId21" Type="http://schemas.microsoft.com/office/2007/relationships/slicerCache" Target="slicerCaches/slicerCache7.xml"/><Relationship Id="rId22" Type="http://schemas.microsoft.com/office/2007/relationships/slicerCache" Target="slicerCaches/slicerCache8.xml"/><Relationship Id="rId23" Type="http://schemas.microsoft.com/office/2007/relationships/slicerCache" Target="slicerCaches/slicerCache9.xml"/><Relationship Id="rId24" Type="http://schemas.microsoft.com/office/2007/relationships/slicerCache" Target="slicerCaches/slicerCache10.xml"/><Relationship Id="rId25" Type="http://schemas.microsoft.com/office/2006/relationships/vbaProject" Target="vbaProject.bin"/></Relationships>
</file>

<file path=xl/charts/chart1.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Mean % by class, selected test</a:t>
            </a:r>
          </a:p>
        </rich>
      </tx>
    </title>
    <plotArea>
      <barChart>
        <barDir val="bar"/>
        <grouping val="clustered"/>
        <ser>
          <idx val="0"/>
          <order val="0"/>
          <spPr>
            <a:solidFill xmlns:a="http://schemas.openxmlformats.org/drawingml/2006/main">
              <a:srgbClr val="2A78D6"/>
            </a:solidFill>
            <a:ln xmlns:a="http://schemas.openxmlformats.org/drawingml/2006/main">
              <a:noFill/>
              <a:prstDash val="solid"/>
            </a:ln>
          </spPr>
          <dPt>
            <idx val="0"/>
            <spPr>
              <a:solidFill xmlns:a="http://schemas.openxmlformats.org/drawingml/2006/main">
                <a:srgbClr val="898781"/>
              </a:solidFill>
              <a:ln xmlns:a="http://schemas.openxmlformats.org/drawingml/2006/main">
                <a:noFill/>
                <a:prstDash val="solid"/>
              </a:ln>
            </spPr>
          </dPt>
          <dLbls>
            <numFmt formatCode="0%" sourceLinked="0"/>
            <txPr>
              <a:bodyPr xmlns:a="http://schemas.openxmlformats.org/drawingml/2006/main"/>
              <a:p xmlns:a="http://schemas.openxmlformats.org/drawingml/2006/main">
                <a:pPr>
                  <a:defRPr sz="900">
                    <a:solidFill>
                      <a:srgbClr val="0B0B0B"/>
                    </a:solidFill>
                    <a:latin typeface="Arial"/>
                  </a:defRPr>
                </a:pPr>
                <a:r>
                  <a:t/>
                </a:r>
                <a:endParaRPr/>
              </a:p>
            </txPr>
            <showLegendKey val="0"/>
            <showVal val="1"/>
            <showCatName val="0"/>
            <showSerName val="0"/>
          </dLbls>
          <cat>
            <strRef>
              <f>Calc!chClassCats</f>
            </strRef>
          </cat>
          <val>
            <numRef>
              <f>Calc!chClassVals</f>
            </numRef>
          </val>
        </ser>
        <gapWidth val="60"/>
        <axId val="10"/>
        <axId val="100"/>
      </barChart>
      <catAx>
        <axId val="10"/>
        <scaling>
          <orientation val="maxMin"/>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1"/>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crosses val="max"/>
        <majorUnit val="0.25"/>
      </valAx>
    </plotArea>
    <plotVisOnly val="1"/>
    <dispBlanksAs val="gap"/>
  </chart>
  <spPr>
    <a:ln xmlns:a="http://schemas.openxmlformats.org/drawingml/2006/main">
      <a:noFill/>
      <a:prstDash val="solid"/>
    </a:ln>
  </spPr>
</chartSpace>
</file>

<file path=xl/charts/chart2.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Stanine spread, selected test</a:t>
            </a:r>
          </a:p>
        </rich>
      </tx>
    </title>
    <plotArea>
      <barChart>
        <barDir val="col"/>
        <grouping val="clustered"/>
        <ser>
          <idx val="0"/>
          <order val="0"/>
          <tx>
            <strRef>
              <f>Calc!$AS$2</f>
            </strRef>
          </tx>
          <spPr>
            <a:solidFill xmlns:a="http://schemas.openxmlformats.org/drawingml/2006/main">
              <a:srgbClr val="2A78D6"/>
            </a:solidFill>
            <a:ln xmlns:a="http://schemas.openxmlformats.org/drawingml/2006/main">
              <a:noFill/>
              <a:prstDash val="solid"/>
            </a:ln>
          </spPr>
          <cat>
            <numRef>
              <f>Calc!$AR$3:$AR$11</f>
            </numRef>
          </cat>
          <val>
            <numRef>
              <f>Calc!$AS$3:$AS$11</f>
            </numRef>
          </val>
        </ser>
        <ser>
          <idx val="1"/>
          <order val="1"/>
          <tx>
            <strRef>
              <f>Calc!$AT$2</f>
            </strRef>
          </tx>
          <spPr>
            <a:solidFill xmlns:a="http://schemas.openxmlformats.org/drawingml/2006/main">
              <a:srgbClr val="C3C2B7"/>
            </a:solidFill>
            <a:ln xmlns:a="http://schemas.openxmlformats.org/drawingml/2006/main">
              <a:noFill/>
              <a:prstDash val="solid"/>
            </a:ln>
          </spPr>
          <cat>
            <numRef>
              <f>Calc!$AR$3:$AR$11</f>
            </numRef>
          </cat>
          <val>
            <numRef>
              <f>Calc!$AT$3:$AT$11</f>
            </numRef>
          </val>
        </ser>
        <gapWidth val="50"/>
        <overlap val="-10"/>
        <axId val="10"/>
        <axId val="100"/>
      </bar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charts/chart3.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Focus class and whole year: mean stanine by test</a:t>
            </a:r>
          </a:p>
        </rich>
      </tx>
    </title>
    <plotArea>
      <lineChart>
        <grouping val="standard"/>
        <ser>
          <idx val="0"/>
          <order val="0"/>
          <tx>
            <strRef>
              <f>Calc!$AL$2</f>
            </strRef>
          </tx>
          <spPr>
            <a:ln xmlns:a="http://schemas.openxmlformats.org/drawingml/2006/main" w="28575">
              <a:solidFill>
                <a:srgbClr val="898781"/>
              </a:solidFill>
              <a:prstDash val="solid"/>
            </a:ln>
          </spPr>
          <marker>
            <symbol val="circle"/>
            <size val="6"/>
            <spPr>
              <a:solidFill xmlns:a="http://schemas.openxmlformats.org/drawingml/2006/main">
                <a:srgbClr val="898781"/>
              </a:solidFill>
              <a:ln xmlns:a="http://schemas.openxmlformats.org/drawingml/2006/main">
                <a:solidFill>
                  <a:srgbClr val="FFFFFF"/>
                </a:solidFill>
                <a:prstDash val="solid"/>
              </a:ln>
            </spPr>
          </marker>
          <cat>
            <strRef>
              <f>Calc!chTrendCats</f>
            </strRef>
          </cat>
          <val>
            <numRef>
              <f>Calc!chTrendYear</f>
            </numRef>
          </val>
          <smooth val="0"/>
        </ser>
        <ser>
          <idx val="1"/>
          <order val="1"/>
          <tx>
            <strRef>
              <f>Dashboard!$C$7</f>
            </strRef>
          </tx>
          <spPr>
            <a:ln xmlns:a="http://schemas.openxmlformats.org/drawingml/2006/main" w="25400">
              <a:solidFill>
                <a:srgbClr val="2A78D6"/>
              </a:solidFill>
              <a:prstDash val="solid"/>
            </a:ln>
          </spPr>
          <marker>
            <symbol val="circle"/>
            <size val="6"/>
            <spPr>
              <a:solidFill xmlns:a="http://schemas.openxmlformats.org/drawingml/2006/main">
                <a:srgbClr val="2A78D6"/>
              </a:solidFill>
              <a:ln xmlns:a="http://schemas.openxmlformats.org/drawingml/2006/main">
                <a:solidFill>
                  <a:srgbClr val="FFFFFF"/>
                </a:solidFill>
                <a:prstDash val="solid"/>
              </a:ln>
            </spPr>
          </marker>
          <cat>
            <strRef>
              <f>Calc!chTrendCats</f>
            </strRef>
          </cat>
          <val>
            <numRef>
              <f>Calc!chTrendClass</f>
            </numRef>
          </val>
          <smooth val="0"/>
        </ser>
        <axId val="10"/>
        <axId val="100"/>
      </line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9"/>
          <min val="1"/>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majorUnit val="1"/>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drawing1.xml><?xml version="1.0" encoding="utf-8"?>
<wsDr xmlns="http://schemas.openxmlformats.org/drawingml/2006/spreadsheetDrawing">
  <oneCellAnchor>
    <from>
      <col>17</col>
      <colOff>0</colOff>
      <row>8</row>
      <rowOff>0</rowOff>
    </from>
    <ext cx="5760000" cy="2592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17</col>
      <colOff>0</colOff>
      <row>22</row>
      <rowOff>0</rowOff>
    </from>
    <ext cx="5760000" cy="2592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17</col>
      <colOff>0</colOff>
      <row>42</row>
      <rowOff>0</rowOff>
    </from>
    <ext cx="5760000" cy="342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twoCellAnchor xmlns:a="http://schemas.openxmlformats.org/drawingml/2006/main" editAs="absolute">
    <from>
      <col>9</col>
      <colOff>0</colOff>
      <row>0</row>
      <rowOff>76200</rowOff>
    </from>
    <to>
      <col>10</col>
      <colOff>285750</colOff>
      <row>0</row>
      <rowOff>304800</rowOff>
    </to>
    <sp macro="[0]!ShowManageTests" textlink="">
      <nvSpPr>
        <cNvPr id="1003" name="btnShowManageTests_1" descr="Runs ShowManageTests"/>
        <cNvSpPr/>
      </nvSpPr>
      <spPr>
        <a:xfrm>
          <a:off x="67341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Manage tests</a:t>
          </a:r>
        </a:p>
      </txBody>
    </sp>
    <clientData/>
  </twoCellAnchor>
  <twoCellAnchor xmlns:a="http://schemas.openxmlformats.org/drawingml/2006/main" editAs="absolute">
    <from>
      <col>10</col>
      <colOff>361950</colOff>
      <row>0</row>
      <rowOff>76200</rowOff>
    </from>
    <to>
      <col>11</col>
      <colOff>647700</colOff>
      <row>0</row>
      <rowOff>304800</rowOff>
    </to>
    <sp macro="[0]!GoToOverview" textlink="">
      <nvSpPr>
        <cNvPr id="1004" name="btnGoToOverview_2" descr="Runs GoToOverview"/>
        <cNvSpPr/>
      </nvSpPr>
      <spPr>
        <a:xfrm>
          <a:off x="77628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Overview</a:t>
          </a:r>
        </a:p>
      </txBody>
    </sp>
    <clientData/>
  </twoCellAnchor>
  <twoCellAnchor xmlns:a="http://schemas.openxmlformats.org/drawingml/2006/main" editAs="absolute">
    <from>
      <col>12</col>
      <colOff>57150</colOff>
      <row>0</row>
      <rowOff>76200</rowOff>
    </from>
    <to>
      <col>13</col>
      <colOff>342900</colOff>
      <row>0</row>
      <rowOff>304800</rowOff>
    </to>
    <sp macro="[0]!GoToWatchList" textlink="">
      <nvSpPr>
        <cNvPr id="1005" name="btnGoToWatchList_3" descr="Runs GoToWatchList"/>
        <cNvSpPr/>
      </nvSpPr>
      <spPr>
        <a:xfrm>
          <a:off x="87915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Watch list</a:t>
          </a:r>
        </a:p>
      </txBody>
    </sp>
    <clientData/>
  </twoCellAnchor>
  <twoCellAnchor xmlns:a="http://schemas.openxmlformats.org/drawingml/2006/main" editAs="absolute">
    <from>
      <col>13</col>
      <colOff>419100</colOff>
      <row>0</row>
      <rowOff>76200</rowOff>
    </from>
    <to>
      <col>15</col>
      <colOff>38100</colOff>
      <row>0</row>
      <rowOff>304800</rowOff>
    </to>
    <sp macro="[0]!GoToStart" textlink="">
      <nvSpPr>
        <cNvPr id="1006" name="btnGoToStart_4" descr="Runs GoToStart"/>
        <cNvSpPr/>
      </nvSpPr>
      <spPr>
        <a:xfrm>
          <a:off x="98202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Start</a:t>
          </a:r>
        </a:p>
      </txBody>
    </sp>
    <clientData/>
  </twoCellAnchor>
</wsDr>
</file>

<file path=xl/drawings/drawing2.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7"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7"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7"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7"/>
            <xdr:cNvGraphicFramePr/>
          </xdr:nvGraphicFramePr>
          <xdr:xfrm>
            <a:off x="0" y="0"/>
            <a:ext cx="0" cy="0"/>
          </xdr:xfrm>
          <a:graphic>
            <a:graphicData uri="http://schemas.microsoft.com/office/drawing/2010/slicer">
              <sle:slicer xmlns:sle="http://schemas.microsoft.com/office/drawing/2010/slicer" name="Class Y7"/>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7"/>
            <xdr:cNvGraphicFramePr/>
          </xdr:nvGraphicFramePr>
          <xdr:xfrm>
            <a:off x="0" y="0"/>
            <a:ext cx="0" cy="0"/>
          </xdr:xfrm>
          <a:graphic>
            <a:graphicData uri="http://schemas.microsoft.com/office/drawing/2010/slicer">
              <sle:slicer xmlns:sle="http://schemas.microsoft.com/office/drawing/2010/slicer" name="KS2 band Y7"/>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8"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8"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8"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8"/>
            <xdr:cNvGraphicFramePr/>
          </xdr:nvGraphicFramePr>
          <xdr:xfrm>
            <a:off x="0" y="0"/>
            <a:ext cx="0" cy="0"/>
          </xdr:xfrm>
          <a:graphic>
            <a:graphicData uri="http://schemas.microsoft.com/office/drawing/2010/slicer">
              <sle:slicer xmlns:sle="http://schemas.microsoft.com/office/drawing/2010/slicer" name="Class Y8"/>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8"/>
            <xdr:cNvGraphicFramePr/>
          </xdr:nvGraphicFramePr>
          <xdr:xfrm>
            <a:off x="0" y="0"/>
            <a:ext cx="0" cy="0"/>
          </xdr:xfrm>
          <a:graphic>
            <a:graphicData uri="http://schemas.microsoft.com/office/drawing/2010/slicer">
              <sle:slicer xmlns:sle="http://schemas.microsoft.com/office/drawing/2010/slicer" name="KS2 band Y8"/>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9"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9"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9"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9"/>
            <xdr:cNvGraphicFramePr/>
          </xdr:nvGraphicFramePr>
          <xdr:xfrm>
            <a:off x="0" y="0"/>
            <a:ext cx="0" cy="0"/>
          </xdr:xfrm>
          <a:graphic>
            <a:graphicData uri="http://schemas.microsoft.com/office/drawing/2010/slicer">
              <sle:slicer xmlns:sle="http://schemas.microsoft.com/office/drawing/2010/slicer" name="Class Y9"/>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9"/>
            <xdr:cNvGraphicFramePr/>
          </xdr:nvGraphicFramePr>
          <xdr:xfrm>
            <a:off x="0" y="0"/>
            <a:ext cx="0" cy="0"/>
          </xdr:xfrm>
          <a:graphic>
            <a:graphicData uri="http://schemas.microsoft.com/office/drawing/2010/slicer">
              <sle:slicer xmlns:sle="http://schemas.microsoft.com/office/drawing/2010/slicer" name="KS2 band Y9"/>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10"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10"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10"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10"/>
            <xdr:cNvGraphicFramePr/>
          </xdr:nvGraphicFramePr>
          <xdr:xfrm>
            <a:off x="0" y="0"/>
            <a:ext cx="0" cy="0"/>
          </xdr:xfrm>
          <a:graphic>
            <a:graphicData uri="http://schemas.microsoft.com/office/drawing/2010/slicer">
              <sle:slicer xmlns:sle="http://schemas.microsoft.com/office/drawing/2010/slicer" name="Class Y10"/>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10"/>
            <xdr:cNvGraphicFramePr/>
          </xdr:nvGraphicFramePr>
          <xdr:xfrm>
            <a:off x="0" y="0"/>
            <a:ext cx="0" cy="0"/>
          </xdr:xfrm>
          <a:graphic>
            <a:graphicData uri="http://schemas.microsoft.com/office/drawing/2010/slicer">
              <sle:slicer xmlns:sle="http://schemas.microsoft.com/office/drawing/2010/slicer" name="KS2 band Y10"/>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11"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11"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11"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11"/>
            <xdr:cNvGraphicFramePr/>
          </xdr:nvGraphicFramePr>
          <xdr:xfrm>
            <a:off x="0" y="0"/>
            <a:ext cx="0" cy="0"/>
          </xdr:xfrm>
          <a:graphic>
            <a:graphicData uri="http://schemas.microsoft.com/office/drawing/2010/slicer">
              <sle:slicer xmlns:sle="http://schemas.microsoft.com/office/drawing/2010/slicer" name="Class Y11"/>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11"/>
            <xdr:cNvGraphicFramePr/>
          </xdr:nvGraphicFramePr>
          <xdr:xfrm>
            <a:off x="0" y="0"/>
            <a:ext cx="0" cy="0"/>
          </xdr:xfrm>
          <a:graphic>
            <a:graphicData uri="http://schemas.microsoft.com/office/drawing/2010/slicer">
              <sle:slicer xmlns:sle="http://schemas.microsoft.com/office/drawing/2010/slicer" name="KS2 band Y11"/>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absolute">
    <xdr:from>
      <xdr:col>13</xdr:col>
      <xdr:colOff>323850</xdr:colOff>
      <xdr:row>0</xdr:row>
      <xdr:rowOff>76200</xdr:rowOff>
    </xdr:from>
    <xdr:to>
      <xdr:col>14</xdr:col>
      <xdr:colOff>742950</xdr:colOff>
      <xdr:row>0</xdr:row>
      <xdr:rowOff>304800</xdr:rowOff>
    </xdr:to>
    <xdr:sp macro="[0]!ShowManageTests" textlink="">
      <xdr:nvSpPr>
        <xdr:cNvPr id="1000" name="btnShowManageTests_1" descr="Runs ShowManageTests"/>
        <xdr:cNvSpPr/>
      </xdr:nvSpPr>
      <xdr:spPr>
        <a:xfrm>
          <a:off x="105251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14</xdr:col>
      <xdr:colOff>819150</xdr:colOff>
      <xdr:row>0</xdr:row>
      <xdr:rowOff>76200</xdr:rowOff>
    </xdr:from>
    <xdr:to>
      <xdr:col>14</xdr:col>
      <xdr:colOff>1771650</xdr:colOff>
      <xdr:row>0</xdr:row>
      <xdr:rowOff>304800</xdr:rowOff>
    </xdr:to>
    <xdr:sp macro="[0]!GoToStart" textlink="">
      <xdr:nvSpPr>
        <xdr:cNvPr id="1001" name="btnGoToStart_2" descr="Runs GoToStart"/>
        <xdr:cNvSpPr/>
      </xdr:nvSpPr>
      <xdr:spPr>
        <a:xfrm>
          <a:off x="115538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4</xdr:col>
      <xdr:colOff>419100</xdr:colOff>
      <xdr:row>0</xdr:row>
      <xdr:rowOff>76200</xdr:rowOff>
    </xdr:from>
    <xdr:to>
      <xdr:col>7</xdr:col>
      <xdr:colOff>38100</xdr:colOff>
      <xdr:row>0</xdr:row>
      <xdr:rowOff>304800</xdr:rowOff>
    </xdr:to>
    <xdr:sp macro="[0]!GoToStart" textlink="">
      <xdr:nvSpPr>
        <xdr:cNvPr id="1000" name="btnGoToStart_1" descr="Runs GoToStart"/>
        <xdr:cNvSpPr/>
      </xdr:nvSpPr>
      <xdr:spPr>
        <a:xfrm>
          <a:off x="695325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8</xdr:col>
      <xdr:colOff>428625</xdr:colOff>
      <xdr:row>0</xdr:row>
      <xdr:rowOff>76200</xdr:rowOff>
    </xdr:from>
    <xdr:to>
      <xdr:col>10</xdr:col>
      <xdr:colOff>47625</xdr:colOff>
      <xdr:row>0</xdr:row>
      <xdr:rowOff>304800</xdr:rowOff>
    </xdr:to>
    <xdr:sp macro="[0]!GoToDashboard" textlink="">
      <xdr:nvSpPr>
        <xdr:cNvPr id="1000" name="btnGoToDashboard_1" descr="Runs GoToDashboard"/>
        <xdr:cNvSpPr/>
      </xdr:nvSpPr>
      <xdr:spPr>
        <a:xfrm>
          <a:off x="58293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10</xdr:col>
      <xdr:colOff>123825</xdr:colOff>
      <xdr:row>0</xdr:row>
      <xdr:rowOff>76200</xdr:rowOff>
    </xdr:from>
    <xdr:to>
      <xdr:col>11</xdr:col>
      <xdr:colOff>409575</xdr:colOff>
      <xdr:row>0</xdr:row>
      <xdr:rowOff>304800</xdr:rowOff>
    </xdr:to>
    <xdr:sp macro="[0]!GoToWatchList" textlink="">
      <xdr:nvSpPr>
        <xdr:cNvPr id="1001" name="btnGoToWatchList_2" descr="Runs GoToWatchList"/>
        <xdr:cNvSpPr/>
      </xdr:nvSpPr>
      <xdr:spPr>
        <a:xfrm>
          <a:off x="68580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11</xdr:col>
      <xdr:colOff>485775</xdr:colOff>
      <xdr:row>0</xdr:row>
      <xdr:rowOff>76200</xdr:rowOff>
    </xdr:from>
    <xdr:to>
      <xdr:col>13</xdr:col>
      <xdr:colOff>38100</xdr:colOff>
      <xdr:row>0</xdr:row>
      <xdr:rowOff>304800</xdr:rowOff>
    </xdr:to>
    <xdr:sp macro="[0]!GoToStart" textlink="">
      <xdr:nvSpPr>
        <xdr:cNvPr id="1002" name="btnGoToStart_3" descr="Runs GoToStart"/>
        <xdr:cNvSpPr/>
      </xdr:nvSpPr>
      <xdr:spPr>
        <a:xfrm>
          <a:off x="78867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6</xdr:col>
      <xdr:colOff>495300</xdr:colOff>
      <xdr:row>0</xdr:row>
      <xdr:rowOff>76200</xdr:rowOff>
    </xdr:from>
    <xdr:to>
      <xdr:col>7</xdr:col>
      <xdr:colOff>781050</xdr:colOff>
      <xdr:row>0</xdr:row>
      <xdr:rowOff>304800</xdr:rowOff>
    </xdr:to>
    <xdr:sp macro="[0]!GoToDashboard" textlink="">
      <xdr:nvSpPr>
        <xdr:cNvPr id="1000" name="btnGoToDashboard_1" descr="Runs GoToDashboard"/>
        <xdr:cNvSpPr/>
      </xdr:nvSpPr>
      <xdr:spPr>
        <a:xfrm>
          <a:off x="54959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8</xdr:col>
      <xdr:colOff>57150</xdr:colOff>
      <xdr:row>0</xdr:row>
      <xdr:rowOff>76200</xdr:rowOff>
    </xdr:from>
    <xdr:to>
      <xdr:col>8</xdr:col>
      <xdr:colOff>1009650</xdr:colOff>
      <xdr:row>0</xdr:row>
      <xdr:rowOff>304800</xdr:rowOff>
    </xdr:to>
    <xdr:sp macro="[0]!GoToOverview" textlink="">
      <xdr:nvSpPr>
        <xdr:cNvPr id="1001" name="btnGoToOverview_2" descr="Runs GoToOverview"/>
        <xdr:cNvSpPr/>
      </xdr:nvSpPr>
      <xdr:spPr>
        <a:xfrm>
          <a:off x="65246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Overview</a:t>
          </a:r>
        </a:p>
      </xdr:txBody>
    </xdr:sp>
    <xdr:clientData/>
  </xdr:twoCellAnchor>
  <xdr:twoCellAnchor editAs="absolute">
    <xdr:from>
      <xdr:col>8</xdr:col>
      <xdr:colOff>1085850</xdr:colOff>
      <xdr:row>0</xdr:row>
      <xdr:rowOff>76200</xdr:rowOff>
    </xdr:from>
    <xdr:to>
      <xdr:col>9</xdr:col>
      <xdr:colOff>38100</xdr:colOff>
      <xdr:row>0</xdr:row>
      <xdr:rowOff>304800</xdr:rowOff>
    </xdr:to>
    <xdr:sp macro="[0]!GoToStart" textlink="">
      <xdr:nvSpPr>
        <xdr:cNvPr id="1002" name="btnGoToStart_3" descr="Runs GoToStart"/>
        <xdr:cNvSpPr/>
      </xdr:nvSpPr>
      <xdr:spPr>
        <a:xfrm>
          <a:off x="75533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38100</xdr:colOff>
      <xdr:row>3</xdr:row>
      <xdr:rowOff>152400</xdr:rowOff>
    </xdr:from>
    <xdr:to>
      <xdr:col>1</xdr:col>
      <xdr:colOff>1257300</xdr:colOff>
      <xdr:row>4</xdr:row>
      <xdr:rowOff>219075</xdr:rowOff>
    </xdr:to>
    <xdr:sp macro="[0]!ShowManageTests" textlink="">
      <xdr:nvSpPr>
        <xdr:cNvPr id="1000" name="btnShowManageTests_1" descr="Runs ShowManageTests"/>
        <xdr:cNvSpPr/>
      </xdr:nvSpPr>
      <xdr:spPr>
        <a:xfrm>
          <a:off x="1714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1352550</xdr:colOff>
      <xdr:row>3</xdr:row>
      <xdr:rowOff>152400</xdr:rowOff>
    </xdr:from>
    <xdr:to>
      <xdr:col>3</xdr:col>
      <xdr:colOff>304800</xdr:colOff>
      <xdr:row>4</xdr:row>
      <xdr:rowOff>219075</xdr:rowOff>
    </xdr:to>
    <xdr:sp macro="[0]!UpdateStudentsFromExport" textlink="">
      <xdr:nvSpPr>
        <xdr:cNvPr id="1001" name="btnUpdateStudentsFromExport_2" descr="Runs UpdateStudentsFromExport"/>
        <xdr:cNvSpPr/>
      </xdr:nvSpPr>
      <xdr:spPr>
        <a:xfrm>
          <a:off x="14859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Update students</a:t>
          </a:r>
        </a:p>
      </xdr:txBody>
    </xdr:sp>
    <xdr:clientData/>
  </xdr:twoCellAnchor>
  <xdr:twoCellAnchor editAs="absolute">
    <xdr:from>
      <xdr:col>3</xdr:col>
      <xdr:colOff>400050</xdr:colOff>
      <xdr:row>3</xdr:row>
      <xdr:rowOff>152400</xdr:rowOff>
    </xdr:from>
    <xdr:to>
      <xdr:col>5</xdr:col>
      <xdr:colOff>19050</xdr:colOff>
      <xdr:row>4</xdr:row>
      <xdr:rowOff>219075</xdr:rowOff>
    </xdr:to>
    <xdr:sp macro="[0]!GoToOverview" textlink="">
      <xdr:nvSpPr>
        <xdr:cNvPr id="1002" name="btnGoToOverview_3" descr="Runs GoToOverview"/>
        <xdr:cNvSpPr/>
      </xdr:nvSpPr>
      <xdr:spPr>
        <a:xfrm>
          <a:off x="28003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Class overview</a:t>
          </a:r>
        </a:p>
      </xdr:txBody>
    </xdr:sp>
    <xdr:clientData/>
  </xdr:twoCellAnchor>
  <xdr:twoCellAnchor editAs="absolute">
    <xdr:from>
      <xdr:col>5</xdr:col>
      <xdr:colOff>114300</xdr:colOff>
      <xdr:row>3</xdr:row>
      <xdr:rowOff>152400</xdr:rowOff>
    </xdr:from>
    <xdr:to>
      <xdr:col>6</xdr:col>
      <xdr:colOff>400050</xdr:colOff>
      <xdr:row>4</xdr:row>
      <xdr:rowOff>219075</xdr:rowOff>
    </xdr:to>
    <xdr:sp macro="[0]!GoToDashboard" textlink="">
      <xdr:nvSpPr>
        <xdr:cNvPr id="1003" name="btnGoToDashboard_4" descr="Runs GoToDashboard"/>
        <xdr:cNvSpPr/>
      </xdr:nvSpPr>
      <xdr:spPr>
        <a:xfrm>
          <a:off x="41148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6</xdr:col>
      <xdr:colOff>495300</xdr:colOff>
      <xdr:row>3</xdr:row>
      <xdr:rowOff>152400</xdr:rowOff>
    </xdr:from>
    <xdr:to>
      <xdr:col>6</xdr:col>
      <xdr:colOff>1714500</xdr:colOff>
      <xdr:row>4</xdr:row>
      <xdr:rowOff>219075</xdr:rowOff>
    </xdr:to>
    <xdr:sp macro="[0]!GoToWatchList" textlink="">
      <xdr:nvSpPr>
        <xdr:cNvPr id="1004" name="btnGoToWatchList_5" descr="Runs GoToWatchList"/>
        <xdr:cNvSpPr/>
      </xdr:nvSpPr>
      <xdr:spPr>
        <a:xfrm>
          <a:off x="54292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6</xdr:col>
      <xdr:colOff>1809750</xdr:colOff>
      <xdr:row>3</xdr:row>
      <xdr:rowOff>152400</xdr:rowOff>
    </xdr:from>
    <xdr:to>
      <xdr:col>7</xdr:col>
      <xdr:colOff>762000</xdr:colOff>
      <xdr:row>4</xdr:row>
      <xdr:rowOff>219075</xdr:rowOff>
    </xdr:to>
    <xdr:sp macro="[0]!GoToSettings" textlink="">
      <xdr:nvSpPr>
        <xdr:cNvPr id="1005" name="btnGoToSettings_6" descr="Runs GoToSettings"/>
        <xdr:cNvSpPr/>
      </xdr:nvSpPr>
      <xdr:spPr>
        <a:xfrm>
          <a:off x="67437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Settings</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7" xr10:uid="{459E884D-AF2A-5E7A-978F-2070A4372859}" sourceName="Class">
  <extLst>
    <x:ext xmlns:x15="http://schemas.microsoft.com/office/spreadsheetml/2010/11/main" uri="{2F2917AC-EB37-4324-AD4E-5DD8C200BD13}">
      <x15:tableSlicerCache tableId="1" column="10"/>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7" xr10:uid="{EAC99B30-8C94-5AC2-8608-4F35DFE1B45F}" sourceName="Avg KS2 Band">
  <extLst>
    <x:ext xmlns:x15="http://schemas.microsoft.com/office/spreadsheetml/2010/11/main" uri="{2F2917AC-EB37-4324-AD4E-5DD8C200BD13}">
      <x15:tableSlicerCache tableId="1" column="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8" xr10:uid="{F51D6ADB-C082-5080-B865-B08A198E4735}" sourceName="Class">
  <extLst>
    <x:ext xmlns:x15="http://schemas.microsoft.com/office/spreadsheetml/2010/11/main" uri="{2F2917AC-EB37-4324-AD4E-5DD8C200BD13}">
      <x15:tableSlicerCache tableId="2" column="10"/>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8" xr10:uid="{56987B36-2A76-5972-A583-E5F7B98ED1D0}" sourceName="Avg KS2 Band">
  <extLst>
    <x:ext xmlns:x15="http://schemas.microsoft.com/office/spreadsheetml/2010/11/main" uri="{2F2917AC-EB37-4324-AD4E-5DD8C200BD13}">
      <x15:tableSlicerCache tableId="2" column="9"/>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9" xr10:uid="{F06F45CF-1CD5-5B6E-B9EB-FCAB83065B64}" sourceName="Class">
  <extLst>
    <x:ext xmlns:x15="http://schemas.microsoft.com/office/spreadsheetml/2010/11/main" uri="{2F2917AC-EB37-4324-AD4E-5DD8C200BD13}">
      <x15:tableSlicerCache tableId="3" column="10"/>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9" xr10:uid="{184449B5-BBFC-5FEE-AFC5-50D440B052DD}" sourceName="Avg KS2 Band">
  <extLst>
    <x:ext xmlns:x15="http://schemas.microsoft.com/office/spreadsheetml/2010/11/main" uri="{2F2917AC-EB37-4324-AD4E-5DD8C200BD13}">
      <x15:tableSlicerCache tableId="3" column="9"/>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10" xr10:uid="{4988FFA0-0340-55EB-8464-C2ABFB0798F3}" sourceName="Class">
  <extLst>
    <x:ext xmlns:x15="http://schemas.microsoft.com/office/spreadsheetml/2010/11/main" uri="{2F2917AC-EB37-4324-AD4E-5DD8C200BD13}">
      <x15:tableSlicerCache tableId="4" column="10"/>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10" xr10:uid="{81749821-E2F6-5C29-B210-01C353AE310A}" sourceName="Avg KS2 Band">
  <extLst>
    <x:ext xmlns:x15="http://schemas.microsoft.com/office/spreadsheetml/2010/11/main" uri="{2F2917AC-EB37-4324-AD4E-5DD8C200BD13}">
      <x15:tableSlicerCache tableId="4" column="9"/>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11" xr10:uid="{07DA8BA2-51FF-584F-8800-CB8ABD150093}" sourceName="Class">
  <extLst>
    <x:ext xmlns:x15="http://schemas.microsoft.com/office/spreadsheetml/2010/11/main" uri="{2F2917AC-EB37-4324-AD4E-5DD8C200BD13}">
      <x15:tableSlicerCache tableId="5" column="10"/>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11" xr10:uid="{4081D256-CD66-51E4-9A45-1900366F67E9}" sourceName="Avg KS2 Band">
  <extLst>
    <x:ext xmlns:x15="http://schemas.microsoft.com/office/spreadsheetml/2010/11/main" uri="{2F2917AC-EB37-4324-AD4E-5DD8C200BD13}">
      <x15:tableSlicerCache tableId="5"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7" xr10:uid="{D40A900E-8AC2-5741-86D2-F39CC6B52D6C}" cache="Slicer_Class_Y7" caption="Class" columnCount="2" rowHeight="180000"/>
  <slicer name="KS2 band Y7" xr10:uid="{136E8388-3454-53F8-BB10-58125B86736F}" cache="Slicer_KS2_Band_Y7" caption="KS2 band" columnCount="3"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8" xr10:uid="{7864745B-A799-5AAB-BC0F-C9CC67988C62}" cache="Slicer_Class_Y8" caption="Class" columnCount="2" rowHeight="180000"/>
  <slicer name="KS2 band Y8" xr10:uid="{241C133D-DC48-5759-9171-78ED1C85CF32}" cache="Slicer_KS2_Band_Y8" caption="KS2 band" columnCount="3" rowHeight="180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9" xr10:uid="{B6942A54-9527-5C93-9C42-635D95314EA9}" cache="Slicer_Class_Y9" caption="Class" columnCount="2" rowHeight="180000"/>
  <slicer name="KS2 band Y9" xr10:uid="{151BD481-8DBF-59E4-811A-66C1DE37CD49}" cache="Slicer_KS2_Band_Y9" caption="KS2 band" columnCount="3" rowHeight="180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10" xr10:uid="{0A2CAA3B-9518-5E9F-AC54-25DBC99ADB6A}" cache="Slicer_Class_Y10" caption="Class" columnCount="2" rowHeight="180000"/>
  <slicer name="KS2 band Y10" xr10:uid="{BCB59843-DD83-5C9C-B5E9-9C1501B71539}" cache="Slicer_KS2_Band_Y10" caption="KS2 band" columnCount="3" rowHeight="1800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11" xr10:uid="{64833ADC-5430-5142-B21A-9B651EFE0E51}" cache="Slicer_Class_Y11" caption="Class" columnCount="2" rowHeight="180000"/>
  <slicer name="KS2 band Y11" xr10:uid="{506D604A-20C2-5B60-83A8-BD7872FE6EAB}" cache="Slicer_KS2_Band_Y11" caption="KS2 band" columnCount="3" rowHeight="180000"/>
</slicers>
</file>

<file path=xl/tables/table1.xml><?xml version="1.0" encoding="utf-8"?>
<table xmlns="http://schemas.openxmlformats.org/spreadsheetml/2006/main" id="1" name="tblY7" displayName="tblY7" ref="A1:U132" headerRowCount="1">
  <autoFilter ref="A1:U132"/>
  <tableColumns count="21">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IF(ISNUMBER(tblY7[[#This Row],[Avg KS2]]),IFERROR(VLOOKUP(ROUND(STANDARDIZE(tblY7[[#This Row],[Avg KS2]],AVERAGE(tblY7[[Avg KS2]]),_xlfn.STDEV.P(tblY7[[Avg KS2]])),9),_Stanine,2),5),"")</calculatedColumnFormula>
    </tableColumn>
    <tableColumn id="10" name="Class"/>
    <tableColumn id="11" name="Tests Sat">
      <calculatedColumnFormula>IF(tblY7[[#This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IF(AND(ISNUMBER(tblY7[[#This Row],[Mean Stanine]]),ISNUMBER(tblY7[[#This Row],[Avg KS2 Band]]),ISNUMBER(SlopeY7)),tblY7[[#This Row],[Mean Stanine]]-(InterceptY7+SlopeY7*tblY7[[#This Row],[Avg KS2 Band]]),"")</calculatedColumnFormula>
    </tableColumn>
    <tableColumn id="14" name="7B01 - Cells_x000a_Raw Score"/>
    <tableColumn id="15" name="7B01 - Cells_x000a_Stanine">
      <calculatedColumnFormula>IF(ISNUMBER(tblY7[[#This Row],[7B01 - Cells
Raw Score]]),IFERROR(VLOOKUP(ROUND(STANDARDIZE(tblY7[[#This Row],[7B01 - Cells
Raw Score]],AVERAGE(tblY7[[7B01 - Cells
Raw Score]]),_xlfn.STDEV.P(tblY7[[7B01 - Cells
Raw Score]])),9),_Stanine,2),5),"")</calculatedColumnFormula>
    </tableColumn>
    <tableColumn id="16" name="7C01 - Particles_x000a_Raw Score"/>
    <tableColumn id="17" name="7C01 - Particles_x000a_Stanine">
      <calculatedColumnFormula>IF(ISNUMBER(tblY7[[#This Row],[7C01 - Particles
Raw Score]]),IFERROR(VLOOKUP(ROUND(STANDARDIZE(tblY7[[#This Row],[7C01 - Particles
Raw Score]],AVERAGE(tblY7[[7C01 - Particles
Raw Score]]),_xlfn.STDEV.P(tblY7[[7C01 - Particles
Raw Score]])),9),_Stanine,2),5),"")</calculatedColumnFormula>
    </tableColumn>
    <tableColumn id="18" name="7P01 - Forces_x000a_Raw Score"/>
    <tableColumn id="19" name="7P01 - Forces_x000a_Stanine">
      <calculatedColumnFormula>IF(ISNUMBER(tblY7[[#This Row],[7P01 - Forces
Raw Score]]),IFERROR(VLOOKUP(ROUND(STANDARDIZE(tblY7[[#This Row],[7P01 - Forces
Raw Score]],AVERAGE(tblY7[[7P01 - Forces
Raw Score]]),_xlfn.STDEV.P(tblY7[[7P01 - Forces
Raw Score]])),9),_Stanine,2),5),"")</calculatedColumnFormula>
    </tableColumn>
    <tableColumn id="20" name="7B02 - Organ Systems_x000a_Raw Score"/>
    <tableColumn id="21" name="7B02 - Organ Systems_x000a_Stanine">
      <calculatedColumnFormula>IF(ISNUMBER(tblY7[[#This Row],[7B02 - Organ Systems
Raw Score]]),IFERROR(VLOOKUP(ROUND(STANDARDIZE(tblY7[[#This Row],[7B02 - Organ Systems
Raw Score]],AVERAGE(tblY7[[7B02 - Organ Systems
Raw Score]]),_xlfn.STDEV.P(tblY7[[7B02 - Organ Systems
Raw Score]])),9),_Stanine,2),5),"")</calculatedColumnFormula>
    </tableColumn>
  </tableColumns>
  <tableStyleInfo name="TableStyleLight1" showRowStripes="1"/>
</table>
</file>

<file path=xl/tables/table2.xml><?xml version="1.0" encoding="utf-8"?>
<table xmlns="http://schemas.openxmlformats.org/spreadsheetml/2006/main" id="2" name="tblY8" displayName="tblY8" ref="A1:W94" headerRowCount="1">
  <autoFilter ref="A1:W94"/>
  <tableColumns count="23">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IF(ISNUMBER(tblY8[[#This Row],[Avg KS2]]),IFERROR(VLOOKUP(ROUND(STANDARDIZE(tblY8[[#This Row],[Avg KS2]],AVERAGE(tblY8[[Avg KS2]]),_xlfn.STDEV.P(tblY8[[Avg KS2]])),9),_Stanine,2),5),"")</calculatedColumnFormula>
    </tableColumn>
    <tableColumn id="10" name="Class"/>
    <tableColumn id="11" name="Tests Sat">
      <calculatedColumnFormula>IF(tblY8[[#This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IF(AND(ISNUMBER(tblY8[[#This Row],[Mean Stanine]]),ISNUMBER(tblY8[[#This Row],[Avg KS2 Band]]),ISNUMBER(SlopeY8)),tblY8[[#This Row],[Mean Stanine]]-(InterceptY8+SlopeY8*tblY8[[#This Row],[Avg KS2 Band]]),"")</calculatedColumnFormula>
    </tableColumn>
    <tableColumn id="14" name="8C01 - Periodic Table_x000a_Raw Score"/>
    <tableColumn id="15" name="8C01 - Periodic Table_x000a_Stanine">
      <calculatedColumnFormula>IF(ISNUMBER(tblY8[[#This Row],[8C01 - Periodic Table
Raw Score]]),IFERROR(VLOOKUP(ROUND(STANDARDIZE(tblY8[[#This Row],[8C01 - Periodic Table
Raw Score]],AVERAGE(tblY8[[8C01 - Periodic Table
Raw Score]]),_xlfn.STDEV.P(tblY8[[8C01 - Periodic Table
Raw Score]])),9),_Stanine,2),5),"")</calculatedColumnFormula>
    </tableColumn>
    <tableColumn id="16" name="8P01 - Energy_x000a_Raw Score"/>
    <tableColumn id="17" name="8P01 - Energy_x000a_Stanine">
      <calculatedColumnFormula>IF(ISNUMBER(tblY8[[#This Row],[8P01 - Energy
Raw Score]]),IFERROR(VLOOKUP(ROUND(STANDARDIZE(tblY8[[#This Row],[8P01 - Energy
Raw Score]],AVERAGE(tblY8[[8P01 - Energy
Raw Score]]),_xlfn.STDEV.P(tblY8[[8P01 - Energy
Raw Score]])),9),_Stanine,2),5),"")</calculatedColumnFormula>
    </tableColumn>
    <tableColumn id="18" name="8B01 - Digestion_x000a_Raw Score"/>
    <tableColumn id="19" name="8B01 - Digestion_x000a_Stanine">
      <calculatedColumnFormula>IF(ISNUMBER(tblY8[[#This Row],[8B01 - Digestion
Raw Score]]),IFERROR(VLOOKUP(ROUND(STANDARDIZE(tblY8[[#This Row],[8B01 - Digestion
Raw Score]],AVERAGE(tblY8[[8B01 - Digestion
Raw Score]]),_xlfn.STDEV.P(tblY8[[8B01 - Digestion
Raw Score]])),9),_Stanine,2),5),"")</calculatedColumnFormula>
    </tableColumn>
    <tableColumn id="20" name="8C02 - Metals and Acids_x000a_Raw Score"/>
    <tableColumn id="21" name="8C02 - Metals and Acids_x000a_Stanine">
      <calculatedColumnFormula>IF(ISNUMBER(tblY8[[#This Row],[8C02 - Metals and Acids
Raw Score]]),IFERROR(VLOOKUP(ROUND(STANDARDIZE(tblY8[[#This Row],[8C02 - Metals and Acids
Raw Score]],AVERAGE(tblY8[[8C02 - Metals and Acids
Raw Score]]),_xlfn.STDEV.P(tblY8[[8C02 - Metals and Acids
Raw Score]])),9),_Stanine,2),5),"")</calculatedColumnFormula>
    </tableColumn>
    <tableColumn id="22" name="8P02 - Light_x000a_Raw Score"/>
    <tableColumn id="23" name="8P02 - Light_x000a_Stanine">
      <calculatedColumnFormula>IF(ISNUMBER(tblY8[[#This Row],[8P02 - Light
Raw Score]]),IFERROR(VLOOKUP(ROUND(STANDARDIZE(tblY8[[#This Row],[8P02 - Light
Raw Score]],AVERAGE(tblY8[[8P02 - Light
Raw Score]]),_xlfn.STDEV.P(tblY8[[8P02 - Light
Raw Score]])),9),_Stanine,2),5),"")</calculatedColumnFormula>
    </tableColumn>
  </tableColumns>
  <tableStyleInfo name="TableStyleLight1" showRowStripes="1"/>
</table>
</file>

<file path=xl/tables/table3.xml><?xml version="1.0" encoding="utf-8"?>
<table xmlns="http://schemas.openxmlformats.org/spreadsheetml/2006/main" id="3" name="tblY9" displayName="tblY9" ref="A1:U126" headerRowCount="1">
  <autoFilter ref="A1:U126"/>
  <tableColumns count="21">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IF(ISNUMBER(tblY9[[#This Row],[Avg KS2]]),IFERROR(VLOOKUP(ROUND(STANDARDIZE(tblY9[[#This Row],[Avg KS2]],AVERAGE(tblY9[[Avg KS2]]),_xlfn.STDEV.P(tblY9[[Avg KS2]])),9),_Stanine,2),5),"")</calculatedColumnFormula>
    </tableColumn>
    <tableColumn id="10" name="Class"/>
    <tableColumn id="11" name="Tests Sat">
      <calculatedColumnFormula>IF(tblY9[[#This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IF(AND(ISNUMBER(tblY9[[#This Row],[Mean Stanine]]),ISNUMBER(tblY9[[#This Row],[Avg KS2 Band]]),ISNUMBER(SlopeY9)),tblY9[[#This Row],[Mean Stanine]]-(InterceptY9+SlopeY9*tblY9[[#This Row],[Avg KS2 Band]]),"")</calculatedColumnFormula>
    </tableColumn>
    <tableColumn id="14" name="9B01 - Genetics_x000a_Raw Score"/>
    <tableColumn id="15" name="9B01 - Genetics_x000a_Stanine">
      <calculatedColumnFormula>IF(ISNUMBER(tblY9[[#This Row],[9B01 - Genetics
Raw Score]]),IFERROR(VLOOKUP(ROUND(STANDARDIZE(tblY9[[#This Row],[9B01 - Genetics
Raw Score]],AVERAGE(tblY9[[9B01 - Genetics
Raw Score]]),_xlfn.STDEV.P(tblY9[[9B01 - Genetics
Raw Score]])),9),_Stanine,2),5),"")</calculatedColumnFormula>
    </tableColumn>
    <tableColumn id="16" name="9C01 - Chemical Reactions_x000a_Raw Score"/>
    <tableColumn id="17" name="9C01 - Chemical Reactions_x000a_Stanine">
      <calculatedColumnFormula>IF(ISNUMBER(tblY9[[#This Row],[9C01 - Chemical Reactions
Raw Score]]),IFERROR(VLOOKUP(ROUND(STANDARDIZE(tblY9[[#This Row],[9C01 - Chemical Reactions
Raw Score]],AVERAGE(tblY9[[9C01 - Chemical Reactions
Raw Score]]),_xlfn.STDEV.P(tblY9[[9C01 - Chemical Reactions
Raw Score]])),9),_Stanine,2),5),"")</calculatedColumnFormula>
    </tableColumn>
    <tableColumn id="18" name="9P01 - Electricity_x000a_Raw Score"/>
    <tableColumn id="19" name="9P01 - Electricity_x000a_Stanine">
      <calculatedColumnFormula>IF(ISNUMBER(tblY9[[#This Row],[9P01 - Electricity
Raw Score]]),IFERROR(VLOOKUP(ROUND(STANDARDIZE(tblY9[[#This Row],[9P01 - Electricity
Raw Score]],AVERAGE(tblY9[[9P01 - Electricity
Raw Score]]),_xlfn.STDEV.P(tblY9[[9P01 - Electricity
Raw Score]])),9),_Stanine,2),5),"")</calculatedColumnFormula>
    </tableColumn>
    <tableColumn id="20" name="9B02 - Ecology_x000a_Raw Score"/>
    <tableColumn id="21" name="9B02 - Ecology_x000a_Stanine">
      <calculatedColumnFormula>IF(ISNUMBER(tblY9[[#This Row],[9B02 - Ecology
Raw Score]]),IFERROR(VLOOKUP(ROUND(STANDARDIZE(tblY9[[#This Row],[9B02 - Ecology
Raw Score]],AVERAGE(tblY9[[9B02 - Ecology
Raw Score]]),_xlfn.STDEV.P(tblY9[[9B02 - Ecology
Raw Score]])),9),_Stanine,2),5),"")</calculatedColumnFormula>
    </tableColumn>
  </tableColumns>
  <tableStyleInfo name="TableStyleLight1" showRowStripes="1"/>
</table>
</file>

<file path=xl/tables/table4.xml><?xml version="1.0" encoding="utf-8"?>
<table xmlns="http://schemas.openxmlformats.org/spreadsheetml/2006/main" id="4" name="tblY10" displayName="tblY10" ref="A1:W118" headerRowCount="1">
  <autoFilter ref="A1:W118"/>
  <tableColumns count="23">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IF(ISNUMBER(tblY10[[#This Row],[Avg KS2]]),IFERROR(VLOOKUP(ROUND(STANDARDIZE(tblY10[[#This Row],[Avg KS2]],AVERAGE(tblY10[[Avg KS2]]),_xlfn.STDEV.P(tblY10[[Avg KS2]])),9),_Stanine,2),5),"")</calculatedColumnFormula>
    </tableColumn>
    <tableColumn id="10" name="Class"/>
    <tableColumn id="11" name="Tests Sat">
      <calculatedColumnFormula>IF(tblY10[[#This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IF(AND(ISNUMBER(tblY10[[#This Row],[Mean Stanine]]),ISNUMBER(tblY10[[#This Row],[Avg KS2 Band]]),ISNUMBER(SlopeY10)),tblY10[[#This Row],[Mean Stanine]]-(InterceptY10+SlopeY10*tblY10[[#This Row],[Avg KS2 Band]]),"")</calculatedColumnFormula>
    </tableColumn>
    <tableColumn id="14" name="4B01 - Cell Biology_x000a_Raw Score"/>
    <tableColumn id="15" name="4B01 - Cell Biology_x000a_Stanine">
      <calculatedColumnFormula>IF(ISNUMBER(tblY10[[#This Row],[4B01 - Cell Biology
Raw Score]]),IFERROR(VLOOKUP(ROUND(STANDARDIZE(tblY10[[#This Row],[4B01 - Cell Biology
Raw Score]],AVERAGE(tblY10[[4B01 - Cell Biology
Raw Score]]),_xlfn.STDEV.P(tblY10[[4B01 - Cell Biology
Raw Score]])),9),_Stanine,2),5),"")</calculatedColumnFormula>
    </tableColumn>
    <tableColumn id="16" name="4C01 - Atomic Structure_x000a_Raw Score"/>
    <tableColumn id="17" name="4C01 - Atomic Structure_x000a_Stanine">
      <calculatedColumnFormula>IF(ISNUMBER(tblY10[[#This Row],[4C01 - Atomic Structure
Raw Score]]),IFERROR(VLOOKUP(ROUND(STANDARDIZE(tblY10[[#This Row],[4C01 - Atomic Structure
Raw Score]],AVERAGE(tblY10[[4C01 - Atomic Structure
Raw Score]]),_xlfn.STDEV.P(tblY10[[4C01 - Atomic Structure
Raw Score]])),9),_Stanine,2),5),"")</calculatedColumnFormula>
    </tableColumn>
    <tableColumn id="18" name="4P01 - Energy_x000a_Raw Score"/>
    <tableColumn id="19" name="4P01 - Energy_x000a_Stanine">
      <calculatedColumnFormula>IF(ISNUMBER(tblY10[[#This Row],[4P01 - Energy
Raw Score]]),IFERROR(VLOOKUP(ROUND(STANDARDIZE(tblY10[[#This Row],[4P01 - Energy
Raw Score]],AVERAGE(tblY10[[4P01 - Energy
Raw Score]]),_xlfn.STDEV.P(tblY10[[4P01 - Energy
Raw Score]])),9),_Stanine,2),5),"")</calculatedColumnFormula>
    </tableColumn>
    <tableColumn id="20" name="4B02 - Organisation_x000a_Raw Score"/>
    <tableColumn id="21" name="4B02 - Organisation_x000a_Stanine">
      <calculatedColumnFormula>IF(ISNUMBER(tblY10[[#This Row],[4B02 - Organisation
Raw Score]]),IFERROR(VLOOKUP(ROUND(STANDARDIZE(tblY10[[#This Row],[4B02 - Organisation
Raw Score]],AVERAGE(tblY10[[4B02 - Organisation
Raw Score]]),_xlfn.STDEV.P(tblY10[[4B02 - Organisation
Raw Score]])),9),_Stanine,2),5),"")</calculatedColumnFormula>
    </tableColumn>
    <tableColumn id="22" name="4C02 - Bonding_x000a_Raw Score"/>
    <tableColumn id="23" name="4C02 - Bonding_x000a_Stanine">
      <calculatedColumnFormula>IF(ISNUMBER(tblY10[[#This Row],[4C02 - Bonding
Raw Score]]),IFERROR(VLOOKUP(ROUND(STANDARDIZE(tblY10[[#This Row],[4C02 - Bonding
Raw Score]],AVERAGE(tblY10[[4C02 - Bonding
Raw Score]]),_xlfn.STDEV.P(tblY10[[4C02 - Bonding
Raw Score]])),9),_Stanine,2),5),"")</calculatedColumnFormula>
    </tableColumn>
  </tableColumns>
  <tableStyleInfo name="TableStyleLight1" showRowStripes="1"/>
</table>
</file>

<file path=xl/tables/table5.xml><?xml version="1.0" encoding="utf-8"?>
<table xmlns="http://schemas.openxmlformats.org/spreadsheetml/2006/main" id="5" name="tblY11" displayName="tblY11" ref="A1:Y107" headerRowCount="1">
  <autoFilter ref="A1:Y107"/>
  <tableColumns count="25">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IF(ISNUMBER(tblY11[[#This Row],[Avg KS2]]),IFERROR(VLOOKUP(ROUND(STANDARDIZE(tblY11[[#This Row],[Avg KS2]],AVERAGE(tblY11[[Avg KS2]]),_xlfn.STDEV.P(tblY11[[Avg KS2]])),9),_Stanine,2),5),"")</calculatedColumnFormula>
    </tableColumn>
    <tableColumn id="10" name="Class"/>
    <tableColumn id="11" name="Tests Sat">
      <calculatedColumnFormula>IF(tblY11[[#This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IF(AND(ISNUMBER(tblY11[[#This Row],[Mean Stanine]]),ISNUMBER(tblY11[[#This Row],[Avg KS2 Band]]),ISNUMBER(SlopeY11)),tblY11[[#This Row],[Mean Stanine]]-(InterceptY11+SlopeY11*tblY11[[#This Row],[Avg KS2 Band]]),"")</calculatedColumnFormula>
    </tableColumn>
    <tableColumn id="14" name="4B05 - Homeostasis_x000a_Raw Score"/>
    <tableColumn id="15" name="4B05 - Homeostasis_x000a_Stanine">
      <calculatedColumnFormula>IF(ISNUMBER(tblY11[[#This Row],[4B05 - Homeostasis
Raw Score]]),IFERROR(VLOOKUP(ROUND(STANDARDIZE(tblY11[[#This Row],[4B05 - Homeostasis
Raw Score]],AVERAGE(tblY11[[4B05 - Homeostasis
Raw Score]]),_xlfn.STDEV.P(tblY11[[4B05 - Homeostasis
Raw Score]])),9),_Stanine,2),5),"")</calculatedColumnFormula>
    </tableColumn>
    <tableColumn id="16" name="4C09 - Organic Chemistry_x000a_Raw Score"/>
    <tableColumn id="17" name="4C09 - Organic Chemistry_x000a_Stanine">
      <calculatedColumnFormula>IF(ISNUMBER(tblY11[[#This Row],[4C09 - Organic Chemistry
Raw Score]]),IFERROR(VLOOKUP(ROUND(STANDARDIZE(tblY11[[#This Row],[4C09 - Organic Chemistry
Raw Score]],AVERAGE(tblY11[[4C09 - Organic Chemistry
Raw Score]]),_xlfn.STDEV.P(tblY11[[4C09 - Organic Chemistry
Raw Score]])),9),_Stanine,2),5),"")</calculatedColumnFormula>
    </tableColumn>
    <tableColumn id="18" name="4P06 - Waves_x000a_Raw Score"/>
    <tableColumn id="19" name="4P06 - Waves_x000a_Stanine">
      <calculatedColumnFormula>IF(ISNUMBER(tblY11[[#This Row],[4P06 - Waves
Raw Score]]),IFERROR(VLOOKUP(ROUND(STANDARDIZE(tblY11[[#This Row],[4P06 - Waves
Raw Score]],AVERAGE(tblY11[[4P06 - Waves
Raw Score]]),_xlfn.STDEV.P(tblY11[[4P06 - Waves
Raw Score]])),9),_Stanine,2),5),"")</calculatedColumnFormula>
    </tableColumn>
    <tableColumn id="20" name="4B06 - Inheritance_x000a_Raw Score"/>
    <tableColumn id="21" name="4B06 - Inheritance_x000a_Stanine">
      <calculatedColumnFormula>IF(ISNUMBER(tblY11[[#This Row],[4B06 - Inheritance
Raw Score]]),IFERROR(VLOOKUP(ROUND(STANDARDIZE(tblY11[[#This Row],[4B06 - Inheritance
Raw Score]],AVERAGE(tblY11[[4B06 - Inheritance
Raw Score]]),_xlfn.STDEV.P(tblY11[[4B06 - Inheritance
Raw Score]])),9),_Stanine,2),5),"")</calculatedColumnFormula>
    </tableColumn>
    <tableColumn id="22" name="4C10 - Chemical Analysis_x000a_Raw Score"/>
    <tableColumn id="23" name="4C10 - Chemical Analysis_x000a_Stanine">
      <calculatedColumnFormula>IF(ISNUMBER(tblY11[[#This Row],[4C10 - Chemical Analysis
Raw Score]]),IFERROR(VLOOKUP(ROUND(STANDARDIZE(tblY11[[#This Row],[4C10 - Chemical Analysis
Raw Score]],AVERAGE(tblY11[[4C10 - Chemical Analysis
Raw Score]]),_xlfn.STDEV.P(tblY11[[4C10 - Chemical Analysis
Raw Score]])),9),_Stanine,2),5),"")</calculatedColumnFormula>
    </tableColumn>
    <tableColumn id="24" name="4P07 - Magnetism_x000a_Raw Score"/>
    <tableColumn id="25" name="4P07 - Magnetism_x000a_Stanine">
      <calculatedColumnFormula>IF(ISNUMBER(tblY11[[#This Row],[4P07 - Magnetism
Raw Score]]),IFERROR(VLOOKUP(ROUND(STANDARDIZE(tblY11[[#This Row],[4P07 - Magnetism
Raw Score]],AVERAGE(tblY11[[4P07 - Magnetism
Raw Score]]),_xlfn.STDEV.P(tblY11[[4P07 - Magnetism
Raw Score]])),9),_Stanine,2),5),"")</calculatedColumnFormula>
    </tableColumn>
  </tableColumns>
  <tableStyleInfo name="TableStyleLight1" showRowStripes="1"/>
</table>
</file>

<file path=xl/tables/table6.xml><?xml version="1.0" encoding="utf-8"?>
<table xmlns="http://schemas.openxmlformats.org/spreadsheetml/2006/main" id="6" name="tblAssessments" displayName="tblAssessments" ref="A4:T28" headerRowCount="1">
  <autoFilter ref="A4:T28"/>
  <tableColumns count="20">
    <tableColumn id="1" name="Year Group"/>
    <tableColumn id="2" name="Code"/>
    <tableColumn id="3" name="Title"/>
    <tableColumn id="4" name="Test Name"/>
    <tableColumn id="5" name="Max Marks"/>
    <tableColumn id="6" name="Date"/>
    <tableColumn id="7" name="Students">
      <calculatedColumnFormula>IF(tblAssessments[[#This Row],[Year Index]]=0,"",COUNTA(CHOOSE(tblAssessments[[#This Row],[Year Index]],tblY7[Preferred Last name],tblY8[Preferred Last name],tblY9[Preferred Last name],tblY10[Preferred Last name],tblY11[Preferred Last name])))</calculatedColumnFormula>
    </tableColumn>
    <tableColumn id="8" name="Sat">
      <calculatedColumnFormula>IF(tblAssessments[[#This Row],[Raw Col]]=0,"",COUNT(INDEX(CHOOSE(tblAssessments[[#This Row],[Year Index]],tblY7[#Data],tblY8[#Data],tblY9[#Data],tblY10[#Data],tblY11[#Data]),0,tblAssessments[[#This Row],[Raw Col]])))</calculatedColumnFormula>
    </tableColumn>
    <tableColumn id="9" name="Absent">
      <calculatedColumnFormula>IF(tblAssessments[[#This Row],[Raw Col]]=0,"",COUNTIF(INDEX(CHOOSE(tblAssessments[[#This Row],[Year Index]],tblY7[#Data],tblY8[#Data],tblY9[#Data],tblY10[#Data],tblY11[#Data]),0,tblAssessments[[#This Row],[Raw Col]]),"A"))</calculatedColumnFormula>
    </tableColumn>
    <tableColumn id="10" name="Not Entered">
      <calculatedColumnFormula>IF(tblAssessments[[#This Row],[Raw Col]]=0,"",tblAssessments[[#This Row],[Students]]-tblAssessments[[#This Row],[Sat]]-tblAssessments[[#This Row],[Absent]])</calculatedColumnFormula>
    </tableColumn>
    <tableColumn id="11" name="Completion">
      <calculatedColumnFormula>IF(OR(tblAssessments[[#This Row],[Raw Col]]=0,N(tblAssessments[[#This Row],[Students]])=0),"",(tblAssessments[[#This Row],[Sat]]+tblAssessments[[#This Row],[Absent]])/tblAssessments[[#This Row],[Students]])</calculatedColumnFormula>
    </tableColumn>
    <tableColumn id="12" name="Year Mean">
      <calculatedColumnFormula>IF(N(tblAssessments[[#This Row],[Sat]])=0,"",AVERAGE(INDEX(CHOOSE(tblAssessments[[#This Row],[Year Index]],tblY7[#Data],tblY8[#Data],tblY9[#Data],tblY10[#Data],tblY11[#Data]),0,tblAssessments[[#This Row],[Raw Col]])))</calculatedColumnFormula>
    </tableColumn>
    <tableColumn id="13" name="Year Mean %">
      <calculatedColumnFormula>IF(OR(tblAssessments[[#This Row],[Year Mean]]="",N(tblAssessments[[#This Row],[Max Marks]])=0),"",tblAssessments[[#This Row],[Year Mean]]/tblAssessments[[#This Row],[Max Marks]])</calculatedColumnFormula>
    </tableColumn>
    <tableColumn id="14" name="Year SD">
      <calculatedColumnFormula>IF(N(tblAssessments[[#This Row],[Sat]])=0,"",_xlfn.STDEV.P(INDEX(CHOOSE(tblAssessments[[#This Row],[Year Index]],tblY7[#Data],tblY8[#Data],tblY9[#Data],tblY10[#Data],tblY11[#Data]),0,tblAssessments[[#This Row],[Raw Col]])))</calculatedColumnFormula>
    </tableColumn>
    <tableColumn id="15" name="Check">
      <calculatedColumnFormula>IF(tblAssessments[[#This Row],[Test Name]]="","",IF(tblAssessments[[#This Row],[Year Index]]=0,"Unknown year group",IF(tblAssessments[[#This Row],[Raw Col]]=0,"Columns not found on the year sheet",IF(N(tblAssessments[[#This Row],[Invalid]])&gt;0,tblAssessments[[#This Row],[Invalid]]&amp;" mark(s) not valid: text, below 0 or above the maximum","OK"))))</calculatedColumnFormula>
    </tableColumn>
    <tableColumn id="16" name="Year Index">
      <calculatedColumnFormula>IFERROR(MATCH(tblAssessments[[#This Row],[Year Group]],YearNames,0),0)</calculatedColumnFormula>
    </tableColumn>
    <tableColumn id="17" name="Raw Col">
      <calculatedColumnFormula>IF(tblAssessments[[#This Row],[Year Index]]=0,0,IFERROR(MATCH(tblAssessments[[#This Row],[Test Name]]&amp;CHAR(10)&amp;"Raw Score",CHOOSE(tblAssessments[[#This Row],[Year Index]],tblY7[#Headers],tblY8[#Headers],tblY9[#Headers],tblY10[#Headers],tblY11[#Headers]),0),0))</calculatedColumnFormula>
    </tableColumn>
    <tableColumn id="18" name="Seq Key">
      <calculatedColumnFormula>tblAssessments[[#This Row],[Year Group]]&amp;"|"&amp;COUNTIF(INDEX(tblAssessments[Year Group],1):tblAssessments[[#This Row],[Year Group]],tblAssessments[[#This Row],[Year Group]])</calculatedColumnFormula>
    </tableColumn>
    <tableColumn id="19" name="Name Key">
      <calculatedColumnFormula>tblAssessments[[#This Row],[Year Group]]&amp;"|"&amp;tblAssessments[[#This Row],[Test Name]]</calculatedColumnFormula>
    </tableColumn>
    <tableColumn id="20" name="Invalid">
      <calculatedColumnFormula>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calculatedColumnFormula>
    </tableColumn>
  </tableColumns>
  <tableStyleInfo name="TableStyleLight1" showRowStripes="1"/>
</table>
</file>

<file path=xl/tables/table7.xml><?xml version="1.0" encoding="utf-8"?>
<table xmlns="http://schemas.openxmlformats.org/spreadsheetml/2006/main" id="7" name="tblTeachers" displayName="tblTeachers" ref="B24:E52" headerRowCount="1">
  <autoFilter ref="B24:E52"/>
  <tableColumns count="4">
    <tableColumn id="1" name="Year Group"/>
    <tableColumn id="2" name="Class"/>
    <tableColumn id="3" name="Teacher"/>
    <tableColumn id="4" name="Key">
      <calculatedColumnFormula>tblTeachers[[#This Row],[Year Group]]&amp;"|"&amp;tblTeachers[[#This Row],[Class]]</calculatedColumnFormula>
    </tableColumn>
  </tableColumns>
  <tableStyleInfo name="TableStyleLight1" showRow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5.xml.rels><?xml version='1.0' encoding='UTF-8' standalone='yes'?>
<Relationships xmlns="http://schemas.openxmlformats.org/package/2006/relationships"><Relationship Type="http://schemas.openxmlformats.org/officeDocument/2006/relationships/table" Target="/xl/tables/table1.xml" Id="rId1"/><Relationship Id="rId2" Type="http://schemas.microsoft.com/office/2007/relationships/slicer" Target="../slicers/slicer1.xml"/><Relationship Id="rId3"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Type="http://schemas.openxmlformats.org/officeDocument/2006/relationships/table" Target="/xl/tables/table2.xml" Id="rId1"/><Relationship Id="rId2" Type="http://schemas.microsoft.com/office/2007/relationships/slicer" Target="../slicers/slicer2.xml"/><Relationship Id="rId3"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Type="http://schemas.openxmlformats.org/officeDocument/2006/relationships/table" Target="/xl/tables/table3.xml" Id="rId1"/><Relationship Id="rId2" Type="http://schemas.microsoft.com/office/2007/relationships/slicer" Target="../slicers/slicer3.xml"/><Relationship Id="rId3"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Type="http://schemas.openxmlformats.org/officeDocument/2006/relationships/table" Target="/xl/tables/table4.xml" Id="rId1"/><Relationship Id="rId2" Type="http://schemas.microsoft.com/office/2007/relationships/slicer" Target="../slicers/slicer4.xml"/><Relationship Id="rId3"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Type="http://schemas.openxmlformats.org/officeDocument/2006/relationships/table" Target="/xl/tables/table5.xml" Id="rId1"/><Relationship Id="rId2" Type="http://schemas.microsoft.com/office/2007/relationships/slicer" Target="../slicers/slicer5.xml"/><Relationship Id="rId3"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Type="http://schemas.openxmlformats.org/officeDocument/2006/relationships/table" Target="/xl/tables/table6.xml" Id="rId1"/><Relationship Id="rId2"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Type="http://schemas.openxmlformats.org/officeDocument/2006/relationships/table" Target="/xl/tables/table7.xml" Id="rId1"/><Relationship Id="rId2" Type="http://schemas.openxmlformats.org/officeDocument/2006/relationships/drawing" Target="../drawings/drawing8.xml"/></Relationships>
</file>

<file path=xl/worksheets/sheet1.xml><?xml version="1.0" encoding="utf-8"?>
<worksheet xmlns="http://schemas.openxmlformats.org/spreadsheetml/2006/main">
  <sheetPr codeName="shStart">
    <tabColor rgb="000D366B"/>
    <outlinePr summaryBelow="1" summaryRight="1"/>
    <pageSetUpPr fitToPage="1"/>
  </sheetPr>
  <dimension ref="A1:L54"/>
  <sheetViews>
    <sheetView showGridLines="0" workbookViewId="0">
      <selection activeCell="A1" sqref="A1"/>
    </sheetView>
  </sheetViews>
  <sheetFormatPr baseColWidth="8" defaultRowHeight="15"/>
  <cols>
    <col width="2" customWidth="1" min="1" max="1"/>
    <col width="22" customWidth="1" min="2" max="2"/>
    <col width="12" customWidth="1" min="3" max="3"/>
    <col width="12" customWidth="1" min="4" max="4"/>
    <col width="12" customWidth="1" min="5" max="5"/>
    <col width="14" customWidth="1" min="6" max="6"/>
    <col width="34" customWidth="1" min="7" max="7"/>
    <col width="16" customWidth="1" min="8" max="8"/>
    <col width="2" customWidth="1" min="9" max="9"/>
    <col width="12" customWidth="1" min="10" max="10"/>
    <col width="12" customWidth="1" min="11" max="11"/>
    <col width="2" customWidth="1" min="12" max="12"/>
  </cols>
  <sheetData>
    <row r="1" ht="30" customHeight="1">
      <c r="A1" s="1" t="n"/>
      <c r="B1" s="2" t="inlineStr">
        <is>
          <t>Science Mastery Quiz Tracker</t>
        </is>
      </c>
      <c r="C1" s="1" t="n"/>
      <c r="D1" s="1" t="n"/>
      <c r="E1" s="1" t="n"/>
      <c r="F1" s="1" t="n"/>
      <c r="G1" s="1" t="n"/>
      <c r="H1" s="1" t="n"/>
      <c r="I1" s="1" t="n"/>
      <c r="J1" s="1" t="n"/>
      <c r="K1" s="1" t="n"/>
      <c r="L1" s="1" t="n"/>
    </row>
    <row r="2">
      <c r="B2" s="3" t="str">
        <f>IF(SchoolName="","",SchoolName&amp;"   ·   ")&amp;"Years 7 to 11   ·   "&amp;AcademicYear</f>
        <v>Science   ·   Years 7 to 11   ·   2026-27</v>
      </c>
    </row>
    <row r="3">
      <c r="B3" s="4" t="inlineStr">
        <is>
          <t>DEMO FILE - every student, class and score in this workbook is made up.</t>
        </is>
      </c>
      <c r="C3" s="5" t="n"/>
      <c r="D3" s="5" t="n"/>
      <c r="E3" s="5" t="n"/>
      <c r="F3" s="5" t="n"/>
      <c r="G3" s="5" t="n"/>
      <c r="H3" s="5" t="n"/>
    </row>
    <row r="4" ht="20" customHeight="1"/>
    <row r="5" ht="20" customHeight="1"/>
    <row r="7">
      <c r="B7" s="6" t="inlineStr">
        <is>
          <t>Year groups</t>
        </is>
      </c>
    </row>
    <row r="8" ht="22" customHeight="1">
      <c r="B8" s="7" t="inlineStr">
        <is>
          <t>Year group</t>
        </is>
      </c>
      <c r="C8" s="7" t="inlineStr">
        <is>
          <t>Leaves in</t>
        </is>
      </c>
      <c r="D8" s="7" t="inlineStr">
        <is>
          <t>Students</t>
        </is>
      </c>
      <c r="E8" s="7" t="inlineStr">
        <is>
          <t>Tests set</t>
        </is>
      </c>
      <c r="F8" s="7" t="inlineStr">
        <is>
          <t>Scores entered</t>
        </is>
      </c>
      <c r="G8" s="7" t="inlineStr">
        <is>
          <t>Latest test</t>
        </is>
      </c>
      <c r="H8" s="7" t="inlineStr">
        <is>
          <t>Open</t>
        </is>
      </c>
    </row>
    <row r="9">
      <c r="B9" s="8" t="inlineStr">
        <is>
          <t>Year 7</t>
        </is>
      </c>
      <c r="C9" s="9">
        <f>Settings!C15</f>
        <v>2031</v>
      </c>
      <c r="D9" s="10">
        <f>COUNTA(tblY7[Preferred Last name])</f>
        <v>131</v>
      </c>
      <c r="E9" s="10">
        <f>Calc!AI3</f>
        <v>4</v>
      </c>
      <c r="F9" s="11">
        <f>SUMPRODUCT((RIGHT(tblY7[#Headers],10)=CHAR(10)&amp;"Raw Score")*ISNUMBER(tblY7[#Data]))</f>
        <v>497</v>
      </c>
      <c r="G9" s="12" t="str">
        <f>IF(Calc!AF3="","-",Calc!AF3)</f>
        <v>7B02 - Organ Systems</v>
      </c>
      <c r="H9" s="13" t="str">
        <f>HYPERLINK("#'Year 7'!A1","Open Year 7")</f>
        <v>Open Year 7</v>
      </c>
    </row>
    <row r="10">
      <c r="B10" s="8" t="inlineStr">
        <is>
          <t>Year 8</t>
        </is>
      </c>
      <c r="C10" s="9">
        <f>Settings!C16</f>
        <v>2030</v>
      </c>
      <c r="D10" s="10">
        <f>COUNTA(tblY8[Preferred Last name])</f>
        <v>93</v>
      </c>
      <c r="E10" s="10">
        <f>Calc!AI4</f>
        <v>5</v>
      </c>
      <c r="F10" s="11">
        <f>SUMPRODUCT((RIGHT(tblY8[#Headers],10)=CHAR(10)&amp;"Raw Score")*ISNUMBER(tblY8[#Data]))</f>
        <v>428</v>
      </c>
      <c r="G10" s="12" t="str">
        <f>IF(Calc!AF4="","-",Calc!AF4)</f>
        <v>8P02 - Light</v>
      </c>
      <c r="H10" s="13" t="str">
        <f>HYPERLINK("#'Year 8'!A1","Open Year 8")</f>
        <v>Open Year 8</v>
      </c>
    </row>
    <row r="11">
      <c r="B11" s="8" t="inlineStr">
        <is>
          <t>Year 9</t>
        </is>
      </c>
      <c r="C11" s="9">
        <f>Settings!C17</f>
        <v>2029</v>
      </c>
      <c r="D11" s="10">
        <f>COUNTA(tblY9[Preferred Last name])</f>
        <v>125</v>
      </c>
      <c r="E11" s="10">
        <f>Calc!AI5</f>
        <v>4</v>
      </c>
      <c r="F11" s="11">
        <f>SUMPRODUCT((RIGHT(tblY9[#Headers],10)=CHAR(10)&amp;"Raw Score")*ISNUMBER(tblY9[#Data]))</f>
        <v>482</v>
      </c>
      <c r="G11" s="12" t="str">
        <f>IF(Calc!AF5="","-",Calc!AF5)</f>
        <v>9B02 - Ecology</v>
      </c>
      <c r="H11" s="13" t="str">
        <f>HYPERLINK("#'Year 9'!A1","Open Year 9")</f>
        <v>Open Year 9</v>
      </c>
    </row>
    <row r="12">
      <c r="B12" s="8" t="inlineStr">
        <is>
          <t>Year 10</t>
        </is>
      </c>
      <c r="C12" s="9">
        <f>Settings!C18</f>
        <v>2028</v>
      </c>
      <c r="D12" s="10">
        <f>COUNTA(tblY10[Preferred Last name])</f>
        <v>117</v>
      </c>
      <c r="E12" s="10">
        <f>Calc!AI6</f>
        <v>5</v>
      </c>
      <c r="F12" s="11">
        <f>SUMPRODUCT((RIGHT(tblY10[#Headers],10)=CHAR(10)&amp;"Raw Score")*ISNUMBER(tblY10[#Data]))</f>
        <v>520</v>
      </c>
      <c r="G12" s="12" t="str">
        <f>IF(Calc!AF6="","-",Calc!AF6)</f>
        <v>4C02 - Bonding</v>
      </c>
      <c r="H12" s="13" t="str">
        <f>HYPERLINK("#'Year 10'!A1","Open Year 10")</f>
        <v>Open Year 10</v>
      </c>
    </row>
    <row r="13">
      <c r="B13" s="8" t="inlineStr">
        <is>
          <t>Year 11</t>
        </is>
      </c>
      <c r="C13" s="9">
        <f>Settings!C19</f>
        <v>2027</v>
      </c>
      <c r="D13" s="10">
        <f>COUNTA(tblY11[Preferred Last name])</f>
        <v>106</v>
      </c>
      <c r="E13" s="10">
        <f>Calc!AI7</f>
        <v>6</v>
      </c>
      <c r="F13" s="11">
        <f>SUMPRODUCT((RIGHT(tblY11[#Headers],10)=CHAR(10)&amp;"Raw Score")*ISNUMBER(tblY11[#Data]))</f>
        <v>613</v>
      </c>
      <c r="G13" s="12" t="str">
        <f>IF(Calc!AF7="","-",Calc!AF7)</f>
        <v>4P07 - Magnetism</v>
      </c>
      <c r="H13" s="13" t="str">
        <f>HYPERLINK("#'Year 11'!A1","Open Year 11")</f>
        <v>Open Year 11</v>
      </c>
    </row>
    <row r="16">
      <c r="B16" s="6" t="inlineStr">
        <is>
          <t>For class teachers</t>
        </is>
      </c>
    </row>
    <row r="17" ht="32" customHeight="1">
      <c r="B17" s="14" t="inlineStr">
        <is>
          <t>1.   Open your year group's sheet and click your class in the Class slicer (top left). Your class is one unbroken block, in surname order.</t>
        </is>
      </c>
    </row>
    <row r="18" ht="32" customHeight="1">
      <c r="B18" s="14" t="inlineStr">
        <is>
          <t>2.   Type each student's mark in the test's Raw Score column. Type A for absent; leave the cell empty if they have not sat it yet.</t>
        </is>
      </c>
    </row>
    <row r="19" ht="32" customHeight="1">
      <c r="B19" s="14" t="inlineStr">
        <is>
          <t>3.   To paste marks, paste one class at a time, in the same order as the sheet. Excel also pastes into rows that a filter hides, so a longer list would change another class's marks.</t>
        </is>
      </c>
    </row>
    <row r="20" ht="17.5" customHeight="1">
      <c r="B20" s="14" t="inlineStr">
        <is>
          <t>4.   The Stanine column fills itself in. Do not type in the grey columns.</t>
        </is>
      </c>
    </row>
    <row r="21" ht="17.5" customHeight="1">
      <c r="B21" s="14" t="inlineStr">
        <is>
          <t>5.   This works in Excel on the web too. Only the buttons need the desktop app.</t>
        </is>
      </c>
    </row>
    <row r="23">
      <c r="B23" s="6" t="inlineStr">
        <is>
          <t>For the data lead</t>
        </is>
      </c>
    </row>
    <row r="24" ht="32" customHeight="1">
      <c r="B24" s="14" t="inlineStr">
        <is>
          <t>1.   Manage tests adds a test to a year group: two new columns plus a row in the register. The same form edits a title, maximum mark or date, and removes a test added by mistake.</t>
        </is>
      </c>
    </row>
    <row r="25" ht="32" customHeight="1">
      <c r="B25" s="14" t="inlineStr">
        <is>
          <t>2.   Update students reads a new 'All Students' export from the MIS: new students are added, classes and details are updated, scores are never touched. Students missing from the export are listed, not deleted.</t>
        </is>
      </c>
    </row>
    <row r="26" ht="17.5" customHeight="1">
      <c r="B26" s="14" t="inlineStr">
        <is>
          <t>3.   Class overview, Dashboard and Watch list update by themselves as marks go in.</t>
        </is>
      </c>
    </row>
    <row r="27" ht="17.5" customHeight="1">
      <c r="B27" s="14" t="inlineStr">
        <is>
          <t>4.   Type teachers' names on the Settings sheet to show them on the dashboards.</t>
        </is>
      </c>
    </row>
    <row r="28" ht="32" customHeight="1">
      <c r="B28" s="14" t="inlineStr">
        <is>
          <t>5.   If the buttons do nothing, Excel is blocking macros. Marks, stanines and dashboards still work. Ask IT to allow macros for this file, or add a test by hand (see the end of this sheet).</t>
        </is>
      </c>
    </row>
    <row r="30">
      <c r="B30" s="6" t="inlineStr">
        <is>
          <t>Reading stanines</t>
        </is>
      </c>
    </row>
    <row r="31" ht="20" customHeight="1">
      <c r="B31" s="7" t="inlineStr">
        <is>
          <t>Stanine</t>
        </is>
      </c>
      <c r="C31" s="7" t="inlineStr">
        <is>
          <t>Meaning</t>
        </is>
      </c>
      <c r="D31" s="15" t="n"/>
      <c r="E31" s="7" t="inlineStr">
        <is>
          <t>Share of students</t>
        </is>
      </c>
      <c r="F31" s="15" t="n"/>
      <c r="G31" s="7" t="inlineStr">
        <is>
          <t>Icon</t>
        </is>
      </c>
    </row>
    <row r="32">
      <c r="B32" s="16" t="n">
        <v>1</v>
      </c>
      <c r="C32" s="12" t="inlineStr">
        <is>
          <t>Very low</t>
        </is>
      </c>
      <c r="D32" s="15" t="n"/>
      <c r="E32" s="10" t="inlineStr">
        <is>
          <t>about 4%</t>
        </is>
      </c>
      <c r="F32" s="15" t="n"/>
      <c r="G32" s="10" t="n">
        <v>1</v>
      </c>
    </row>
    <row r="33">
      <c r="B33" s="16" t="n">
        <v>2</v>
      </c>
      <c r="C33" s="12" t="inlineStr">
        <is>
          <t>Low</t>
        </is>
      </c>
      <c r="D33" s="15" t="n"/>
      <c r="E33" s="10" t="inlineStr">
        <is>
          <t>about 7%</t>
        </is>
      </c>
      <c r="F33" s="15" t="n"/>
      <c r="G33" s="10" t="n">
        <v>2</v>
      </c>
    </row>
    <row r="34">
      <c r="B34" s="16" t="n">
        <v>3</v>
      </c>
      <c r="C34" s="12" t="inlineStr">
        <is>
          <t>Below average</t>
        </is>
      </c>
      <c r="D34" s="15" t="n"/>
      <c r="E34" s="10" t="inlineStr">
        <is>
          <t>about 12%</t>
        </is>
      </c>
      <c r="F34" s="15" t="n"/>
      <c r="G34" s="10" t="n">
        <v>3</v>
      </c>
    </row>
    <row r="35">
      <c r="B35" s="16" t="n">
        <v>4</v>
      </c>
      <c r="C35" s="12" t="inlineStr">
        <is>
          <t>Slightly below average</t>
        </is>
      </c>
      <c r="D35" s="15" t="n"/>
      <c r="E35" s="10" t="inlineStr">
        <is>
          <t>about 17%</t>
        </is>
      </c>
      <c r="F35" s="15" t="n"/>
      <c r="G35" s="10" t="n">
        <v>4</v>
      </c>
    </row>
    <row r="36">
      <c r="B36" s="16" t="n">
        <v>5</v>
      </c>
      <c r="C36" s="12" t="inlineStr">
        <is>
          <t>Average</t>
        </is>
      </c>
      <c r="D36" s="15" t="n"/>
      <c r="E36" s="10" t="inlineStr">
        <is>
          <t>about 20%</t>
        </is>
      </c>
      <c r="F36" s="15" t="n"/>
      <c r="G36" s="10" t="n">
        <v>5</v>
      </c>
    </row>
    <row r="37">
      <c r="B37" s="16" t="n">
        <v>6</v>
      </c>
      <c r="C37" s="12" t="inlineStr">
        <is>
          <t>Slightly above average</t>
        </is>
      </c>
      <c r="D37" s="15" t="n"/>
      <c r="E37" s="10" t="inlineStr">
        <is>
          <t>about 17%</t>
        </is>
      </c>
      <c r="F37" s="15" t="n"/>
      <c r="G37" s="10" t="n">
        <v>6</v>
      </c>
    </row>
    <row r="38">
      <c r="B38" s="16" t="n">
        <v>7</v>
      </c>
      <c r="C38" s="12" t="inlineStr">
        <is>
          <t>Above average</t>
        </is>
      </c>
      <c r="D38" s="15" t="n"/>
      <c r="E38" s="10" t="inlineStr">
        <is>
          <t>about 12%</t>
        </is>
      </c>
      <c r="F38" s="15" t="n"/>
      <c r="G38" s="10" t="n">
        <v>7</v>
      </c>
    </row>
    <row r="39">
      <c r="B39" s="16" t="n">
        <v>8</v>
      </c>
      <c r="C39" s="12" t="inlineStr">
        <is>
          <t>High</t>
        </is>
      </c>
      <c r="D39" s="15" t="n"/>
      <c r="E39" s="10" t="inlineStr">
        <is>
          <t>about 7%</t>
        </is>
      </c>
      <c r="F39" s="15" t="n"/>
      <c r="G39" s="10" t="n">
        <v>8</v>
      </c>
    </row>
    <row r="40">
      <c r="B40" s="16" t="n">
        <v>9</v>
      </c>
      <c r="C40" s="12" t="inlineStr">
        <is>
          <t>Very high</t>
        </is>
      </c>
      <c r="D40" s="15" t="n"/>
      <c r="E40" s="10" t="inlineStr">
        <is>
          <t>about 4%</t>
        </is>
      </c>
      <c r="F40" s="15" t="n"/>
      <c r="G40" s="10" t="n">
        <v>9</v>
      </c>
    </row>
    <row r="42">
      <c r="B42" s="6" t="inlineStr">
        <is>
          <t>Good to know</t>
        </is>
      </c>
    </row>
    <row r="43" ht="46.5" customHeight="1">
      <c r="B43" s="14" t="inlineStr">
        <is>
          <t>•   A stanine shows where a student stands in their own year group on that test: 5 is average, 1-3 below, 7-9 above. So a 7 means 'well above the year average' on any test, in any year group. It does not show that one year group or one test is harder than another.</t>
        </is>
      </c>
    </row>
    <row r="44" ht="32" customHeight="1">
      <c r="B44" s="14" t="inlineStr">
        <is>
          <t>•   Stanines settle once every class has entered its marks for a test; until then they are relative to the students entered so far.</t>
        </is>
      </c>
    </row>
    <row r="45" ht="17.5" customHeight="1">
      <c r="B45" s="14" t="inlineStr">
        <is>
          <t>•   A whole year group always averages about stanine 5, so compare year groups using mean %. Compare classes using both.</t>
        </is>
      </c>
    </row>
    <row r="46" ht="46.5" customHeight="1">
      <c r="B46" s="14" t="inlineStr">
        <is>
          <t>•   Avg KS2 is the mean of each student's KS2 maths and reading scaled scores (or the one that exists), and its band is a stanine within the year group. 'vs expected' is the mean stanine minus the average for students with the same KS2 band in the year group, so it measures progress fairly for high and low starting points alike.</t>
        </is>
      </c>
    </row>
    <row r="47" ht="32" customHeight="1">
      <c r="B47" s="14" t="inlineStr">
        <is>
          <t>•   This workbook holds personal data about children. Keep it in a staff-only location. Each Update students run saves a backup copy next to the file: delete old copies you no longer need.</t>
        </is>
      </c>
    </row>
    <row r="49">
      <c r="B49" s="6" t="inlineStr">
        <is>
          <t>Adding a test without the buttons</t>
        </is>
      </c>
    </row>
    <row r="50" ht="17.5" customHeight="1">
      <c r="B50" s="14" t="inlineStr">
        <is>
          <t>Only needed when the buttons do nothing (macros blocked).</t>
        </is>
      </c>
    </row>
    <row r="51" ht="46.5" customHeight="1">
      <c r="B51" s="14" t="inlineStr">
        <is>
          <t>1.   On the year sheet, type the new test's Raw Score heading in the first empty cell to the right of the table's heading row, as 'Code - Title', then Alt+Enter, then 'Raw Score'. The table grows by one column. Do the same in the next cell with 'Stanine' instead of 'Raw Score'.</t>
        </is>
      </c>
    </row>
    <row r="52" ht="32" customHeight="1">
      <c r="B52" s="14" t="inlineStr">
        <is>
          <t>2.   Copy the previous test's Stanine cells into the new Stanine column. With the new column still selected, use Find and Replace (Ctrl+H, 'Look in: Formulas') to change the old test's name to the new one.</t>
        </is>
      </c>
    </row>
    <row r="53" ht="32" customHeight="1">
      <c r="B53" s="14" t="inlineStr">
        <is>
          <t>3.   On Assessment Info, add a row: year group, code, title, the test name exactly as in the heading (without 'Raw Score'), maximum mark and date. The register's Check column says OK when it matches.</t>
        </is>
      </c>
    </row>
    <row r="54" ht="32" customHeight="1">
      <c r="B54" s="14" t="inlineStr">
        <is>
          <t>4.   Optional: select the new Raw Score cells, then Data &gt; Data Validation &gt; Custom, and copy the rule from the previous Raw Score column, changing its maximum mark.</t>
        </is>
      </c>
    </row>
  </sheetData>
  <sheetProtection selectLockedCells="0" selectUnlockedCells="0" sheet="1" objects="0" insertRows="1" insertHyperlinks="1" autoFilter="1" scenarios="0" formatColumns="0" deleteColumns="1" insertColumns="1" pivotTables="1" deleteRows="1" formatCells="1" formatRows="0" sort="1"/>
  <mergeCells count="40">
    <mergeCell ref="C34:D34"/>
    <mergeCell ref="C33:D33"/>
    <mergeCell ref="E33:F33"/>
    <mergeCell ref="B24:H24"/>
    <mergeCell ref="B51:H51"/>
    <mergeCell ref="B20:H20"/>
    <mergeCell ref="E39:F39"/>
    <mergeCell ref="C35:D35"/>
    <mergeCell ref="B45:H45"/>
    <mergeCell ref="E35:F35"/>
    <mergeCell ref="B50:H50"/>
    <mergeCell ref="E38:F38"/>
    <mergeCell ref="B26:H26"/>
    <mergeCell ref="B47:H47"/>
    <mergeCell ref="B54:H54"/>
    <mergeCell ref="C40:D40"/>
    <mergeCell ref="B25:H25"/>
    <mergeCell ref="C31:D31"/>
    <mergeCell ref="E40:F40"/>
    <mergeCell ref="E31:F31"/>
    <mergeCell ref="B46:H46"/>
    <mergeCell ref="E34:F34"/>
    <mergeCell ref="B18:H18"/>
    <mergeCell ref="B27:H27"/>
    <mergeCell ref="B52:H52"/>
    <mergeCell ref="B21:H21"/>
    <mergeCell ref="B43:H43"/>
    <mergeCell ref="C36:D36"/>
    <mergeCell ref="E36:F36"/>
    <mergeCell ref="C39:D39"/>
    <mergeCell ref="C32:D32"/>
    <mergeCell ref="B17:H17"/>
    <mergeCell ref="C38:D38"/>
    <mergeCell ref="E32:F32"/>
    <mergeCell ref="B44:H44"/>
    <mergeCell ref="B53:H53"/>
    <mergeCell ref="C37:D37"/>
    <mergeCell ref="E37:F37"/>
    <mergeCell ref="B19:H19"/>
    <mergeCell ref="B28:H28"/>
  </mergeCells>
  <conditionalFormatting sqref="G32:G40">
    <cfRule type="iconSet" priority="1">
      <iconSet iconSet="3TrafficLights1">
        <cfvo type="percent" val="0"/>
        <cfvo type="num" val="4"/>
        <cfvo type="num" val="7"/>
      </iconSet>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2.xml><?xml version="1.0" encoding="utf-8"?>
<worksheet xmlns="http://schemas.openxmlformats.org/spreadsheetml/2006/main">
  <sheetPr codeName="shOverview">
    <tabColor rgb="002A78D6"/>
    <outlinePr summaryBelow="1" summaryRight="1"/>
    <pageSetUpPr fitToPage="1"/>
  </sheetPr>
  <dimension ref="A1:N72"/>
  <sheetViews>
    <sheetView showGridLines="0" workbookViewId="0">
      <pane ySplit="7" topLeftCell="A8" activePane="bottomLeft" state="frozen"/>
      <selection pane="bottomLeft" activeCell="A1" sqref="A1"/>
    </sheetView>
  </sheetViews>
  <sheetFormatPr baseColWidth="8" defaultRowHeight="15"/>
  <cols>
    <col width="2" customWidth="1" min="1" max="1"/>
    <col width="20" customWidth="1" min="2" max="2"/>
    <col width="14" customWidth="1" min="3" max="3"/>
    <col width="9" customWidth="1" min="4" max="4"/>
    <col width="9" customWidth="1" min="5" max="5"/>
    <col width="9" customWidth="1" min="6" max="6"/>
    <col width="9" customWidth="1" min="7" max="7"/>
    <col width="9" customWidth="1" min="8" max="8"/>
    <col width="10" customWidth="1" min="9" max="9"/>
    <col width="10" customWidth="1" min="10" max="10"/>
    <col width="10" customWidth="1" min="11" max="11"/>
    <col width="10" customWidth="1" min="12" max="12"/>
    <col width="11" customWidth="1" min="13" max="13"/>
    <col width="2" customWidth="1" min="14" max="14"/>
  </cols>
  <sheetData>
    <row r="1" ht="30" customHeight="1">
      <c r="A1" s="1" t="n"/>
      <c r="B1" s="2" t="inlineStr">
        <is>
          <t>Class overview</t>
        </is>
      </c>
      <c r="C1" s="1" t="n"/>
      <c r="D1" s="1" t="n"/>
      <c r="E1" s="1" t="n"/>
      <c r="F1" s="1" t="n"/>
      <c r="G1" s="1" t="n"/>
      <c r="H1" s="1" t="n"/>
      <c r="I1" s="1" t="n"/>
      <c r="J1" s="1" t="n"/>
      <c r="K1" s="1" t="n"/>
      <c r="L1" s="1" t="n"/>
      <c r="M1" s="1" t="n"/>
      <c r="N1" s="1" t="n"/>
    </row>
    <row r="2">
      <c r="B2" s="17" t="inlineStr">
        <is>
          <t>How every class in every year group is doing, from all the tests entered so far. Blue = above the year group, red = below.</t>
        </is>
      </c>
    </row>
    <row r="4">
      <c r="B4" s="18" t="inlineStr">
        <is>
          <t>Students</t>
        </is>
      </c>
      <c r="C4" s="19" t="n"/>
      <c r="D4" s="18" t="inlineStr">
        <is>
          <t>Tests set</t>
        </is>
      </c>
      <c r="E4" s="19" t="n"/>
      <c r="F4" s="19" t="n"/>
      <c r="G4" s="18" t="inlineStr">
        <is>
          <t>Scores entered</t>
        </is>
      </c>
      <c r="H4" s="19" t="n"/>
      <c r="I4" s="19" t="n"/>
      <c r="J4" s="18" t="inlineStr">
        <is>
          <t>Tests still being marked</t>
        </is>
      </c>
      <c r="K4" s="19" t="n"/>
      <c r="L4" s="19" t="n"/>
      <c r="M4" s="19" t="n"/>
    </row>
    <row r="5">
      <c r="B5" s="20">
        <f>COUNTA(tblY7[Preferred Last name])+COUNTA(tblY8[Preferred Last name])+COUNTA(tblY9[Preferred Last name])+COUNTA(tblY10[Preferred Last name])+COUNTA(tblY11[Preferred Last name])</f>
        <v>572</v>
      </c>
      <c r="C5" s="19" t="n"/>
      <c r="D5" s="20">
        <f>COUNTA(tblAssessments[Test Name])</f>
        <v>24</v>
      </c>
      <c r="E5" s="19" t="n"/>
      <c r="F5" s="19" t="n"/>
      <c r="G5" s="21">
        <f>SUM(tblAssessments[Sat])</f>
        <v>2540</v>
      </c>
      <c r="H5" s="19" t="n"/>
      <c r="I5" s="19" t="n"/>
      <c r="J5" s="20">
        <f>COUNTIFS(tblAssessments[Completion],"&lt;1",tblAssessments[Test Name],"&lt;&gt;")</f>
        <v>2</v>
      </c>
      <c r="K5" s="19" t="n"/>
      <c r="L5" s="19" t="n"/>
      <c r="M5" s="19" t="n"/>
    </row>
    <row r="6">
      <c r="B6" s="19" t="n"/>
      <c r="C6" s="19" t="n"/>
      <c r="D6" s="19" t="n"/>
      <c r="E6" s="19" t="n"/>
      <c r="F6" s="19" t="n"/>
      <c r="G6" s="19" t="n"/>
      <c r="H6" s="19" t="n"/>
      <c r="I6" s="19" t="n"/>
      <c r="J6" s="19" t="n"/>
      <c r="K6" s="19" t="n"/>
      <c r="L6" s="19" t="n"/>
      <c r="M6" s="19" t="n"/>
    </row>
    <row r="7">
      <c r="B7" s="19" t="n"/>
      <c r="C7" s="19" t="n"/>
      <c r="D7" s="19" t="n"/>
      <c r="E7" s="19" t="n"/>
      <c r="F7" s="19" t="n"/>
      <c r="G7" s="19" t="n"/>
      <c r="H7" s="19" t="n"/>
      <c r="I7" s="19" t="n"/>
      <c r="J7" s="19" t="n"/>
      <c r="K7" s="19" t="n"/>
      <c r="L7" s="19" t="n"/>
      <c r="M7" s="19" t="n"/>
    </row>
    <row r="9" ht="22" customHeight="1">
      <c r="B9" s="22" t="inlineStr">
        <is>
          <t>Year 7</t>
        </is>
      </c>
      <c r="C9" s="23" t="str">
        <f>"Leaves "&amp;Settings!$C$15&amp;"   ·   "&amp;COUNTA(tblY7[Preferred Last name])&amp;" students   ·   "&amp;Calc!$AI$3&amp;" tests"&amp;IF(Calc!$S$12&gt;8,"   ·   only the first 8 of "&amp;Calc!$S$12&amp;" classes fit here","")</f>
        <v>Leaves 2031   ·   131 students   ·   4 tests</v>
      </c>
      <c r="D9" s="24" t="n"/>
      <c r="E9" s="24" t="n"/>
      <c r="F9" s="24" t="n"/>
      <c r="G9" s="24" t="n"/>
      <c r="H9" s="25" t="str">
        <f>IF(Calc!$AF$3="","No tests yet","Latest test: "&amp;Calc!$AF$3&amp;IF(ISNUMBER(Calc!$AH$3),"  ("&amp;TEXT(Calc!$AH$3,"dd/mm/yyyy")&amp;")",""))</f>
        <v>Latest test: 7B02 - Organ Systems  (03/11/2026)</v>
      </c>
      <c r="I9" s="24" t="n"/>
      <c r="J9" s="24" t="n"/>
      <c r="K9" s="24" t="n"/>
      <c r="L9" s="24" t="n"/>
      <c r="M9" s="24" t="n"/>
    </row>
    <row r="10" ht="30" customHeight="1">
      <c r="B10" s="7" t="inlineStr">
        <is>
          <t>Class</t>
        </is>
      </c>
      <c r="C10" s="7" t="inlineStr">
        <is>
          <t>Teacher</t>
        </is>
      </c>
      <c r="D10" s="7" t="inlineStr">
        <is>
          <t>Students</t>
        </is>
      </c>
      <c r="E10" s="7" t="inlineStr">
        <is>
          <t>KS2 band
(mean)</t>
        </is>
      </c>
      <c r="F10" s="7" t="inlineStr">
        <is>
          <t>Tests sat
(mean)</t>
        </is>
      </c>
      <c r="G10" s="7" t="inlineStr">
        <is>
          <t>Mean
stanine</t>
        </is>
      </c>
      <c r="H10" s="7" t="inlineStr">
        <is>
          <t>vs
expected</t>
        </is>
      </c>
      <c r="I10" s="7" t="inlineStr">
        <is>
          <t>Results at
stanine 7-9</t>
        </is>
      </c>
      <c r="J10" s="7" t="inlineStr">
        <is>
          <t>Results at
stanine 1-3</t>
        </is>
      </c>
      <c r="K10" s="7" t="inlineStr">
        <is>
          <t>Latest test
mean %</t>
        </is>
      </c>
      <c r="L10" s="7" t="inlineStr">
        <is>
          <t>Latest test
mean stanine</t>
        </is>
      </c>
      <c r="M10" s="7" t="inlineStr">
        <is>
          <t>Latest test
completion</t>
        </is>
      </c>
    </row>
    <row r="11">
      <c r="B11" s="26" t="inlineStr">
        <is>
          <t>Whole year</t>
        </is>
      </c>
      <c r="D11" s="27">
        <f>IFERROR(COUNTA(tblY7[Preferred Last name]),"")</f>
        <v>131</v>
      </c>
      <c r="E11" s="28">
        <f>IFERROR(AVERAGE(tblY7[Avg KS2 Band]),"")</f>
        <v>5</v>
      </c>
      <c r="F11" s="28">
        <f>IFERROR(AVERAGE(tblY7[Tests Sat]),"")</f>
        <v>3.79389312977099</v>
      </c>
      <c r="G11" s="28">
        <f>IFERROR(AVERAGE(tblY7[Mean Stanine]),"")</f>
        <v>5.02035623409669</v>
      </c>
      <c r="H11" s="29">
        <f>IFERROR(AVERAGE(tblY7[vs Expected]),"")</f>
        <v>3.5527136788005e-16</v>
      </c>
      <c r="I11" s="30">
        <f>IFERROR(SUMPRODUCT((RIGHT(tblY7[#Headers],8)=CHAR(10)&amp;"Stanine")*ISNUMBER(tblY7[#Data])*(tblY7[#Data]&gt;=7))/SUMPRODUCT((RIGHT(tblY7[#Headers],8)=CHAR(10)&amp;"Stanine")*ISNUMBER(tblY7[#Data])),"")</f>
        <v>0.265593561368209</v>
      </c>
      <c r="J11" s="30">
        <f>IFERROR(SUMPRODUCT((RIGHT(tblY7[#Headers],8)=CHAR(10)&amp;"Stanine")*ISNUMBER(tblY7[#Data])*(tblY7[#Data]&lt;=3))/SUMPRODUCT((RIGHT(tblY7[#Headers],8)=CHAR(10)&amp;"Stanine")*ISNUMBER(tblY7[#Data])),"")</f>
        <v>0.21327967806841</v>
      </c>
      <c r="K11" s="30">
        <f>IFERROR(IF(Calc!$AF$3="","",AVERAGE(INDEX(tblY7[#Data],0,MATCH(Calc!$AF$3&amp;CHAR(10)&amp;"Raw Score",tblY7[#Headers],0)))/Calc!$AG$3),"")</f>
        <v>0.633640552995392</v>
      </c>
      <c r="L11" s="28">
        <f>IFERROR(IF(Calc!$AF$3="","",AVERAGE(INDEX(tblY7[#Data],0,MATCH(Calc!$AF$3&amp;CHAR(10)&amp;"Stanine",tblY7[#Headers],0)))),"")</f>
        <v>4.99193548387097</v>
      </c>
      <c r="M11" s="30">
        <f>IFERROR(IF(Calc!$AF$3="","",(COUNTIFS(INDEX(tblY7[#Data],0,MATCH(Calc!$AF$3&amp;CHAR(10)&amp;"Raw Score",tblY7[#Headers],0)),"&gt;=0")+COUNTIFS(INDEX(tblY7[#Data],0,MATCH(Calc!$AF$3&amp;CHAR(10)&amp;"Raw Score",tblY7[#Headers],0)),"A"))/COUNTA(tblY7[Preferred Last name])),"")</f>
        <v>1</v>
      </c>
    </row>
    <row r="12">
      <c r="B12" s="31" t="str">
        <f>Calc!S3</f>
        <v>7A/Sc1</v>
      </c>
      <c r="C12" s="32" t="str">
        <f>IF($B12="","",IFERROR(INDEX(tblTeachers[Teacher],MATCH("Year 7"&amp;"|"&amp;$B12,tblTeachers[Key],0))&amp;"",""))</f>
        <v>Ms Adeyemi</v>
      </c>
      <c r="D12" s="33">
        <f>IF($B12="","",IFERROR(COUNTIF(tblY7[Class],$B12),""))</f>
        <v>30</v>
      </c>
      <c r="E12" s="34">
        <f>IF($B12="","",IFERROR(AVERAGEIFS(tblY7[Avg KS2 Band],tblY7[Class],$B12),""))</f>
        <v>5.66666666666667</v>
      </c>
      <c r="F12" s="34">
        <f>IF($B12="","",IFERROR(AVERAGEIFS(tblY7[Tests Sat],tblY7[Class],$B12),""))</f>
        <v>3.8</v>
      </c>
      <c r="G12" s="34">
        <f>IF($B12="","",IFERROR(AVERAGEIFS(tblY7[Mean Stanine],tblY7[Class],$B12),""))</f>
        <v>5.34444444444445</v>
      </c>
      <c r="H12" s="35">
        <f>IF($B12="","",IFERROR(AVERAGEIFS(tblY7[vs Expected],tblY7[Class],$B12),""))</f>
        <v>-0.126103160405486</v>
      </c>
      <c r="I12" s="36">
        <f>IF($B12="","",IFERROR(SUMPRODUCT((tblY7[Class]=$B12)*(RIGHT(tblY7[#Headers],8)=CHAR(10)&amp;"Stanine")*ISNUMBER(tblY7[#Data])*(tblY7[#Data]&gt;=7))/SUMPRODUCT((tblY7[Class]=$B12)*(RIGHT(tblY7[#Headers],8)=CHAR(10)&amp;"Stanine")*ISNUMBER(tblY7[#Data])),""))</f>
        <v>0.298245614035088</v>
      </c>
      <c r="J12" s="36">
        <f>IF($B12="","",IFERROR(SUMPRODUCT((tblY7[Class]=$B12)*(RIGHT(tblY7[#Headers],8)=CHAR(10)&amp;"Stanine")*ISNUMBER(tblY7[#Data])*(tblY7[#Data]&lt;=3))/SUMPRODUCT((tblY7[Class]=$B12)*(RIGHT(tblY7[#Headers],8)=CHAR(10)&amp;"Stanine")*ISNUMBER(tblY7[#Data])),""))</f>
        <v>0.192982456140351</v>
      </c>
      <c r="K12" s="36">
        <f>IF($B12="","",IFERROR(IF(Calc!$AF$3="","",AVERAGEIFS(INDEX(tblY7[#Data],0,MATCH(Calc!$AF$3&amp;CHAR(10)&amp;"Raw Score",tblY7[#Headers],0)),tblY7[Class],$B12)/Calc!$AG$3),""))</f>
        <v>0.663265306122449</v>
      </c>
      <c r="L12" s="34">
        <f>IF($B12="","",IFERROR(IF(Calc!$AF$3="","",AVERAGEIFS(INDEX(tblY7[#Data],0,MATCH(Calc!$AF$3&amp;CHAR(10)&amp;"Stanine",tblY7[#Headers],0)),tblY7[Class],$B12)),""))</f>
        <v>5.39285714285714</v>
      </c>
      <c r="M12" s="36">
        <f>IF($B12="","",IFERROR(IF(Calc!$AF$3="","",(COUNTIFS(INDEX(tblY7[#Data],0,MATCH(Calc!$AF$3&amp;CHAR(10)&amp;"Raw Score",tblY7[#Headers],0)),"&gt;=0",tblY7[Class],$B12)+COUNTIFS(INDEX(tblY7[#Data],0,MATCH(Calc!$AF$3&amp;CHAR(10)&amp;"Raw Score",tblY7[#Headers],0)),"A",tblY7[Class],$B12))/COUNTIF(tblY7[Class],$B12)),""))</f>
        <v>1</v>
      </c>
    </row>
    <row r="13">
      <c r="B13" s="31" t="str">
        <f>Calc!S4</f>
        <v>7A/Sc2</v>
      </c>
      <c r="C13" s="32" t="str">
        <f>IF($B13="","",IFERROR(INDEX(tblTeachers[Teacher],MATCH("Year 7"&amp;"|"&amp;$B13,tblTeachers[Key],0))&amp;"",""))</f>
        <v>Dr Clarke</v>
      </c>
      <c r="D13" s="33">
        <f>IF($B13="","",IFERROR(COUNTIF(tblY7[Class],$B13),""))</f>
        <v>30</v>
      </c>
      <c r="E13" s="34">
        <f>IF($B13="","",IFERROR(AVERAGEIFS(tblY7[Avg KS2 Band],tblY7[Class],$B13),""))</f>
        <v>4.62068965517241</v>
      </c>
      <c r="F13" s="34">
        <f>IF($B13="","",IFERROR(AVERAGEIFS(tblY7[Tests Sat],tblY7[Class],$B13),""))</f>
        <v>3.8</v>
      </c>
      <c r="G13" s="34">
        <f>IF($B13="","",IFERROR(AVERAGEIFS(tblY7[Mean Stanine],tblY7[Class],$B13),""))</f>
        <v>4.71111111111111</v>
      </c>
      <c r="H13" s="35">
        <f>IF($B13="","",IFERROR(AVERAGEIFS(tblY7[vs Expected],tblY7[Class],$B13),""))</f>
        <v>-0.100665443217568</v>
      </c>
      <c r="I13" s="36">
        <f>IF($B13="","",IFERROR(SUMPRODUCT((tblY7[Class]=$B13)*(RIGHT(tblY7[#Headers],8)=CHAR(10)&amp;"Stanine")*ISNUMBER(tblY7[#Data])*(tblY7[#Data]&gt;=7))/SUMPRODUCT((tblY7[Class]=$B13)*(RIGHT(tblY7[#Headers],8)=CHAR(10)&amp;"Stanine")*ISNUMBER(tblY7[#Data])),""))</f>
        <v>0.166666666666667</v>
      </c>
      <c r="J13" s="36">
        <f>IF($B13="","",IFERROR(SUMPRODUCT((tblY7[Class]=$B13)*(RIGHT(tblY7[#Headers],8)=CHAR(10)&amp;"Stanine")*ISNUMBER(tblY7[#Data])*(tblY7[#Data]&lt;=3))/SUMPRODUCT((tblY7[Class]=$B13)*(RIGHT(tblY7[#Headers],8)=CHAR(10)&amp;"Stanine")*ISNUMBER(tblY7[#Data])),""))</f>
        <v>0.254385964912281</v>
      </c>
      <c r="K13" s="36">
        <f>IF($B13="","",IFERROR(IF(Calc!$AF$3="","",AVERAGEIFS(INDEX(tblY7[#Data],0,MATCH(Calc!$AF$3&amp;CHAR(10)&amp;"Raw Score",tblY7[#Headers],0)),tblY7[Class],$B13)/Calc!$AG$3),""))</f>
        <v>0.593112244897959</v>
      </c>
      <c r="L13" s="34">
        <f>IF($B13="","",IFERROR(IF(Calc!$AF$3="","",AVERAGEIFS(INDEX(tblY7[#Data],0,MATCH(Calc!$AF$3&amp;CHAR(10)&amp;"Stanine",tblY7[#Headers],0)),tblY7[Class],$B13)),""))</f>
        <v>4.57142857142857</v>
      </c>
      <c r="M13" s="36">
        <f>IF($B13="","",IFERROR(IF(Calc!$AF$3="","",(COUNTIFS(INDEX(tblY7[#Data],0,MATCH(Calc!$AF$3&amp;CHAR(10)&amp;"Raw Score",tblY7[#Headers],0)),"&gt;=0",tblY7[Class],$B13)+COUNTIFS(INDEX(tblY7[#Data],0,MATCH(Calc!$AF$3&amp;CHAR(10)&amp;"Raw Score",tblY7[#Headers],0)),"A",tblY7[Class],$B13))/COUNTIF(tblY7[Class],$B13)),""))</f>
        <v>1</v>
      </c>
    </row>
    <row r="14">
      <c r="B14" s="31" t="str">
        <f>Calc!S5</f>
        <v>7B/Sc1</v>
      </c>
      <c r="C14" s="32" t="str">
        <f>IF($B14="","",IFERROR(INDEX(tblTeachers[Teacher],MATCH("Year 7"&amp;"|"&amp;$B14,tblTeachers[Key],0))&amp;"",""))</f>
        <v>Mr Walsh</v>
      </c>
      <c r="D14" s="33">
        <f>IF($B14="","",IFERROR(COUNTIF(tblY7[Class],$B14),""))</f>
        <v>27</v>
      </c>
      <c r="E14" s="34">
        <f>IF($B14="","",IFERROR(AVERAGEIFS(tblY7[Avg KS2 Band],tblY7[Class],$B14),""))</f>
        <v>5.55555555555556</v>
      </c>
      <c r="F14" s="34">
        <f>IF($B14="","",IFERROR(AVERAGEIFS(tblY7[Tests Sat],tblY7[Class],$B14),""))</f>
        <v>3.88888888888889</v>
      </c>
      <c r="G14" s="34">
        <f>IF($B14="","",IFERROR(AVERAGEIFS(tblY7[Mean Stanine],tblY7[Class],$B14),""))</f>
        <v>6.15432098765432</v>
      </c>
      <c r="H14" s="35">
        <f>IF($B14="","",IFERROR(AVERAGEIFS(tblY7[vs Expected],tblY7[Class],$B14),""))</f>
        <v>0.760915932330661</v>
      </c>
      <c r="I14" s="36">
        <f>IF($B14="","",IFERROR(SUMPRODUCT((tblY7[Class]=$B14)*(RIGHT(tblY7[#Headers],8)=CHAR(10)&amp;"Stanine")*ISNUMBER(tblY7[#Data])*(tblY7[#Data]&gt;=7))/SUMPRODUCT((tblY7[Class]=$B14)*(RIGHT(tblY7[#Headers],8)=CHAR(10)&amp;"Stanine")*ISNUMBER(tblY7[#Data])),""))</f>
        <v>0.40952380952381</v>
      </c>
      <c r="J14" s="36">
        <f>IF($B14="","",IFERROR(SUMPRODUCT((tblY7[Class]=$B14)*(RIGHT(tblY7[#Headers],8)=CHAR(10)&amp;"Stanine")*ISNUMBER(tblY7[#Data])*(tblY7[#Data]&lt;=3))/SUMPRODUCT((tblY7[Class]=$B14)*(RIGHT(tblY7[#Headers],8)=CHAR(10)&amp;"Stanine")*ISNUMBER(tblY7[#Data])),""))</f>
        <v>0</v>
      </c>
      <c r="K14" s="36">
        <f>IF($B14="","",IFERROR(IF(Calc!$AF$3="","",AVERAGEIFS(INDEX(tblY7[#Data],0,MATCH(Calc!$AF$3&amp;CHAR(10)&amp;"Raw Score",tblY7[#Headers],0)),tblY7[Class],$B14)/Calc!$AG$3),""))</f>
        <v>0.751322751322751</v>
      </c>
      <c r="L14" s="34">
        <f>IF($B14="","",IFERROR(IF(Calc!$AF$3="","",AVERAGEIFS(INDEX(tblY7[#Data],0,MATCH(Calc!$AF$3&amp;CHAR(10)&amp;"Stanine",tblY7[#Headers],0)),tblY7[Class],$B14)),""))</f>
        <v>6.14814814814815</v>
      </c>
      <c r="M14" s="36">
        <f>IF($B14="","",IFERROR(IF(Calc!$AF$3="","",(COUNTIFS(INDEX(tblY7[#Data],0,MATCH(Calc!$AF$3&amp;CHAR(10)&amp;"Raw Score",tblY7[#Headers],0)),"&gt;=0",tblY7[Class],$B14)+COUNTIFS(INDEX(tblY7[#Data],0,MATCH(Calc!$AF$3&amp;CHAR(10)&amp;"Raw Score",tblY7[#Headers],0)),"A",tblY7[Class],$B14))/COUNTIF(tblY7[Class],$B14)),""))</f>
        <v>1</v>
      </c>
    </row>
    <row r="15">
      <c r="B15" s="31" t="str">
        <f>Calc!S6</f>
        <v>7B/Sc2</v>
      </c>
      <c r="C15" s="32" t="str">
        <f>IF($B15="","",IFERROR(INDEX(tblTeachers[Teacher],MATCH("Year 7"&amp;"|"&amp;$B15,tblTeachers[Key],0))&amp;"",""))</f>
        <v>Ms Novak</v>
      </c>
      <c r="D15" s="33">
        <f>IF($B15="","",IFERROR(COUNTIF(tblY7[Class],$B15),""))</f>
        <v>26</v>
      </c>
      <c r="E15" s="34">
        <f>IF($B15="","",IFERROR(AVERAGEIFS(tblY7[Avg KS2 Band],tblY7[Class],$B15),""))</f>
        <v>4.61538461538462</v>
      </c>
      <c r="F15" s="34">
        <f>IF($B15="","",IFERROR(AVERAGEIFS(tblY7[Tests Sat],tblY7[Class],$B15),""))</f>
        <v>3.88461538461538</v>
      </c>
      <c r="G15" s="34">
        <f>IF($B15="","",IFERROR(AVERAGEIFS(tblY7[Mean Stanine],tblY7[Class],$B15),""))</f>
        <v>4.70192307692308</v>
      </c>
      <c r="H15" s="35">
        <f>IF($B15="","",IFERROR(AVERAGEIFS(tblY7[vs Expected],tblY7[Class],$B15),""))</f>
        <v>-0.0387373285629097</v>
      </c>
      <c r="I15" s="36">
        <f>IF($B15="","",IFERROR(SUMPRODUCT((tblY7[Class]=$B15)*(RIGHT(tblY7[#Headers],8)=CHAR(10)&amp;"Stanine")*ISNUMBER(tblY7[#Data])*(tblY7[#Data]&gt;=7))/SUMPRODUCT((tblY7[Class]=$B15)*(RIGHT(tblY7[#Headers],8)=CHAR(10)&amp;"Stanine")*ISNUMBER(tblY7[#Data])),""))</f>
        <v>0.257425742574257</v>
      </c>
      <c r="J15" s="36">
        <f>IF($B15="","",IFERROR(SUMPRODUCT((tblY7[Class]=$B15)*(RIGHT(tblY7[#Headers],8)=CHAR(10)&amp;"Stanine")*ISNUMBER(tblY7[#Data])*(tblY7[#Data]&lt;=3))/SUMPRODUCT((tblY7[Class]=$B15)*(RIGHT(tblY7[#Headers],8)=CHAR(10)&amp;"Stanine")*ISNUMBER(tblY7[#Data])),""))</f>
        <v>0.267326732673267</v>
      </c>
      <c r="K15" s="36">
        <f>IF($B15="","",IFERROR(IF(Calc!$AF$3="","",AVERAGEIFS(INDEX(tblY7[#Data],0,MATCH(Calc!$AF$3&amp;CHAR(10)&amp;"Raw Score",tblY7[#Headers],0)),tblY7[Class],$B15)/Calc!$AG$3),""))</f>
        <v>0.586309523809524</v>
      </c>
      <c r="L15" s="34">
        <f>IF($B15="","",IFERROR(IF(Calc!$AF$3="","",AVERAGEIFS(INDEX(tblY7[#Data],0,MATCH(Calc!$AF$3&amp;CHAR(10)&amp;"Stanine",tblY7[#Headers],0)),tblY7[Class],$B15)),""))</f>
        <v>4.5</v>
      </c>
      <c r="M15" s="36">
        <f>IF($B15="","",IFERROR(IF(Calc!$AF$3="","",(COUNTIFS(INDEX(tblY7[#Data],0,MATCH(Calc!$AF$3&amp;CHAR(10)&amp;"Raw Score",tblY7[#Headers],0)),"&gt;=0",tblY7[Class],$B15)+COUNTIFS(INDEX(tblY7[#Data],0,MATCH(Calc!$AF$3&amp;CHAR(10)&amp;"Raw Score",tblY7[#Headers],0)),"A",tblY7[Class],$B15))/COUNTIF(tblY7[Class],$B15)),""))</f>
        <v>1</v>
      </c>
    </row>
    <row r="16">
      <c r="B16" s="31" t="str">
        <f>Calc!S7</f>
        <v>7B/Sc3</v>
      </c>
      <c r="C16" s="32" t="str">
        <f>IF($B16="","",IFERROR(INDEX(tblTeachers[Teacher],MATCH("Year 7"&amp;"|"&amp;$B16,tblTeachers[Key],0))&amp;"",""))</f>
        <v>Ms Rahman</v>
      </c>
      <c r="D16" s="33">
        <f>IF($B16="","",IFERROR(COUNTIF(tblY7[Class],$B16),""))</f>
        <v>18</v>
      </c>
      <c r="E16" s="34">
        <f>IF($B16="","",IFERROR(AVERAGEIFS(tblY7[Avg KS2 Band],tblY7[Class],$B16),""))</f>
        <v>4.22222222222222</v>
      </c>
      <c r="F16" s="34">
        <f>IF($B16="","",IFERROR(AVERAGEIFS(tblY7[Tests Sat],tblY7[Class],$B16),""))</f>
        <v>3.5</v>
      </c>
      <c r="G16" s="34">
        <f>IF($B16="","",IFERROR(AVERAGEIFS(tblY7[Mean Stanine],tblY7[Class],$B16),""))</f>
        <v>3.75462962962963</v>
      </c>
      <c r="H16" s="35">
        <f>IF($B16="","",IFERROR(AVERAGEIFS(tblY7[vs Expected],tblY7[Class],$B16),""))</f>
        <v>-0.713064831378785</v>
      </c>
      <c r="I16" s="36">
        <f>IF($B16="","",IFERROR(SUMPRODUCT((tblY7[Class]=$B16)*(RIGHT(tblY7[#Headers],8)=CHAR(10)&amp;"Stanine")*ISNUMBER(tblY7[#Data])*(tblY7[#Data]&gt;=7))/SUMPRODUCT((tblY7[Class]=$B16)*(RIGHT(tblY7[#Headers],8)=CHAR(10)&amp;"Stanine")*ISNUMBER(tblY7[#Data])),""))</f>
        <v>0.158730158730159</v>
      </c>
      <c r="J16" s="36">
        <f>IF($B16="","",IFERROR(SUMPRODUCT((tblY7[Class]=$B16)*(RIGHT(tblY7[#Headers],8)=CHAR(10)&amp;"Stanine")*ISNUMBER(tblY7[#Data])*(tblY7[#Data]&lt;=3))/SUMPRODUCT((tblY7[Class]=$B16)*(RIGHT(tblY7[#Headers],8)=CHAR(10)&amp;"Stanine")*ISNUMBER(tblY7[#Data])),""))</f>
        <v>0.444444444444444</v>
      </c>
      <c r="K16" s="36">
        <f>IF($B16="","",IFERROR(IF(Calc!$AF$3="","",AVERAGEIFS(INDEX(tblY7[#Data],0,MATCH(Calc!$AF$3&amp;CHAR(10)&amp;"Raw Score",tblY7[#Headers],0)),tblY7[Class],$B16)/Calc!$AG$3),""))</f>
        <v>0.531512605042017</v>
      </c>
      <c r="L16" s="34">
        <f>IF($B16="","",IFERROR(IF(Calc!$AF$3="","",AVERAGEIFS(INDEX(tblY7[#Data],0,MATCH(Calc!$AF$3&amp;CHAR(10)&amp;"Stanine",tblY7[#Headers],0)),tblY7[Class],$B16)),""))</f>
        <v>3.88235294117647</v>
      </c>
      <c r="M16" s="36">
        <f>IF($B16="","",IFERROR(IF(Calc!$AF$3="","",(COUNTIFS(INDEX(tblY7[#Data],0,MATCH(Calc!$AF$3&amp;CHAR(10)&amp;"Raw Score",tblY7[#Headers],0)),"&gt;=0",tblY7[Class],$B16)+COUNTIFS(INDEX(tblY7[#Data],0,MATCH(Calc!$AF$3&amp;CHAR(10)&amp;"Raw Score",tblY7[#Headers],0)),"A",tblY7[Class],$B16))/COUNTIF(tblY7[Class],$B16)),""))</f>
        <v>1</v>
      </c>
    </row>
    <row r="17">
      <c r="B17" s="31" t="str">
        <f>Calc!S8</f>
        <v/>
      </c>
      <c r="C17" s="32" t="str">
        <f>IF($B17="","",IFERROR(INDEX(tblTeachers[Teacher],MATCH("Year 7"&amp;"|"&amp;$B17,tblTeachers[Key],0))&amp;"",""))</f>
        <v/>
      </c>
      <c r="D17" s="33" t="str">
        <f>IF($B17="","",IFERROR(COUNTIF(tblY7[Class],$B17),""))</f>
        <v/>
      </c>
      <c r="E17" s="34" t="str">
        <f>IF($B17="","",IFERROR(AVERAGEIFS(tblY7[Avg KS2 Band],tblY7[Class],$B17),""))</f>
        <v/>
      </c>
      <c r="F17" s="34" t="str">
        <f>IF($B17="","",IFERROR(AVERAGEIFS(tblY7[Tests Sat],tblY7[Class],$B17),""))</f>
        <v/>
      </c>
      <c r="G17" s="34" t="str">
        <f>IF($B17="","",IFERROR(AVERAGEIFS(tblY7[Mean Stanine],tblY7[Class],$B17),""))</f>
        <v/>
      </c>
      <c r="H17" s="35" t="str">
        <f>IF($B17="","",IFERROR(AVERAGEIFS(tblY7[vs Expected],tblY7[Class],$B17),""))</f>
        <v/>
      </c>
      <c r="I17" s="36" t="str">
        <f>IF($B17="","",IFERROR(SUMPRODUCT((tblY7[Class]=$B17)*(RIGHT(tblY7[#Headers],8)=CHAR(10)&amp;"Stanine")*ISNUMBER(tblY7[#Data])*(tblY7[#Data]&gt;=7))/SUMPRODUCT((tblY7[Class]=$B17)*(RIGHT(tblY7[#Headers],8)=CHAR(10)&amp;"Stanine")*ISNUMBER(tblY7[#Data])),""))</f>
        <v/>
      </c>
      <c r="J17" s="36" t="str">
        <f>IF($B17="","",IFERROR(SUMPRODUCT((tblY7[Class]=$B17)*(RIGHT(tblY7[#Headers],8)=CHAR(10)&amp;"Stanine")*ISNUMBER(tblY7[#Data])*(tblY7[#Data]&lt;=3))/SUMPRODUCT((tblY7[Class]=$B17)*(RIGHT(tblY7[#Headers],8)=CHAR(10)&amp;"Stanine")*ISNUMBER(tblY7[#Data])),""))</f>
        <v/>
      </c>
      <c r="K17" s="36" t="str">
        <f>IF($B17="","",IFERROR(IF(Calc!$AF$3="","",AVERAGEIFS(INDEX(tblY7[#Data],0,MATCH(Calc!$AF$3&amp;CHAR(10)&amp;"Raw Score",tblY7[#Headers],0)),tblY7[Class],$B17)/Calc!$AG$3),""))</f>
        <v/>
      </c>
      <c r="L17" s="34" t="str">
        <f>IF($B17="","",IFERROR(IF(Calc!$AF$3="","",AVERAGEIFS(INDEX(tblY7[#Data],0,MATCH(Calc!$AF$3&amp;CHAR(10)&amp;"Stanine",tblY7[#Headers],0)),tblY7[Class],$B17)),""))</f>
        <v/>
      </c>
      <c r="M17" s="36" t="str">
        <f>IF($B17="","",IFERROR(IF(Calc!$AF$3="","",(COUNTIFS(INDEX(tblY7[#Data],0,MATCH(Calc!$AF$3&amp;CHAR(10)&amp;"Raw Score",tblY7[#Headers],0)),"&gt;=0",tblY7[Class],$B17)+COUNTIFS(INDEX(tblY7[#Data],0,MATCH(Calc!$AF$3&amp;CHAR(10)&amp;"Raw Score",tblY7[#Headers],0)),"A",tblY7[Class],$B17))/COUNTIF(tblY7[Class],$B17)),""))</f>
        <v/>
      </c>
    </row>
    <row r="18">
      <c r="B18" s="31" t="str">
        <f>Calc!S9</f>
        <v/>
      </c>
      <c r="C18" s="32" t="str">
        <f>IF($B18="","",IFERROR(INDEX(tblTeachers[Teacher],MATCH("Year 7"&amp;"|"&amp;$B18,tblTeachers[Key],0))&amp;"",""))</f>
        <v/>
      </c>
      <c r="D18" s="33" t="str">
        <f>IF($B18="","",IFERROR(COUNTIF(tblY7[Class],$B18),""))</f>
        <v/>
      </c>
      <c r="E18" s="34" t="str">
        <f>IF($B18="","",IFERROR(AVERAGEIFS(tblY7[Avg KS2 Band],tblY7[Class],$B18),""))</f>
        <v/>
      </c>
      <c r="F18" s="34" t="str">
        <f>IF($B18="","",IFERROR(AVERAGEIFS(tblY7[Tests Sat],tblY7[Class],$B18),""))</f>
        <v/>
      </c>
      <c r="G18" s="34" t="str">
        <f>IF($B18="","",IFERROR(AVERAGEIFS(tblY7[Mean Stanine],tblY7[Class],$B18),""))</f>
        <v/>
      </c>
      <c r="H18" s="35" t="str">
        <f>IF($B18="","",IFERROR(AVERAGEIFS(tblY7[vs Expected],tblY7[Class],$B18),""))</f>
        <v/>
      </c>
      <c r="I18" s="36" t="str">
        <f>IF($B18="","",IFERROR(SUMPRODUCT((tblY7[Class]=$B18)*(RIGHT(tblY7[#Headers],8)=CHAR(10)&amp;"Stanine")*ISNUMBER(tblY7[#Data])*(tblY7[#Data]&gt;=7))/SUMPRODUCT((tblY7[Class]=$B18)*(RIGHT(tblY7[#Headers],8)=CHAR(10)&amp;"Stanine")*ISNUMBER(tblY7[#Data])),""))</f>
        <v/>
      </c>
      <c r="J18" s="36" t="str">
        <f>IF($B18="","",IFERROR(SUMPRODUCT((tblY7[Class]=$B18)*(RIGHT(tblY7[#Headers],8)=CHAR(10)&amp;"Stanine")*ISNUMBER(tblY7[#Data])*(tblY7[#Data]&lt;=3))/SUMPRODUCT((tblY7[Class]=$B18)*(RIGHT(tblY7[#Headers],8)=CHAR(10)&amp;"Stanine")*ISNUMBER(tblY7[#Data])),""))</f>
        <v/>
      </c>
      <c r="K18" s="36" t="str">
        <f>IF($B18="","",IFERROR(IF(Calc!$AF$3="","",AVERAGEIFS(INDEX(tblY7[#Data],0,MATCH(Calc!$AF$3&amp;CHAR(10)&amp;"Raw Score",tblY7[#Headers],0)),tblY7[Class],$B18)/Calc!$AG$3),""))</f>
        <v/>
      </c>
      <c r="L18" s="34" t="str">
        <f>IF($B18="","",IFERROR(IF(Calc!$AF$3="","",AVERAGEIFS(INDEX(tblY7[#Data],0,MATCH(Calc!$AF$3&amp;CHAR(10)&amp;"Stanine",tblY7[#Headers],0)),tblY7[Class],$B18)),""))</f>
        <v/>
      </c>
      <c r="M18" s="36" t="str">
        <f>IF($B18="","",IFERROR(IF(Calc!$AF$3="","",(COUNTIFS(INDEX(tblY7[#Data],0,MATCH(Calc!$AF$3&amp;CHAR(10)&amp;"Raw Score",tblY7[#Headers],0)),"&gt;=0",tblY7[Class],$B18)+COUNTIFS(INDEX(tblY7[#Data],0,MATCH(Calc!$AF$3&amp;CHAR(10)&amp;"Raw Score",tblY7[#Headers],0)),"A",tblY7[Class],$B18))/COUNTIF(tblY7[Class],$B18)),""))</f>
        <v/>
      </c>
    </row>
    <row r="19">
      <c r="B19" s="31" t="str">
        <f>Calc!S10</f>
        <v/>
      </c>
      <c r="C19" s="32" t="str">
        <f>IF($B19="","",IFERROR(INDEX(tblTeachers[Teacher],MATCH("Year 7"&amp;"|"&amp;$B19,tblTeachers[Key],0))&amp;"",""))</f>
        <v/>
      </c>
      <c r="D19" s="33" t="str">
        <f>IF($B19="","",IFERROR(COUNTIF(tblY7[Class],$B19),""))</f>
        <v/>
      </c>
      <c r="E19" s="34" t="str">
        <f>IF($B19="","",IFERROR(AVERAGEIFS(tblY7[Avg KS2 Band],tblY7[Class],$B19),""))</f>
        <v/>
      </c>
      <c r="F19" s="34" t="str">
        <f>IF($B19="","",IFERROR(AVERAGEIFS(tblY7[Tests Sat],tblY7[Class],$B19),""))</f>
        <v/>
      </c>
      <c r="G19" s="34" t="str">
        <f>IF($B19="","",IFERROR(AVERAGEIFS(tblY7[Mean Stanine],tblY7[Class],$B19),""))</f>
        <v/>
      </c>
      <c r="H19" s="35" t="str">
        <f>IF($B19="","",IFERROR(AVERAGEIFS(tblY7[vs Expected],tblY7[Class],$B19),""))</f>
        <v/>
      </c>
      <c r="I19" s="36" t="str">
        <f>IF($B19="","",IFERROR(SUMPRODUCT((tblY7[Class]=$B19)*(RIGHT(tblY7[#Headers],8)=CHAR(10)&amp;"Stanine")*ISNUMBER(tblY7[#Data])*(tblY7[#Data]&gt;=7))/SUMPRODUCT((tblY7[Class]=$B19)*(RIGHT(tblY7[#Headers],8)=CHAR(10)&amp;"Stanine")*ISNUMBER(tblY7[#Data])),""))</f>
        <v/>
      </c>
      <c r="J19" s="36" t="str">
        <f>IF($B19="","",IFERROR(SUMPRODUCT((tblY7[Class]=$B19)*(RIGHT(tblY7[#Headers],8)=CHAR(10)&amp;"Stanine")*ISNUMBER(tblY7[#Data])*(tblY7[#Data]&lt;=3))/SUMPRODUCT((tblY7[Class]=$B19)*(RIGHT(tblY7[#Headers],8)=CHAR(10)&amp;"Stanine")*ISNUMBER(tblY7[#Data])),""))</f>
        <v/>
      </c>
      <c r="K19" s="36" t="str">
        <f>IF($B19="","",IFERROR(IF(Calc!$AF$3="","",AVERAGEIFS(INDEX(tblY7[#Data],0,MATCH(Calc!$AF$3&amp;CHAR(10)&amp;"Raw Score",tblY7[#Headers],0)),tblY7[Class],$B19)/Calc!$AG$3),""))</f>
        <v/>
      </c>
      <c r="L19" s="34" t="str">
        <f>IF($B19="","",IFERROR(IF(Calc!$AF$3="","",AVERAGEIFS(INDEX(tblY7[#Data],0,MATCH(Calc!$AF$3&amp;CHAR(10)&amp;"Stanine",tblY7[#Headers],0)),tblY7[Class],$B19)),""))</f>
        <v/>
      </c>
      <c r="M19" s="36" t="str">
        <f>IF($B19="","",IFERROR(IF(Calc!$AF$3="","",(COUNTIFS(INDEX(tblY7[#Data],0,MATCH(Calc!$AF$3&amp;CHAR(10)&amp;"Raw Score",tblY7[#Headers],0)),"&gt;=0",tblY7[Class],$B19)+COUNTIFS(INDEX(tblY7[#Data],0,MATCH(Calc!$AF$3&amp;CHAR(10)&amp;"Raw Score",tblY7[#Headers],0)),"A",tblY7[Class],$B19))/COUNTIF(tblY7[Class],$B19)),""))</f>
        <v/>
      </c>
    </row>
    <row r="21" ht="22" customHeight="1">
      <c r="B21" s="22" t="inlineStr">
        <is>
          <t>Year 8</t>
        </is>
      </c>
      <c r="C21" s="23" t="str">
        <f>"Leaves "&amp;Settings!$C$16&amp;"   ·   "&amp;COUNTA(tblY8[Preferred Last name])&amp;" students   ·   "&amp;Calc!$AI$4&amp;" tests"&amp;IF(Calc!$T$12&gt;8,"   ·   only the first 8 of "&amp;Calc!$T$12&amp;" classes fit here","")</f>
        <v>Leaves 2030   ·   93 students   ·   5 tests</v>
      </c>
      <c r="D21" s="24" t="n"/>
      <c r="E21" s="24" t="n"/>
      <c r="F21" s="24" t="n"/>
      <c r="G21" s="24" t="n"/>
      <c r="H21" s="25" t="str">
        <f>IF(Calc!$AF$4="","No tests yet","Latest test: "&amp;Calc!$AF$4&amp;IF(ISNUMBER(Calc!$AH$4),"  ("&amp;TEXT(Calc!$AH$4,"dd/mm/yyyy")&amp;")",""))</f>
        <v>Latest test: 8P02 - Light  (18/11/2026)</v>
      </c>
      <c r="I21" s="24" t="n"/>
      <c r="J21" s="24" t="n"/>
      <c r="K21" s="24" t="n"/>
      <c r="L21" s="24" t="n"/>
      <c r="M21" s="24" t="n"/>
    </row>
    <row r="22" ht="30" customHeight="1">
      <c r="B22" s="7" t="inlineStr">
        <is>
          <t>Class</t>
        </is>
      </c>
      <c r="C22" s="7" t="inlineStr">
        <is>
          <t>Teacher</t>
        </is>
      </c>
      <c r="D22" s="7" t="inlineStr">
        <is>
          <t>Students</t>
        </is>
      </c>
      <c r="E22" s="7" t="inlineStr">
        <is>
          <t>KS2 band
(mean)</t>
        </is>
      </c>
      <c r="F22" s="7" t="inlineStr">
        <is>
          <t>Tests sat
(mean)</t>
        </is>
      </c>
      <c r="G22" s="7" t="inlineStr">
        <is>
          <t>Mean
stanine</t>
        </is>
      </c>
      <c r="H22" s="7" t="inlineStr">
        <is>
          <t>vs
expected</t>
        </is>
      </c>
      <c r="I22" s="7" t="inlineStr">
        <is>
          <t>Results at
stanine 7-9</t>
        </is>
      </c>
      <c r="J22" s="7" t="inlineStr">
        <is>
          <t>Results at
stanine 1-3</t>
        </is>
      </c>
      <c r="K22" s="7" t="inlineStr">
        <is>
          <t>Latest test
mean %</t>
        </is>
      </c>
      <c r="L22" s="7" t="inlineStr">
        <is>
          <t>Latest test
mean stanine</t>
        </is>
      </c>
      <c r="M22" s="7" t="inlineStr">
        <is>
          <t>Latest test
completion</t>
        </is>
      </c>
    </row>
    <row r="23">
      <c r="B23" s="26" t="inlineStr">
        <is>
          <t>Whole year</t>
        </is>
      </c>
      <c r="D23" s="27">
        <f>IFERROR(COUNTA(tblY8[Preferred Last name]),"")</f>
        <v>93</v>
      </c>
      <c r="E23" s="28">
        <f>IFERROR(AVERAGE(tblY8[Avg KS2 Band]),"")</f>
        <v>5.04347826086957</v>
      </c>
      <c r="F23" s="28">
        <f>IFERROR(AVERAGE(tblY8[Tests Sat]),"")</f>
        <v>4.60215053763441</v>
      </c>
      <c r="G23" s="28">
        <f>IFERROR(AVERAGE(tblY8[Mean Stanine]),"")</f>
        <v>4.95232974910394</v>
      </c>
      <c r="H23" s="29">
        <f>IFERROR(AVERAGE(tblY8[vs Expected]),"")</f>
        <v>1.20676415720126e-16</v>
      </c>
      <c r="I23" s="30">
        <f>IFERROR(SUMPRODUCT((RIGHT(tblY8[#Headers],8)=CHAR(10)&amp;"Stanine")*ISNUMBER(tblY8[#Data])*(tblY8[#Data]&gt;=7))/SUMPRODUCT((RIGHT(tblY8[#Headers],8)=CHAR(10)&amp;"Stanine")*ISNUMBER(tblY8[#Data])),"")</f>
        <v>0.259345794392523</v>
      </c>
      <c r="J23" s="30">
        <f>IFERROR(SUMPRODUCT((RIGHT(tblY8[#Headers],8)=CHAR(10)&amp;"Stanine")*ISNUMBER(tblY8[#Data])*(tblY8[#Data]&lt;=3))/SUMPRODUCT((RIGHT(tblY8[#Headers],8)=CHAR(10)&amp;"Stanine")*ISNUMBER(tblY8[#Data])),"")</f>
        <v>0.257009345794393</v>
      </c>
      <c r="K23" s="30">
        <f>IFERROR(IF(Calc!$AF$4="","",AVERAGE(INDEX(tblY8[#Data],0,MATCH(Calc!$AF$4&amp;CHAR(10)&amp;"Raw Score",tblY8[#Headers],0)))/Calc!$AG$4),"")</f>
        <v>0.64906103286385</v>
      </c>
      <c r="L23" s="28">
        <f>IFERROR(IF(Calc!$AF$4="","",AVERAGE(INDEX(tblY8[#Data],0,MATCH(Calc!$AF$4&amp;CHAR(10)&amp;"Stanine",tblY8[#Headers],0)))),"")</f>
        <v>5.05633802816901</v>
      </c>
      <c r="M23" s="30">
        <f>IFERROR(IF(Calc!$AF$4="","",(COUNTIFS(INDEX(tblY8[#Data],0,MATCH(Calc!$AF$4&amp;CHAR(10)&amp;"Raw Score",tblY8[#Headers],0)),"&gt;=0")+COUNTIFS(INDEX(tblY8[#Data],0,MATCH(Calc!$AF$4&amp;CHAR(10)&amp;"Raw Score",tblY8[#Headers],0)),"A"))/COUNTA(tblY8[Preferred Last name])),"")</f>
        <v>0.806451612903226</v>
      </c>
    </row>
    <row r="24">
      <c r="B24" s="31" t="str">
        <f>Calc!T3</f>
        <v>8A/Sc1</v>
      </c>
      <c r="C24" s="32" t="str">
        <f>IF($B24="","",IFERROR(INDEX(tblTeachers[Teacher],MATCH("Year 8"&amp;"|"&amp;$B24,tblTeachers[Key],0))&amp;"",""))</f>
        <v>Mr Owen</v>
      </c>
      <c r="D24" s="33">
        <f>IF($B24="","",IFERROR(COUNTIF(tblY8[Class],$B24),""))</f>
        <v>28</v>
      </c>
      <c r="E24" s="34">
        <f>IF($B24="","",IFERROR(AVERAGEIFS(tblY8[Avg KS2 Band],tblY8[Class],$B24),""))</f>
        <v>6.42857142857143</v>
      </c>
      <c r="F24" s="34">
        <f>IF($B24="","",IFERROR(AVERAGEIFS(tblY8[Tests Sat],tblY8[Class],$B24),""))</f>
        <v>4.64285714285714</v>
      </c>
      <c r="G24" s="34">
        <f>IF($B24="","",IFERROR(AVERAGEIFS(tblY8[Mean Stanine],tblY8[Class],$B24),""))</f>
        <v>6.53809523809524</v>
      </c>
      <c r="H24" s="35">
        <f>IF($B24="","",IFERROR(AVERAGEIFS(tblY8[vs Expected],tblY8[Class],$B24),""))</f>
        <v>0.483505853675284</v>
      </c>
      <c r="I24" s="36">
        <f>IF($B24="","",IFERROR(SUMPRODUCT((tblY8[Class]=$B24)*(RIGHT(tblY8[#Headers],8)=CHAR(10)&amp;"Stanine")*ISNUMBER(tblY8[#Data])*(tblY8[#Data]&gt;=7))/SUMPRODUCT((tblY8[Class]=$B24)*(RIGHT(tblY8[#Headers],8)=CHAR(10)&amp;"Stanine")*ISNUMBER(tblY8[#Data])),""))</f>
        <v>0.546153846153846</v>
      </c>
      <c r="J24" s="36">
        <f>IF($B24="","",IFERROR(SUMPRODUCT((tblY8[Class]=$B24)*(RIGHT(tblY8[#Headers],8)=CHAR(10)&amp;"Stanine")*ISNUMBER(tblY8[#Data])*(tblY8[#Data]&lt;=3))/SUMPRODUCT((tblY8[Class]=$B24)*(RIGHT(tblY8[#Headers],8)=CHAR(10)&amp;"Stanine")*ISNUMBER(tblY8[#Data])),""))</f>
        <v>0.0230769230769231</v>
      </c>
      <c r="K24" s="36">
        <f>IF($B24="","",IFERROR(IF(Calc!$AF$4="","",AVERAGEIFS(INDEX(tblY8[#Data],0,MATCH(Calc!$AF$4&amp;CHAR(10)&amp;"Raw Score",tblY8[#Headers],0)),tblY8[Class],$B24)/Calc!$AG$4),""))</f>
        <v>0.752976190476191</v>
      </c>
      <c r="L24" s="34">
        <f>IF($B24="","",IFERROR(IF(Calc!$AF$4="","",AVERAGEIFS(INDEX(tblY8[#Data],0,MATCH(Calc!$AF$4&amp;CHAR(10)&amp;"Stanine",tblY8[#Headers],0)),tblY8[Class],$B24)),""))</f>
        <v>6.28571428571429</v>
      </c>
      <c r="M24" s="36">
        <f>IF($B24="","",IFERROR(IF(Calc!$AF$4="","",(COUNTIFS(INDEX(tblY8[#Data],0,MATCH(Calc!$AF$4&amp;CHAR(10)&amp;"Raw Score",tblY8[#Headers],0)),"&gt;=0",tblY8[Class],$B24)+COUNTIFS(INDEX(tblY8[#Data],0,MATCH(Calc!$AF$4&amp;CHAR(10)&amp;"Raw Score",tblY8[#Headers],0)),"A",tblY8[Class],$B24))/COUNTIF(tblY8[Class],$B24)),""))</f>
        <v>1</v>
      </c>
    </row>
    <row r="25">
      <c r="B25" s="31" t="str">
        <f>Calc!T4</f>
        <v>8A/Sc2</v>
      </c>
      <c r="C25" s="32" t="str">
        <f>IF($B25="","",IFERROR(INDEX(tblTeachers[Teacher],MATCH("Year 8"&amp;"|"&amp;$B25,tblTeachers[Key],0))&amp;"",""))</f>
        <v>Mr Hughes</v>
      </c>
      <c r="D25" s="33">
        <f>IF($B25="","",IFERROR(COUNTIF(tblY8[Class],$B25),""))</f>
        <v>25</v>
      </c>
      <c r="E25" s="34">
        <f>IF($B25="","",IFERROR(AVERAGEIFS(tblY8[Avg KS2 Band],tblY8[Class],$B25),""))</f>
        <v>5.2</v>
      </c>
      <c r="F25" s="34">
        <f>IF($B25="","",IFERROR(AVERAGEIFS(tblY8[Tests Sat],tblY8[Class],$B25),""))</f>
        <v>4.76</v>
      </c>
      <c r="G25" s="34">
        <f>IF($B25="","",IFERROR(AVERAGEIFS(tblY8[Mean Stanine],tblY8[Class],$B25),""))</f>
        <v>5.108</v>
      </c>
      <c r="H25" s="35">
        <f>IF($B25="","",IFERROR(AVERAGEIFS(tblY8[vs Expected],tblY8[Class],$B25),""))</f>
        <v>0.0103588079788514</v>
      </c>
      <c r="I25" s="36">
        <f>IF($B25="","",IFERROR(SUMPRODUCT((tblY8[Class]=$B25)*(RIGHT(tblY8[#Headers],8)=CHAR(10)&amp;"Stanine")*ISNUMBER(tblY8[#Data])*(tblY8[#Data]&gt;=7))/SUMPRODUCT((tblY8[Class]=$B25)*(RIGHT(tblY8[#Headers],8)=CHAR(10)&amp;"Stanine")*ISNUMBER(tblY8[#Data])),""))</f>
        <v>0.201680672268908</v>
      </c>
      <c r="J25" s="36">
        <f>IF($B25="","",IFERROR(SUMPRODUCT((tblY8[Class]=$B25)*(RIGHT(tblY8[#Headers],8)=CHAR(10)&amp;"Stanine")*ISNUMBER(tblY8[#Data])*(tblY8[#Data]&lt;=3))/SUMPRODUCT((tblY8[Class]=$B25)*(RIGHT(tblY8[#Headers],8)=CHAR(10)&amp;"Stanine")*ISNUMBER(tblY8[#Data])),""))</f>
        <v>0.176470588235294</v>
      </c>
      <c r="K25" s="36">
        <f>IF($B25="","",IFERROR(IF(Calc!$AF$4="","",AVERAGEIFS(INDEX(tblY8[#Data],0,MATCH(Calc!$AF$4&amp;CHAR(10)&amp;"Raw Score",tblY8[#Headers],0)),tblY8[Class],$B25)/Calc!$AG$4),""))</f>
        <v>0.59963768115942</v>
      </c>
      <c r="L25" s="34">
        <f>IF($B25="","",IFERROR(IF(Calc!$AF$4="","",AVERAGEIFS(INDEX(tblY8[#Data],0,MATCH(Calc!$AF$4&amp;CHAR(10)&amp;"Stanine",tblY8[#Headers],0)),tblY8[Class],$B25)),""))</f>
        <v>4.43478260869565</v>
      </c>
      <c r="M25" s="36">
        <f>IF($B25="","",IFERROR(IF(Calc!$AF$4="","",(COUNTIFS(INDEX(tblY8[#Data],0,MATCH(Calc!$AF$4&amp;CHAR(10)&amp;"Raw Score",tblY8[#Headers],0)),"&gt;=0",tblY8[Class],$B25)+COUNTIFS(INDEX(tblY8[#Data],0,MATCH(Calc!$AF$4&amp;CHAR(10)&amp;"Raw Score",tblY8[#Headers],0)),"A",tblY8[Class],$B25))/COUNTIF(tblY8[Class],$B25)),""))</f>
        <v>1</v>
      </c>
    </row>
    <row r="26">
      <c r="B26" s="31" t="str">
        <f>Calc!T5</f>
        <v>8A/Sc3</v>
      </c>
      <c r="C26" s="32" t="str">
        <f>IF($B26="","",IFERROR(INDEX(tblTeachers[Teacher],MATCH("Year 8"&amp;"|"&amp;$B26,tblTeachers[Key],0))&amp;"",""))</f>
        <v>Mr Owen</v>
      </c>
      <c r="D26" s="33">
        <f>IF($B26="","",IFERROR(COUNTIF(tblY8[Class],$B26),""))</f>
        <v>22</v>
      </c>
      <c r="E26" s="34">
        <f>IF($B26="","",IFERROR(AVERAGEIFS(tblY8[Avg KS2 Band],tblY8[Class],$B26),""))</f>
        <v>4.52380952380952</v>
      </c>
      <c r="F26" s="34">
        <f>IF($B26="","",IFERROR(AVERAGEIFS(tblY8[Tests Sat],tblY8[Class],$B26),""))</f>
        <v>4.90909090909091</v>
      </c>
      <c r="G26" s="34">
        <f>IF($B26="","",IFERROR(AVERAGEIFS(tblY8[Mean Stanine],tblY8[Class],$B26),""))</f>
        <v>4.13863636363636</v>
      </c>
      <c r="H26" s="35">
        <f>IF($B26="","",IFERROR(AVERAGEIFS(tblY8[vs Expected],tblY8[Class],$B26),""))</f>
        <v>-0.368567823668761</v>
      </c>
      <c r="I26" s="36">
        <f>IF($B26="","",IFERROR(SUMPRODUCT((tblY8[Class]=$B26)*(RIGHT(tblY8[#Headers],8)=CHAR(10)&amp;"Stanine")*ISNUMBER(tblY8[#Data])*(tblY8[#Data]&gt;=7))/SUMPRODUCT((tblY8[Class]=$B26)*(RIGHT(tblY8[#Headers],8)=CHAR(10)&amp;"Stanine")*ISNUMBER(tblY8[#Data])),""))</f>
        <v>0.12962962962963</v>
      </c>
      <c r="J26" s="36">
        <f>IF($B26="","",IFERROR(SUMPRODUCT((tblY8[Class]=$B26)*(RIGHT(tblY8[#Headers],8)=CHAR(10)&amp;"Stanine")*ISNUMBER(tblY8[#Data])*(tblY8[#Data]&lt;=3))/SUMPRODUCT((tblY8[Class]=$B26)*(RIGHT(tblY8[#Headers],8)=CHAR(10)&amp;"Stanine")*ISNUMBER(tblY8[#Data])),""))</f>
        <v>0.398148148148148</v>
      </c>
      <c r="K26" s="36">
        <f>IF($B26="","",IFERROR(IF(Calc!$AF$4="","",AVERAGEIFS(INDEX(tblY8[#Data],0,MATCH(Calc!$AF$4&amp;CHAR(10)&amp;"Raw Score",tblY8[#Headers],0)),tblY8[Class],$B26)/Calc!$AG$4),""))</f>
        <v>0.560416666666667</v>
      </c>
      <c r="L26" s="34">
        <f>IF($B26="","",IFERROR(IF(Calc!$AF$4="","",AVERAGEIFS(INDEX(tblY8[#Data],0,MATCH(Calc!$AF$4&amp;CHAR(10)&amp;"Stanine",tblY8[#Headers],0)),tblY8[Class],$B26)),""))</f>
        <v>4.05</v>
      </c>
      <c r="M26" s="36">
        <f>IF($B26="","",IFERROR(IF(Calc!$AF$4="","",(COUNTIFS(INDEX(tblY8[#Data],0,MATCH(Calc!$AF$4&amp;CHAR(10)&amp;"Raw Score",tblY8[#Headers],0)),"&gt;=0",tblY8[Class],$B26)+COUNTIFS(INDEX(tblY8[#Data],0,MATCH(Calc!$AF$4&amp;CHAR(10)&amp;"Raw Score",tblY8[#Headers],0)),"A",tblY8[Class],$B26))/COUNTIF(tblY8[Class],$B26)),""))</f>
        <v>1</v>
      </c>
    </row>
    <row r="27">
      <c r="B27" s="31" t="str">
        <f>Calc!T6</f>
        <v>8A/Sc4</v>
      </c>
      <c r="C27" s="32" t="str">
        <f>IF($B27="","",IFERROR(INDEX(tblTeachers[Teacher],MATCH("Year 8"&amp;"|"&amp;$B27,tblTeachers[Key],0))&amp;"",""))</f>
        <v>Ms Adeyemi</v>
      </c>
      <c r="D27" s="33">
        <f>IF($B27="","",IFERROR(COUNTIF(tblY8[Class],$B27),""))</f>
        <v>16</v>
      </c>
      <c r="E27" s="34">
        <f>IF($B27="","",IFERROR(AVERAGEIFS(tblY8[Avg KS2 Band],tblY8[Class],$B27),""))</f>
        <v>3.375</v>
      </c>
      <c r="F27" s="34">
        <f>IF($B27="","",IFERROR(AVERAGEIFS(tblY8[Tests Sat],tblY8[Class],$B27),""))</f>
        <v>3.9375</v>
      </c>
      <c r="G27" s="34">
        <f>IF($B27="","",IFERROR(AVERAGEIFS(tblY8[Mean Stanine],tblY8[Class],$B27),""))</f>
        <v>3.484375</v>
      </c>
      <c r="H27" s="35">
        <f>IF($B27="","",IFERROR(AVERAGEIFS(tblY8[vs Expected],tblY8[Class],$B27),""))</f>
        <v>-0.191753034126412</v>
      </c>
      <c r="I27" s="36">
        <f>IF($B27="","",IFERROR(SUMPRODUCT((tblY8[Class]=$B27)*(RIGHT(tblY8[#Headers],8)=CHAR(10)&amp;"Stanine")*ISNUMBER(tblY8[#Data])*(tblY8[#Data]&gt;=7))/SUMPRODUCT((tblY8[Class]=$B27)*(RIGHT(tblY8[#Headers],8)=CHAR(10)&amp;"Stanine")*ISNUMBER(tblY8[#Data])),""))</f>
        <v>0.0317460317460317</v>
      </c>
      <c r="J27" s="36">
        <f>IF($B27="","",IFERROR(SUMPRODUCT((tblY8[Class]=$B27)*(RIGHT(tblY8[#Headers],8)=CHAR(10)&amp;"Stanine")*ISNUMBER(tblY8[#Data])*(tblY8[#Data]&lt;=3))/SUMPRODUCT((tblY8[Class]=$B27)*(RIGHT(tblY8[#Headers],8)=CHAR(10)&amp;"Stanine")*ISNUMBER(tblY8[#Data])),""))</f>
        <v>0.555555555555556</v>
      </c>
      <c r="K27" s="36" t="str">
        <f>IF($B27="","",IFERROR(IF(Calc!$AF$4="","",AVERAGEIFS(INDEX(tblY8[#Data],0,MATCH(Calc!$AF$4&amp;CHAR(10)&amp;"Raw Score",tblY8[#Headers],0)),tblY8[Class],$B27)/Calc!$AG$4),""))</f>
        <v/>
      </c>
      <c r="L27" s="34" t="str">
        <f>IF($B27="","",IFERROR(IF(Calc!$AF$4="","",AVERAGEIFS(INDEX(tblY8[#Data],0,MATCH(Calc!$AF$4&amp;CHAR(10)&amp;"Stanine",tblY8[#Headers],0)),tblY8[Class],$B27)),""))</f>
        <v/>
      </c>
      <c r="M27" s="36">
        <f>IF($B27="","",IFERROR(IF(Calc!$AF$4="","",(COUNTIFS(INDEX(tblY8[#Data],0,MATCH(Calc!$AF$4&amp;CHAR(10)&amp;"Raw Score",tblY8[#Headers],0)),"&gt;=0",tblY8[Class],$B27)+COUNTIFS(INDEX(tblY8[#Data],0,MATCH(Calc!$AF$4&amp;CHAR(10)&amp;"Raw Score",tblY8[#Headers],0)),"A",tblY8[Class],$B27))/COUNTIF(tblY8[Class],$B27)),""))</f>
        <v>0</v>
      </c>
    </row>
    <row r="28">
      <c r="B28" s="31" t="str">
        <f>Calc!T7</f>
        <v>Science Support</v>
      </c>
      <c r="C28" s="32" t="str">
        <f>IF($B28="","",IFERROR(INDEX(tblTeachers[Teacher],MATCH("Year 8"&amp;"|"&amp;$B28,tblTeachers[Key],0))&amp;"",""))</f>
        <v>Mrs Evans</v>
      </c>
      <c r="D28" s="33">
        <f>IF($B28="","",IFERROR(COUNTIF(tblY8[Class],$B28),""))</f>
        <v>2</v>
      </c>
      <c r="E28" s="34">
        <f>IF($B28="","",IFERROR(AVERAGEIFS(tblY8[Avg KS2 Band],tblY8[Class],$B28),""))</f>
        <v>2.5</v>
      </c>
      <c r="F28" s="34">
        <f>IF($B28="","",IFERROR(AVERAGEIFS(tblY8[Tests Sat],tblY8[Class],$B28),""))</f>
        <v>4</v>
      </c>
      <c r="G28" s="34">
        <f>IF($B28="","",IFERROR(AVERAGEIFS(tblY8[Mean Stanine],tblY8[Class],$B28),""))</f>
        <v>1.5</v>
      </c>
      <c r="H28" s="35">
        <f>IF($B28="","",IFERROR(AVERAGEIFS(tblY8[vs Expected],tblY8[Class],$B28),""))</f>
        <v>-1.49458062965633</v>
      </c>
      <c r="I28" s="36">
        <f>IF($B28="","",IFERROR(SUMPRODUCT((tblY8[Class]=$B28)*(RIGHT(tblY8[#Headers],8)=CHAR(10)&amp;"Stanine")*ISNUMBER(tblY8[#Data])*(tblY8[#Data]&gt;=7))/SUMPRODUCT((tblY8[Class]=$B28)*(RIGHT(tblY8[#Headers],8)=CHAR(10)&amp;"Stanine")*ISNUMBER(tblY8[#Data])),""))</f>
        <v>0</v>
      </c>
      <c r="J28" s="36">
        <f>IF($B28="","",IFERROR(SUMPRODUCT((tblY8[Class]=$B28)*(RIGHT(tblY8[#Headers],8)=CHAR(10)&amp;"Stanine")*ISNUMBER(tblY8[#Data])*(tblY8[#Data]&lt;=3))/SUMPRODUCT((tblY8[Class]=$B28)*(RIGHT(tblY8[#Headers],8)=CHAR(10)&amp;"Stanine")*ISNUMBER(tblY8[#Data])),""))</f>
        <v>1</v>
      </c>
      <c r="K28" s="36" t="str">
        <f>IF($B28="","",IFERROR(IF(Calc!$AF$4="","",AVERAGEIFS(INDEX(tblY8[#Data],0,MATCH(Calc!$AF$4&amp;CHAR(10)&amp;"Raw Score",tblY8[#Headers],0)),tblY8[Class],$B28)/Calc!$AG$4),""))</f>
        <v/>
      </c>
      <c r="L28" s="34" t="str">
        <f>IF($B28="","",IFERROR(IF(Calc!$AF$4="","",AVERAGEIFS(INDEX(tblY8[#Data],0,MATCH(Calc!$AF$4&amp;CHAR(10)&amp;"Stanine",tblY8[#Headers],0)),tblY8[Class],$B28)),""))</f>
        <v/>
      </c>
      <c r="M28" s="36">
        <f>IF($B28="","",IFERROR(IF(Calc!$AF$4="","",(COUNTIFS(INDEX(tblY8[#Data],0,MATCH(Calc!$AF$4&amp;CHAR(10)&amp;"Raw Score",tblY8[#Headers],0)),"&gt;=0",tblY8[Class],$B28)+COUNTIFS(INDEX(tblY8[#Data],0,MATCH(Calc!$AF$4&amp;CHAR(10)&amp;"Raw Score",tblY8[#Headers],0)),"A",tblY8[Class],$B28))/COUNTIF(tblY8[Class],$B28)),""))</f>
        <v>0</v>
      </c>
    </row>
    <row r="29">
      <c r="B29" s="31" t="str">
        <f>Calc!T8</f>
        <v/>
      </c>
      <c r="C29" s="32" t="str">
        <f>IF($B29="","",IFERROR(INDEX(tblTeachers[Teacher],MATCH("Year 8"&amp;"|"&amp;$B29,tblTeachers[Key],0))&amp;"",""))</f>
        <v/>
      </c>
      <c r="D29" s="33" t="str">
        <f>IF($B29="","",IFERROR(COUNTIF(tblY8[Class],$B29),""))</f>
        <v/>
      </c>
      <c r="E29" s="34" t="str">
        <f>IF($B29="","",IFERROR(AVERAGEIFS(tblY8[Avg KS2 Band],tblY8[Class],$B29),""))</f>
        <v/>
      </c>
      <c r="F29" s="34" t="str">
        <f>IF($B29="","",IFERROR(AVERAGEIFS(tblY8[Tests Sat],tblY8[Class],$B29),""))</f>
        <v/>
      </c>
      <c r="G29" s="34" t="str">
        <f>IF($B29="","",IFERROR(AVERAGEIFS(tblY8[Mean Stanine],tblY8[Class],$B29),""))</f>
        <v/>
      </c>
      <c r="H29" s="35" t="str">
        <f>IF($B29="","",IFERROR(AVERAGEIFS(tblY8[vs Expected],tblY8[Class],$B29),""))</f>
        <v/>
      </c>
      <c r="I29" s="36" t="str">
        <f>IF($B29="","",IFERROR(SUMPRODUCT((tblY8[Class]=$B29)*(RIGHT(tblY8[#Headers],8)=CHAR(10)&amp;"Stanine")*ISNUMBER(tblY8[#Data])*(tblY8[#Data]&gt;=7))/SUMPRODUCT((tblY8[Class]=$B29)*(RIGHT(tblY8[#Headers],8)=CHAR(10)&amp;"Stanine")*ISNUMBER(tblY8[#Data])),""))</f>
        <v/>
      </c>
      <c r="J29" s="36" t="str">
        <f>IF($B29="","",IFERROR(SUMPRODUCT((tblY8[Class]=$B29)*(RIGHT(tblY8[#Headers],8)=CHAR(10)&amp;"Stanine")*ISNUMBER(tblY8[#Data])*(tblY8[#Data]&lt;=3))/SUMPRODUCT((tblY8[Class]=$B29)*(RIGHT(tblY8[#Headers],8)=CHAR(10)&amp;"Stanine")*ISNUMBER(tblY8[#Data])),""))</f>
        <v/>
      </c>
      <c r="K29" s="36" t="str">
        <f>IF($B29="","",IFERROR(IF(Calc!$AF$4="","",AVERAGEIFS(INDEX(tblY8[#Data],0,MATCH(Calc!$AF$4&amp;CHAR(10)&amp;"Raw Score",tblY8[#Headers],0)),tblY8[Class],$B29)/Calc!$AG$4),""))</f>
        <v/>
      </c>
      <c r="L29" s="34" t="str">
        <f>IF($B29="","",IFERROR(IF(Calc!$AF$4="","",AVERAGEIFS(INDEX(tblY8[#Data],0,MATCH(Calc!$AF$4&amp;CHAR(10)&amp;"Stanine",tblY8[#Headers],0)),tblY8[Class],$B29)),""))</f>
        <v/>
      </c>
      <c r="M29" s="36" t="str">
        <f>IF($B29="","",IFERROR(IF(Calc!$AF$4="","",(COUNTIFS(INDEX(tblY8[#Data],0,MATCH(Calc!$AF$4&amp;CHAR(10)&amp;"Raw Score",tblY8[#Headers],0)),"&gt;=0",tblY8[Class],$B29)+COUNTIFS(INDEX(tblY8[#Data],0,MATCH(Calc!$AF$4&amp;CHAR(10)&amp;"Raw Score",tblY8[#Headers],0)),"A",tblY8[Class],$B29))/COUNTIF(tblY8[Class],$B29)),""))</f>
        <v/>
      </c>
    </row>
    <row r="30">
      <c r="B30" s="31" t="str">
        <f>Calc!T9</f>
        <v/>
      </c>
      <c r="C30" s="32" t="str">
        <f>IF($B30="","",IFERROR(INDEX(tblTeachers[Teacher],MATCH("Year 8"&amp;"|"&amp;$B30,tblTeachers[Key],0))&amp;"",""))</f>
        <v/>
      </c>
      <c r="D30" s="33" t="str">
        <f>IF($B30="","",IFERROR(COUNTIF(tblY8[Class],$B30),""))</f>
        <v/>
      </c>
      <c r="E30" s="34" t="str">
        <f>IF($B30="","",IFERROR(AVERAGEIFS(tblY8[Avg KS2 Band],tblY8[Class],$B30),""))</f>
        <v/>
      </c>
      <c r="F30" s="34" t="str">
        <f>IF($B30="","",IFERROR(AVERAGEIFS(tblY8[Tests Sat],tblY8[Class],$B30),""))</f>
        <v/>
      </c>
      <c r="G30" s="34" t="str">
        <f>IF($B30="","",IFERROR(AVERAGEIFS(tblY8[Mean Stanine],tblY8[Class],$B30),""))</f>
        <v/>
      </c>
      <c r="H30" s="35" t="str">
        <f>IF($B30="","",IFERROR(AVERAGEIFS(tblY8[vs Expected],tblY8[Class],$B30),""))</f>
        <v/>
      </c>
      <c r="I30" s="36" t="str">
        <f>IF($B30="","",IFERROR(SUMPRODUCT((tblY8[Class]=$B30)*(RIGHT(tblY8[#Headers],8)=CHAR(10)&amp;"Stanine")*ISNUMBER(tblY8[#Data])*(tblY8[#Data]&gt;=7))/SUMPRODUCT((tblY8[Class]=$B30)*(RIGHT(tblY8[#Headers],8)=CHAR(10)&amp;"Stanine")*ISNUMBER(tblY8[#Data])),""))</f>
        <v/>
      </c>
      <c r="J30" s="36" t="str">
        <f>IF($B30="","",IFERROR(SUMPRODUCT((tblY8[Class]=$B30)*(RIGHT(tblY8[#Headers],8)=CHAR(10)&amp;"Stanine")*ISNUMBER(tblY8[#Data])*(tblY8[#Data]&lt;=3))/SUMPRODUCT((tblY8[Class]=$B30)*(RIGHT(tblY8[#Headers],8)=CHAR(10)&amp;"Stanine")*ISNUMBER(tblY8[#Data])),""))</f>
        <v/>
      </c>
      <c r="K30" s="36" t="str">
        <f>IF($B30="","",IFERROR(IF(Calc!$AF$4="","",AVERAGEIFS(INDEX(tblY8[#Data],0,MATCH(Calc!$AF$4&amp;CHAR(10)&amp;"Raw Score",tblY8[#Headers],0)),tblY8[Class],$B30)/Calc!$AG$4),""))</f>
        <v/>
      </c>
      <c r="L30" s="34" t="str">
        <f>IF($B30="","",IFERROR(IF(Calc!$AF$4="","",AVERAGEIFS(INDEX(tblY8[#Data],0,MATCH(Calc!$AF$4&amp;CHAR(10)&amp;"Stanine",tblY8[#Headers],0)),tblY8[Class],$B30)),""))</f>
        <v/>
      </c>
      <c r="M30" s="36" t="str">
        <f>IF($B30="","",IFERROR(IF(Calc!$AF$4="","",(COUNTIFS(INDEX(tblY8[#Data],0,MATCH(Calc!$AF$4&amp;CHAR(10)&amp;"Raw Score",tblY8[#Headers],0)),"&gt;=0",tblY8[Class],$B30)+COUNTIFS(INDEX(tblY8[#Data],0,MATCH(Calc!$AF$4&amp;CHAR(10)&amp;"Raw Score",tblY8[#Headers],0)),"A",tblY8[Class],$B30))/COUNTIF(tblY8[Class],$B30)),""))</f>
        <v/>
      </c>
    </row>
    <row r="31">
      <c r="B31" s="31" t="str">
        <f>Calc!T10</f>
        <v/>
      </c>
      <c r="C31" s="32" t="str">
        <f>IF($B31="","",IFERROR(INDEX(tblTeachers[Teacher],MATCH("Year 8"&amp;"|"&amp;$B31,tblTeachers[Key],0))&amp;"",""))</f>
        <v/>
      </c>
      <c r="D31" s="33" t="str">
        <f>IF($B31="","",IFERROR(COUNTIF(tblY8[Class],$B31),""))</f>
        <v/>
      </c>
      <c r="E31" s="34" t="str">
        <f>IF($B31="","",IFERROR(AVERAGEIFS(tblY8[Avg KS2 Band],tblY8[Class],$B31),""))</f>
        <v/>
      </c>
      <c r="F31" s="34" t="str">
        <f>IF($B31="","",IFERROR(AVERAGEIFS(tblY8[Tests Sat],tblY8[Class],$B31),""))</f>
        <v/>
      </c>
      <c r="G31" s="34" t="str">
        <f>IF($B31="","",IFERROR(AVERAGEIFS(tblY8[Mean Stanine],tblY8[Class],$B31),""))</f>
        <v/>
      </c>
      <c r="H31" s="35" t="str">
        <f>IF($B31="","",IFERROR(AVERAGEIFS(tblY8[vs Expected],tblY8[Class],$B31),""))</f>
        <v/>
      </c>
      <c r="I31" s="36" t="str">
        <f>IF($B31="","",IFERROR(SUMPRODUCT((tblY8[Class]=$B31)*(RIGHT(tblY8[#Headers],8)=CHAR(10)&amp;"Stanine")*ISNUMBER(tblY8[#Data])*(tblY8[#Data]&gt;=7))/SUMPRODUCT((tblY8[Class]=$B31)*(RIGHT(tblY8[#Headers],8)=CHAR(10)&amp;"Stanine")*ISNUMBER(tblY8[#Data])),""))</f>
        <v/>
      </c>
      <c r="J31" s="36" t="str">
        <f>IF($B31="","",IFERROR(SUMPRODUCT((tblY8[Class]=$B31)*(RIGHT(tblY8[#Headers],8)=CHAR(10)&amp;"Stanine")*ISNUMBER(tblY8[#Data])*(tblY8[#Data]&lt;=3))/SUMPRODUCT((tblY8[Class]=$B31)*(RIGHT(tblY8[#Headers],8)=CHAR(10)&amp;"Stanine")*ISNUMBER(tblY8[#Data])),""))</f>
        <v/>
      </c>
      <c r="K31" s="36" t="str">
        <f>IF($B31="","",IFERROR(IF(Calc!$AF$4="","",AVERAGEIFS(INDEX(tblY8[#Data],0,MATCH(Calc!$AF$4&amp;CHAR(10)&amp;"Raw Score",tblY8[#Headers],0)),tblY8[Class],$B31)/Calc!$AG$4),""))</f>
        <v/>
      </c>
      <c r="L31" s="34" t="str">
        <f>IF($B31="","",IFERROR(IF(Calc!$AF$4="","",AVERAGEIFS(INDEX(tblY8[#Data],0,MATCH(Calc!$AF$4&amp;CHAR(10)&amp;"Stanine",tblY8[#Headers],0)),tblY8[Class],$B31)),""))</f>
        <v/>
      </c>
      <c r="M31" s="36" t="str">
        <f>IF($B31="","",IFERROR(IF(Calc!$AF$4="","",(COUNTIFS(INDEX(tblY8[#Data],0,MATCH(Calc!$AF$4&amp;CHAR(10)&amp;"Raw Score",tblY8[#Headers],0)),"&gt;=0",tblY8[Class],$B31)+COUNTIFS(INDEX(tblY8[#Data],0,MATCH(Calc!$AF$4&amp;CHAR(10)&amp;"Raw Score",tblY8[#Headers],0)),"A",tblY8[Class],$B31))/COUNTIF(tblY8[Class],$B31)),""))</f>
        <v/>
      </c>
    </row>
    <row r="33" ht="22" customHeight="1">
      <c r="B33" s="22" t="inlineStr">
        <is>
          <t>Year 9</t>
        </is>
      </c>
      <c r="C33" s="23" t="str">
        <f>"Leaves "&amp;Settings!$C$17&amp;"   ·   "&amp;COUNTA(tblY9[Preferred Last name])&amp;" students   ·   "&amp;Calc!$AI$5&amp;" tests"&amp;IF(Calc!$U$12&gt;8,"   ·   only the first 8 of "&amp;Calc!$U$12&amp;" classes fit here","")</f>
        <v>Leaves 2029   ·   125 students   ·   4 tests</v>
      </c>
      <c r="D33" s="24" t="n"/>
      <c r="E33" s="24" t="n"/>
      <c r="F33" s="24" t="n"/>
      <c r="G33" s="24" t="n"/>
      <c r="H33" s="25" t="str">
        <f>IF(Calc!$AF$5="","No tests yet","Latest test: "&amp;Calc!$AF$5&amp;IF(ISNUMBER(Calc!$AH$5),"  ("&amp;TEXT(Calc!$AH$5,"dd/mm/yyyy")&amp;")",""))</f>
        <v>Latest test: 9B02 - Ecology  (05/11/2026)</v>
      </c>
      <c r="I33" s="24" t="n"/>
      <c r="J33" s="24" t="n"/>
      <c r="K33" s="24" t="n"/>
      <c r="L33" s="24" t="n"/>
      <c r="M33" s="24" t="n"/>
    </row>
    <row r="34" ht="30" customHeight="1">
      <c r="B34" s="7" t="inlineStr">
        <is>
          <t>Class</t>
        </is>
      </c>
      <c r="C34" s="7" t="inlineStr">
        <is>
          <t>Teacher</t>
        </is>
      </c>
      <c r="D34" s="7" t="inlineStr">
        <is>
          <t>Students</t>
        </is>
      </c>
      <c r="E34" s="7" t="inlineStr">
        <is>
          <t>KS2 band
(mean)</t>
        </is>
      </c>
      <c r="F34" s="7" t="inlineStr">
        <is>
          <t>Tests sat
(mean)</t>
        </is>
      </c>
      <c r="G34" s="7" t="inlineStr">
        <is>
          <t>Mean
stanine</t>
        </is>
      </c>
      <c r="H34" s="7" t="inlineStr">
        <is>
          <t>vs
expected</t>
        </is>
      </c>
      <c r="I34" s="7" t="inlineStr">
        <is>
          <t>Results at
stanine 7-9</t>
        </is>
      </c>
      <c r="J34" s="7" t="inlineStr">
        <is>
          <t>Results at
stanine 1-3</t>
        </is>
      </c>
      <c r="K34" s="7" t="inlineStr">
        <is>
          <t>Latest test
mean %</t>
        </is>
      </c>
      <c r="L34" s="7" t="inlineStr">
        <is>
          <t>Latest test
mean stanine</t>
        </is>
      </c>
      <c r="M34" s="7" t="inlineStr">
        <is>
          <t>Latest test
completion</t>
        </is>
      </c>
    </row>
    <row r="35">
      <c r="B35" s="26" t="inlineStr">
        <is>
          <t>Whole year</t>
        </is>
      </c>
      <c r="D35" s="27">
        <f>IFERROR(COUNTA(tblY9[Preferred Last name]),"")</f>
        <v>125</v>
      </c>
      <c r="E35" s="28">
        <f>IFERROR(AVERAGE(tblY9[Avg KS2 Band]),"")</f>
        <v>5.032</v>
      </c>
      <c r="F35" s="28">
        <f>IFERROR(AVERAGE(tblY9[Tests Sat]),"")</f>
        <v>3.856</v>
      </c>
      <c r="G35" s="28">
        <f>IFERROR(AVERAGE(tblY9[Mean Stanine]),"")</f>
        <v>5.098</v>
      </c>
      <c r="H35" s="29">
        <f>IFERROR(AVERAGE(tblY9[vs Expected]),"")</f>
        <v>1.56319401867222e-16</v>
      </c>
      <c r="I35" s="30">
        <f>IFERROR(SUMPRODUCT((RIGHT(tblY9[#Headers],8)=CHAR(10)&amp;"Stanine")*ISNUMBER(tblY9[#Data])*(tblY9[#Data]&gt;=7))/SUMPRODUCT((RIGHT(tblY9[#Headers],8)=CHAR(10)&amp;"Stanine")*ISNUMBER(tblY9[#Data])),"")</f>
        <v>0.259336099585062</v>
      </c>
      <c r="J35" s="30">
        <f>IFERROR(SUMPRODUCT((RIGHT(tblY9[#Headers],8)=CHAR(10)&amp;"Stanine")*ISNUMBER(tblY9[#Data])*(tblY9[#Data]&lt;=3))/SUMPRODUCT((RIGHT(tblY9[#Headers],8)=CHAR(10)&amp;"Stanine")*ISNUMBER(tblY9[#Data])),"")</f>
        <v>0.192946058091286</v>
      </c>
      <c r="K35" s="30">
        <f>IFERROR(IF(Calc!$AF$5="","",AVERAGE(INDEX(tblY9[#Data],0,MATCH(Calc!$AF$5&amp;CHAR(10)&amp;"Raw Score",tblY9[#Headers],0)))/Calc!$AG$5),"")</f>
        <v>0.705882352941177</v>
      </c>
      <c r="L35" s="28">
        <f>IFERROR(IF(Calc!$AF$5="","",AVERAGE(INDEX(tblY9[#Data],0,MATCH(Calc!$AF$5&amp;CHAR(10)&amp;"Stanine",tblY9[#Headers],0)))),"")</f>
        <v>5.11764705882353</v>
      </c>
      <c r="M35" s="30">
        <f>IFERROR(IF(Calc!$AF$5="","",(COUNTIFS(INDEX(tblY9[#Data],0,MATCH(Calc!$AF$5&amp;CHAR(10)&amp;"Raw Score",tblY9[#Headers],0)),"&gt;=0")+COUNTIFS(INDEX(tblY9[#Data],0,MATCH(Calc!$AF$5&amp;CHAR(10)&amp;"Raw Score",tblY9[#Headers],0)),"A"))/COUNTA(tblY9[Preferred Last name])),"")</f>
        <v>1</v>
      </c>
    </row>
    <row r="36">
      <c r="B36" s="31" t="str">
        <f>Calc!U3</f>
        <v>9A/Sc1</v>
      </c>
      <c r="C36" s="32" t="str">
        <f>IF($B36="","",IFERROR(INDEX(tblTeachers[Teacher],MATCH("Year 9"&amp;"|"&amp;$B36,tblTeachers[Key],0))&amp;"",""))</f>
        <v>Ms Rahman</v>
      </c>
      <c r="D36" s="33">
        <f>IF($B36="","",IFERROR(COUNTIF(tblY9[Class],$B36),""))</f>
        <v>22</v>
      </c>
      <c r="E36" s="34">
        <f>IF($B36="","",IFERROR(AVERAGEIFS(tblY9[Avg KS2 Band],tblY9[Class],$B36),""))</f>
        <v>6.18181818181818</v>
      </c>
      <c r="F36" s="34">
        <f>IF($B36="","",IFERROR(AVERAGEIFS(tblY9[Tests Sat],tblY9[Class],$B36),""))</f>
        <v>3.86363636363636</v>
      </c>
      <c r="G36" s="34">
        <f>IF($B36="","",IFERROR(AVERAGEIFS(tblY9[Mean Stanine],tblY9[Class],$B36),""))</f>
        <v>6.39015151515152</v>
      </c>
      <c r="H36" s="35">
        <f>IF($B36="","",IFERROR(AVERAGEIFS(tblY9[vs Expected],tblY9[Class],$B36),""))</f>
        <v>0.414364474170004</v>
      </c>
      <c r="I36" s="36">
        <f>IF($B36="","",IFERROR(SUMPRODUCT((tblY9[Class]=$B36)*(RIGHT(tblY9[#Headers],8)=CHAR(10)&amp;"Stanine")*ISNUMBER(tblY9[#Data])*(tblY9[#Data]&gt;=7))/SUMPRODUCT((tblY9[Class]=$B36)*(RIGHT(tblY9[#Headers],8)=CHAR(10)&amp;"Stanine")*ISNUMBER(tblY9[#Data])),""))</f>
        <v>0.588235294117647</v>
      </c>
      <c r="J36" s="36">
        <f>IF($B36="","",IFERROR(SUMPRODUCT((tblY9[Class]=$B36)*(RIGHT(tblY9[#Headers],8)=CHAR(10)&amp;"Stanine")*ISNUMBER(tblY9[#Data])*(tblY9[#Data]&lt;=3))/SUMPRODUCT((tblY9[Class]=$B36)*(RIGHT(tblY9[#Headers],8)=CHAR(10)&amp;"Stanine")*ISNUMBER(tblY9[#Data])),""))</f>
        <v>0.0470588235294118</v>
      </c>
      <c r="K36" s="36">
        <f>IF($B36="","",IFERROR(IF(Calc!$AF$5="","",AVERAGEIFS(INDEX(tblY9[#Data],0,MATCH(Calc!$AF$5&amp;CHAR(10)&amp;"Raw Score",tblY9[#Headers],0)),tblY9[Class],$B36)/Calc!$AG$5),""))</f>
        <v>0.815238095238095</v>
      </c>
      <c r="L36" s="34">
        <f>IF($B36="","",IFERROR(IF(Calc!$AF$5="","",AVERAGEIFS(INDEX(tblY9[#Data],0,MATCH(Calc!$AF$5&amp;CHAR(10)&amp;"Stanine",tblY9[#Headers],0)),tblY9[Class],$B36)),""))</f>
        <v>6.33333333333333</v>
      </c>
      <c r="M36" s="36">
        <f>IF($B36="","",IFERROR(IF(Calc!$AF$5="","",(COUNTIFS(INDEX(tblY9[#Data],0,MATCH(Calc!$AF$5&amp;CHAR(10)&amp;"Raw Score",tblY9[#Headers],0)),"&gt;=0",tblY9[Class],$B36)+COUNTIFS(INDEX(tblY9[#Data],0,MATCH(Calc!$AF$5&amp;CHAR(10)&amp;"Raw Score",tblY9[#Headers],0)),"A",tblY9[Class],$B36))/COUNTIF(tblY9[Class],$B36)),""))</f>
        <v>1</v>
      </c>
    </row>
    <row r="37">
      <c r="B37" s="31" t="str">
        <f>Calc!U4</f>
        <v>9A/Sc2</v>
      </c>
      <c r="C37" s="32" t="str">
        <f>IF($B37="","",IFERROR(INDEX(tblTeachers[Teacher],MATCH("Year 9"&amp;"|"&amp;$B37,tblTeachers[Key],0))&amp;"",""))</f>
        <v>Mr Hughes</v>
      </c>
      <c r="D37" s="33">
        <f>IF($B37="","",IFERROR(COUNTIF(tblY9[Class],$B37),""))</f>
        <v>25</v>
      </c>
      <c r="E37" s="34">
        <f>IF($B37="","",IFERROR(AVERAGEIFS(tblY9[Avg KS2 Band],tblY9[Class],$B37),""))</f>
        <v>4.88</v>
      </c>
      <c r="F37" s="34">
        <f>IF($B37="","",IFERROR(AVERAGEIFS(tblY9[Tests Sat],tblY9[Class],$B37),""))</f>
        <v>3.92</v>
      </c>
      <c r="G37" s="34">
        <f>IF($B37="","",IFERROR(AVERAGEIFS(tblY9[Mean Stanine],tblY9[Class],$B37),""))</f>
        <v>4.76</v>
      </c>
      <c r="H37" s="35">
        <f>IF($B37="","",IFERROR(AVERAGEIFS(tblY9[vs Expected],tblY9[Class],$B37),""))</f>
        <v>-0.221961105904405</v>
      </c>
      <c r="I37" s="36">
        <f>IF($B37="","",IFERROR(SUMPRODUCT((tblY9[Class]=$B37)*(RIGHT(tblY9[#Headers],8)=CHAR(10)&amp;"Stanine")*ISNUMBER(tblY9[#Data])*(tblY9[#Data]&gt;=7))/SUMPRODUCT((tblY9[Class]=$B37)*(RIGHT(tblY9[#Headers],8)=CHAR(10)&amp;"Stanine")*ISNUMBER(tblY9[#Data])),""))</f>
        <v>0.163265306122449</v>
      </c>
      <c r="J37" s="36">
        <f>IF($B37="","",IFERROR(SUMPRODUCT((tblY9[Class]=$B37)*(RIGHT(tblY9[#Headers],8)=CHAR(10)&amp;"Stanine")*ISNUMBER(tblY9[#Data])*(tblY9[#Data]&lt;=3))/SUMPRODUCT((tblY9[Class]=$B37)*(RIGHT(tblY9[#Headers],8)=CHAR(10)&amp;"Stanine")*ISNUMBER(tblY9[#Data])),""))</f>
        <v>0.23469387755102</v>
      </c>
      <c r="K37" s="36">
        <f>IF($B37="","",IFERROR(IF(Calc!$AF$5="","",AVERAGEIFS(INDEX(tblY9[#Data],0,MATCH(Calc!$AF$5&amp;CHAR(10)&amp;"Raw Score",tblY9[#Headers],0)),tblY9[Class],$B37)/Calc!$AG$5),""))</f>
        <v>0.685</v>
      </c>
      <c r="L37" s="34">
        <f>IF($B37="","",IFERROR(IF(Calc!$AF$5="","",AVERAGEIFS(INDEX(tblY9[#Data],0,MATCH(Calc!$AF$5&amp;CHAR(10)&amp;"Stanine",tblY9[#Headers],0)),tblY9[Class],$B37)),""))</f>
        <v>4.75</v>
      </c>
      <c r="M37" s="36">
        <f>IF($B37="","",IFERROR(IF(Calc!$AF$5="","",(COUNTIFS(INDEX(tblY9[#Data],0,MATCH(Calc!$AF$5&amp;CHAR(10)&amp;"Raw Score",tblY9[#Headers],0)),"&gt;=0",tblY9[Class],$B37)+COUNTIFS(INDEX(tblY9[#Data],0,MATCH(Calc!$AF$5&amp;CHAR(10)&amp;"Raw Score",tblY9[#Headers],0)),"A",tblY9[Class],$B37))/COUNTIF(tblY9[Class],$B37)),""))</f>
        <v>1</v>
      </c>
    </row>
    <row r="38">
      <c r="B38" s="31" t="str">
        <f>Calc!U5</f>
        <v>9A/Sc3</v>
      </c>
      <c r="C38" s="32" t="str">
        <f>IF($B38="","",IFERROR(INDEX(tblTeachers[Teacher],MATCH("Year 9"&amp;"|"&amp;$B38,tblTeachers[Key],0))&amp;"",""))</f>
        <v>Mrs Singh</v>
      </c>
      <c r="D38" s="33">
        <f>IF($B38="","",IFERROR(COUNTIF(tblY9[Class],$B38),""))</f>
        <v>19</v>
      </c>
      <c r="E38" s="34">
        <f>IF($B38="","",IFERROR(AVERAGEIFS(tblY9[Avg KS2 Band],tblY9[Class],$B38),""))</f>
        <v>4</v>
      </c>
      <c r="F38" s="34">
        <f>IF($B38="","",IFERROR(AVERAGEIFS(tblY9[Tests Sat],tblY9[Class],$B38),""))</f>
        <v>3.89473684210526</v>
      </c>
      <c r="G38" s="34">
        <f>IF($B38="","",IFERROR(AVERAGEIFS(tblY9[Mean Stanine],tblY9[Class],$B38),""))</f>
        <v>3.74122807017544</v>
      </c>
      <c r="H38" s="35">
        <f>IF($B38="","",IFERROR(AVERAGEIFS(tblY9[vs Expected],tblY9[Class],$B38),""))</f>
        <v>-0.568928912017626</v>
      </c>
      <c r="I38" s="36">
        <f>IF($B38="","",IFERROR(SUMPRODUCT((tblY9[Class]=$B38)*(RIGHT(tblY9[#Headers],8)=CHAR(10)&amp;"Stanine")*ISNUMBER(tblY9[#Data])*(tblY9[#Data]&gt;=7))/SUMPRODUCT((tblY9[Class]=$B38)*(RIGHT(tblY9[#Headers],8)=CHAR(10)&amp;"Stanine")*ISNUMBER(tblY9[#Data])),""))</f>
        <v>0.0405405405405405</v>
      </c>
      <c r="J38" s="36">
        <f>IF($B38="","",IFERROR(SUMPRODUCT((tblY9[Class]=$B38)*(RIGHT(tblY9[#Headers],8)=CHAR(10)&amp;"Stanine")*ISNUMBER(tblY9[#Data])*(tblY9[#Data]&lt;=3))/SUMPRODUCT((tblY9[Class]=$B38)*(RIGHT(tblY9[#Headers],8)=CHAR(10)&amp;"Stanine")*ISNUMBER(tblY9[#Data])),""))</f>
        <v>0.472972972972973</v>
      </c>
      <c r="K38" s="36">
        <f>IF($B38="","",IFERROR(IF(Calc!$AF$5="","",AVERAGEIFS(INDEX(tblY9[#Data],0,MATCH(Calc!$AF$5&amp;CHAR(10)&amp;"Raw Score",tblY9[#Headers],0)),tblY9[Class],$B38)/Calc!$AG$5),""))</f>
        <v>0.584444444444444</v>
      </c>
      <c r="L38" s="34">
        <f>IF($B38="","",IFERROR(IF(Calc!$AF$5="","",AVERAGEIFS(INDEX(tblY9[#Data],0,MATCH(Calc!$AF$5&amp;CHAR(10)&amp;"Stanine",tblY9[#Headers],0)),tblY9[Class],$B38)),""))</f>
        <v>3.88888888888889</v>
      </c>
      <c r="M38" s="36">
        <f>IF($B38="","",IFERROR(IF(Calc!$AF$5="","",(COUNTIFS(INDEX(tblY9[#Data],0,MATCH(Calc!$AF$5&amp;CHAR(10)&amp;"Raw Score",tblY9[#Headers],0)),"&gt;=0",tblY9[Class],$B38)+COUNTIFS(INDEX(tblY9[#Data],0,MATCH(Calc!$AF$5&amp;CHAR(10)&amp;"Raw Score",tblY9[#Headers],0)),"A",tblY9[Class],$B38))/COUNTIF(tblY9[Class],$B38)),""))</f>
        <v>1</v>
      </c>
    </row>
    <row r="39">
      <c r="B39" s="31" t="str">
        <f>Calc!U6</f>
        <v>9B/Sc1</v>
      </c>
      <c r="C39" s="32" t="str">
        <f>IF($B39="","",IFERROR(INDEX(tblTeachers[Teacher],MATCH("Year 9"&amp;"|"&amp;$B39,tblTeachers[Key],0))&amp;"",""))</f>
        <v>Ms Rahman</v>
      </c>
      <c r="D39" s="33">
        <f>IF($B39="","",IFERROR(COUNTIF(tblY9[Class],$B39),""))</f>
        <v>27</v>
      </c>
      <c r="E39" s="34">
        <f>IF($B39="","",IFERROR(AVERAGEIFS(tblY9[Avg KS2 Band],tblY9[Class],$B39),""))</f>
        <v>6.07407407407407</v>
      </c>
      <c r="F39" s="34">
        <f>IF($B39="","",IFERROR(AVERAGEIFS(tblY9[Tests Sat],tblY9[Class],$B39),""))</f>
        <v>3.81481481481482</v>
      </c>
      <c r="G39" s="34">
        <f>IF($B39="","",IFERROR(AVERAGEIFS(tblY9[Mean Stanine],tblY9[Class],$B39),""))</f>
        <v>6.12037037037037</v>
      </c>
      <c r="H39" s="35">
        <f>IF($B39="","",IFERROR(AVERAGEIFS(tblY9[vs Expected],tblY9[Class],$B39),""))</f>
        <v>0.226836665625326</v>
      </c>
      <c r="I39" s="36">
        <f>IF($B39="","",IFERROR(SUMPRODUCT((tblY9[Class]=$B39)*(RIGHT(tblY9[#Headers],8)=CHAR(10)&amp;"Stanine")*ISNUMBER(tblY9[#Data])*(tblY9[#Data]&gt;=7))/SUMPRODUCT((tblY9[Class]=$B39)*(RIGHT(tblY9[#Headers],8)=CHAR(10)&amp;"Stanine")*ISNUMBER(tblY9[#Data])),""))</f>
        <v>0.436893203883495</v>
      </c>
      <c r="J39" s="36">
        <f>IF($B39="","",IFERROR(SUMPRODUCT((tblY9[Class]=$B39)*(RIGHT(tblY9[#Headers],8)=CHAR(10)&amp;"Stanine")*ISNUMBER(tblY9[#Data])*(tblY9[#Data]&lt;=3))/SUMPRODUCT((tblY9[Class]=$B39)*(RIGHT(tblY9[#Headers],8)=CHAR(10)&amp;"Stanine")*ISNUMBER(tblY9[#Data])),""))</f>
        <v>0.0194174757281553</v>
      </c>
      <c r="K39" s="36">
        <f>IF($B39="","",IFERROR(IF(Calc!$AF$5="","",AVERAGEIFS(INDEX(tblY9[#Data],0,MATCH(Calc!$AF$5&amp;CHAR(10)&amp;"Raw Score",tblY9[#Headers],0)),tblY9[Class],$B39)/Calc!$AG$5),""))</f>
        <v>0.804615384615385</v>
      </c>
      <c r="L39" s="34">
        <f>IF($B39="","",IFERROR(IF(Calc!$AF$5="","",AVERAGEIFS(INDEX(tblY9[#Data],0,MATCH(Calc!$AF$5&amp;CHAR(10)&amp;"Stanine",tblY9[#Headers],0)),tblY9[Class],$B39)),""))</f>
        <v>6.23076923076923</v>
      </c>
      <c r="M39" s="36">
        <f>IF($B39="","",IFERROR(IF(Calc!$AF$5="","",(COUNTIFS(INDEX(tblY9[#Data],0,MATCH(Calc!$AF$5&amp;CHAR(10)&amp;"Raw Score",tblY9[#Headers],0)),"&gt;=0",tblY9[Class],$B39)+COUNTIFS(INDEX(tblY9[#Data],0,MATCH(Calc!$AF$5&amp;CHAR(10)&amp;"Raw Score",tblY9[#Headers],0)),"A",tblY9[Class],$B39))/COUNTIF(tblY9[Class],$B39)),""))</f>
        <v>1</v>
      </c>
    </row>
    <row r="40">
      <c r="B40" s="31" t="str">
        <f>Calc!U7</f>
        <v>9B/Sc2</v>
      </c>
      <c r="C40" s="32" t="str">
        <f>IF($B40="","",IFERROR(INDEX(tblTeachers[Teacher],MATCH("Year 9"&amp;"|"&amp;$B40,tblTeachers[Key],0))&amp;"",""))</f>
        <v>Mr Owen</v>
      </c>
      <c r="D40" s="33">
        <f>IF($B40="","",IFERROR(COUNTIF(tblY9[Class],$B40),""))</f>
        <v>29</v>
      </c>
      <c r="E40" s="34">
        <f>IF($B40="","",IFERROR(AVERAGEIFS(tblY9[Avg KS2 Band],tblY9[Class],$B40),""))</f>
        <v>4.37931034482759</v>
      </c>
      <c r="F40" s="34">
        <f>IF($B40="","",IFERROR(AVERAGEIFS(tblY9[Tests Sat],tblY9[Class],$B40),""))</f>
        <v>3.79310344827586</v>
      </c>
      <c r="G40" s="34">
        <f>IF($B40="","",IFERROR(AVERAGEIFS(tblY9[Mean Stanine],tblY9[Class],$B40),""))</f>
        <v>4.77011494252874</v>
      </c>
      <c r="H40" s="35">
        <f>IF($B40="","",IFERROR(AVERAGEIFS(tblY9[vs Expected],tblY9[Class],$B40),""))</f>
        <v>0.170387217356645</v>
      </c>
      <c r="I40" s="36">
        <f>IF($B40="","",IFERROR(SUMPRODUCT((tblY9[Class]=$B40)*(RIGHT(tblY9[#Headers],8)=CHAR(10)&amp;"Stanine")*ISNUMBER(tblY9[#Data])*(tblY9[#Data]&gt;=7))/SUMPRODUCT((tblY9[Class]=$B40)*(RIGHT(tblY9[#Headers],8)=CHAR(10)&amp;"Stanine")*ISNUMBER(tblY9[#Data])),""))</f>
        <v>0.1</v>
      </c>
      <c r="J40" s="36">
        <f>IF($B40="","",IFERROR(SUMPRODUCT((tblY9[Class]=$B40)*(RIGHT(tblY9[#Headers],8)=CHAR(10)&amp;"Stanine")*ISNUMBER(tblY9[#Data])*(tblY9[#Data]&lt;=3))/SUMPRODUCT((tblY9[Class]=$B40)*(RIGHT(tblY9[#Headers],8)=CHAR(10)&amp;"Stanine")*ISNUMBER(tblY9[#Data])),""))</f>
        <v>0.154545454545455</v>
      </c>
      <c r="K40" s="36">
        <f>IF($B40="","",IFERROR(IF(Calc!$AF$5="","",AVERAGEIFS(INDEX(tblY9[#Data],0,MATCH(Calc!$AF$5&amp;CHAR(10)&amp;"Raw Score",tblY9[#Headers],0)),tblY9[Class],$B40)/Calc!$AG$5),""))</f>
        <v>0.677037037037037</v>
      </c>
      <c r="L40" s="34">
        <f>IF($B40="","",IFERROR(IF(Calc!$AF$5="","",AVERAGEIFS(INDEX(tblY9[#Data],0,MATCH(Calc!$AF$5&amp;CHAR(10)&amp;"Stanine",tblY9[#Headers],0)),tblY9[Class],$B40)),""))</f>
        <v>4.7037037037037</v>
      </c>
      <c r="M40" s="36">
        <f>IF($B40="","",IFERROR(IF(Calc!$AF$5="","",(COUNTIFS(INDEX(tblY9[#Data],0,MATCH(Calc!$AF$5&amp;CHAR(10)&amp;"Raw Score",tblY9[#Headers],0)),"&gt;=0",tblY9[Class],$B40)+COUNTIFS(INDEX(tblY9[#Data],0,MATCH(Calc!$AF$5&amp;CHAR(10)&amp;"Raw Score",tblY9[#Headers],0)),"A",tblY9[Class],$B40))/COUNTIF(tblY9[Class],$B40)),""))</f>
        <v>1</v>
      </c>
    </row>
    <row r="41">
      <c r="B41" s="31" t="str">
        <f>Calc!U8</f>
        <v>Science Support</v>
      </c>
      <c r="C41" s="32" t="str">
        <f>IF($B41="","",IFERROR(INDEX(tblTeachers[Teacher],MATCH("Year 9"&amp;"|"&amp;$B41,tblTeachers[Key],0))&amp;"",""))</f>
        <v>Mr Walsh</v>
      </c>
      <c r="D41" s="33">
        <f>IF($B41="","",IFERROR(COUNTIF(tblY9[Class],$B41),""))</f>
        <v>3</v>
      </c>
      <c r="E41" s="34">
        <f>IF($B41="","",IFERROR(AVERAGEIFS(tblY9[Avg KS2 Band],tblY9[Class],$B41),""))</f>
        <v>1.33333333333333</v>
      </c>
      <c r="F41" s="34">
        <f>IF($B41="","",IFERROR(AVERAGEIFS(tblY9[Tests Sat],tblY9[Class],$B41),""))</f>
        <v>4</v>
      </c>
      <c r="G41" s="34">
        <f>IF($B41="","",IFERROR(AVERAGEIFS(tblY9[Mean Stanine],tblY9[Class],$B41),""))</f>
        <v>1</v>
      </c>
      <c r="H41" s="35">
        <f>IF($B41="","",IFERROR(AVERAGEIFS(tblY9[vs Expected],tblY9[Class],$B41),""))</f>
        <v>-1.27438691034052</v>
      </c>
      <c r="I41" s="36">
        <f>IF($B41="","",IFERROR(SUMPRODUCT((tblY9[Class]=$B41)*(RIGHT(tblY9[#Headers],8)=CHAR(10)&amp;"Stanine")*ISNUMBER(tblY9[#Data])*(tblY9[#Data]&gt;=7))/SUMPRODUCT((tblY9[Class]=$B41)*(RIGHT(tblY9[#Headers],8)=CHAR(10)&amp;"Stanine")*ISNUMBER(tblY9[#Data])),""))</f>
        <v>0</v>
      </c>
      <c r="J41" s="36">
        <f>IF($B41="","",IFERROR(SUMPRODUCT((tblY9[Class]=$B41)*(RIGHT(tblY9[#Headers],8)=CHAR(10)&amp;"Stanine")*ISNUMBER(tblY9[#Data])*(tblY9[#Data]&lt;=3))/SUMPRODUCT((tblY9[Class]=$B41)*(RIGHT(tblY9[#Headers],8)=CHAR(10)&amp;"Stanine")*ISNUMBER(tblY9[#Data])),""))</f>
        <v>1</v>
      </c>
      <c r="K41" s="36">
        <f>IF($B41="","",IFERROR(IF(Calc!$AF$5="","",AVERAGEIFS(INDEX(tblY9[#Data],0,MATCH(Calc!$AF$5&amp;CHAR(10)&amp;"Raw Score",tblY9[#Headers],0)),tblY9[Class],$B41)/Calc!$AG$5),""))</f>
        <v>0.24</v>
      </c>
      <c r="L41" s="34">
        <f>IF($B41="","",IFERROR(IF(Calc!$AF$5="","",AVERAGEIFS(INDEX(tblY9[#Data],0,MATCH(Calc!$AF$5&amp;CHAR(10)&amp;"Stanine",tblY9[#Headers],0)),tblY9[Class],$B41)),""))</f>
        <v>1</v>
      </c>
      <c r="M41" s="36">
        <f>IF($B41="","",IFERROR(IF(Calc!$AF$5="","",(COUNTIFS(INDEX(tblY9[#Data],0,MATCH(Calc!$AF$5&amp;CHAR(10)&amp;"Raw Score",tblY9[#Headers],0)),"&gt;=0",tblY9[Class],$B41)+COUNTIFS(INDEX(tblY9[#Data],0,MATCH(Calc!$AF$5&amp;CHAR(10)&amp;"Raw Score",tblY9[#Headers],0)),"A",tblY9[Class],$B41))/COUNTIF(tblY9[Class],$B41)),""))</f>
        <v>1</v>
      </c>
    </row>
    <row r="42">
      <c r="B42" s="31" t="str">
        <f>Calc!U9</f>
        <v/>
      </c>
      <c r="C42" s="32" t="str">
        <f>IF($B42="","",IFERROR(INDEX(tblTeachers[Teacher],MATCH("Year 9"&amp;"|"&amp;$B42,tblTeachers[Key],0))&amp;"",""))</f>
        <v/>
      </c>
      <c r="D42" s="33" t="str">
        <f>IF($B42="","",IFERROR(COUNTIF(tblY9[Class],$B42),""))</f>
        <v/>
      </c>
      <c r="E42" s="34" t="str">
        <f>IF($B42="","",IFERROR(AVERAGEIFS(tblY9[Avg KS2 Band],tblY9[Class],$B42),""))</f>
        <v/>
      </c>
      <c r="F42" s="34" t="str">
        <f>IF($B42="","",IFERROR(AVERAGEIFS(tblY9[Tests Sat],tblY9[Class],$B42),""))</f>
        <v/>
      </c>
      <c r="G42" s="34" t="str">
        <f>IF($B42="","",IFERROR(AVERAGEIFS(tblY9[Mean Stanine],tblY9[Class],$B42),""))</f>
        <v/>
      </c>
      <c r="H42" s="35" t="str">
        <f>IF($B42="","",IFERROR(AVERAGEIFS(tblY9[vs Expected],tblY9[Class],$B42),""))</f>
        <v/>
      </c>
      <c r="I42" s="36" t="str">
        <f>IF($B42="","",IFERROR(SUMPRODUCT((tblY9[Class]=$B42)*(RIGHT(tblY9[#Headers],8)=CHAR(10)&amp;"Stanine")*ISNUMBER(tblY9[#Data])*(tblY9[#Data]&gt;=7))/SUMPRODUCT((tblY9[Class]=$B42)*(RIGHT(tblY9[#Headers],8)=CHAR(10)&amp;"Stanine")*ISNUMBER(tblY9[#Data])),""))</f>
        <v/>
      </c>
      <c r="J42" s="36" t="str">
        <f>IF($B42="","",IFERROR(SUMPRODUCT((tblY9[Class]=$B42)*(RIGHT(tblY9[#Headers],8)=CHAR(10)&amp;"Stanine")*ISNUMBER(tblY9[#Data])*(tblY9[#Data]&lt;=3))/SUMPRODUCT((tblY9[Class]=$B42)*(RIGHT(tblY9[#Headers],8)=CHAR(10)&amp;"Stanine")*ISNUMBER(tblY9[#Data])),""))</f>
        <v/>
      </c>
      <c r="K42" s="36" t="str">
        <f>IF($B42="","",IFERROR(IF(Calc!$AF$5="","",AVERAGEIFS(INDEX(tblY9[#Data],0,MATCH(Calc!$AF$5&amp;CHAR(10)&amp;"Raw Score",tblY9[#Headers],0)),tblY9[Class],$B42)/Calc!$AG$5),""))</f>
        <v/>
      </c>
      <c r="L42" s="34" t="str">
        <f>IF($B42="","",IFERROR(IF(Calc!$AF$5="","",AVERAGEIFS(INDEX(tblY9[#Data],0,MATCH(Calc!$AF$5&amp;CHAR(10)&amp;"Stanine",tblY9[#Headers],0)),tblY9[Class],$B42)),""))</f>
        <v/>
      </c>
      <c r="M42" s="36" t="str">
        <f>IF($B42="","",IFERROR(IF(Calc!$AF$5="","",(COUNTIFS(INDEX(tblY9[#Data],0,MATCH(Calc!$AF$5&amp;CHAR(10)&amp;"Raw Score",tblY9[#Headers],0)),"&gt;=0",tblY9[Class],$B42)+COUNTIFS(INDEX(tblY9[#Data],0,MATCH(Calc!$AF$5&amp;CHAR(10)&amp;"Raw Score",tblY9[#Headers],0)),"A",tblY9[Class],$B42))/COUNTIF(tblY9[Class],$B42)),""))</f>
        <v/>
      </c>
    </row>
    <row r="43">
      <c r="B43" s="31" t="str">
        <f>Calc!U10</f>
        <v/>
      </c>
      <c r="C43" s="32" t="str">
        <f>IF($B43="","",IFERROR(INDEX(tblTeachers[Teacher],MATCH("Year 9"&amp;"|"&amp;$B43,tblTeachers[Key],0))&amp;"",""))</f>
        <v/>
      </c>
      <c r="D43" s="33" t="str">
        <f>IF($B43="","",IFERROR(COUNTIF(tblY9[Class],$B43),""))</f>
        <v/>
      </c>
      <c r="E43" s="34" t="str">
        <f>IF($B43="","",IFERROR(AVERAGEIFS(tblY9[Avg KS2 Band],tblY9[Class],$B43),""))</f>
        <v/>
      </c>
      <c r="F43" s="34" t="str">
        <f>IF($B43="","",IFERROR(AVERAGEIFS(tblY9[Tests Sat],tblY9[Class],$B43),""))</f>
        <v/>
      </c>
      <c r="G43" s="34" t="str">
        <f>IF($B43="","",IFERROR(AVERAGEIFS(tblY9[Mean Stanine],tblY9[Class],$B43),""))</f>
        <v/>
      </c>
      <c r="H43" s="35" t="str">
        <f>IF($B43="","",IFERROR(AVERAGEIFS(tblY9[vs Expected],tblY9[Class],$B43),""))</f>
        <v/>
      </c>
      <c r="I43" s="36" t="str">
        <f>IF($B43="","",IFERROR(SUMPRODUCT((tblY9[Class]=$B43)*(RIGHT(tblY9[#Headers],8)=CHAR(10)&amp;"Stanine")*ISNUMBER(tblY9[#Data])*(tblY9[#Data]&gt;=7))/SUMPRODUCT((tblY9[Class]=$B43)*(RIGHT(tblY9[#Headers],8)=CHAR(10)&amp;"Stanine")*ISNUMBER(tblY9[#Data])),""))</f>
        <v/>
      </c>
      <c r="J43" s="36" t="str">
        <f>IF($B43="","",IFERROR(SUMPRODUCT((tblY9[Class]=$B43)*(RIGHT(tblY9[#Headers],8)=CHAR(10)&amp;"Stanine")*ISNUMBER(tblY9[#Data])*(tblY9[#Data]&lt;=3))/SUMPRODUCT((tblY9[Class]=$B43)*(RIGHT(tblY9[#Headers],8)=CHAR(10)&amp;"Stanine")*ISNUMBER(tblY9[#Data])),""))</f>
        <v/>
      </c>
      <c r="K43" s="36" t="str">
        <f>IF($B43="","",IFERROR(IF(Calc!$AF$5="","",AVERAGEIFS(INDEX(tblY9[#Data],0,MATCH(Calc!$AF$5&amp;CHAR(10)&amp;"Raw Score",tblY9[#Headers],0)),tblY9[Class],$B43)/Calc!$AG$5),""))</f>
        <v/>
      </c>
      <c r="L43" s="34" t="str">
        <f>IF($B43="","",IFERROR(IF(Calc!$AF$5="","",AVERAGEIFS(INDEX(tblY9[#Data],0,MATCH(Calc!$AF$5&amp;CHAR(10)&amp;"Stanine",tblY9[#Headers],0)),tblY9[Class],$B43)),""))</f>
        <v/>
      </c>
      <c r="M43" s="36" t="str">
        <f>IF($B43="","",IFERROR(IF(Calc!$AF$5="","",(COUNTIFS(INDEX(tblY9[#Data],0,MATCH(Calc!$AF$5&amp;CHAR(10)&amp;"Raw Score",tblY9[#Headers],0)),"&gt;=0",tblY9[Class],$B43)+COUNTIFS(INDEX(tblY9[#Data],0,MATCH(Calc!$AF$5&amp;CHAR(10)&amp;"Raw Score",tblY9[#Headers],0)),"A",tblY9[Class],$B43))/COUNTIF(tblY9[Class],$B43)),""))</f>
        <v/>
      </c>
    </row>
    <row r="45" ht="22" customHeight="1">
      <c r="B45" s="22" t="inlineStr">
        <is>
          <t>Year 10</t>
        </is>
      </c>
      <c r="C45" s="23" t="str">
        <f>"Leaves "&amp;Settings!$C$18&amp;"   ·   "&amp;COUNTA(tblY10[Preferred Last name])&amp;" students   ·   "&amp;Calc!$AI$6&amp;" tests"&amp;IF(Calc!$V$12&gt;8,"   ·   only the first 8 of "&amp;Calc!$V$12&amp;" classes fit here","")</f>
        <v>Leaves 2028   ·   117 students   ·   5 tests</v>
      </c>
      <c r="D45" s="24" t="n"/>
      <c r="E45" s="24" t="n"/>
      <c r="F45" s="24" t="n"/>
      <c r="G45" s="24" t="n"/>
      <c r="H45" s="25" t="str">
        <f>IF(Calc!$AF$6="","No tests yet","Latest test: "&amp;Calc!$AF$6&amp;IF(ISNUMBER(Calc!$AH$6),"  ("&amp;TEXT(Calc!$AH$6,"dd/mm/yyyy")&amp;")",""))</f>
        <v>Latest test: 4C02 - Bonding  (20/11/2026)</v>
      </c>
      <c r="I45" s="24" t="n"/>
      <c r="J45" s="24" t="n"/>
      <c r="K45" s="24" t="n"/>
      <c r="L45" s="24" t="n"/>
      <c r="M45" s="24" t="n"/>
    </row>
    <row r="46" ht="30" customHeight="1">
      <c r="B46" s="7" t="inlineStr">
        <is>
          <t>Class</t>
        </is>
      </c>
      <c r="C46" s="7" t="inlineStr">
        <is>
          <t>Teacher</t>
        </is>
      </c>
      <c r="D46" s="7" t="inlineStr">
        <is>
          <t>Students</t>
        </is>
      </c>
      <c r="E46" s="7" t="inlineStr">
        <is>
          <t>KS2 band
(mean)</t>
        </is>
      </c>
      <c r="F46" s="7" t="inlineStr">
        <is>
          <t>Tests sat
(mean)</t>
        </is>
      </c>
      <c r="G46" s="7" t="inlineStr">
        <is>
          <t>Mean
stanine</t>
        </is>
      </c>
      <c r="H46" s="7" t="inlineStr">
        <is>
          <t>vs
expected</t>
        </is>
      </c>
      <c r="I46" s="7" t="inlineStr">
        <is>
          <t>Results at
stanine 7-9</t>
        </is>
      </c>
      <c r="J46" s="7" t="inlineStr">
        <is>
          <t>Results at
stanine 1-3</t>
        </is>
      </c>
      <c r="K46" s="7" t="inlineStr">
        <is>
          <t>Latest test
mean %</t>
        </is>
      </c>
      <c r="L46" s="7" t="inlineStr">
        <is>
          <t>Latest test
mean stanine</t>
        </is>
      </c>
      <c r="M46" s="7" t="inlineStr">
        <is>
          <t>Latest test
completion</t>
        </is>
      </c>
    </row>
    <row r="47">
      <c r="B47" s="26" t="inlineStr">
        <is>
          <t>Whole year</t>
        </is>
      </c>
      <c r="D47" s="27">
        <f>IFERROR(COUNTA(tblY10[Preferred Last name]),"")</f>
        <v>117</v>
      </c>
      <c r="E47" s="28">
        <f>IFERROR(AVERAGE(tblY10[Avg KS2 Band]),"")</f>
        <v>5.01724137931035</v>
      </c>
      <c r="F47" s="28">
        <f>IFERROR(AVERAGE(tblY10[Tests Sat]),"")</f>
        <v>4.44444444444445</v>
      </c>
      <c r="G47" s="28">
        <f>IFERROR(AVERAGE(tblY10[Mean Stanine]),"")</f>
        <v>4.94173789173789</v>
      </c>
      <c r="H47" s="29">
        <f>IFERROR(AVERAGE(tblY10[vs Expected]),"")</f>
        <v>7.52271808064977e-16</v>
      </c>
      <c r="I47" s="30">
        <f>IFERROR(SUMPRODUCT((RIGHT(tblY10[#Headers],8)=CHAR(10)&amp;"Stanine")*ISNUMBER(tblY10[#Data])*(tblY10[#Data]&gt;=7))/SUMPRODUCT((RIGHT(tblY10[#Headers],8)=CHAR(10)&amp;"Stanine")*ISNUMBER(tblY10[#Data])),"")</f>
        <v>0.263461538461538</v>
      </c>
      <c r="J47" s="30">
        <f>IFERROR(SUMPRODUCT((RIGHT(tblY10[#Headers],8)=CHAR(10)&amp;"Stanine")*ISNUMBER(tblY10[#Data])*(tblY10[#Data]&lt;=3))/SUMPRODUCT((RIGHT(tblY10[#Headers],8)=CHAR(10)&amp;"Stanine")*ISNUMBER(tblY10[#Data])),"")</f>
        <v>0.267307692307692</v>
      </c>
      <c r="K47" s="30">
        <f>IFERROR(IF(Calc!$AF$6="","",AVERAGE(INDEX(tblY10[#Data],0,MATCH(Calc!$AF$6&amp;CHAR(10)&amp;"Raw Score",tblY10[#Headers],0)))/Calc!$AG$6),"")</f>
        <v>0.559743954480797</v>
      </c>
      <c r="L47" s="28">
        <f>IFERROR(IF(Calc!$AF$6="","",AVERAGE(INDEX(tblY10[#Data],0,MATCH(Calc!$AF$6&amp;CHAR(10)&amp;"Stanine",tblY10[#Headers],0)))),"")</f>
        <v>4.93243243243243</v>
      </c>
      <c r="M47" s="30">
        <f>IFERROR(IF(Calc!$AF$6="","",(COUNTIFS(INDEX(tblY10[#Data],0,MATCH(Calc!$AF$6&amp;CHAR(10)&amp;"Raw Score",tblY10[#Headers],0)),"&gt;=0")+COUNTIFS(INDEX(tblY10[#Data],0,MATCH(Calc!$AF$6&amp;CHAR(10)&amp;"Raw Score",tblY10[#Headers],0)),"A"))/COUNTA(tblY10[Preferred Last name])),"")</f>
        <v>0.658119658119658</v>
      </c>
    </row>
    <row r="48">
      <c r="B48" s="31" t="str">
        <f>Calc!V3</f>
        <v>10S/Sc1</v>
      </c>
      <c r="C48" s="32" t="str">
        <f>IF($B48="","",IFERROR(INDEX(tblTeachers[Teacher],MATCH("Year 10"&amp;"|"&amp;$B48,tblTeachers[Key],0))&amp;"",""))</f>
        <v>Mr Walsh</v>
      </c>
      <c r="D48" s="33">
        <f>IF($B48="","",IFERROR(COUNTIF(tblY10[Class],$B48),""))</f>
        <v>29</v>
      </c>
      <c r="E48" s="34">
        <f>IF($B48="","",IFERROR(AVERAGEIFS(tblY10[Avg KS2 Band],tblY10[Class],$B48),""))</f>
        <v>6.72413793103448</v>
      </c>
      <c r="F48" s="34">
        <f>IF($B48="","",IFERROR(AVERAGEIFS(tblY10[Tests Sat],tblY10[Class],$B48),""))</f>
        <v>4.82758620689655</v>
      </c>
      <c r="G48" s="34">
        <f>IF($B48="","",IFERROR(AVERAGEIFS(tblY10[Mean Stanine],tblY10[Class],$B48),""))</f>
        <v>6.5051724137931</v>
      </c>
      <c r="H48" s="35">
        <f>IF($B48="","",IFERROR(AVERAGEIFS(tblY10[vs Expected],tblY10[Class],$B48),""))</f>
        <v>0.16158805498879</v>
      </c>
      <c r="I48" s="36">
        <f>IF($B48="","",IFERROR(SUMPRODUCT((tblY10[Class]=$B48)*(RIGHT(tblY10[#Headers],8)=CHAR(10)&amp;"Stanine")*ISNUMBER(tblY10[#Data])*(tblY10[#Data]&gt;=7))/SUMPRODUCT((tblY10[Class]=$B48)*(RIGHT(tblY10[#Headers],8)=CHAR(10)&amp;"Stanine")*ISNUMBER(tblY10[#Data])),""))</f>
        <v>0.628571428571429</v>
      </c>
      <c r="J48" s="36">
        <f>IF($B48="","",IFERROR(SUMPRODUCT((tblY10[Class]=$B48)*(RIGHT(tblY10[#Headers],8)=CHAR(10)&amp;"Stanine")*ISNUMBER(tblY10[#Data])*(tblY10[#Data]&lt;=3))/SUMPRODUCT((tblY10[Class]=$B48)*(RIGHT(tblY10[#Headers],8)=CHAR(10)&amp;"Stanine")*ISNUMBER(tblY10[#Data])),""))</f>
        <v>0.05</v>
      </c>
      <c r="K48" s="36">
        <f>IF($B48="","",IFERROR(IF(Calc!$AF$6="","",AVERAGEIFS(INDEX(tblY10[#Data],0,MATCH(Calc!$AF$6&amp;CHAR(10)&amp;"Raw Score",tblY10[#Headers],0)),tblY10[Class],$B48)/Calc!$AG$6),""))</f>
        <v>0.741379310344828</v>
      </c>
      <c r="L48" s="34">
        <f>IF($B48="","",IFERROR(IF(Calc!$AF$6="","",AVERAGEIFS(INDEX(tblY10[#Data],0,MATCH(Calc!$AF$6&amp;CHAR(10)&amp;"Stanine",tblY10[#Headers],0)),tblY10[Class],$B48)),""))</f>
        <v>6.55172413793104</v>
      </c>
      <c r="M48" s="36">
        <f>IF($B48="","",IFERROR(IF(Calc!$AF$6="","",(COUNTIFS(INDEX(tblY10[#Data],0,MATCH(Calc!$AF$6&amp;CHAR(10)&amp;"Raw Score",tblY10[#Headers],0)),"&gt;=0",tblY10[Class],$B48)+COUNTIFS(INDEX(tblY10[#Data],0,MATCH(Calc!$AF$6&amp;CHAR(10)&amp;"Raw Score",tblY10[#Headers],0)),"A",tblY10[Class],$B48))/COUNTIF(tblY10[Class],$B48)),""))</f>
        <v>1</v>
      </c>
    </row>
    <row r="49">
      <c r="B49" s="31" t="str">
        <f>Calc!V4</f>
        <v>10S/Sc2</v>
      </c>
      <c r="C49" s="32" t="str">
        <f>IF($B49="","",IFERROR(INDEX(tblTeachers[Teacher],MATCH("Year 10"&amp;"|"&amp;$B49,tblTeachers[Key],0))&amp;"",""))</f>
        <v>Mr Owen</v>
      </c>
      <c r="D49" s="33">
        <f>IF($B49="","",IFERROR(COUNTIF(tblY10[Class],$B49),""))</f>
        <v>28</v>
      </c>
      <c r="E49" s="34">
        <f>IF($B49="","",IFERROR(AVERAGEIFS(tblY10[Avg KS2 Band],tblY10[Class],$B49),""))</f>
        <v>5.5</v>
      </c>
      <c r="F49" s="34">
        <f>IF($B49="","",IFERROR(AVERAGEIFS(tblY10[Tests Sat],tblY10[Class],$B49),""))</f>
        <v>3.82142857142857</v>
      </c>
      <c r="G49" s="34">
        <f>IF($B49="","",IFERROR(AVERAGEIFS(tblY10[Mean Stanine],tblY10[Class],$B49),""))</f>
        <v>5.50297619047619</v>
      </c>
      <c r="H49" s="35">
        <f>IF($B49="","",IFERROR(AVERAGEIFS(tblY10[vs Expected],tblY10[Class],$B49),""))</f>
        <v>0.155842903810998</v>
      </c>
      <c r="I49" s="36">
        <f>IF($B49="","",IFERROR(SUMPRODUCT((tblY10[Class]=$B49)*(RIGHT(tblY10[#Headers],8)=CHAR(10)&amp;"Stanine")*ISNUMBER(tblY10[#Data])*(tblY10[#Data]&gt;=7))/SUMPRODUCT((tblY10[Class]=$B49)*(RIGHT(tblY10[#Headers],8)=CHAR(10)&amp;"Stanine")*ISNUMBER(tblY10[#Data])),""))</f>
        <v>0.271028037383178</v>
      </c>
      <c r="J49" s="36">
        <f>IF($B49="","",IFERROR(SUMPRODUCT((tblY10[Class]=$B49)*(RIGHT(tblY10[#Headers],8)=CHAR(10)&amp;"Stanine")*ISNUMBER(tblY10[#Data])*(tblY10[#Data]&lt;=3))/SUMPRODUCT((tblY10[Class]=$B49)*(RIGHT(tblY10[#Headers],8)=CHAR(10)&amp;"Stanine")*ISNUMBER(tblY10[#Data])),""))</f>
        <v>0.130841121495327</v>
      </c>
      <c r="K49" s="36" t="str">
        <f>IF($B49="","",IFERROR(IF(Calc!$AF$6="","",AVERAGEIFS(INDEX(tblY10[#Data],0,MATCH(Calc!$AF$6&amp;CHAR(10)&amp;"Raw Score",tblY10[#Headers],0)),tblY10[Class],$B49)/Calc!$AG$6),""))</f>
        <v/>
      </c>
      <c r="L49" s="34" t="str">
        <f>IF($B49="","",IFERROR(IF(Calc!$AF$6="","",AVERAGEIFS(INDEX(tblY10[#Data],0,MATCH(Calc!$AF$6&amp;CHAR(10)&amp;"Stanine",tblY10[#Headers],0)),tblY10[Class],$B49)),""))</f>
        <v/>
      </c>
      <c r="M49" s="36">
        <f>IF($B49="","",IFERROR(IF(Calc!$AF$6="","",(COUNTIFS(INDEX(tblY10[#Data],0,MATCH(Calc!$AF$6&amp;CHAR(10)&amp;"Raw Score",tblY10[#Headers],0)),"&gt;=0",tblY10[Class],$B49)+COUNTIFS(INDEX(tblY10[#Data],0,MATCH(Calc!$AF$6&amp;CHAR(10)&amp;"Raw Score",tblY10[#Headers],0)),"A",tblY10[Class],$B49))/COUNTIF(tblY10[Class],$B49)),""))</f>
        <v>0</v>
      </c>
    </row>
    <row r="50">
      <c r="B50" s="31" t="str">
        <f>Calc!V5</f>
        <v>10S/Sc3</v>
      </c>
      <c r="C50" s="32" t="str">
        <f>IF($B50="","",IFERROR(INDEX(tblTeachers[Teacher],MATCH("Year 10"&amp;"|"&amp;$B50,tblTeachers[Key],0))&amp;"",""))</f>
        <v>Mrs Singh</v>
      </c>
      <c r="D50" s="33">
        <f>IF($B50="","",IFERROR(COUNTIF(tblY10[Class],$B50),""))</f>
        <v>23</v>
      </c>
      <c r="E50" s="34">
        <f>IF($B50="","",IFERROR(AVERAGEIFS(tblY10[Avg KS2 Band],tblY10[Class],$B50),""))</f>
        <v>4.52173913043478</v>
      </c>
      <c r="F50" s="34">
        <f>IF($B50="","",IFERROR(AVERAGEIFS(tblY10[Tests Sat],tblY10[Class],$B50),""))</f>
        <v>4.73913043478261</v>
      </c>
      <c r="G50" s="34">
        <f>IF($B50="","",IFERROR(AVERAGEIFS(tblY10[Mean Stanine],tblY10[Class],$B50),""))</f>
        <v>4.91086956521739</v>
      </c>
      <c r="H50" s="35">
        <f>IF($B50="","",IFERROR(AVERAGEIFS(tblY10[vs Expected],tblY10[Class],$B50),""))</f>
        <v>0.360042861002629</v>
      </c>
      <c r="I50" s="36">
        <f>IF($B50="","",IFERROR(SUMPRODUCT((tblY10[Class]=$B50)*(RIGHT(tblY10[#Headers],8)=CHAR(10)&amp;"Stanine")*ISNUMBER(tblY10[#Data])*(tblY10[#Data]&gt;=7))/SUMPRODUCT((tblY10[Class]=$B50)*(RIGHT(tblY10[#Headers],8)=CHAR(10)&amp;"Stanine")*ISNUMBER(tblY10[#Data])),""))</f>
        <v>0.100917431192661</v>
      </c>
      <c r="J50" s="36">
        <f>IF($B50="","",IFERROR(SUMPRODUCT((tblY10[Class]=$B50)*(RIGHT(tblY10[#Headers],8)=CHAR(10)&amp;"Stanine")*ISNUMBER(tblY10[#Data])*(tblY10[#Data]&lt;=3))/SUMPRODUCT((tblY10[Class]=$B50)*(RIGHT(tblY10[#Headers],8)=CHAR(10)&amp;"Stanine")*ISNUMBER(tblY10[#Data])),""))</f>
        <v>0.128440366972477</v>
      </c>
      <c r="K50" s="36">
        <f>IF($B50="","",IFERROR(IF(Calc!$AF$6="","",AVERAGEIFS(INDEX(tblY10[#Data],0,MATCH(Calc!$AF$6&amp;CHAR(10)&amp;"Raw Score",tblY10[#Headers],0)),tblY10[Class],$B50)/Calc!$AG$6),""))</f>
        <v>0.546365914786967</v>
      </c>
      <c r="L50" s="34">
        <f>IF($B50="","",IFERROR(IF(Calc!$AF$6="","",AVERAGEIFS(INDEX(tblY10[#Data],0,MATCH(Calc!$AF$6&amp;CHAR(10)&amp;"Stanine",tblY10[#Headers],0)),tblY10[Class],$B50)),""))</f>
        <v>4.76190476190476</v>
      </c>
      <c r="M50" s="36">
        <f>IF($B50="","",IFERROR(IF(Calc!$AF$6="","",(COUNTIFS(INDEX(tblY10[#Data],0,MATCH(Calc!$AF$6&amp;CHAR(10)&amp;"Raw Score",tblY10[#Headers],0)),"&gt;=0",tblY10[Class],$B50)+COUNTIFS(INDEX(tblY10[#Data],0,MATCH(Calc!$AF$6&amp;CHAR(10)&amp;"Raw Score",tblY10[#Headers],0)),"A",tblY10[Class],$B50))/COUNTIF(tblY10[Class],$B50)),""))</f>
        <v>1</v>
      </c>
    </row>
    <row r="51">
      <c r="B51" s="31" t="str">
        <f>Calc!V6</f>
        <v>10S/Sc4</v>
      </c>
      <c r="C51" s="32" t="str">
        <f>IF($B51="","",IFERROR(INDEX(tblTeachers[Teacher],MATCH("Year 10"&amp;"|"&amp;$B51,tblTeachers[Key],0))&amp;"",""))</f>
        <v>Mr Owen</v>
      </c>
      <c r="D51" s="33">
        <f>IF($B51="","",IFERROR(COUNTIF(tblY10[Class],$B51),""))</f>
        <v>22</v>
      </c>
      <c r="E51" s="34">
        <f>IF($B51="","",IFERROR(AVERAGEIFS(tblY10[Avg KS2 Band],tblY10[Class],$B51),""))</f>
        <v>3.61904761904762</v>
      </c>
      <c r="F51" s="34">
        <f>IF($B51="","",IFERROR(AVERAGEIFS(tblY10[Tests Sat],tblY10[Class],$B51),""))</f>
        <v>4.72727272727273</v>
      </c>
      <c r="G51" s="34">
        <f>IF($B51="","",IFERROR(AVERAGEIFS(tblY10[Mean Stanine],tblY10[Class],$B51),""))</f>
        <v>3.37954545454545</v>
      </c>
      <c r="H51" s="35">
        <f>IF($B51="","",IFERROR(AVERAGEIFS(tblY10[vs Expected],tblY10[Class],$B51),""))</f>
        <v>-0.442224228133518</v>
      </c>
      <c r="I51" s="36">
        <f>IF($B51="","",IFERROR(SUMPRODUCT((tblY10[Class]=$B51)*(RIGHT(tblY10[#Headers],8)=CHAR(10)&amp;"Stanine")*ISNUMBER(tblY10[#Data])*(tblY10[#Data]&gt;=7))/SUMPRODUCT((tblY10[Class]=$B51)*(RIGHT(tblY10[#Headers],8)=CHAR(10)&amp;"Stanine")*ISNUMBER(tblY10[#Data])),""))</f>
        <v>0.0769230769230769</v>
      </c>
      <c r="J51" s="36">
        <f>IF($B51="","",IFERROR(SUMPRODUCT((tblY10[Class]=$B51)*(RIGHT(tblY10[#Headers],8)=CHAR(10)&amp;"Stanine")*ISNUMBER(tblY10[#Data])*(tblY10[#Data]&lt;=3))/SUMPRODUCT((tblY10[Class]=$B51)*(RIGHT(tblY10[#Headers],8)=CHAR(10)&amp;"Stanine")*ISNUMBER(tblY10[#Data])),""))</f>
        <v>0.673076923076923</v>
      </c>
      <c r="K51" s="36">
        <f>IF($B51="","",IFERROR(IF(Calc!$AF$6="","",AVERAGEIFS(INDEX(tblY10[#Data],0,MATCH(Calc!$AF$6&amp;CHAR(10)&amp;"Raw Score",tblY10[#Headers],0)),tblY10[Class],$B51)/Calc!$AG$6),""))</f>
        <v>0.364661654135338</v>
      </c>
      <c r="L51" s="34">
        <f>IF($B51="","",IFERROR(IF(Calc!$AF$6="","",AVERAGEIFS(INDEX(tblY10[#Data],0,MATCH(Calc!$AF$6&amp;CHAR(10)&amp;"Stanine",tblY10[#Headers],0)),tblY10[Class],$B51)),""))</f>
        <v>3.19047619047619</v>
      </c>
      <c r="M51" s="36">
        <f>IF($B51="","",IFERROR(IF(Calc!$AF$6="","",(COUNTIFS(INDEX(tblY10[#Data],0,MATCH(Calc!$AF$6&amp;CHAR(10)&amp;"Raw Score",tblY10[#Headers],0)),"&gt;=0",tblY10[Class],$B51)+COUNTIFS(INDEX(tblY10[#Data],0,MATCH(Calc!$AF$6&amp;CHAR(10)&amp;"Raw Score",tblY10[#Headers],0)),"A",tblY10[Class],$B51))/COUNTIF(tblY10[Class],$B51)),""))</f>
        <v>1</v>
      </c>
    </row>
    <row r="52">
      <c r="B52" s="31" t="str">
        <f>Calc!V7</f>
        <v>10S/Sc5</v>
      </c>
      <c r="C52" s="32" t="str">
        <f>IF($B52="","",IFERROR(INDEX(tblTeachers[Teacher],MATCH("Year 10"&amp;"|"&amp;$B52,tblTeachers[Key],0))&amp;"",""))</f>
        <v>Mr Hughes</v>
      </c>
      <c r="D52" s="33">
        <f>IF($B52="","",IFERROR(COUNTIF(tblY10[Class],$B52),""))</f>
        <v>12</v>
      </c>
      <c r="E52" s="34">
        <f>IF($B52="","",IFERROR(AVERAGEIFS(tblY10[Avg KS2 Band],tblY10[Class],$B52),""))</f>
        <v>3.91666666666667</v>
      </c>
      <c r="F52" s="34">
        <f>IF($B52="","",IFERROR(AVERAGEIFS(tblY10[Tests Sat],tblY10[Class],$B52),""))</f>
        <v>3.75</v>
      </c>
      <c r="G52" s="34">
        <f>IF($B52="","",IFERROR(AVERAGEIFS(tblY10[Mean Stanine],tblY10[Class],$B52),""))</f>
        <v>3.39583333333333</v>
      </c>
      <c r="H52" s="35">
        <f>IF($B52="","",IFERROR(AVERAGEIFS(tblY10[vs Expected],tblY10[Class],$B52),""))</f>
        <v>-0.662463003217644</v>
      </c>
      <c r="I52" s="36">
        <f>IF($B52="","",IFERROR(SUMPRODUCT((tblY10[Class]=$B52)*(RIGHT(tblY10[#Headers],8)=CHAR(10)&amp;"Stanine")*ISNUMBER(tblY10[#Data])*(tblY10[#Data]&gt;=7))/SUMPRODUCT((tblY10[Class]=$B52)*(RIGHT(tblY10[#Headers],8)=CHAR(10)&amp;"Stanine")*ISNUMBER(tblY10[#Data])),""))</f>
        <v>0.0222222222222222</v>
      </c>
      <c r="J52" s="36">
        <f>IF($B52="","",IFERROR(SUMPRODUCT((tblY10[Class]=$B52)*(RIGHT(tblY10[#Headers],8)=CHAR(10)&amp;"Stanine")*ISNUMBER(tblY10[#Data])*(tblY10[#Data]&lt;=3))/SUMPRODUCT((tblY10[Class]=$B52)*(RIGHT(tblY10[#Headers],8)=CHAR(10)&amp;"Stanine")*ISNUMBER(tblY10[#Data])),""))</f>
        <v>0.533333333333333</v>
      </c>
      <c r="K52" s="36" t="str">
        <f>IF($B52="","",IFERROR(IF(Calc!$AF$6="","",AVERAGEIFS(INDEX(tblY10[#Data],0,MATCH(Calc!$AF$6&amp;CHAR(10)&amp;"Raw Score",tblY10[#Headers],0)),tblY10[Class],$B52)/Calc!$AG$6),""))</f>
        <v/>
      </c>
      <c r="L52" s="34" t="str">
        <f>IF($B52="","",IFERROR(IF(Calc!$AF$6="","",AVERAGEIFS(INDEX(tblY10[#Data],0,MATCH(Calc!$AF$6&amp;CHAR(10)&amp;"Stanine",tblY10[#Headers],0)),tblY10[Class],$B52)),""))</f>
        <v/>
      </c>
      <c r="M52" s="36">
        <f>IF($B52="","",IFERROR(IF(Calc!$AF$6="","",(COUNTIFS(INDEX(tblY10[#Data],0,MATCH(Calc!$AF$6&amp;CHAR(10)&amp;"Raw Score",tblY10[#Headers],0)),"&gt;=0",tblY10[Class],$B52)+COUNTIFS(INDEX(tblY10[#Data],0,MATCH(Calc!$AF$6&amp;CHAR(10)&amp;"Raw Score",tblY10[#Headers],0)),"A",tblY10[Class],$B52))/COUNTIF(tblY10[Class],$B52)),""))</f>
        <v>0</v>
      </c>
    </row>
    <row r="53">
      <c r="B53" s="31" t="str">
        <f>Calc!V8</f>
        <v>Science Support</v>
      </c>
      <c r="C53" s="32" t="str">
        <f>IF($B53="","",IFERROR(INDEX(tblTeachers[Teacher],MATCH("Year 10"&amp;"|"&amp;$B53,tblTeachers[Key],0))&amp;"",""))</f>
        <v>Mr Walsh</v>
      </c>
      <c r="D53" s="33">
        <f>IF($B53="","",IFERROR(COUNTIF(tblY10[Class],$B53),""))</f>
        <v>3</v>
      </c>
      <c r="E53" s="34">
        <f>IF($B53="","",IFERROR(AVERAGEIFS(tblY10[Avg KS2 Band],tblY10[Class],$B53),""))</f>
        <v>2</v>
      </c>
      <c r="F53" s="34">
        <f>IF($B53="","",IFERROR(AVERAGEIFS(tblY10[Tests Sat],tblY10[Class],$B53),""))</f>
        <v>5</v>
      </c>
      <c r="G53" s="34">
        <f>IF($B53="","",IFERROR(AVERAGEIFS(tblY10[Mean Stanine],tblY10[Class],$B53),""))</f>
        <v>2.46666666666667</v>
      </c>
      <c r="H53" s="35">
        <f>IF($B53="","",IFERROR(AVERAGEIFS(tblY10[vs Expected],tblY10[Class],$B53),""))</f>
        <v>-0.0314586250092077</v>
      </c>
      <c r="I53" s="36">
        <f>IF($B53="","",IFERROR(SUMPRODUCT((tblY10[Class]=$B53)*(RIGHT(tblY10[#Headers],8)=CHAR(10)&amp;"Stanine")*ISNUMBER(tblY10[#Data])*(tblY10[#Data]&gt;=7))/SUMPRODUCT((tblY10[Class]=$B53)*(RIGHT(tblY10[#Headers],8)=CHAR(10)&amp;"Stanine")*ISNUMBER(tblY10[#Data])),""))</f>
        <v>0</v>
      </c>
      <c r="J53" s="36">
        <f>IF($B53="","",IFERROR(SUMPRODUCT((tblY10[Class]=$B53)*(RIGHT(tblY10[#Headers],8)=CHAR(10)&amp;"Stanine")*ISNUMBER(tblY10[#Data])*(tblY10[#Data]&lt;=3))/SUMPRODUCT((tblY10[Class]=$B53)*(RIGHT(tblY10[#Headers],8)=CHAR(10)&amp;"Stanine")*ISNUMBER(tblY10[#Data])),""))</f>
        <v>0.666666666666667</v>
      </c>
      <c r="K53" s="36">
        <f>IF($B53="","",IFERROR(IF(Calc!$AF$6="","",AVERAGEIFS(INDEX(tblY10[#Data],0,MATCH(Calc!$AF$6&amp;CHAR(10)&amp;"Raw Score",tblY10[#Headers],0)),tblY10[Class],$B53)/Calc!$AG$6),""))</f>
        <v>0.263157894736842</v>
      </c>
      <c r="L53" s="34">
        <f>IF($B53="","",IFERROR(IF(Calc!$AF$6="","",AVERAGEIFS(INDEX(tblY10[#Data],0,MATCH(Calc!$AF$6&amp;CHAR(10)&amp;"Stanine",tblY10[#Headers],0)),tblY10[Class],$B53)),""))</f>
        <v>2.66666666666667</v>
      </c>
      <c r="M53" s="36">
        <f>IF($B53="","",IFERROR(IF(Calc!$AF$6="","",(COUNTIFS(INDEX(tblY10[#Data],0,MATCH(Calc!$AF$6&amp;CHAR(10)&amp;"Raw Score",tblY10[#Headers],0)),"&gt;=0",tblY10[Class],$B53)+COUNTIFS(INDEX(tblY10[#Data],0,MATCH(Calc!$AF$6&amp;CHAR(10)&amp;"Raw Score",tblY10[#Headers],0)),"A",tblY10[Class],$B53))/COUNTIF(tblY10[Class],$B53)),""))</f>
        <v>1</v>
      </c>
    </row>
    <row r="54">
      <c r="B54" s="31" t="str">
        <f>Calc!V9</f>
        <v/>
      </c>
      <c r="C54" s="32" t="str">
        <f>IF($B54="","",IFERROR(INDEX(tblTeachers[Teacher],MATCH("Year 10"&amp;"|"&amp;$B54,tblTeachers[Key],0))&amp;"",""))</f>
        <v/>
      </c>
      <c r="D54" s="33" t="str">
        <f>IF($B54="","",IFERROR(COUNTIF(tblY10[Class],$B54),""))</f>
        <v/>
      </c>
      <c r="E54" s="34" t="str">
        <f>IF($B54="","",IFERROR(AVERAGEIFS(tblY10[Avg KS2 Band],tblY10[Class],$B54),""))</f>
        <v/>
      </c>
      <c r="F54" s="34" t="str">
        <f>IF($B54="","",IFERROR(AVERAGEIFS(tblY10[Tests Sat],tblY10[Class],$B54),""))</f>
        <v/>
      </c>
      <c r="G54" s="34" t="str">
        <f>IF($B54="","",IFERROR(AVERAGEIFS(tblY10[Mean Stanine],tblY10[Class],$B54),""))</f>
        <v/>
      </c>
      <c r="H54" s="35" t="str">
        <f>IF($B54="","",IFERROR(AVERAGEIFS(tblY10[vs Expected],tblY10[Class],$B54),""))</f>
        <v/>
      </c>
      <c r="I54" s="36" t="str">
        <f>IF($B54="","",IFERROR(SUMPRODUCT((tblY10[Class]=$B54)*(RIGHT(tblY10[#Headers],8)=CHAR(10)&amp;"Stanine")*ISNUMBER(tblY10[#Data])*(tblY10[#Data]&gt;=7))/SUMPRODUCT((tblY10[Class]=$B54)*(RIGHT(tblY10[#Headers],8)=CHAR(10)&amp;"Stanine")*ISNUMBER(tblY10[#Data])),""))</f>
        <v/>
      </c>
      <c r="J54" s="36" t="str">
        <f>IF($B54="","",IFERROR(SUMPRODUCT((tblY10[Class]=$B54)*(RIGHT(tblY10[#Headers],8)=CHAR(10)&amp;"Stanine")*ISNUMBER(tblY10[#Data])*(tblY10[#Data]&lt;=3))/SUMPRODUCT((tblY10[Class]=$B54)*(RIGHT(tblY10[#Headers],8)=CHAR(10)&amp;"Stanine")*ISNUMBER(tblY10[#Data])),""))</f>
        <v/>
      </c>
      <c r="K54" s="36" t="str">
        <f>IF($B54="","",IFERROR(IF(Calc!$AF$6="","",AVERAGEIFS(INDEX(tblY10[#Data],0,MATCH(Calc!$AF$6&amp;CHAR(10)&amp;"Raw Score",tblY10[#Headers],0)),tblY10[Class],$B54)/Calc!$AG$6),""))</f>
        <v/>
      </c>
      <c r="L54" s="34" t="str">
        <f>IF($B54="","",IFERROR(IF(Calc!$AF$6="","",AVERAGEIFS(INDEX(tblY10[#Data],0,MATCH(Calc!$AF$6&amp;CHAR(10)&amp;"Stanine",tblY10[#Headers],0)),tblY10[Class],$B54)),""))</f>
        <v/>
      </c>
      <c r="M54" s="36" t="str">
        <f>IF($B54="","",IFERROR(IF(Calc!$AF$6="","",(COUNTIFS(INDEX(tblY10[#Data],0,MATCH(Calc!$AF$6&amp;CHAR(10)&amp;"Raw Score",tblY10[#Headers],0)),"&gt;=0",tblY10[Class],$B54)+COUNTIFS(INDEX(tblY10[#Data],0,MATCH(Calc!$AF$6&amp;CHAR(10)&amp;"Raw Score",tblY10[#Headers],0)),"A",tblY10[Class],$B54))/COUNTIF(tblY10[Class],$B54)),""))</f>
        <v/>
      </c>
    </row>
    <row r="55">
      <c r="B55" s="31" t="str">
        <f>Calc!V10</f>
        <v/>
      </c>
      <c r="C55" s="32" t="str">
        <f>IF($B55="","",IFERROR(INDEX(tblTeachers[Teacher],MATCH("Year 10"&amp;"|"&amp;$B55,tblTeachers[Key],0))&amp;"",""))</f>
        <v/>
      </c>
      <c r="D55" s="33" t="str">
        <f>IF($B55="","",IFERROR(COUNTIF(tblY10[Class],$B55),""))</f>
        <v/>
      </c>
      <c r="E55" s="34" t="str">
        <f>IF($B55="","",IFERROR(AVERAGEIFS(tblY10[Avg KS2 Band],tblY10[Class],$B55),""))</f>
        <v/>
      </c>
      <c r="F55" s="34" t="str">
        <f>IF($B55="","",IFERROR(AVERAGEIFS(tblY10[Tests Sat],tblY10[Class],$B55),""))</f>
        <v/>
      </c>
      <c r="G55" s="34" t="str">
        <f>IF($B55="","",IFERROR(AVERAGEIFS(tblY10[Mean Stanine],tblY10[Class],$B55),""))</f>
        <v/>
      </c>
      <c r="H55" s="35" t="str">
        <f>IF($B55="","",IFERROR(AVERAGEIFS(tblY10[vs Expected],tblY10[Class],$B55),""))</f>
        <v/>
      </c>
      <c r="I55" s="36" t="str">
        <f>IF($B55="","",IFERROR(SUMPRODUCT((tblY10[Class]=$B55)*(RIGHT(tblY10[#Headers],8)=CHAR(10)&amp;"Stanine")*ISNUMBER(tblY10[#Data])*(tblY10[#Data]&gt;=7))/SUMPRODUCT((tblY10[Class]=$B55)*(RIGHT(tblY10[#Headers],8)=CHAR(10)&amp;"Stanine")*ISNUMBER(tblY10[#Data])),""))</f>
        <v/>
      </c>
      <c r="J55" s="36" t="str">
        <f>IF($B55="","",IFERROR(SUMPRODUCT((tblY10[Class]=$B55)*(RIGHT(tblY10[#Headers],8)=CHAR(10)&amp;"Stanine")*ISNUMBER(tblY10[#Data])*(tblY10[#Data]&lt;=3))/SUMPRODUCT((tblY10[Class]=$B55)*(RIGHT(tblY10[#Headers],8)=CHAR(10)&amp;"Stanine")*ISNUMBER(tblY10[#Data])),""))</f>
        <v/>
      </c>
      <c r="K55" s="36" t="str">
        <f>IF($B55="","",IFERROR(IF(Calc!$AF$6="","",AVERAGEIFS(INDEX(tblY10[#Data],0,MATCH(Calc!$AF$6&amp;CHAR(10)&amp;"Raw Score",tblY10[#Headers],0)),tblY10[Class],$B55)/Calc!$AG$6),""))</f>
        <v/>
      </c>
      <c r="L55" s="34" t="str">
        <f>IF($B55="","",IFERROR(IF(Calc!$AF$6="","",AVERAGEIFS(INDEX(tblY10[#Data],0,MATCH(Calc!$AF$6&amp;CHAR(10)&amp;"Stanine",tblY10[#Headers],0)),tblY10[Class],$B55)),""))</f>
        <v/>
      </c>
      <c r="M55" s="36" t="str">
        <f>IF($B55="","",IFERROR(IF(Calc!$AF$6="","",(COUNTIFS(INDEX(tblY10[#Data],0,MATCH(Calc!$AF$6&amp;CHAR(10)&amp;"Raw Score",tblY10[#Headers],0)),"&gt;=0",tblY10[Class],$B55)+COUNTIFS(INDEX(tblY10[#Data],0,MATCH(Calc!$AF$6&amp;CHAR(10)&amp;"Raw Score",tblY10[#Headers],0)),"A",tblY10[Class],$B55))/COUNTIF(tblY10[Class],$B55)),""))</f>
        <v/>
      </c>
    </row>
    <row r="57" ht="22" customHeight="1">
      <c r="B57" s="22" t="inlineStr">
        <is>
          <t>Year 11</t>
        </is>
      </c>
      <c r="C57" s="23" t="str">
        <f>"Leaves "&amp;Settings!$C$19&amp;"   ·   "&amp;COUNTA(tblY11[Preferred Last name])&amp;" students   ·   "&amp;Calc!$AI$7&amp;" tests"&amp;IF(Calc!$W$12&gt;8,"   ·   only the first 8 of "&amp;Calc!$W$12&amp;" classes fit here","")</f>
        <v>Leaves 2027   ·   106 students   ·   6 tests</v>
      </c>
      <c r="D57" s="24" t="n"/>
      <c r="E57" s="24" t="n"/>
      <c r="F57" s="24" t="n"/>
      <c r="G57" s="24" t="n"/>
      <c r="H57" s="25" t="str">
        <f>IF(Calc!$AF$7="","No tests yet","Latest test: "&amp;Calc!$AF$7&amp;IF(ISNUMBER(Calc!$AH$7),"  ("&amp;TEXT(Calc!$AH$7,"dd/mm/yyyy")&amp;")",""))</f>
        <v>Latest test: 4P07 - Magnetism  (05/12/2026)</v>
      </c>
      <c r="I57" s="24" t="n"/>
      <c r="J57" s="24" t="n"/>
      <c r="K57" s="24" t="n"/>
      <c r="L57" s="24" t="n"/>
      <c r="M57" s="24" t="n"/>
    </row>
    <row r="58" ht="30" customHeight="1">
      <c r="B58" s="7" t="inlineStr">
        <is>
          <t>Class</t>
        </is>
      </c>
      <c r="C58" s="7" t="inlineStr">
        <is>
          <t>Teacher</t>
        </is>
      </c>
      <c r="D58" s="7" t="inlineStr">
        <is>
          <t>Students</t>
        </is>
      </c>
      <c r="E58" s="7" t="inlineStr">
        <is>
          <t>KS2 band
(mean)</t>
        </is>
      </c>
      <c r="F58" s="7" t="inlineStr">
        <is>
          <t>Tests sat
(mean)</t>
        </is>
      </c>
      <c r="G58" s="7" t="inlineStr">
        <is>
          <t>Mean
stanine</t>
        </is>
      </c>
      <c r="H58" s="7" t="inlineStr">
        <is>
          <t>vs
expected</t>
        </is>
      </c>
      <c r="I58" s="7" t="inlineStr">
        <is>
          <t>Results at
stanine 7-9</t>
        </is>
      </c>
      <c r="J58" s="7" t="inlineStr">
        <is>
          <t>Results at
stanine 1-3</t>
        </is>
      </c>
      <c r="K58" s="7" t="inlineStr">
        <is>
          <t>Latest test
mean %</t>
        </is>
      </c>
      <c r="L58" s="7" t="inlineStr">
        <is>
          <t>Latest test
mean stanine</t>
        </is>
      </c>
      <c r="M58" s="7" t="inlineStr">
        <is>
          <t>Latest test
completion</t>
        </is>
      </c>
    </row>
    <row r="59">
      <c r="B59" s="26" t="inlineStr">
        <is>
          <t>Whole year</t>
        </is>
      </c>
      <c r="D59" s="27">
        <f>IFERROR(COUNTA(tblY11[Preferred Last name]),"")</f>
        <v>106</v>
      </c>
      <c r="E59" s="28">
        <f>IFERROR(AVERAGE(tblY11[Avg KS2 Band]),"")</f>
        <v>5</v>
      </c>
      <c r="F59" s="28">
        <f>IFERROR(AVERAGE(tblY11[Tests Sat]),"")</f>
        <v>5.78301886792453</v>
      </c>
      <c r="G59" s="28">
        <f>IFERROR(AVERAGE(tblY11[Mean Stanine]),"")</f>
        <v>4.97201257861635</v>
      </c>
      <c r="H59" s="29">
        <f>IFERROR(AVERAGE(tblY11[vs Expected]),"")</f>
        <v>4.86383420311973e-16</v>
      </c>
      <c r="I59" s="30">
        <f>IFERROR(SUMPRODUCT((RIGHT(tblY11[#Headers],8)=CHAR(10)&amp;"Stanine")*ISNUMBER(tblY11[#Data])*(tblY11[#Data]&gt;=7))/SUMPRODUCT((RIGHT(tblY11[#Headers],8)=CHAR(10)&amp;"Stanine")*ISNUMBER(tblY11[#Data])),"")</f>
        <v>0.265905383360522</v>
      </c>
      <c r="J59" s="30">
        <f>IFERROR(SUMPRODUCT((RIGHT(tblY11[#Headers],8)=CHAR(10)&amp;"Stanine")*ISNUMBER(tblY11[#Data])*(tblY11[#Data]&lt;=3))/SUMPRODUCT((RIGHT(tblY11[#Headers],8)=CHAR(10)&amp;"Stanine")*ISNUMBER(tblY11[#Data])),"")</f>
        <v>0.249592169657423</v>
      </c>
      <c r="K59" s="30">
        <f>IFERROR(IF(Calc!$AF$7="","",AVERAGE(INDEX(tblY11[#Data],0,MATCH(Calc!$AF$7&amp;CHAR(10)&amp;"Raw Score",tblY11[#Headers],0)))/Calc!$AG$7),"")</f>
        <v>0.461470588235294</v>
      </c>
      <c r="L59" s="28">
        <f>IFERROR(IF(Calc!$AF$7="","",AVERAGE(INDEX(tblY11[#Data],0,MATCH(Calc!$AF$7&amp;CHAR(10)&amp;"Stanine",tblY11[#Headers],0)))),"")</f>
        <v>5.01</v>
      </c>
      <c r="M59" s="30">
        <f>IFERROR(IF(Calc!$AF$7="","",(COUNTIFS(INDEX(tblY11[#Data],0,MATCH(Calc!$AF$7&amp;CHAR(10)&amp;"Raw Score",tblY11[#Headers],0)),"&gt;=0")+COUNTIFS(INDEX(tblY11[#Data],0,MATCH(Calc!$AF$7&amp;CHAR(10)&amp;"Raw Score",tblY11[#Headers],0)),"A"))/COUNTA(tblY11[Preferred Last name])),"")</f>
        <v>1</v>
      </c>
    </row>
    <row r="60">
      <c r="B60" s="31" t="str">
        <f>Calc!W3</f>
        <v>11S/Sc1</v>
      </c>
      <c r="C60" s="32" t="str">
        <f>IF($B60="","",IFERROR(INDEX(tblTeachers[Teacher],MATCH("Year 11"&amp;"|"&amp;$B60,tblTeachers[Key],0))&amp;"",""))</f>
        <v>Ms Rahman</v>
      </c>
      <c r="D60" s="33">
        <f>IF($B60="","",IFERROR(COUNTIF(tblY11[Class],$B60),""))</f>
        <v>28</v>
      </c>
      <c r="E60" s="34">
        <f>IF($B60="","",IFERROR(AVERAGEIFS(tblY11[Avg KS2 Band],tblY11[Class],$B60),""))</f>
        <v>6.55555555555556</v>
      </c>
      <c r="F60" s="34">
        <f>IF($B60="","",IFERROR(AVERAGEIFS(tblY11[Tests Sat],tblY11[Class],$B60),""))</f>
        <v>5.82142857142857</v>
      </c>
      <c r="G60" s="34">
        <f>IF($B60="","",IFERROR(AVERAGEIFS(tblY11[Mean Stanine],tblY11[Class],$B60),""))</f>
        <v>6.78928571428571</v>
      </c>
      <c r="H60" s="35">
        <f>IF($B60="","",IFERROR(AVERAGEIFS(tblY11[vs Expected],tblY11[Class],$B60),""))</f>
        <v>0.663884078884079</v>
      </c>
      <c r="I60" s="36">
        <f>IF($B60="","",IFERROR(SUMPRODUCT((tblY11[Class]=$B60)*(RIGHT(tblY11[#Headers],8)=CHAR(10)&amp;"Stanine")*ISNUMBER(tblY11[#Data])*(tblY11[#Data]&gt;=7))/SUMPRODUCT((tblY11[Class]=$B60)*(RIGHT(tblY11[#Headers],8)=CHAR(10)&amp;"Stanine")*ISNUMBER(tblY11[#Data])),""))</f>
        <v>0.613496932515337</v>
      </c>
      <c r="J60" s="36">
        <f>IF($B60="","",IFERROR(SUMPRODUCT((tblY11[Class]=$B60)*(RIGHT(tblY11[#Headers],8)=CHAR(10)&amp;"Stanine")*ISNUMBER(tblY11[#Data])*(tblY11[#Data]&lt;=3))/SUMPRODUCT((tblY11[Class]=$B60)*(RIGHT(tblY11[#Headers],8)=CHAR(10)&amp;"Stanine")*ISNUMBER(tblY11[#Data])),""))</f>
        <v>0</v>
      </c>
      <c r="K60" s="36">
        <f>IF($B60="","",IFERROR(IF(Calc!$AF$7="","",AVERAGEIFS(INDEX(tblY11[#Data],0,MATCH(Calc!$AF$7&amp;CHAR(10)&amp;"Raw Score",tblY11[#Headers],0)),tblY11[Class],$B60)/Calc!$AG$7),""))</f>
        <v>0.654684095860566</v>
      </c>
      <c r="L60" s="34">
        <f>IF($B60="","",IFERROR(IF(Calc!$AF$7="","",AVERAGEIFS(INDEX(tblY11[#Data],0,MATCH(Calc!$AF$7&amp;CHAR(10)&amp;"Stanine",tblY11[#Headers],0)),tblY11[Class],$B60)),""))</f>
        <v>6.77777777777778</v>
      </c>
      <c r="M60" s="36">
        <f>IF($B60="","",IFERROR(IF(Calc!$AF$7="","",(COUNTIFS(INDEX(tblY11[#Data],0,MATCH(Calc!$AF$7&amp;CHAR(10)&amp;"Raw Score",tblY11[#Headers],0)),"&gt;=0",tblY11[Class],$B60)+COUNTIFS(INDEX(tblY11[#Data],0,MATCH(Calc!$AF$7&amp;CHAR(10)&amp;"Raw Score",tblY11[#Headers],0)),"A",tblY11[Class],$B60))/COUNTIF(tblY11[Class],$B60)),""))</f>
        <v>1</v>
      </c>
    </row>
    <row r="61">
      <c r="B61" s="31" t="str">
        <f>Calc!W4</f>
        <v>11S/Sc2</v>
      </c>
      <c r="C61" s="32" t="str">
        <f>IF($B61="","",IFERROR(INDEX(tblTeachers[Teacher],MATCH("Year 11"&amp;"|"&amp;$B61,tblTeachers[Key],0))&amp;"",""))</f>
        <v>Mrs Evans</v>
      </c>
      <c r="D61" s="33">
        <f>IF($B61="","",IFERROR(COUNTIF(tblY11[Class],$B61),""))</f>
        <v>26</v>
      </c>
      <c r="E61" s="34">
        <f>IF($B61="","",IFERROR(AVERAGEIFS(tblY11[Avg KS2 Band],tblY11[Class],$B61),""))</f>
        <v>5.76923076923077</v>
      </c>
      <c r="F61" s="34">
        <f>IF($B61="","",IFERROR(AVERAGEIFS(tblY11[Tests Sat],tblY11[Class],$B61),""))</f>
        <v>5.76923076923077</v>
      </c>
      <c r="G61" s="34">
        <f>IF($B61="","",IFERROR(AVERAGEIFS(tblY11[Mean Stanine],tblY11[Class],$B61),""))</f>
        <v>5.30641025641026</v>
      </c>
      <c r="H61" s="35">
        <f>IF($B61="","",IFERROR(AVERAGEIFS(tblY11[vs Expected],tblY11[Class],$B61),""))</f>
        <v>-0.222337107337107</v>
      </c>
      <c r="I61" s="36">
        <f>IF($B61="","",IFERROR(SUMPRODUCT((tblY11[Class]=$B61)*(RIGHT(tblY11[#Headers],8)=CHAR(10)&amp;"Stanine")*ISNUMBER(tblY11[#Data])*(tblY11[#Data]&gt;=7))/SUMPRODUCT((tblY11[Class]=$B61)*(RIGHT(tblY11[#Headers],8)=CHAR(10)&amp;"Stanine")*ISNUMBER(tblY11[#Data])),""))</f>
        <v>0.22</v>
      </c>
      <c r="J61" s="36">
        <f>IF($B61="","",IFERROR(SUMPRODUCT((tblY11[Class]=$B61)*(RIGHT(tblY11[#Headers],8)=CHAR(10)&amp;"Stanine")*ISNUMBER(tblY11[#Data])*(tblY11[#Data]&lt;=3))/SUMPRODUCT((tblY11[Class]=$B61)*(RIGHT(tblY11[#Headers],8)=CHAR(10)&amp;"Stanine")*ISNUMBER(tblY11[#Data])),""))</f>
        <v>0.0733333333333333</v>
      </c>
      <c r="K61" s="36">
        <f>IF($B61="","",IFERROR(IF(Calc!$AF$7="","",AVERAGEIFS(INDEX(tblY11[#Data],0,MATCH(Calc!$AF$7&amp;CHAR(10)&amp;"Raw Score",tblY11[#Headers],0)),tblY11[Class],$B61)/Calc!$AG$7),""))</f>
        <v>0.473039215686275</v>
      </c>
      <c r="L61" s="34">
        <f>IF($B61="","",IFERROR(IF(Calc!$AF$7="","",AVERAGEIFS(INDEX(tblY11[#Data],0,MATCH(Calc!$AF$7&amp;CHAR(10)&amp;"Stanine",tblY11[#Headers],0)),tblY11[Class],$B61)),""))</f>
        <v>5.125</v>
      </c>
      <c r="M61" s="36">
        <f>IF($B61="","",IFERROR(IF(Calc!$AF$7="","",(COUNTIFS(INDEX(tblY11[#Data],0,MATCH(Calc!$AF$7&amp;CHAR(10)&amp;"Raw Score",tblY11[#Headers],0)),"&gt;=0",tblY11[Class],$B61)+COUNTIFS(INDEX(tblY11[#Data],0,MATCH(Calc!$AF$7&amp;CHAR(10)&amp;"Raw Score",tblY11[#Headers],0)),"A",tblY11[Class],$B61))/COUNTIF(tblY11[Class],$B61)),""))</f>
        <v>1</v>
      </c>
    </row>
    <row r="62">
      <c r="B62" s="31" t="str">
        <f>Calc!W5</f>
        <v>11S/Sc3</v>
      </c>
      <c r="C62" s="32" t="str">
        <f>IF($B62="","",IFERROR(INDEX(tblTeachers[Teacher],MATCH("Year 11"&amp;"|"&amp;$B62,tblTeachers[Key],0))&amp;"",""))</f>
        <v>Mr Owen</v>
      </c>
      <c r="D62" s="33">
        <f>IF($B62="","",IFERROR(COUNTIF(tblY11[Class],$B62),""))</f>
        <v>21</v>
      </c>
      <c r="E62" s="34">
        <f>IF($B62="","",IFERROR(AVERAGEIFS(tblY11[Avg KS2 Band],tblY11[Class],$B62),""))</f>
        <v>4.71428571428571</v>
      </c>
      <c r="F62" s="34">
        <f>IF($B62="","",IFERROR(AVERAGEIFS(tblY11[Tests Sat],tblY11[Class],$B62),""))</f>
        <v>5.80952380952381</v>
      </c>
      <c r="G62" s="34">
        <f>IF($B62="","",IFERROR(AVERAGEIFS(tblY11[Mean Stanine],tblY11[Class],$B62),""))</f>
        <v>4.72380952380952</v>
      </c>
      <c r="H62" s="35">
        <f>IF($B62="","",IFERROR(AVERAGEIFS(tblY11[vs Expected],tblY11[Class],$B62),""))</f>
        <v>-0.0149278499278495</v>
      </c>
      <c r="I62" s="36">
        <f>IF($B62="","",IFERROR(SUMPRODUCT((tblY11[Class]=$B62)*(RIGHT(tblY11[#Headers],8)=CHAR(10)&amp;"Stanine")*ISNUMBER(tblY11[#Data])*(tblY11[#Data]&gt;=7))/SUMPRODUCT((tblY11[Class]=$B62)*(RIGHT(tblY11[#Headers],8)=CHAR(10)&amp;"Stanine")*ISNUMBER(tblY11[#Data])),""))</f>
        <v>0.213114754098361</v>
      </c>
      <c r="J62" s="36">
        <f>IF($B62="","",IFERROR(SUMPRODUCT((tblY11[Class]=$B62)*(RIGHT(tblY11[#Headers],8)=CHAR(10)&amp;"Stanine")*ISNUMBER(tblY11[#Data])*(tblY11[#Data]&lt;=3))/SUMPRODUCT((tblY11[Class]=$B62)*(RIGHT(tblY11[#Headers],8)=CHAR(10)&amp;"Stanine")*ISNUMBER(tblY11[#Data])),""))</f>
        <v>0.237704918032787</v>
      </c>
      <c r="K62" s="36">
        <f>IF($B62="","",IFERROR(IF(Calc!$AF$7="","",AVERAGEIFS(INDEX(tblY11[#Data],0,MATCH(Calc!$AF$7&amp;CHAR(10)&amp;"Raw Score",tblY11[#Headers],0)),tblY11[Class],$B62)/Calc!$AG$7),""))</f>
        <v>0.436764705882353</v>
      </c>
      <c r="L62" s="34">
        <f>IF($B62="","",IFERROR(IF(Calc!$AF$7="","",AVERAGEIFS(INDEX(tblY11[#Data],0,MATCH(Calc!$AF$7&amp;CHAR(10)&amp;"Stanine",tblY11[#Headers],0)),tblY11[Class],$B62)),""))</f>
        <v>4.85</v>
      </c>
      <c r="M62" s="36">
        <f>IF($B62="","",IFERROR(IF(Calc!$AF$7="","",(COUNTIFS(INDEX(tblY11[#Data],0,MATCH(Calc!$AF$7&amp;CHAR(10)&amp;"Raw Score",tblY11[#Headers],0)),"&gt;=0",tblY11[Class],$B62)+COUNTIFS(INDEX(tblY11[#Data],0,MATCH(Calc!$AF$7&amp;CHAR(10)&amp;"Raw Score",tblY11[#Headers],0)),"A",tblY11[Class],$B62))/COUNTIF(tblY11[Class],$B62)),""))</f>
        <v>1</v>
      </c>
    </row>
    <row r="63">
      <c r="B63" s="31" t="str">
        <f>Calc!W6</f>
        <v>11S/Sc4</v>
      </c>
      <c r="C63" s="32" t="str">
        <f>IF($B63="","",IFERROR(INDEX(tblTeachers[Teacher],MATCH("Year 11"&amp;"|"&amp;$B63,tblTeachers[Key],0))&amp;"",""))</f>
        <v>Mrs Singh</v>
      </c>
      <c r="D63" s="33">
        <f>IF($B63="","",IFERROR(COUNTIF(tblY11[Class],$B63),""))</f>
        <v>13</v>
      </c>
      <c r="E63" s="34">
        <f>IF($B63="","",IFERROR(AVERAGEIFS(tblY11[Avg KS2 Band],tblY11[Class],$B63),""))</f>
        <v>3.69230769230769</v>
      </c>
      <c r="F63" s="34">
        <f>IF($B63="","",IFERROR(AVERAGEIFS(tblY11[Tests Sat],tblY11[Class],$B63),""))</f>
        <v>5.84615384615385</v>
      </c>
      <c r="G63" s="34">
        <f>IF($B63="","",IFERROR(AVERAGEIFS(tblY11[Mean Stanine],tblY11[Class],$B63),""))</f>
        <v>3.54615384615385</v>
      </c>
      <c r="H63" s="35">
        <f>IF($B63="","",IFERROR(AVERAGEIFS(tblY11[vs Expected],tblY11[Class],$B63),""))</f>
        <v>-0.427261349761349</v>
      </c>
      <c r="I63" s="36">
        <f>IF($B63="","",IFERROR(SUMPRODUCT((tblY11[Class]=$B63)*(RIGHT(tblY11[#Headers],8)=CHAR(10)&amp;"Stanine")*ISNUMBER(tblY11[#Data])*(tblY11[#Data]&gt;=7))/SUMPRODUCT((tblY11[Class]=$B63)*(RIGHT(tblY11[#Headers],8)=CHAR(10)&amp;"Stanine")*ISNUMBER(tblY11[#Data])),""))</f>
        <v>0.0131578947368421</v>
      </c>
      <c r="J63" s="36">
        <f>IF($B63="","",IFERROR(SUMPRODUCT((tblY11[Class]=$B63)*(RIGHT(tblY11[#Headers],8)=CHAR(10)&amp;"Stanine")*ISNUMBER(tblY11[#Data])*(tblY11[#Data]&lt;=3))/SUMPRODUCT((tblY11[Class]=$B63)*(RIGHT(tblY11[#Headers],8)=CHAR(10)&amp;"Stanine")*ISNUMBER(tblY11[#Data])),""))</f>
        <v>0.5</v>
      </c>
      <c r="K63" s="36">
        <f>IF($B63="","",IFERROR(IF(Calc!$AF$7="","",AVERAGEIFS(INDEX(tblY11[#Data],0,MATCH(Calc!$AF$7&amp;CHAR(10)&amp;"Raw Score",tblY11[#Headers],0)),tblY11[Class],$B63)/Calc!$AG$7),""))</f>
        <v>0.343137254901961</v>
      </c>
      <c r="L63" s="34">
        <f>IF($B63="","",IFERROR(IF(Calc!$AF$7="","",AVERAGEIFS(INDEX(tblY11[#Data],0,MATCH(Calc!$AF$7&amp;CHAR(10)&amp;"Stanine",tblY11[#Headers],0)),tblY11[Class],$B63)),""))</f>
        <v>3.91666666666667</v>
      </c>
      <c r="M63" s="36">
        <f>IF($B63="","",IFERROR(IF(Calc!$AF$7="","",(COUNTIFS(INDEX(tblY11[#Data],0,MATCH(Calc!$AF$7&amp;CHAR(10)&amp;"Raw Score",tblY11[#Headers],0)),"&gt;=0",tblY11[Class],$B63)+COUNTIFS(INDEX(tblY11[#Data],0,MATCH(Calc!$AF$7&amp;CHAR(10)&amp;"Raw Score",tblY11[#Headers],0)),"A",tblY11[Class],$B63))/COUNTIF(tblY11[Class],$B63)),""))</f>
        <v>1</v>
      </c>
    </row>
    <row r="64">
      <c r="B64" s="31" t="str">
        <f>Calc!W7</f>
        <v>11S/Sc5</v>
      </c>
      <c r="C64" s="32" t="str">
        <f>IF($B64="","",IFERROR(INDEX(tblTeachers[Teacher],MATCH("Year 11"&amp;"|"&amp;$B64,tblTeachers[Key],0))&amp;"",""))</f>
        <v>Ms Novak</v>
      </c>
      <c r="D64" s="33">
        <f>IF($B64="","",IFERROR(COUNTIF(tblY11[Class],$B64),""))</f>
        <v>13</v>
      </c>
      <c r="E64" s="34">
        <f>IF($B64="","",IFERROR(AVERAGEIFS(tblY11[Avg KS2 Band],tblY11[Class],$B64),""))</f>
        <v>3</v>
      </c>
      <c r="F64" s="34">
        <f>IF($B64="","",IFERROR(AVERAGEIFS(tblY11[Tests Sat],tblY11[Class],$B64),""))</f>
        <v>5.69230769230769</v>
      </c>
      <c r="G64" s="34">
        <f>IF($B64="","",IFERROR(AVERAGEIFS(tblY11[Mean Stanine],tblY11[Class],$B64),""))</f>
        <v>3.26410256410256</v>
      </c>
      <c r="H64" s="35">
        <f>IF($B64="","",IFERROR(AVERAGEIFS(tblY11[vs Expected],tblY11[Class],$B64),""))</f>
        <v>-0.190868575868575</v>
      </c>
      <c r="I64" s="36">
        <f>IF($B64="","",IFERROR(SUMPRODUCT((tblY11[Class]=$B64)*(RIGHT(tblY11[#Headers],8)=CHAR(10)&amp;"Stanine")*ISNUMBER(tblY11[#Data])*(tblY11[#Data]&gt;=7))/SUMPRODUCT((tblY11[Class]=$B64)*(RIGHT(tblY11[#Headers],8)=CHAR(10)&amp;"Stanine")*ISNUMBER(tblY11[#Data])),""))</f>
        <v>0.0405405405405405</v>
      </c>
      <c r="J64" s="36">
        <f>IF($B64="","",IFERROR(SUMPRODUCT((tblY11[Class]=$B64)*(RIGHT(tblY11[#Headers],8)=CHAR(10)&amp;"Stanine")*ISNUMBER(tblY11[#Data])*(tblY11[#Data]&lt;=3))/SUMPRODUCT((tblY11[Class]=$B64)*(RIGHT(tblY11[#Headers],8)=CHAR(10)&amp;"Stanine")*ISNUMBER(tblY11[#Data])),""))</f>
        <v>0.662162162162162</v>
      </c>
      <c r="K64" s="36">
        <f>IF($B64="","",IFERROR(IF(Calc!$AF$7="","",AVERAGEIFS(INDEX(tblY11[#Data],0,MATCH(Calc!$AF$7&amp;CHAR(10)&amp;"Raw Score",tblY11[#Headers],0)),tblY11[Class],$B64)/Calc!$AG$7),""))</f>
        <v>0.276960784313725</v>
      </c>
      <c r="L64" s="34">
        <f>IF($B64="","",IFERROR(IF(Calc!$AF$7="","",AVERAGEIFS(INDEX(tblY11[#Data],0,MATCH(Calc!$AF$7&amp;CHAR(10)&amp;"Stanine",tblY11[#Headers],0)),tblY11[Class],$B64)),""))</f>
        <v>3.25</v>
      </c>
      <c r="M64" s="36">
        <f>IF($B64="","",IFERROR(IF(Calc!$AF$7="","",(COUNTIFS(INDEX(tblY11[#Data],0,MATCH(Calc!$AF$7&amp;CHAR(10)&amp;"Raw Score",tblY11[#Headers],0)),"&gt;=0",tblY11[Class],$B64)+COUNTIFS(INDEX(tblY11[#Data],0,MATCH(Calc!$AF$7&amp;CHAR(10)&amp;"Raw Score",tblY11[#Headers],0)),"A",tblY11[Class],$B64))/COUNTIF(tblY11[Class],$B64)),""))</f>
        <v>1</v>
      </c>
    </row>
    <row r="65">
      <c r="B65" s="31" t="str">
        <f>Calc!W8</f>
        <v>Science Support</v>
      </c>
      <c r="C65" s="32" t="str">
        <f>IF($B65="","",IFERROR(INDEX(tblTeachers[Teacher],MATCH("Year 11"&amp;"|"&amp;$B65,tblTeachers[Key],0))&amp;"",""))</f>
        <v>Ms Novak</v>
      </c>
      <c r="D65" s="33">
        <f>IF($B65="","",IFERROR(COUNTIF(tblY11[Class],$B65),""))</f>
        <v>5</v>
      </c>
      <c r="E65" s="34">
        <f>IF($B65="","",IFERROR(AVERAGEIFS(tblY11[Avg KS2 Band],tblY11[Class],$B65),""))</f>
        <v>2.4</v>
      </c>
      <c r="F65" s="34">
        <f>IF($B65="","",IFERROR(AVERAGEIFS(tblY11[Tests Sat],tblY11[Class],$B65),""))</f>
        <v>5.6</v>
      </c>
      <c r="G65" s="34">
        <f>IF($B65="","",IFERROR(AVERAGEIFS(tblY11[Mean Stanine],tblY11[Class],$B65),""))</f>
        <v>2.24666666666667</v>
      </c>
      <c r="H65" s="35">
        <f>IF($B65="","",IFERROR(AVERAGEIFS(tblY11[vs Expected],tblY11[Class],$B65),""))</f>
        <v>-0.758986291486291</v>
      </c>
      <c r="I65" s="36">
        <f>IF($B65="","",IFERROR(SUMPRODUCT((tblY11[Class]=$B65)*(RIGHT(tblY11[#Headers],8)=CHAR(10)&amp;"Stanine")*ISNUMBER(tblY11[#Data])*(tblY11[#Data]&gt;=7))/SUMPRODUCT((tblY11[Class]=$B65)*(RIGHT(tblY11[#Headers],8)=CHAR(10)&amp;"Stanine")*ISNUMBER(tblY11[#Data])),""))</f>
        <v>0</v>
      </c>
      <c r="J65" s="36">
        <f>IF($B65="","",IFERROR(SUMPRODUCT((tblY11[Class]=$B65)*(RIGHT(tblY11[#Headers],8)=CHAR(10)&amp;"Stanine")*ISNUMBER(tblY11[#Data])*(tblY11[#Data]&lt;=3))/SUMPRODUCT((tblY11[Class]=$B65)*(RIGHT(tblY11[#Headers],8)=CHAR(10)&amp;"Stanine")*ISNUMBER(tblY11[#Data])),""))</f>
        <v>0.928571428571429</v>
      </c>
      <c r="K65" s="36">
        <f>IF($B65="","",IFERROR(IF(Calc!$AF$7="","",AVERAGEIFS(INDEX(tblY11[#Data],0,MATCH(Calc!$AF$7&amp;CHAR(10)&amp;"Raw Score",tblY11[#Headers],0)),tblY11[Class],$B65)/Calc!$AG$7),""))</f>
        <v>0.188235294117647</v>
      </c>
      <c r="L65" s="34">
        <f>IF($B65="","",IFERROR(IF(Calc!$AF$7="","",AVERAGEIFS(INDEX(tblY11[#Data],0,MATCH(Calc!$AF$7&amp;CHAR(10)&amp;"Stanine",tblY11[#Headers],0)),tblY11[Class],$B65)),""))</f>
        <v>2.4</v>
      </c>
      <c r="M65" s="36">
        <f>IF($B65="","",IFERROR(IF(Calc!$AF$7="","",(COUNTIFS(INDEX(tblY11[#Data],0,MATCH(Calc!$AF$7&amp;CHAR(10)&amp;"Raw Score",tblY11[#Headers],0)),"&gt;=0",tblY11[Class],$B65)+COUNTIFS(INDEX(tblY11[#Data],0,MATCH(Calc!$AF$7&amp;CHAR(10)&amp;"Raw Score",tblY11[#Headers],0)),"A",tblY11[Class],$B65))/COUNTIF(tblY11[Class],$B65)),""))</f>
        <v>1</v>
      </c>
    </row>
    <row r="66">
      <c r="B66" s="31" t="str">
        <f>Calc!W9</f>
        <v/>
      </c>
      <c r="C66" s="32" t="str">
        <f>IF($B66="","",IFERROR(INDEX(tblTeachers[Teacher],MATCH("Year 11"&amp;"|"&amp;$B66,tblTeachers[Key],0))&amp;"",""))</f>
        <v/>
      </c>
      <c r="D66" s="33" t="str">
        <f>IF($B66="","",IFERROR(COUNTIF(tblY11[Class],$B66),""))</f>
        <v/>
      </c>
      <c r="E66" s="34" t="str">
        <f>IF($B66="","",IFERROR(AVERAGEIFS(tblY11[Avg KS2 Band],tblY11[Class],$B66),""))</f>
        <v/>
      </c>
      <c r="F66" s="34" t="str">
        <f>IF($B66="","",IFERROR(AVERAGEIFS(tblY11[Tests Sat],tblY11[Class],$B66),""))</f>
        <v/>
      </c>
      <c r="G66" s="34" t="str">
        <f>IF($B66="","",IFERROR(AVERAGEIFS(tblY11[Mean Stanine],tblY11[Class],$B66),""))</f>
        <v/>
      </c>
      <c r="H66" s="35" t="str">
        <f>IF($B66="","",IFERROR(AVERAGEIFS(tblY11[vs Expected],tblY11[Class],$B66),""))</f>
        <v/>
      </c>
      <c r="I66" s="36" t="str">
        <f>IF($B66="","",IFERROR(SUMPRODUCT((tblY11[Class]=$B66)*(RIGHT(tblY11[#Headers],8)=CHAR(10)&amp;"Stanine")*ISNUMBER(tblY11[#Data])*(tblY11[#Data]&gt;=7))/SUMPRODUCT((tblY11[Class]=$B66)*(RIGHT(tblY11[#Headers],8)=CHAR(10)&amp;"Stanine")*ISNUMBER(tblY11[#Data])),""))</f>
        <v/>
      </c>
      <c r="J66" s="36" t="str">
        <f>IF($B66="","",IFERROR(SUMPRODUCT((tblY11[Class]=$B66)*(RIGHT(tblY11[#Headers],8)=CHAR(10)&amp;"Stanine")*ISNUMBER(tblY11[#Data])*(tblY11[#Data]&lt;=3))/SUMPRODUCT((tblY11[Class]=$B66)*(RIGHT(tblY11[#Headers],8)=CHAR(10)&amp;"Stanine")*ISNUMBER(tblY11[#Data])),""))</f>
        <v/>
      </c>
      <c r="K66" s="36" t="str">
        <f>IF($B66="","",IFERROR(IF(Calc!$AF$7="","",AVERAGEIFS(INDEX(tblY11[#Data],0,MATCH(Calc!$AF$7&amp;CHAR(10)&amp;"Raw Score",tblY11[#Headers],0)),tblY11[Class],$B66)/Calc!$AG$7),""))</f>
        <v/>
      </c>
      <c r="L66" s="34" t="str">
        <f>IF($B66="","",IFERROR(IF(Calc!$AF$7="","",AVERAGEIFS(INDEX(tblY11[#Data],0,MATCH(Calc!$AF$7&amp;CHAR(10)&amp;"Stanine",tblY11[#Headers],0)),tblY11[Class],$B66)),""))</f>
        <v/>
      </c>
      <c r="M66" s="36" t="str">
        <f>IF($B66="","",IFERROR(IF(Calc!$AF$7="","",(COUNTIFS(INDEX(tblY11[#Data],0,MATCH(Calc!$AF$7&amp;CHAR(10)&amp;"Raw Score",tblY11[#Headers],0)),"&gt;=0",tblY11[Class],$B66)+COUNTIFS(INDEX(tblY11[#Data],0,MATCH(Calc!$AF$7&amp;CHAR(10)&amp;"Raw Score",tblY11[#Headers],0)),"A",tblY11[Class],$B66))/COUNTIF(tblY11[Class],$B66)),""))</f>
        <v/>
      </c>
    </row>
    <row r="67">
      <c r="B67" s="31" t="str">
        <f>Calc!W10</f>
        <v/>
      </c>
      <c r="C67" s="32" t="str">
        <f>IF($B67="","",IFERROR(INDEX(tblTeachers[Teacher],MATCH("Year 11"&amp;"|"&amp;$B67,tblTeachers[Key],0))&amp;"",""))</f>
        <v/>
      </c>
      <c r="D67" s="33" t="str">
        <f>IF($B67="","",IFERROR(COUNTIF(tblY11[Class],$B67),""))</f>
        <v/>
      </c>
      <c r="E67" s="34" t="str">
        <f>IF($B67="","",IFERROR(AVERAGEIFS(tblY11[Avg KS2 Band],tblY11[Class],$B67),""))</f>
        <v/>
      </c>
      <c r="F67" s="34" t="str">
        <f>IF($B67="","",IFERROR(AVERAGEIFS(tblY11[Tests Sat],tblY11[Class],$B67),""))</f>
        <v/>
      </c>
      <c r="G67" s="34" t="str">
        <f>IF($B67="","",IFERROR(AVERAGEIFS(tblY11[Mean Stanine],tblY11[Class],$B67),""))</f>
        <v/>
      </c>
      <c r="H67" s="35" t="str">
        <f>IF($B67="","",IFERROR(AVERAGEIFS(tblY11[vs Expected],tblY11[Class],$B67),""))</f>
        <v/>
      </c>
      <c r="I67" s="36" t="str">
        <f>IF($B67="","",IFERROR(SUMPRODUCT((tblY11[Class]=$B67)*(RIGHT(tblY11[#Headers],8)=CHAR(10)&amp;"Stanine")*ISNUMBER(tblY11[#Data])*(tblY11[#Data]&gt;=7))/SUMPRODUCT((tblY11[Class]=$B67)*(RIGHT(tblY11[#Headers],8)=CHAR(10)&amp;"Stanine")*ISNUMBER(tblY11[#Data])),""))</f>
        <v/>
      </c>
      <c r="J67" s="36" t="str">
        <f>IF($B67="","",IFERROR(SUMPRODUCT((tblY11[Class]=$B67)*(RIGHT(tblY11[#Headers],8)=CHAR(10)&amp;"Stanine")*ISNUMBER(tblY11[#Data])*(tblY11[#Data]&lt;=3))/SUMPRODUCT((tblY11[Class]=$B67)*(RIGHT(tblY11[#Headers],8)=CHAR(10)&amp;"Stanine")*ISNUMBER(tblY11[#Data])),""))</f>
        <v/>
      </c>
      <c r="K67" s="36" t="str">
        <f>IF($B67="","",IFERROR(IF(Calc!$AF$7="","",AVERAGEIFS(INDEX(tblY11[#Data],0,MATCH(Calc!$AF$7&amp;CHAR(10)&amp;"Raw Score",tblY11[#Headers],0)),tblY11[Class],$B67)/Calc!$AG$7),""))</f>
        <v/>
      </c>
      <c r="L67" s="34" t="str">
        <f>IF($B67="","",IFERROR(IF(Calc!$AF$7="","",AVERAGEIFS(INDEX(tblY11[#Data],0,MATCH(Calc!$AF$7&amp;CHAR(10)&amp;"Stanine",tblY11[#Headers],0)),tblY11[Class],$B67)),""))</f>
        <v/>
      </c>
      <c r="M67" s="36" t="str">
        <f>IF($B67="","",IFERROR(IF(Calc!$AF$7="","",(COUNTIFS(INDEX(tblY11[#Data],0,MATCH(Calc!$AF$7&amp;CHAR(10)&amp;"Raw Score",tblY11[#Headers],0)),"&gt;=0",tblY11[Class],$B67)+COUNTIFS(INDEX(tblY11[#Data],0,MATCH(Calc!$AF$7&amp;CHAR(10)&amp;"Raw Score",tblY11[#Headers],0)),"A",tblY11[Class],$B67))/COUNTIF(tblY11[Class],$B67)),""))</f>
        <v/>
      </c>
    </row>
    <row r="69">
      <c r="B69" s="37" t="inlineStr">
        <is>
          <t>How to read this: 'Mean stanine' compares a class with its whole year group (5 = the year average). 'vs expected' compares the class's stanines with what students with the same KS2 bands average across the year group, so a set with high (or low) KS2 results is judged fairly. Results at 7-9 and 1-3 count every test result, not students.</t>
        </is>
      </c>
    </row>
    <row r="70"/>
    <row r="71"/>
    <row r="72"/>
  </sheetData>
  <sheetProtection selectLockedCells="0" selectUnlockedCells="0" sheet="1" objects="0" insertRows="1" insertHyperlinks="1" autoFilter="1" scenarios="0" formatColumns="0" deleteColumns="1" insertColumns="1" pivotTables="1" deleteRows="1" formatCells="1" formatRows="0" sort="1"/>
  <mergeCells count="9">
    <mergeCell ref="G5:I7"/>
    <mergeCell ref="D4:F4"/>
    <mergeCell ref="J4:M4"/>
    <mergeCell ref="B5:C7"/>
    <mergeCell ref="G4:I4"/>
    <mergeCell ref="D5:F7"/>
    <mergeCell ref="J5:M7"/>
    <mergeCell ref="B69:M72"/>
    <mergeCell ref="B4:C4"/>
  </mergeCells>
  <conditionalFormatting sqref="G12:G19">
    <cfRule type="expression" priority="1" dxfId="0">
      <formula>AND(ISNUMBER(G12),ISNUMBER(5),G12-5&gt;=1.0)</formula>
    </cfRule>
    <cfRule type="expression" priority="2" dxfId="1">
      <formula>AND(ISNUMBER(G12),ISNUMBER(5),G12-5&gt;=0.4)</formula>
    </cfRule>
    <cfRule type="expression" priority="3" dxfId="2">
      <formula>AND(ISNUMBER(G12),ISNUMBER(5),G12-5&lt;=-1.0)</formula>
    </cfRule>
    <cfRule type="expression" priority="4" dxfId="3">
      <formula>AND(ISNUMBER(G12),ISNUMBER(5),G12-5&lt;=-0.4)</formula>
    </cfRule>
  </conditionalFormatting>
  <conditionalFormatting sqref="H12:H19">
    <cfRule type="expression" priority="5" dxfId="0">
      <formula>AND(ISNUMBER(H12),ISNUMBER(0),H12-0&gt;=0.5)</formula>
    </cfRule>
    <cfRule type="expression" priority="6" dxfId="1">
      <formula>AND(ISNUMBER(H12),ISNUMBER(0),H12-0&gt;=0.2)</formula>
    </cfRule>
    <cfRule type="expression" priority="7" dxfId="2">
      <formula>AND(ISNUMBER(H12),ISNUMBER(0),H12-0&lt;=-0.5)</formula>
    </cfRule>
    <cfRule type="expression" priority="8" dxfId="3">
      <formula>AND(ISNUMBER(H12),ISNUMBER(0),H12-0&lt;=-0.2)</formula>
    </cfRule>
  </conditionalFormatting>
  <conditionalFormatting sqref="K12:K19">
    <cfRule type="expression" priority="9" dxfId="0">
      <formula>AND(ISNUMBER(K12),ISNUMBER($K$11),K12-$K$11&gt;=0.1)</formula>
    </cfRule>
    <cfRule type="expression" priority="10" dxfId="1">
      <formula>AND(ISNUMBER(K12),ISNUMBER($K$11),K12-$K$11&gt;=0.03)</formula>
    </cfRule>
    <cfRule type="expression" priority="11" dxfId="2">
      <formula>AND(ISNUMBER(K12),ISNUMBER($K$11),K12-$K$11&lt;=-0.1)</formula>
    </cfRule>
    <cfRule type="expression" priority="12" dxfId="3">
      <formula>AND(ISNUMBER(K12),ISNUMBER($K$11),K12-$K$11&lt;=-0.03)</formula>
    </cfRule>
  </conditionalFormatting>
  <conditionalFormatting sqref="I11:I19">
    <cfRule type="dataBar" priority="13">
      <dataBar showValue="1">
        <cfvo type="num" val="0"/>
        <cfvo type="num" val="1"/>
        <color rgb="009EC5F4"/>
      </dataBar>
    </cfRule>
  </conditionalFormatting>
  <conditionalFormatting sqref="J11:J19">
    <cfRule type="dataBar" priority="14">
      <dataBar showValue="1">
        <cfvo type="num" val="0"/>
        <cfvo type="num" val="1"/>
        <color rgb="00F2C4C3"/>
      </dataBar>
    </cfRule>
  </conditionalFormatting>
  <conditionalFormatting sqref="M11:M19">
    <cfRule type="expression" priority="15" dxfId="2">
      <formula>AND(ISNUMBER(M11),M11=0)</formula>
    </cfRule>
    <cfRule type="expression" priority="16" dxfId="4">
      <formula>AND(ISNUMBER(M11),M11&lt;1)</formula>
    </cfRule>
  </conditionalFormatting>
  <conditionalFormatting sqref="G24:G31">
    <cfRule type="expression" priority="17" dxfId="0">
      <formula>AND(ISNUMBER(G24),ISNUMBER(5),G24-5&gt;=1.0)</formula>
    </cfRule>
    <cfRule type="expression" priority="18" dxfId="1">
      <formula>AND(ISNUMBER(G24),ISNUMBER(5),G24-5&gt;=0.4)</formula>
    </cfRule>
    <cfRule type="expression" priority="19" dxfId="2">
      <formula>AND(ISNUMBER(G24),ISNUMBER(5),G24-5&lt;=-1.0)</formula>
    </cfRule>
    <cfRule type="expression" priority="20" dxfId="3">
      <formula>AND(ISNUMBER(G24),ISNUMBER(5),G24-5&lt;=-0.4)</formula>
    </cfRule>
  </conditionalFormatting>
  <conditionalFormatting sqref="H24:H31">
    <cfRule type="expression" priority="21" dxfId="0">
      <formula>AND(ISNUMBER(H24),ISNUMBER(0),H24-0&gt;=0.5)</formula>
    </cfRule>
    <cfRule type="expression" priority="22" dxfId="1">
      <formula>AND(ISNUMBER(H24),ISNUMBER(0),H24-0&gt;=0.2)</formula>
    </cfRule>
    <cfRule type="expression" priority="23" dxfId="2">
      <formula>AND(ISNUMBER(H24),ISNUMBER(0),H24-0&lt;=-0.5)</formula>
    </cfRule>
    <cfRule type="expression" priority="24" dxfId="3">
      <formula>AND(ISNUMBER(H24),ISNUMBER(0),H24-0&lt;=-0.2)</formula>
    </cfRule>
  </conditionalFormatting>
  <conditionalFormatting sqref="K24:K31">
    <cfRule type="expression" priority="25" dxfId="0">
      <formula>AND(ISNUMBER(K24),ISNUMBER($K$23),K24-$K$23&gt;=0.1)</formula>
    </cfRule>
    <cfRule type="expression" priority="26" dxfId="1">
      <formula>AND(ISNUMBER(K24),ISNUMBER($K$23),K24-$K$23&gt;=0.03)</formula>
    </cfRule>
    <cfRule type="expression" priority="27" dxfId="2">
      <formula>AND(ISNUMBER(K24),ISNUMBER($K$23),K24-$K$23&lt;=-0.1)</formula>
    </cfRule>
    <cfRule type="expression" priority="28" dxfId="3">
      <formula>AND(ISNUMBER(K24),ISNUMBER($K$23),K24-$K$23&lt;=-0.03)</formula>
    </cfRule>
  </conditionalFormatting>
  <conditionalFormatting sqref="I23:I31">
    <cfRule type="dataBar" priority="29">
      <dataBar showValue="1">
        <cfvo type="num" val="0"/>
        <cfvo type="num" val="1"/>
        <color rgb="009EC5F4"/>
      </dataBar>
    </cfRule>
  </conditionalFormatting>
  <conditionalFormatting sqref="J23:J31">
    <cfRule type="dataBar" priority="30">
      <dataBar showValue="1">
        <cfvo type="num" val="0"/>
        <cfvo type="num" val="1"/>
        <color rgb="00F2C4C3"/>
      </dataBar>
    </cfRule>
  </conditionalFormatting>
  <conditionalFormatting sqref="M23:M31">
    <cfRule type="expression" priority="31" dxfId="2">
      <formula>AND(ISNUMBER(M23),M23=0)</formula>
    </cfRule>
    <cfRule type="expression" priority="32" dxfId="4">
      <formula>AND(ISNUMBER(M23),M23&lt;1)</formula>
    </cfRule>
  </conditionalFormatting>
  <conditionalFormatting sqref="G36:G43">
    <cfRule type="expression" priority="33" dxfId="0">
      <formula>AND(ISNUMBER(G36),ISNUMBER(5),G36-5&gt;=1.0)</formula>
    </cfRule>
    <cfRule type="expression" priority="34" dxfId="1">
      <formula>AND(ISNUMBER(G36),ISNUMBER(5),G36-5&gt;=0.4)</formula>
    </cfRule>
    <cfRule type="expression" priority="35" dxfId="2">
      <formula>AND(ISNUMBER(G36),ISNUMBER(5),G36-5&lt;=-1.0)</formula>
    </cfRule>
    <cfRule type="expression" priority="36" dxfId="3">
      <formula>AND(ISNUMBER(G36),ISNUMBER(5),G36-5&lt;=-0.4)</formula>
    </cfRule>
  </conditionalFormatting>
  <conditionalFormatting sqref="H36:H43">
    <cfRule type="expression" priority="37" dxfId="0">
      <formula>AND(ISNUMBER(H36),ISNUMBER(0),H36-0&gt;=0.5)</formula>
    </cfRule>
    <cfRule type="expression" priority="38" dxfId="1">
      <formula>AND(ISNUMBER(H36),ISNUMBER(0),H36-0&gt;=0.2)</formula>
    </cfRule>
    <cfRule type="expression" priority="39" dxfId="2">
      <formula>AND(ISNUMBER(H36),ISNUMBER(0),H36-0&lt;=-0.5)</formula>
    </cfRule>
    <cfRule type="expression" priority="40" dxfId="3">
      <formula>AND(ISNUMBER(H36),ISNUMBER(0),H36-0&lt;=-0.2)</formula>
    </cfRule>
  </conditionalFormatting>
  <conditionalFormatting sqref="K36:K43">
    <cfRule type="expression" priority="41" dxfId="0">
      <formula>AND(ISNUMBER(K36),ISNUMBER($K$35),K36-$K$35&gt;=0.1)</formula>
    </cfRule>
    <cfRule type="expression" priority="42" dxfId="1">
      <formula>AND(ISNUMBER(K36),ISNUMBER($K$35),K36-$K$35&gt;=0.03)</formula>
    </cfRule>
    <cfRule type="expression" priority="43" dxfId="2">
      <formula>AND(ISNUMBER(K36),ISNUMBER($K$35),K36-$K$35&lt;=-0.1)</formula>
    </cfRule>
    <cfRule type="expression" priority="44" dxfId="3">
      <formula>AND(ISNUMBER(K36),ISNUMBER($K$35),K36-$K$35&lt;=-0.03)</formula>
    </cfRule>
  </conditionalFormatting>
  <conditionalFormatting sqref="I35:I43">
    <cfRule type="dataBar" priority="45">
      <dataBar showValue="1">
        <cfvo type="num" val="0"/>
        <cfvo type="num" val="1"/>
        <color rgb="009EC5F4"/>
      </dataBar>
    </cfRule>
  </conditionalFormatting>
  <conditionalFormatting sqref="J35:J43">
    <cfRule type="dataBar" priority="46">
      <dataBar showValue="1">
        <cfvo type="num" val="0"/>
        <cfvo type="num" val="1"/>
        <color rgb="00F2C4C3"/>
      </dataBar>
    </cfRule>
  </conditionalFormatting>
  <conditionalFormatting sqref="M35:M43">
    <cfRule type="expression" priority="47" dxfId="2">
      <formula>AND(ISNUMBER(M35),M35=0)</formula>
    </cfRule>
    <cfRule type="expression" priority="48" dxfId="4">
      <formula>AND(ISNUMBER(M35),M35&lt;1)</formula>
    </cfRule>
  </conditionalFormatting>
  <conditionalFormatting sqref="G48:G55">
    <cfRule type="expression" priority="49" dxfId="0">
      <formula>AND(ISNUMBER(G48),ISNUMBER(5),G48-5&gt;=1.0)</formula>
    </cfRule>
    <cfRule type="expression" priority="50" dxfId="1">
      <formula>AND(ISNUMBER(G48),ISNUMBER(5),G48-5&gt;=0.4)</formula>
    </cfRule>
    <cfRule type="expression" priority="51" dxfId="2">
      <formula>AND(ISNUMBER(G48),ISNUMBER(5),G48-5&lt;=-1.0)</formula>
    </cfRule>
    <cfRule type="expression" priority="52" dxfId="3">
      <formula>AND(ISNUMBER(G48),ISNUMBER(5),G48-5&lt;=-0.4)</formula>
    </cfRule>
  </conditionalFormatting>
  <conditionalFormatting sqref="H48:H55">
    <cfRule type="expression" priority="53" dxfId="0">
      <formula>AND(ISNUMBER(H48),ISNUMBER(0),H48-0&gt;=0.5)</formula>
    </cfRule>
    <cfRule type="expression" priority="54" dxfId="1">
      <formula>AND(ISNUMBER(H48),ISNUMBER(0),H48-0&gt;=0.2)</formula>
    </cfRule>
    <cfRule type="expression" priority="55" dxfId="2">
      <formula>AND(ISNUMBER(H48),ISNUMBER(0),H48-0&lt;=-0.5)</formula>
    </cfRule>
    <cfRule type="expression" priority="56" dxfId="3">
      <formula>AND(ISNUMBER(H48),ISNUMBER(0),H48-0&lt;=-0.2)</formula>
    </cfRule>
  </conditionalFormatting>
  <conditionalFormatting sqref="K48:K55">
    <cfRule type="expression" priority="57" dxfId="0">
      <formula>AND(ISNUMBER(K48),ISNUMBER($K$47),K48-$K$47&gt;=0.1)</formula>
    </cfRule>
    <cfRule type="expression" priority="58" dxfId="1">
      <formula>AND(ISNUMBER(K48),ISNUMBER($K$47),K48-$K$47&gt;=0.03)</formula>
    </cfRule>
    <cfRule type="expression" priority="59" dxfId="2">
      <formula>AND(ISNUMBER(K48),ISNUMBER($K$47),K48-$K$47&lt;=-0.1)</formula>
    </cfRule>
    <cfRule type="expression" priority="60" dxfId="3">
      <formula>AND(ISNUMBER(K48),ISNUMBER($K$47),K48-$K$47&lt;=-0.03)</formula>
    </cfRule>
  </conditionalFormatting>
  <conditionalFormatting sqref="I47:I55">
    <cfRule type="dataBar" priority="61">
      <dataBar showValue="1">
        <cfvo type="num" val="0"/>
        <cfvo type="num" val="1"/>
        <color rgb="009EC5F4"/>
      </dataBar>
    </cfRule>
  </conditionalFormatting>
  <conditionalFormatting sqref="J47:J55">
    <cfRule type="dataBar" priority="62">
      <dataBar showValue="1">
        <cfvo type="num" val="0"/>
        <cfvo type="num" val="1"/>
        <color rgb="00F2C4C3"/>
      </dataBar>
    </cfRule>
  </conditionalFormatting>
  <conditionalFormatting sqref="M47:M55">
    <cfRule type="expression" priority="63" dxfId="2">
      <formula>AND(ISNUMBER(M47),M47=0)</formula>
    </cfRule>
    <cfRule type="expression" priority="64" dxfId="4">
      <formula>AND(ISNUMBER(M47),M47&lt;1)</formula>
    </cfRule>
  </conditionalFormatting>
  <conditionalFormatting sqref="G60:G67">
    <cfRule type="expression" priority="65" dxfId="0">
      <formula>AND(ISNUMBER(G60),ISNUMBER(5),G60-5&gt;=1.0)</formula>
    </cfRule>
    <cfRule type="expression" priority="66" dxfId="1">
      <formula>AND(ISNUMBER(G60),ISNUMBER(5),G60-5&gt;=0.4)</formula>
    </cfRule>
    <cfRule type="expression" priority="67" dxfId="2">
      <formula>AND(ISNUMBER(G60),ISNUMBER(5),G60-5&lt;=-1.0)</formula>
    </cfRule>
    <cfRule type="expression" priority="68" dxfId="3">
      <formula>AND(ISNUMBER(G60),ISNUMBER(5),G60-5&lt;=-0.4)</formula>
    </cfRule>
  </conditionalFormatting>
  <conditionalFormatting sqref="H60:H67">
    <cfRule type="expression" priority="69" dxfId="0">
      <formula>AND(ISNUMBER(H60),ISNUMBER(0),H60-0&gt;=0.5)</formula>
    </cfRule>
    <cfRule type="expression" priority="70" dxfId="1">
      <formula>AND(ISNUMBER(H60),ISNUMBER(0),H60-0&gt;=0.2)</formula>
    </cfRule>
    <cfRule type="expression" priority="71" dxfId="2">
      <formula>AND(ISNUMBER(H60),ISNUMBER(0),H60-0&lt;=-0.5)</formula>
    </cfRule>
    <cfRule type="expression" priority="72" dxfId="3">
      <formula>AND(ISNUMBER(H60),ISNUMBER(0),H60-0&lt;=-0.2)</formula>
    </cfRule>
  </conditionalFormatting>
  <conditionalFormatting sqref="K60:K67">
    <cfRule type="expression" priority="73" dxfId="0">
      <formula>AND(ISNUMBER(K60),ISNUMBER($K$59),K60-$K$59&gt;=0.1)</formula>
    </cfRule>
    <cfRule type="expression" priority="74" dxfId="1">
      <formula>AND(ISNUMBER(K60),ISNUMBER($K$59),K60-$K$59&gt;=0.03)</formula>
    </cfRule>
    <cfRule type="expression" priority="75" dxfId="2">
      <formula>AND(ISNUMBER(K60),ISNUMBER($K$59),K60-$K$59&lt;=-0.1)</formula>
    </cfRule>
    <cfRule type="expression" priority="76" dxfId="3">
      <formula>AND(ISNUMBER(K60),ISNUMBER($K$59),K60-$K$59&lt;=-0.03)</formula>
    </cfRule>
  </conditionalFormatting>
  <conditionalFormatting sqref="I59:I67">
    <cfRule type="dataBar" priority="77">
      <dataBar showValue="1">
        <cfvo type="num" val="0"/>
        <cfvo type="num" val="1"/>
        <color rgb="009EC5F4"/>
      </dataBar>
    </cfRule>
  </conditionalFormatting>
  <conditionalFormatting sqref="J59:J67">
    <cfRule type="dataBar" priority="78">
      <dataBar showValue="1">
        <cfvo type="num" val="0"/>
        <cfvo type="num" val="1"/>
        <color rgb="00F2C4C3"/>
      </dataBar>
    </cfRule>
  </conditionalFormatting>
  <conditionalFormatting sqref="M59:M67">
    <cfRule type="expression" priority="79" dxfId="2">
      <formula>AND(ISNUMBER(M59),M59=0)</formula>
    </cfRule>
    <cfRule type="expression" priority="80" dxfId="4">
      <formula>AND(ISNUMBER(M59),M59&lt;1)</formula>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3.xml><?xml version="1.0" encoding="utf-8"?>
<worksheet xmlns="http://schemas.openxmlformats.org/spreadsheetml/2006/main">
  <sheetPr codeName="shDashboard">
    <tabColor rgb="002A78D6"/>
    <outlinePr summaryBelow="1" summaryRight="1"/>
    <pageSetUpPr fitToPage="1"/>
  </sheetPr>
  <dimension ref="A1:Z105"/>
  <sheetViews>
    <sheetView showGridLines="0" workbookViewId="0">
      <pane ySplit="7" topLeftCell="A8" activePane="bottomLeft" state="frozen"/>
      <selection pane="bottomLeft" activeCell="A1" sqref="A1"/>
    </sheetView>
  </sheetViews>
  <sheetFormatPr baseColWidth="8" defaultRowHeight="15"/>
  <cols>
    <col width="2" customWidth="1" min="1" max="1"/>
    <col width="30" customWidth="1" min="2" max="2"/>
    <col width="11" customWidth="1" min="3" max="3"/>
    <col width="9" customWidth="1" min="4" max="4"/>
    <col width="9"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2"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s>
  <sheetData>
    <row r="1" ht="30" customHeight="1">
      <c r="A1" s="1" t="n"/>
      <c r="B1" s="2" t="inlineStr">
        <is>
          <t>Assessment dashboard</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c r="B2" s="17" t="inlineStr">
        <is>
          <t>Choose a year group and a test. Colours compare each class with the whole year group: blue = above, red = below.</t>
        </is>
      </c>
    </row>
    <row r="4">
      <c r="B4" s="38" t="inlineStr">
        <is>
          <t>Year group</t>
        </is>
      </c>
      <c r="C4" s="39" t="inlineStr">
        <is>
          <t>Year 11</t>
        </is>
      </c>
      <c r="D4" s="40" t="n"/>
      <c r="I4" s="18" t="inlineStr">
        <is>
          <t>Students</t>
        </is>
      </c>
      <c r="J4" s="19" t="n"/>
      <c r="K4" s="18" t="inlineStr">
        <is>
          <t>Tests set</t>
        </is>
      </c>
      <c r="L4" s="19" t="n"/>
      <c r="M4" s="18" t="inlineStr">
        <is>
          <t>Completion, this test</t>
        </is>
      </c>
      <c r="N4" s="19" t="n"/>
      <c r="O4" s="18" t="inlineStr">
        <is>
          <t>Year mean, this test</t>
        </is>
      </c>
      <c r="P4" s="19" t="n"/>
      <c r="Q4" s="19" t="n"/>
    </row>
    <row r="5">
      <c r="B5" s="38" t="inlineStr">
        <is>
          <t>Measure in the grid below</t>
        </is>
      </c>
      <c r="C5" s="39" t="inlineStr">
        <is>
          <t>Mean %</t>
        </is>
      </c>
      <c r="D5" s="40" t="n"/>
      <c r="I5" s="20">
        <f>IFERROR(COUNTA(dLast),0)</f>
        <v>106</v>
      </c>
      <c r="J5" s="19" t="n"/>
      <c r="K5" s="20">
        <f>IFERROR(dTestCount,0)</f>
        <v>6</v>
      </c>
      <c r="L5" s="19" t="n"/>
      <c r="M5" s="41">
        <f>IFERROR((COUNT(dRaw)+COUNTIF(dRaw,"A"))/COUNTA(dLast),"-")</f>
        <v>1</v>
      </c>
      <c r="N5" s="19" t="n"/>
      <c r="O5" s="41">
        <f>IFERROR(AVERAGE(dRaw)/dMax,"-")</f>
        <v>0.461470588235294</v>
      </c>
      <c r="P5" s="19" t="n"/>
      <c r="Q5" s="19" t="n"/>
    </row>
    <row r="6">
      <c r="B6" s="38" t="inlineStr">
        <is>
          <t>Test</t>
        </is>
      </c>
      <c r="C6" s="39" t="inlineStr">
        <is>
          <t>4P07 - Magnetism</t>
        </is>
      </c>
      <c r="D6" s="42" t="n"/>
      <c r="E6" s="42" t="n"/>
      <c r="F6" s="42" t="n"/>
      <c r="G6" s="40" t="n"/>
      <c r="I6" s="19" t="n"/>
      <c r="J6" s="19" t="n"/>
      <c r="K6" s="19" t="n"/>
      <c r="L6" s="19" t="n"/>
      <c r="M6" s="19" t="n"/>
      <c r="N6" s="19" t="n"/>
      <c r="O6" s="19" t="n"/>
      <c r="P6" s="19" t="n"/>
      <c r="Q6" s="19" t="n"/>
    </row>
    <row r="7">
      <c r="B7" s="38" t="inlineStr">
        <is>
          <t>Focus class (trend chart)</t>
        </is>
      </c>
      <c r="C7" s="39" t="inlineStr">
        <is>
          <t>11S/Sc1</t>
        </is>
      </c>
      <c r="D7" s="42" t="n"/>
      <c r="E7" s="40" t="n"/>
      <c r="I7" s="19" t="n"/>
      <c r="J7" s="19" t="n"/>
      <c r="K7" s="19" t="n"/>
      <c r="L7" s="19" t="n"/>
      <c r="M7" s="19" t="n"/>
      <c r="N7" s="19" t="n"/>
      <c r="O7" s="19" t="n"/>
      <c r="P7" s="19" t="n"/>
      <c r="Q7" s="19" t="n"/>
    </row>
    <row r="9">
      <c r="B9" s="6" t="inlineStr">
        <is>
          <t>1.  How each class did on the selected test</t>
        </is>
      </c>
    </row>
    <row r="10">
      <c r="B10" s="43" t="str">
        <f>IF(SelTest="","Choose a test above.",SelTest&amp;IFERROR("   ·   out of "&amp;dMax,""))&amp;IF(Calc!$Y$12&gt;8,"   ·   only the first 8 of "&amp;Calc!$Y$12&amp;" classes fit on the dashboards","")</f>
        <v>4P07 - Magnetism   ·   out of 34</v>
      </c>
    </row>
    <row r="11" ht="30" customHeight="1">
      <c r="B11" s="7" t="inlineStr">
        <is>
          <t>Class</t>
        </is>
      </c>
      <c r="C11" s="7" t="inlineStr">
        <is>
          <t>Teacher</t>
        </is>
      </c>
      <c r="D11" s="7" t="inlineStr">
        <is>
          <t>Students</t>
        </is>
      </c>
      <c r="E11" s="7" t="inlineStr">
        <is>
          <t>Sat</t>
        </is>
      </c>
      <c r="F11" s="7" t="inlineStr">
        <is>
          <t>Absent</t>
        </is>
      </c>
      <c r="G11" s="7" t="inlineStr">
        <is>
          <t>Not
entered</t>
        </is>
      </c>
      <c r="H11" s="7" t="inlineStr">
        <is>
          <t>Mean
mark</t>
        </is>
      </c>
      <c r="I11" s="7" t="inlineStr">
        <is>
          <t>Mean %</t>
        </is>
      </c>
      <c r="J11" s="7" t="inlineStr">
        <is>
          <t>Mean
stanine</t>
        </is>
      </c>
      <c r="K11" s="7" t="inlineStr">
        <is>
          <t>Stanine
1-3</t>
        </is>
      </c>
      <c r="L11" s="7" t="inlineStr">
        <is>
          <t>Stanine
4-6</t>
        </is>
      </c>
      <c r="M11" s="7" t="inlineStr">
        <is>
          <t>Stanine
7-9</t>
        </is>
      </c>
      <c r="N11" s="7" t="inlineStr">
        <is>
          <t>vs year
(% points)</t>
        </is>
      </c>
    </row>
    <row r="12">
      <c r="B12" s="44" t="inlineStr">
        <is>
          <t>Whole year</t>
        </is>
      </c>
      <c r="C12" s="45" t="n"/>
      <c r="D12" s="46">
        <f>IFERROR(COUNTA(dLast),"")</f>
        <v>106</v>
      </c>
      <c r="E12" s="46">
        <f>IFERROR(IF(dHasTest,COUNT(dRaw),""),"")</f>
        <v>100</v>
      </c>
      <c r="F12" s="46">
        <f>IFERROR(COUNTIF(dRaw,"A"),"")</f>
        <v>6</v>
      </c>
      <c r="G12" s="46">
        <f>IFERROR(IF($D12="","",$D12-$E12-$F12),"")</f>
        <v>0</v>
      </c>
      <c r="H12" s="47">
        <f>IFERROR(IF(N($E12)=0,"",AVERAGE(dRaw)),"")</f>
        <v>15.69</v>
      </c>
      <c r="I12" s="48">
        <f>IFERROR(IF($H12="","",$H12/dMax),"")</f>
        <v>0.461470588235294</v>
      </c>
      <c r="J12" s="47">
        <f>IFERROR(IF(N($E12)=0,"",AVERAGE(dStn)),"")</f>
        <v>5.01</v>
      </c>
      <c r="K12" s="48">
        <f>IFERROR(IF(N($E12)=0,"",COUNTIFS(dStn,"&lt;=3")/$E12),"")</f>
        <v>0.23</v>
      </c>
      <c r="L12" s="48">
        <f>IFERROR(IF(N($E12)=0,"",COUNTIFS(dStn,"&gt;=4",dStn,"&lt;=6")/$E12),"")</f>
        <v>0.55</v>
      </c>
      <c r="M12" s="48">
        <f>IFERROR(IF(N($E12)=0,"",COUNTIFS(dStn,"&gt;=7")/$E12),"")</f>
        <v>0.22</v>
      </c>
      <c r="N12" s="45" t="n"/>
    </row>
    <row r="13">
      <c r="B13" s="31" t="str">
        <f>Calc!Y3</f>
        <v>11S/Sc1</v>
      </c>
      <c r="C13" s="32" t="str">
        <f>IFERROR(IF($B13="","",IFERROR(INDEX(tblTeachers[Teacher],MATCH(SelYear&amp;"|"&amp;$B13,tblTeachers[Key],0))&amp;"","")),"")</f>
        <v>Ms Rahman</v>
      </c>
      <c r="D13" s="33">
        <f>IFERROR(IF($B13="","",COUNTIF(dClass,$B13)),"")</f>
        <v>28</v>
      </c>
      <c r="E13" s="33">
        <f>IFERROR(IF($B13="","",COUNTIFS(dClass,$B13,dRaw,"&gt;=0")),"")</f>
        <v>27</v>
      </c>
      <c r="F13" s="33">
        <f>IFERROR(IF($B13="","",COUNTIFS(dClass,$B13,dRaw,"A")),"")</f>
        <v>1</v>
      </c>
      <c r="G13" s="33">
        <f>IFERROR(IF($D13="","",$D13-$E13-$F13),"")</f>
        <v>0</v>
      </c>
      <c r="H13" s="34">
        <f>IFERROR(IF(OR($B13="",N($E13)=0),"",AVERAGEIFS(dRaw,dClass,$B13)),"")</f>
        <v>22.2592592592593</v>
      </c>
      <c r="I13" s="36">
        <f>IFERROR(IF($H13="","",$H13/dMax),"")</f>
        <v>0.654684095860566</v>
      </c>
      <c r="J13" s="34">
        <f>IFERROR(IF(OR($B13="",N($E13)=0),"",AVERAGEIFS(dStn,dClass,$B13)),"")</f>
        <v>6.77777777777778</v>
      </c>
      <c r="K13" s="36">
        <f>IFERROR(IF(OR($B13="",N($E13)=0),"",COUNTIFS(dClass,$B13,dStn,"&lt;=3")/$E13),"")</f>
        <v>0</v>
      </c>
      <c r="L13" s="36">
        <f>IFERROR(IF(OR($B13="",N($E13)=0),"",COUNTIFS(dClass,$B13,dStn,"&gt;=4",dStn,"&lt;=6")/$E13),"")</f>
        <v>0.444444444444444</v>
      </c>
      <c r="M13" s="36">
        <f>IFERROR(IF(OR($B13="",N($E13)=0),"",COUNTIFS(dClass,$B13,dStn,"&gt;=7")/$E13),"")</f>
        <v>0.555555555555556</v>
      </c>
      <c r="N13" s="49">
        <f>IFERROR(IF(OR($I13="",$I$12=""),"",($I13-$I$12)*100),"")</f>
        <v>19.3213507625272</v>
      </c>
    </row>
    <row r="14">
      <c r="B14" s="31" t="str">
        <f>Calc!Y4</f>
        <v>11S/Sc2</v>
      </c>
      <c r="C14" s="32" t="str">
        <f>IFERROR(IF($B14="","",IFERROR(INDEX(tblTeachers[Teacher],MATCH(SelYear&amp;"|"&amp;$B14,tblTeachers[Key],0))&amp;"","")),"")</f>
        <v>Mrs Evans</v>
      </c>
      <c r="D14" s="33">
        <f>IFERROR(IF($B14="","",COUNTIF(dClass,$B14)),"")</f>
        <v>26</v>
      </c>
      <c r="E14" s="33">
        <f>IFERROR(IF($B14="","",COUNTIFS(dClass,$B14,dRaw,"&gt;=0")),"")</f>
        <v>24</v>
      </c>
      <c r="F14" s="33">
        <f>IFERROR(IF($B14="","",COUNTIFS(dClass,$B14,dRaw,"A")),"")</f>
        <v>2</v>
      </c>
      <c r="G14" s="33">
        <f>IFERROR(IF($D14="","",$D14-$E14-$F14),"")</f>
        <v>0</v>
      </c>
      <c r="H14" s="34">
        <f>IFERROR(IF(OR($B14="",N($E14)=0),"",AVERAGEIFS(dRaw,dClass,$B14)),"")</f>
        <v>16.0833333333333</v>
      </c>
      <c r="I14" s="36">
        <f>IFERROR(IF($H14="","",$H14/dMax),"")</f>
        <v>0.473039215686275</v>
      </c>
      <c r="J14" s="34">
        <f>IFERROR(IF(OR($B14="",N($E14)=0),"",AVERAGEIFS(dStn,dClass,$B14)),"")</f>
        <v>5.125</v>
      </c>
      <c r="K14" s="36">
        <f>IFERROR(IF(OR($B14="",N($E14)=0),"",COUNTIFS(dClass,$B14,dStn,"&lt;=3")/$E14),"")</f>
        <v>0.0833333333333333</v>
      </c>
      <c r="L14" s="36">
        <f>IFERROR(IF(OR($B14="",N($E14)=0),"",COUNTIFS(dClass,$B14,dStn,"&gt;=4",dStn,"&lt;=6")/$E14),"")</f>
        <v>0.833333333333333</v>
      </c>
      <c r="M14" s="36">
        <f>IFERROR(IF(OR($B14="",N($E14)=0),"",COUNTIFS(dClass,$B14,dStn,"&gt;=7")/$E14),"")</f>
        <v>0.0833333333333333</v>
      </c>
      <c r="N14" s="49">
        <f>IFERROR(IF(OR($I14="",$I$12=""),"",($I14-$I$12)*100),"")</f>
        <v>1.15686274509804</v>
      </c>
    </row>
    <row r="15">
      <c r="B15" s="31" t="str">
        <f>Calc!Y5</f>
        <v>11S/Sc3</v>
      </c>
      <c r="C15" s="32" t="str">
        <f>IFERROR(IF($B15="","",IFERROR(INDEX(tblTeachers[Teacher],MATCH(SelYear&amp;"|"&amp;$B15,tblTeachers[Key],0))&amp;"","")),"")</f>
        <v>Mr Owen</v>
      </c>
      <c r="D15" s="33">
        <f>IFERROR(IF($B15="","",COUNTIF(dClass,$B15)),"")</f>
        <v>21</v>
      </c>
      <c r="E15" s="33">
        <f>IFERROR(IF($B15="","",COUNTIFS(dClass,$B15,dRaw,"&gt;=0")),"")</f>
        <v>20</v>
      </c>
      <c r="F15" s="33">
        <f>IFERROR(IF($B15="","",COUNTIFS(dClass,$B15,dRaw,"A")),"")</f>
        <v>1</v>
      </c>
      <c r="G15" s="33">
        <f>IFERROR(IF($D15="","",$D15-$E15-$F15),"")</f>
        <v>0</v>
      </c>
      <c r="H15" s="34">
        <f>IFERROR(IF(OR($B15="",N($E15)=0),"",AVERAGEIFS(dRaw,dClass,$B15)),"")</f>
        <v>14.85</v>
      </c>
      <c r="I15" s="36">
        <f>IFERROR(IF($H15="","",$H15/dMax),"")</f>
        <v>0.436764705882353</v>
      </c>
      <c r="J15" s="34">
        <f>IFERROR(IF(OR($B15="",N($E15)=0),"",AVERAGEIFS(dStn,dClass,$B15)),"")</f>
        <v>4.85</v>
      </c>
      <c r="K15" s="36">
        <f>IFERROR(IF(OR($B15="",N($E15)=0),"",COUNTIFS(dClass,$B15,dStn,"&lt;=3")/$E15),"")</f>
        <v>0.3</v>
      </c>
      <c r="L15" s="36">
        <f>IFERROR(IF(OR($B15="",N($E15)=0),"",COUNTIFS(dClass,$B15,dStn,"&gt;=4",dStn,"&lt;=6")/$E15),"")</f>
        <v>0.45</v>
      </c>
      <c r="M15" s="36">
        <f>IFERROR(IF(OR($B15="",N($E15)=0),"",COUNTIFS(dClass,$B15,dStn,"&gt;=7")/$E15),"")</f>
        <v>0.25</v>
      </c>
      <c r="N15" s="49">
        <f>IFERROR(IF(OR($I15="",$I$12=""),"",($I15-$I$12)*100),"")</f>
        <v>-2.47058823529411</v>
      </c>
    </row>
    <row r="16">
      <c r="B16" s="31" t="str">
        <f>Calc!Y6</f>
        <v>11S/Sc4</v>
      </c>
      <c r="C16" s="32" t="str">
        <f>IFERROR(IF($B16="","",IFERROR(INDEX(tblTeachers[Teacher],MATCH(SelYear&amp;"|"&amp;$B16,tblTeachers[Key],0))&amp;"","")),"")</f>
        <v>Mrs Singh</v>
      </c>
      <c r="D16" s="33">
        <f>IFERROR(IF($B16="","",COUNTIF(dClass,$B16)),"")</f>
        <v>13</v>
      </c>
      <c r="E16" s="33">
        <f>IFERROR(IF($B16="","",COUNTIFS(dClass,$B16,dRaw,"&gt;=0")),"")</f>
        <v>12</v>
      </c>
      <c r="F16" s="33">
        <f>IFERROR(IF($B16="","",COUNTIFS(dClass,$B16,dRaw,"A")),"")</f>
        <v>1</v>
      </c>
      <c r="G16" s="33">
        <f>IFERROR(IF($D16="","",$D16-$E16-$F16),"")</f>
        <v>0</v>
      </c>
      <c r="H16" s="34">
        <f>IFERROR(IF(OR($B16="",N($E16)=0),"",AVERAGEIFS(dRaw,dClass,$B16)),"")</f>
        <v>11.6666666666667</v>
      </c>
      <c r="I16" s="36">
        <f>IFERROR(IF($H16="","",$H16/dMax),"")</f>
        <v>0.343137254901961</v>
      </c>
      <c r="J16" s="34">
        <f>IFERROR(IF(OR($B16="",N($E16)=0),"",AVERAGEIFS(dStn,dClass,$B16)),"")</f>
        <v>3.91666666666667</v>
      </c>
      <c r="K16" s="36">
        <f>IFERROR(IF(OR($B16="",N($E16)=0),"",COUNTIFS(dClass,$B16,dStn,"&lt;=3")/$E16),"")</f>
        <v>0.333333333333333</v>
      </c>
      <c r="L16" s="36">
        <f>IFERROR(IF(OR($B16="",N($E16)=0),"",COUNTIFS(dClass,$B16,dStn,"&gt;=4",dStn,"&lt;=6")/$E16),"")</f>
        <v>0.666666666666667</v>
      </c>
      <c r="M16" s="36">
        <f>IFERROR(IF(OR($B16="",N($E16)=0),"",COUNTIFS(dClass,$B16,dStn,"&gt;=7")/$E16),"")</f>
        <v>0</v>
      </c>
      <c r="N16" s="49">
        <f>IFERROR(IF(OR($I16="",$I$12=""),"",($I16-$I$12)*100),"")</f>
        <v>-11.8333333333333</v>
      </c>
    </row>
    <row r="17">
      <c r="B17" s="31" t="str">
        <f>Calc!Y7</f>
        <v>11S/Sc5</v>
      </c>
      <c r="C17" s="32" t="str">
        <f>IFERROR(IF($B17="","",IFERROR(INDEX(tblTeachers[Teacher],MATCH(SelYear&amp;"|"&amp;$B17,tblTeachers[Key],0))&amp;"","")),"")</f>
        <v>Ms Novak</v>
      </c>
      <c r="D17" s="33">
        <f>IFERROR(IF($B17="","",COUNTIF(dClass,$B17)),"")</f>
        <v>13</v>
      </c>
      <c r="E17" s="33">
        <f>IFERROR(IF($B17="","",COUNTIFS(dClass,$B17,dRaw,"&gt;=0")),"")</f>
        <v>12</v>
      </c>
      <c r="F17" s="33">
        <f>IFERROR(IF($B17="","",COUNTIFS(dClass,$B17,dRaw,"A")),"")</f>
        <v>1</v>
      </c>
      <c r="G17" s="33">
        <f>IFERROR(IF($D17="","",$D17-$E17-$F17),"")</f>
        <v>0</v>
      </c>
      <c r="H17" s="34">
        <f>IFERROR(IF(OR($B17="",N($E17)=0),"",AVERAGEIFS(dRaw,dClass,$B17)),"")</f>
        <v>9.41666666666667</v>
      </c>
      <c r="I17" s="36">
        <f>IFERROR(IF($H17="","",$H17/dMax),"")</f>
        <v>0.276960784313725</v>
      </c>
      <c r="J17" s="34">
        <f>IFERROR(IF(OR($B17="",N($E17)=0),"",AVERAGEIFS(dStn,dClass,$B17)),"")</f>
        <v>3.25</v>
      </c>
      <c r="K17" s="36">
        <f>IFERROR(IF(OR($B17="",N($E17)=0),"",COUNTIFS(dClass,$B17,dStn,"&lt;=3")/$E17),"")</f>
        <v>0.583333333333333</v>
      </c>
      <c r="L17" s="36">
        <f>IFERROR(IF(OR($B17="",N($E17)=0),"",COUNTIFS(dClass,$B17,dStn,"&gt;=4",dStn,"&lt;=6")/$E17),"")</f>
        <v>0.416666666666667</v>
      </c>
      <c r="M17" s="36">
        <f>IFERROR(IF(OR($B17="",N($E17)=0),"",COUNTIFS(dClass,$B17,dStn,"&gt;=7")/$E17),"")</f>
        <v>0</v>
      </c>
      <c r="N17" s="49">
        <f>IFERROR(IF(OR($I17="",$I$12=""),"",($I17-$I$12)*100),"")</f>
        <v>-18.4509803921569</v>
      </c>
    </row>
    <row r="18">
      <c r="B18" s="31" t="str">
        <f>Calc!Y8</f>
        <v>Science Support</v>
      </c>
      <c r="C18" s="32" t="str">
        <f>IFERROR(IF($B18="","",IFERROR(INDEX(tblTeachers[Teacher],MATCH(SelYear&amp;"|"&amp;$B18,tblTeachers[Key],0))&amp;"","")),"")</f>
        <v>Ms Novak</v>
      </c>
      <c r="D18" s="33">
        <f>IFERROR(IF($B18="","",COUNTIF(dClass,$B18)),"")</f>
        <v>5</v>
      </c>
      <c r="E18" s="33">
        <f>IFERROR(IF($B18="","",COUNTIFS(dClass,$B18,dRaw,"&gt;=0")),"")</f>
        <v>5</v>
      </c>
      <c r="F18" s="33">
        <f>IFERROR(IF($B18="","",COUNTIFS(dClass,$B18,dRaw,"A")),"")</f>
        <v>0</v>
      </c>
      <c r="G18" s="33">
        <f>IFERROR(IF($D18="","",$D18-$E18-$F18),"")</f>
        <v>0</v>
      </c>
      <c r="H18" s="34">
        <f>IFERROR(IF(OR($B18="",N($E18)=0),"",AVERAGEIFS(dRaw,dClass,$B18)),"")</f>
        <v>6.4</v>
      </c>
      <c r="I18" s="36">
        <f>IFERROR(IF($H18="","",$H18/dMax),"")</f>
        <v>0.188235294117647</v>
      </c>
      <c r="J18" s="34">
        <f>IFERROR(IF(OR($B18="",N($E18)=0),"",AVERAGEIFS(dStn,dClass,$B18)),"")</f>
        <v>2.4</v>
      </c>
      <c r="K18" s="36">
        <f>IFERROR(IF(OR($B18="",N($E18)=0),"",COUNTIFS(dClass,$B18,dStn,"&lt;=3")/$E18),"")</f>
        <v>0.8</v>
      </c>
      <c r="L18" s="36">
        <f>IFERROR(IF(OR($B18="",N($E18)=0),"",COUNTIFS(dClass,$B18,dStn,"&gt;=4",dStn,"&lt;=6")/$E18),"")</f>
        <v>0.2</v>
      </c>
      <c r="M18" s="36">
        <f>IFERROR(IF(OR($B18="",N($E18)=0),"",COUNTIFS(dClass,$B18,dStn,"&gt;=7")/$E18),"")</f>
        <v>0</v>
      </c>
      <c r="N18" s="49">
        <f>IFERROR(IF(OR($I18="",$I$12=""),"",($I18-$I$12)*100),"")</f>
        <v>-27.3235294117647</v>
      </c>
    </row>
    <row r="19">
      <c r="B19" s="31" t="str">
        <f>Calc!Y9</f>
        <v/>
      </c>
      <c r="C19" s="32" t="str">
        <f>IFERROR(IF($B19="","",IFERROR(INDEX(tblTeachers[Teacher],MATCH(SelYear&amp;"|"&amp;$B19,tblTeachers[Key],0))&amp;"","")),"")</f>
        <v/>
      </c>
      <c r="D19" s="33" t="str">
        <f>IFERROR(IF($B19="","",COUNTIF(dClass,$B19)),"")</f>
        <v/>
      </c>
      <c r="E19" s="33" t="str">
        <f>IFERROR(IF($B19="","",COUNTIFS(dClass,$B19,dRaw,"&gt;=0")),"")</f>
        <v/>
      </c>
      <c r="F19" s="33" t="str">
        <f>IFERROR(IF($B19="","",COUNTIFS(dClass,$B19,dRaw,"A")),"")</f>
        <v/>
      </c>
      <c r="G19" s="33" t="str">
        <f>IFERROR(IF($D19="","",$D19-$E19-$F19),"")</f>
        <v/>
      </c>
      <c r="H19" s="34" t="str">
        <f>IFERROR(IF(OR($B19="",N($E19)=0),"",AVERAGEIFS(dRaw,dClass,$B19)),"")</f>
        <v/>
      </c>
      <c r="I19" s="36" t="str">
        <f>IFERROR(IF($H19="","",$H19/dMax),"")</f>
        <v/>
      </c>
      <c r="J19" s="34" t="str">
        <f>IFERROR(IF(OR($B19="",N($E19)=0),"",AVERAGEIFS(dStn,dClass,$B19)),"")</f>
        <v/>
      </c>
      <c r="K19" s="36" t="str">
        <f>IFERROR(IF(OR($B19="",N($E19)=0),"",COUNTIFS(dClass,$B19,dStn,"&lt;=3")/$E19),"")</f>
        <v/>
      </c>
      <c r="L19" s="36" t="str">
        <f>IFERROR(IF(OR($B19="",N($E19)=0),"",COUNTIFS(dClass,$B19,dStn,"&gt;=4",dStn,"&lt;=6")/$E19),"")</f>
        <v/>
      </c>
      <c r="M19" s="36" t="str">
        <f>IFERROR(IF(OR($B19="",N($E19)=0),"",COUNTIFS(dClass,$B19,dStn,"&gt;=7")/$E19),"")</f>
        <v/>
      </c>
      <c r="N19" s="49" t="str">
        <f>IFERROR(IF(OR($I19="",$I$12=""),"",($I19-$I$12)*100),"")</f>
        <v/>
      </c>
    </row>
    <row r="20">
      <c r="B20" s="31" t="str">
        <f>Calc!Y10</f>
        <v/>
      </c>
      <c r="C20" s="32" t="str">
        <f>IFERROR(IF($B20="","",IFERROR(INDEX(tblTeachers[Teacher],MATCH(SelYear&amp;"|"&amp;$B20,tblTeachers[Key],0))&amp;"","")),"")</f>
        <v/>
      </c>
      <c r="D20" s="33" t="str">
        <f>IFERROR(IF($B20="","",COUNTIF(dClass,$B20)),"")</f>
        <v/>
      </c>
      <c r="E20" s="33" t="str">
        <f>IFERROR(IF($B20="","",COUNTIFS(dClass,$B20,dRaw,"&gt;=0")),"")</f>
        <v/>
      </c>
      <c r="F20" s="33" t="str">
        <f>IFERROR(IF($B20="","",COUNTIFS(dClass,$B20,dRaw,"A")),"")</f>
        <v/>
      </c>
      <c r="G20" s="33" t="str">
        <f>IFERROR(IF($D20="","",$D20-$E20-$F20),"")</f>
        <v/>
      </c>
      <c r="H20" s="34" t="str">
        <f>IFERROR(IF(OR($B20="",N($E20)=0),"",AVERAGEIFS(dRaw,dClass,$B20)),"")</f>
        <v/>
      </c>
      <c r="I20" s="36" t="str">
        <f>IFERROR(IF($H20="","",$H20/dMax),"")</f>
        <v/>
      </c>
      <c r="J20" s="34" t="str">
        <f>IFERROR(IF(OR($B20="",N($E20)=0),"",AVERAGEIFS(dStn,dClass,$B20)),"")</f>
        <v/>
      </c>
      <c r="K20" s="36" t="str">
        <f>IFERROR(IF(OR($B20="",N($E20)=0),"",COUNTIFS(dClass,$B20,dStn,"&lt;=3")/$E20),"")</f>
        <v/>
      </c>
      <c r="L20" s="36" t="str">
        <f>IFERROR(IF(OR($B20="",N($E20)=0),"",COUNTIFS(dClass,$B20,dStn,"&gt;=4",dStn,"&lt;=6")/$E20),"")</f>
        <v/>
      </c>
      <c r="M20" s="36" t="str">
        <f>IFERROR(IF(OR($B20="",N($E20)=0),"",COUNTIFS(dClass,$B20,dStn,"&gt;=7")/$E20),"")</f>
        <v/>
      </c>
      <c r="N20" s="49" t="str">
        <f>IFERROR(IF(OR($I20="",$I$12=""),"",($I20-$I$12)*100),"")</f>
        <v/>
      </c>
    </row>
    <row r="23">
      <c r="B23" s="6" t="inlineStr">
        <is>
          <t>2.  Stanine spread on the selected test</t>
        </is>
      </c>
    </row>
    <row r="24" ht="20" customHeight="1">
      <c r="B24" s="7" t="inlineStr">
        <is>
          <t>Stanine</t>
        </is>
      </c>
      <c r="C24" s="7" t="inlineStr">
        <is>
          <t>1</t>
        </is>
      </c>
      <c r="D24" s="7" t="inlineStr">
        <is>
          <t>2</t>
        </is>
      </c>
      <c r="E24" s="7" t="inlineStr">
        <is>
          <t>3</t>
        </is>
      </c>
      <c r="F24" s="7" t="inlineStr">
        <is>
          <t>4</t>
        </is>
      </c>
      <c r="G24" s="7" t="inlineStr">
        <is>
          <t>5</t>
        </is>
      </c>
      <c r="H24" s="7" t="inlineStr">
        <is>
          <t>6</t>
        </is>
      </c>
      <c r="I24" s="7" t="inlineStr">
        <is>
          <t>7</t>
        </is>
      </c>
      <c r="J24" s="7" t="inlineStr">
        <is>
          <t>8</t>
        </is>
      </c>
      <c r="K24" s="7" t="inlineStr">
        <is>
          <t>9</t>
        </is>
      </c>
    </row>
    <row r="25">
      <c r="B25" s="38" t="inlineStr">
        <is>
          <t>Students</t>
        </is>
      </c>
      <c r="C25" s="33">
        <f>IFERROR(COUNTIF(dStn,1),"")</f>
        <v>2</v>
      </c>
      <c r="D25" s="33">
        <f>IFERROR(COUNTIF(dStn,2),"")</f>
        <v>12</v>
      </c>
      <c r="E25" s="33">
        <f>IFERROR(COUNTIF(dStn,3),"")</f>
        <v>9</v>
      </c>
      <c r="F25" s="33">
        <f>IFERROR(COUNTIF(dStn,4),"")</f>
        <v>16</v>
      </c>
      <c r="G25" s="33">
        <f>IFERROR(COUNTIF(dStn,5),"")</f>
        <v>23</v>
      </c>
      <c r="H25" s="33">
        <f>IFERROR(COUNTIF(dStn,6),"")</f>
        <v>16</v>
      </c>
      <c r="I25" s="33">
        <f>IFERROR(COUNTIF(dStn,7),"")</f>
        <v>8</v>
      </c>
      <c r="J25" s="33">
        <f>IFERROR(COUNTIF(dStn,8),"")</f>
        <v>9</v>
      </c>
      <c r="K25" s="33">
        <f>IFERROR(COUNTIF(dStn,9),"")</f>
        <v>5</v>
      </c>
    </row>
    <row r="26">
      <c r="B26" s="38" t="inlineStr">
        <is>
          <t>% of those who sat</t>
        </is>
      </c>
      <c r="C26" s="36">
        <f>IFERROR(COUNTIF(dStn,1)/COUNT(dStn),"")</f>
        <v>0.02</v>
      </c>
      <c r="D26" s="36">
        <f>IFERROR(COUNTIF(dStn,2)/COUNT(dStn),"")</f>
        <v>0.12</v>
      </c>
      <c r="E26" s="36">
        <f>IFERROR(COUNTIF(dStn,3)/COUNT(dStn),"")</f>
        <v>0.09</v>
      </c>
      <c r="F26" s="36">
        <f>IFERROR(COUNTIF(dStn,4)/COUNT(dStn),"")</f>
        <v>0.16</v>
      </c>
      <c r="G26" s="36">
        <f>IFERROR(COUNTIF(dStn,5)/COUNT(dStn),"")</f>
        <v>0.23</v>
      </c>
      <c r="H26" s="36">
        <f>IFERROR(COUNTIF(dStn,6)/COUNT(dStn),"")</f>
        <v>0.16</v>
      </c>
      <c r="I26" s="36">
        <f>IFERROR(COUNTIF(dStn,7)/COUNT(dStn),"")</f>
        <v>0.08</v>
      </c>
      <c r="J26" s="36">
        <f>IFERROR(COUNTIF(dStn,8)/COUNT(dStn),"")</f>
        <v>0.09</v>
      </c>
      <c r="K26" s="36">
        <f>IFERROR(COUNTIF(dStn,9)/COUNT(dStn),"")</f>
        <v>0.05</v>
      </c>
    </row>
    <row r="27">
      <c r="B27" s="50" t="inlineStr">
        <is>
          <t>Expected % (a normal spread)</t>
        </is>
      </c>
      <c r="C27" s="51" t="n">
        <v>0.04</v>
      </c>
      <c r="D27" s="51" t="n">
        <v>0.07000000000000001</v>
      </c>
      <c r="E27" s="51" t="n">
        <v>0.12</v>
      </c>
      <c r="F27" s="51" t="n">
        <v>0.17</v>
      </c>
      <c r="G27" s="51" t="n">
        <v>0.2</v>
      </c>
      <c r="H27" s="51" t="n">
        <v>0.17</v>
      </c>
      <c r="I27" s="51" t="n">
        <v>0.12</v>
      </c>
      <c r="J27" s="51" t="n">
        <v>0.07000000000000001</v>
      </c>
      <c r="K27" s="51" t="n">
        <v>0.04</v>
      </c>
    </row>
    <row r="30">
      <c r="B30" s="6" t="inlineStr">
        <is>
          <t>3.  Groups: the selected test and all tests so far</t>
        </is>
      </c>
    </row>
    <row r="31" ht="30" customHeight="1">
      <c r="B31" s="7" t="inlineStr">
        <is>
          <t>Group</t>
        </is>
      </c>
      <c r="C31" s="7" t="inlineStr">
        <is>
          <t>Students</t>
        </is>
      </c>
      <c r="D31" s="7" t="inlineStr">
        <is>
          <t>Sat this
test</t>
        </is>
      </c>
      <c r="E31" s="7" t="inlineStr">
        <is>
          <t>Mean %
(this test)</t>
        </is>
      </c>
      <c r="F31" s="7" t="inlineStr">
        <is>
          <t>Mean stanine
(this test)</t>
        </is>
      </c>
      <c r="G31" s="7" t="inlineStr">
        <is>
          <t>Mean stanine
(all tests)</t>
        </is>
      </c>
      <c r="H31" s="7" t="inlineStr">
        <is>
          <t>vs expected
(all tests)</t>
        </is>
      </c>
    </row>
    <row r="32">
      <c r="B32" s="31" t="inlineStr">
        <is>
          <t>Disadvantaged (PP)</t>
        </is>
      </c>
      <c r="C32" s="33">
        <f>IFERROR((COUNTIFS(dPP,"Y")),"")</f>
        <v>33</v>
      </c>
      <c r="D32" s="33">
        <f>IFERROR((COUNTIFS(dPP,"Y",dRaw,"&gt;=0")),"")</f>
        <v>30</v>
      </c>
      <c r="E32" s="36">
        <f>IFERROR(IF((COUNTIFS(dPP,"Y",dRaw,"&gt;=0"))=0,"",(SUMIFS(dRaw,dPP,"Y"))/(COUNTIFS(dPP,"Y",dRaw,"&gt;=0"))/dMax),"")</f>
        <v>0.458823529411765</v>
      </c>
      <c r="F32" s="34">
        <f>IFERROR(IF((COUNTIFS(dPP,"Y",dRaw,"&gt;=0"))=0,"",(SUMIFS(dStn,dPP,"Y"))/(COUNTIFS(dPP,"Y",dStn,"&gt;=1"))),"")</f>
        <v>4.93333333333333</v>
      </c>
      <c r="G32" s="34">
        <f>IFERROR((SUMIFS(dMean,dPP,"Y"))/(COUNTIFS(dPP,"Y",dMean,"&gt;=1")),"")</f>
        <v>4.76161616161616</v>
      </c>
      <c r="H32" s="35">
        <f>IFERROR((SUMIFS(dVs,dPP,"Y"))/(COUNTIFS(dPP,"Y",dVs,"&gt;=-99")),"")</f>
        <v>-0.145696576151121</v>
      </c>
    </row>
    <row r="33">
      <c r="B33" s="31" t="inlineStr">
        <is>
          <t>Not disadvantaged</t>
        </is>
      </c>
      <c r="C33" s="33">
        <f>IFERROR((COUNTA(dLast)-(COUNTIFS(dPP,"Y"))),"")</f>
        <v>73</v>
      </c>
      <c r="D33" s="33">
        <f>IFERROR((COUNT(dRaw)-(COUNTIFS(dPP,"Y",dRaw,"&gt;=0"))),"")</f>
        <v>70</v>
      </c>
      <c r="E33" s="36">
        <f>IFERROR(IF((COUNT(dRaw)-(COUNTIFS(dPP,"Y",dRaw,"&gt;=0")))=0,"",(SUM(dRaw)-(SUMIFS(dRaw,dPP,"Y")))/(COUNT(dRaw)-(COUNTIFS(dPP,"Y",dRaw,"&gt;=0")))/dMax),"")</f>
        <v>0.462605042016807</v>
      </c>
      <c r="F33" s="34">
        <f>IFERROR(IF((COUNT(dRaw)-(COUNTIFS(dPP,"Y",dRaw,"&gt;=0")))=0,"",(SUM(dStn)-(SUMIFS(dStn,dPP,"Y")))/(COUNT(dStn)-(COUNTIFS(dPP,"Y",dStn,"&gt;=1")))),"")</f>
        <v>5.04285714285714</v>
      </c>
      <c r="G33" s="34">
        <f>IFERROR((SUM(dMean)-(SUMIFS(dMean,dPP,"Y")))/(COUNT(dMean)-(COUNTIFS(dPP,"Y",dMean,"&gt;=1"))),"")</f>
        <v>5.06712328767123</v>
      </c>
      <c r="H33" s="35">
        <f>IFERROR((SUM(dVs)-(SUMIFS(dVs,dPP,"Y")))/(COUNT(dVs)-(COUNTIFS(dPP,"Y",dVs,"&gt;=-99"))),"")</f>
        <v>0.0667775974025979</v>
      </c>
    </row>
    <row r="34">
      <c r="B34" s="52" t="inlineStr">
        <is>
          <t>Gap: PP minus not PP</t>
        </is>
      </c>
      <c r="C34" s="53" t="n"/>
      <c r="D34" s="53" t="n"/>
      <c r="E34" s="54">
        <f>IFERROR(IF(OR($E32="",$E33=""),"",($E32-$E33)*100),"")</f>
        <v>-0.3781512605042</v>
      </c>
      <c r="F34" s="55">
        <f>IFERROR(IF(OR($F32="",$F33=""),"",$F32-$F33),"")</f>
        <v>-0.109523809523809</v>
      </c>
      <c r="G34" s="55">
        <f>IFERROR(IF(OR($G32="",$G33=""),"",$G32-$G33),"")</f>
        <v>-0.305507126055073</v>
      </c>
      <c r="H34" s="55">
        <f>IFERROR(IF(OR($H32="",$H33=""),"",$H32-$H33),"")</f>
        <v>-0.212474173553719</v>
      </c>
    </row>
    <row r="35">
      <c r="B35" s="31" t="inlineStr">
        <is>
          <t>SEN support or EHCP (K, E)</t>
        </is>
      </c>
      <c r="C35" s="33">
        <f>IFERROR((COUNTIFS(dSEN,"K")+COUNTIFS(dSEN,"E")),"")</f>
        <v>19</v>
      </c>
      <c r="D35" s="33">
        <f>IFERROR((COUNTIFS(dSEN,"K",dRaw,"&gt;=0")+COUNTIFS(dSEN,"E",dRaw,"&gt;=0")),"")</f>
        <v>18</v>
      </c>
      <c r="E35" s="36">
        <f>IFERROR(IF((COUNTIFS(dSEN,"K",dRaw,"&gt;=0")+COUNTIFS(dSEN,"E",dRaw,"&gt;=0"))=0,"",(SUMIFS(dRaw,dSEN,"K")+SUMIFS(dRaw,dSEN,"E"))/(COUNTIFS(dSEN,"K",dRaw,"&gt;=0")+COUNTIFS(dSEN,"E",dRaw,"&gt;=0"))/dMax),"")</f>
        <v>0.36437908496732</v>
      </c>
      <c r="F35" s="34">
        <f>IFERROR(IF((COUNTIFS(dSEN,"K",dRaw,"&gt;=0")+COUNTIFS(dSEN,"E",dRaw,"&gt;=0"))=0,"",(SUMIFS(dStn,dSEN,"K")+SUMIFS(dStn,dSEN,"E"))/(COUNTIFS(dSEN,"K",dStn,"&gt;=1")+COUNTIFS(dSEN,"E",dStn,"&gt;=1"))),"")</f>
        <v>4.27777777777778</v>
      </c>
      <c r="G35" s="34">
        <f>IFERROR((SUMIFS(dMean,dSEN,"K")+SUMIFS(dMean,dSEN,"E"))/(COUNTIFS(dSEN,"K",dMean,"&gt;=1")+COUNTIFS(dSEN,"E",dMean,"&gt;=1")),"")</f>
        <v>4.11052631578947</v>
      </c>
      <c r="H35" s="35">
        <f>IFERROR((SUMIFS(dVs,dSEN,"K")+SUMIFS(dVs,dSEN,"E"))/(COUNTIFS(dSEN,"K",dVs,"&gt;=-99")+COUNTIFS(dSEN,"E",dVs,"&gt;=-99")),"")</f>
        <v>-0.545059523809523</v>
      </c>
    </row>
    <row r="36">
      <c r="B36" s="31" t="inlineStr">
        <is>
          <t>No SEN support (N or blank)</t>
        </is>
      </c>
      <c r="C36" s="33">
        <f>IFERROR((COUNTA(dLast)-(COUNTIFS(dSEN,"K")+COUNTIFS(dSEN,"E"))),"")</f>
        <v>87</v>
      </c>
      <c r="D36" s="33">
        <f>IFERROR((COUNT(dRaw)-(COUNTIFS(dSEN,"K",dRaw,"&gt;=0")+COUNTIFS(dSEN,"E",dRaw,"&gt;=0"))),"")</f>
        <v>82</v>
      </c>
      <c r="E36" s="36">
        <f>IFERROR(IF((COUNT(dRaw)-(COUNTIFS(dSEN,"K",dRaw,"&gt;=0")+COUNTIFS(dSEN,"E",dRaw,"&gt;=0")))=0,"",(SUM(dRaw)-(SUMIFS(dRaw,dSEN,"K")+SUMIFS(dRaw,dSEN,"E")))/(COUNT(dRaw)-(COUNTIFS(dSEN,"K",dRaw,"&gt;=0")+COUNTIFS(dSEN,"E",dRaw,"&gt;=0")))/dMax),"")</f>
        <v>0.482783357245337</v>
      </c>
      <c r="F36" s="34">
        <f>IFERROR(IF((COUNT(dRaw)-(COUNTIFS(dSEN,"K",dRaw,"&gt;=0")+COUNTIFS(dSEN,"E",dRaw,"&gt;=0")))=0,"",(SUM(dStn)-(SUMIFS(dStn,dSEN,"K")+SUMIFS(dStn,dSEN,"E")))/(COUNT(dStn)-(COUNTIFS(dSEN,"K",dStn,"&gt;=1")+COUNTIFS(dSEN,"E",dStn,"&gt;=1")))),"")</f>
        <v>5.17073170731707</v>
      </c>
      <c r="G36" s="34">
        <f>IFERROR((SUM(dMean)-(SUMIFS(dMean,dSEN,"K")+SUMIFS(dMean,dSEN,"E")))/(COUNT(dMean)-(COUNTIFS(dSEN,"K",dMean,"&gt;=1")+COUNTIFS(dSEN,"E",dMean,"&gt;=1"))),"")</f>
        <v>5.16015325670498</v>
      </c>
      <c r="H36" s="35">
        <f>IFERROR((SUM(dVs)-(SUMIFS(dVs,dSEN,"K")+SUMIFS(dVs,dSEN,"E")))/(COUNT(dVs)-(COUNTIFS(dSEN,"K",dVs,"&gt;=-99")+COUNTIFS(dSEN,"E",dVs,"&gt;=-99"))),"")</f>
        <v>0.112770935960592</v>
      </c>
    </row>
    <row r="37">
      <c r="B37" s="52" t="inlineStr">
        <is>
          <t>Gap: SEN minus no SEN</t>
        </is>
      </c>
      <c r="C37" s="53" t="n"/>
      <c r="D37" s="53" t="n"/>
      <c r="E37" s="54">
        <f>IFERROR(IF(OR($E35="",$E36=""),"",($E35-$E36)*100),"")</f>
        <v>-11.8404272278017</v>
      </c>
      <c r="F37" s="55">
        <f>IFERROR(IF(OR($F35="",$F36=""),"",$F35-$F36),"")</f>
        <v>-0.892953929539296</v>
      </c>
      <c r="G37" s="55">
        <f>IFERROR(IF(OR($G35="",$G36=""),"",$G35-$G36),"")</f>
        <v>-1.04962694091551</v>
      </c>
      <c r="H37" s="55">
        <f>IFERROR(IF(OR($H35="",$H36=""),"",$H35-$H36),"")</f>
        <v>-0.657830459770115</v>
      </c>
    </row>
    <row r="38">
      <c r="B38" s="31" t="inlineStr">
        <is>
          <t>Female</t>
        </is>
      </c>
      <c r="C38" s="33">
        <f>IFERROR((COUNTIFS(dSex,"F")),"")</f>
        <v>54</v>
      </c>
      <c r="D38" s="33">
        <f>IFERROR((COUNTIFS(dSex,"F",dRaw,"&gt;=0")),"")</f>
        <v>52</v>
      </c>
      <c r="E38" s="36">
        <f>IFERROR(IF((COUNTIFS(dSex,"F",dRaw,"&gt;=0"))=0,"",(SUMIFS(dRaw,dSex,"F"))/(COUNTIFS(dSex,"F",dRaw,"&gt;=0"))/dMax),"")</f>
        <v>0.455316742081448</v>
      </c>
      <c r="F38" s="34">
        <f>IFERROR(IF((COUNTIFS(dSex,"F",dRaw,"&gt;=0"))=0,"",(SUMIFS(dStn,dSex,"F"))/(COUNTIFS(dSex,"F",dStn,"&gt;=1"))),"")</f>
        <v>4.92307692307692</v>
      </c>
      <c r="G38" s="34">
        <f>IFERROR((SUMIFS(dMean,dSex,"F"))/(COUNTIFS(dSex,"F",dMean,"&gt;=1")),"")</f>
        <v>4.91728395061729</v>
      </c>
      <c r="H38" s="35">
        <f>IFERROR((SUMIFS(dVs,dSex,"F"))/(COUNTIFS(dSex,"F",dVs,"&gt;=-99")),"")</f>
        <v>-0.0770179974346636</v>
      </c>
    </row>
    <row r="39">
      <c r="B39" s="31" t="inlineStr">
        <is>
          <t>Male</t>
        </is>
      </c>
      <c r="C39" s="33">
        <f>IFERROR((COUNTIFS(dSex,"M")),"")</f>
        <v>52</v>
      </c>
      <c r="D39" s="33">
        <f>IFERROR((COUNTIFS(dSex,"M",dRaw,"&gt;=0")),"")</f>
        <v>48</v>
      </c>
      <c r="E39" s="36">
        <f>IFERROR(IF((COUNTIFS(dSex,"M",dRaw,"&gt;=0"))=0,"",(SUMIFS(dRaw,dSex,"M"))/(COUNTIFS(dSex,"M",dRaw,"&gt;=0"))/dMax),"")</f>
        <v>0.468137254901961</v>
      </c>
      <c r="F39" s="34">
        <f>IFERROR(IF((COUNTIFS(dSex,"M",dRaw,"&gt;=0"))=0,"",(SUMIFS(dStn,dSex,"M"))/(COUNTIFS(dSex,"M",dStn,"&gt;=1"))),"")</f>
        <v>5.10416666666667</v>
      </c>
      <c r="G39" s="34">
        <f>IFERROR((SUMIFS(dMean,dSex,"M"))/(COUNTIFS(dSex,"M",dMean,"&gt;=1")),"")</f>
        <v>5.02884615384615</v>
      </c>
      <c r="H39" s="35">
        <f>IFERROR((SUMIFS(dVs,dSex,"M"))/(COUNTIFS(dSex,"M",dVs,"&gt;=-99")),"")</f>
        <v>0.0815484678719978</v>
      </c>
    </row>
    <row r="40">
      <c r="B40" s="52" t="inlineStr">
        <is>
          <t>Gap: female minus male</t>
        </is>
      </c>
      <c r="C40" s="53" t="n"/>
      <c r="D40" s="53" t="n"/>
      <c r="E40" s="54">
        <f>IFERROR(IF(OR($E38="",$E39=""),"",($E38-$E39)*100),"")</f>
        <v>-1.28205128205128</v>
      </c>
      <c r="F40" s="55">
        <f>IFERROR(IF(OR($F38="",$F39=""),"",$F38-$F39),"")</f>
        <v>-0.181089743589744</v>
      </c>
      <c r="G40" s="55">
        <f>IFERROR(IF(OR($G38="",$G39=""),"",$G38-$G39),"")</f>
        <v>-0.111562203228869</v>
      </c>
      <c r="H40" s="55">
        <f>IFERROR(IF(OR($H38="",$H39=""),"",$H38-$H39),"")</f>
        <v>-0.158566465306661</v>
      </c>
    </row>
    <row r="43">
      <c r="B43" s="6" t="inlineStr">
        <is>
          <t>4.  Every test for the year group</t>
        </is>
      </c>
    </row>
    <row r="44">
      <c r="B44" s="56" t="str">
        <f>"Showing "&amp;LOWER(SelMeasure)&amp;". Class cells: blue = above the whole year group, red = below, grey = under half the class has a mark yet. Completion: amber = partly entered, red = nothing entered yet."</f>
        <v>Showing mean %. Class cells: blue = above the whole year group, red = below, grey = under half the class has a mark yet. Completion: amber = partly entered, red = nothing entered yet.</v>
      </c>
    </row>
    <row r="45" ht="36" customHeight="1">
      <c r="B45" s="7" t="inlineStr">
        <is>
          <t>Test</t>
        </is>
      </c>
      <c r="C45" s="7" t="inlineStr">
        <is>
          <t>Date</t>
        </is>
      </c>
      <c r="D45" s="7" t="inlineStr">
        <is>
          <t>Max</t>
        </is>
      </c>
      <c r="E45" s="7" t="inlineStr">
        <is>
          <t>Sat</t>
        </is>
      </c>
      <c r="F45" s="7" t="inlineStr">
        <is>
          <t>Completion</t>
        </is>
      </c>
      <c r="G45" s="7" t="inlineStr">
        <is>
          <t>Whole year</t>
        </is>
      </c>
      <c r="H45" s="7" t="str">
        <f>IF(Calc!Y3="","",Calc!Y3)</f>
        <v>11S/Sc1</v>
      </c>
      <c r="I45" s="7" t="str">
        <f>IF(Calc!Y4="","",Calc!Y4)</f>
        <v>11S/Sc2</v>
      </c>
      <c r="J45" s="7" t="str">
        <f>IF(Calc!Y5="","",Calc!Y5)</f>
        <v>11S/Sc3</v>
      </c>
      <c r="K45" s="7" t="str">
        <f>IF(Calc!Y6="","",Calc!Y6)</f>
        <v>11S/Sc4</v>
      </c>
      <c r="L45" s="7" t="str">
        <f>IF(Calc!Y7="","",Calc!Y7)</f>
        <v>11S/Sc5</v>
      </c>
      <c r="M45" s="7" t="str">
        <f>IF(Calc!Y8="","",Calc!Y8)</f>
        <v>Science Support</v>
      </c>
      <c r="N45" s="7" t="str">
        <f>IF(Calc!Y9="","",Calc!Y9)</f>
        <v/>
      </c>
      <c r="O45" s="7" t="str">
        <f>IF(Calc!Y10="","",Calc!Y10)</f>
        <v/>
      </c>
    </row>
    <row r="46">
      <c r="B46" s="31" t="str">
        <f>Calc!AA3</f>
        <v>4B05 - Homeostasis</v>
      </c>
      <c r="C46" s="57">
        <f>Calc!AC3</f>
        <v>46291.0</v>
      </c>
      <c r="D46" s="33">
        <f>Calc!AB3</f>
        <v>40</v>
      </c>
      <c r="E46" s="33">
        <f>IF($B46="","",IFERROR(COUNT(INDEX(dData,0,MATCH($B46&amp;CHAR(10)&amp;"Raw Score",dHdr,0))),""))</f>
        <v>103</v>
      </c>
      <c r="F46" s="36">
        <f>IF($B46="","",IFERROR(($E46+COUNTIF(INDEX(dData,0,MATCH($B46&amp;CHAR(10)&amp;"Raw Score",dHdr,0)),"A"))/COUNTA(dLast),""))</f>
        <v>1</v>
      </c>
      <c r="G46" s="58">
        <f>IF($B46="","",IFERROR(CHOOSE(MATCH(SelMeasure,MeasureList,0),AVERAGE(INDEX(dData,0,MATCH($B46&amp;CHAR(10)&amp;"Raw Score",dHdr,0)))/$D46,AVERAGE(INDEX(dData,0,MATCH($B46&amp;CHAR(10)&amp;"Stanine",dHdr,0))),$F46),""))</f>
        <v>0.518932038834951</v>
      </c>
      <c r="H46" s="36">
        <f>IF(OR($B46="",H$45=""),"",IFERROR(CHOOSE(MATCH(SelMeasure,MeasureList,0),AVERAGEIFS(INDEX(dData,0,MATCH($B46&amp;CHAR(10)&amp;"Raw Score",dHdr,0)),dClass,H$45)/$D46,AVERAGEIFS(INDEX(dData,0,MATCH($B46&amp;CHAR(10)&amp;"Stanine",dHdr,0)),dClass,H$45),(COUNTIFS(dClass,H$45,INDEX(dData,0,MATCH($B46&amp;CHAR(10)&amp;"Raw Score",dHdr,0)),"&gt;=0")+COUNTIFS(dClass,H$45,INDEX(dData,0,MATCH($B46&amp;CHAR(10)&amp;"Raw Score",dHdr,0)),"A"))/COUNTIF(dClass,H$45)),""))</f>
        <v>0.728703703703704</v>
      </c>
      <c r="I46" s="36">
        <f>IF(OR($B46="",I$45=""),"",IFERROR(CHOOSE(MATCH(SelMeasure,MeasureList,0),AVERAGEIFS(INDEX(dData,0,MATCH($B46&amp;CHAR(10)&amp;"Raw Score",dHdr,0)),dClass,I$45)/$D46,AVERAGEIFS(INDEX(dData,0,MATCH($B46&amp;CHAR(10)&amp;"Stanine",dHdr,0)),dClass,I$45),(COUNTIFS(dClass,I$45,INDEX(dData,0,MATCH($B46&amp;CHAR(10)&amp;"Raw Score",dHdr,0)),"&gt;=0")+COUNTIFS(dClass,I$45,INDEX(dData,0,MATCH($B46&amp;CHAR(10)&amp;"Raw Score",dHdr,0)),"A"))/COUNTIF(dClass,I$45)),""))</f>
        <v>0.554</v>
      </c>
      <c r="J46" s="36">
        <f>IF(OR($B46="",J$45=""),"",IFERROR(CHOOSE(MATCH(SelMeasure,MeasureList,0),AVERAGEIFS(INDEX(dData,0,MATCH($B46&amp;CHAR(10)&amp;"Raw Score",dHdr,0)),dClass,J$45)/$D46,AVERAGEIFS(INDEX(dData,0,MATCH($B46&amp;CHAR(10)&amp;"Stanine",dHdr,0)),dClass,J$45),(COUNTIFS(dClass,J$45,INDEX(dData,0,MATCH($B46&amp;CHAR(10)&amp;"Raw Score",dHdr,0)),"&gt;=0")+COUNTIFS(dClass,J$45,INDEX(dData,0,MATCH($B46&amp;CHAR(10)&amp;"Raw Score",dHdr,0)),"A"))/COUNTIF(dClass,J$45)),""))</f>
        <v>0.488095238095238</v>
      </c>
      <c r="K46" s="36">
        <f>IF(OR($B46="",K$45=""),"",IFERROR(CHOOSE(MATCH(SelMeasure,MeasureList,0),AVERAGEIFS(INDEX(dData,0,MATCH($B46&amp;CHAR(10)&amp;"Raw Score",dHdr,0)),dClass,K$45)/$D46,AVERAGEIFS(INDEX(dData,0,MATCH($B46&amp;CHAR(10)&amp;"Stanine",dHdr,0)),dClass,K$45),(COUNTIFS(dClass,K$45,INDEX(dData,0,MATCH($B46&amp;CHAR(10)&amp;"Raw Score",dHdr,0)),"&gt;=0")+COUNTIFS(dClass,K$45,INDEX(dData,0,MATCH($B46&amp;CHAR(10)&amp;"Raw Score",dHdr,0)),"A"))/COUNTIF(dClass,K$45)),""))</f>
        <v>0.355769230769231</v>
      </c>
      <c r="L46" s="36">
        <f>IF(OR($B46="",L$45=""),"",IFERROR(CHOOSE(MATCH(SelMeasure,MeasureList,0),AVERAGEIFS(INDEX(dData,0,MATCH($B46&amp;CHAR(10)&amp;"Raw Score",dHdr,0)),dClass,L$45)/$D46,AVERAGEIFS(INDEX(dData,0,MATCH($B46&amp;CHAR(10)&amp;"Stanine",dHdr,0)),dClass,L$45),(COUNTIFS(dClass,L$45,INDEX(dData,0,MATCH($B46&amp;CHAR(10)&amp;"Raw Score",dHdr,0)),"&gt;=0")+COUNTIFS(dClass,L$45,INDEX(dData,0,MATCH($B46&amp;CHAR(10)&amp;"Raw Score",dHdr,0)),"A"))/COUNTIF(dClass,L$45)),""))</f>
        <v>0.323076923076923</v>
      </c>
      <c r="M46" s="36">
        <f>IF(OR($B46="",M$45=""),"",IFERROR(CHOOSE(MATCH(SelMeasure,MeasureList,0),AVERAGEIFS(INDEX(dData,0,MATCH($B46&amp;CHAR(10)&amp;"Raw Score",dHdr,0)),dClass,M$45)/$D46,AVERAGEIFS(INDEX(dData,0,MATCH($B46&amp;CHAR(10)&amp;"Stanine",dHdr,0)),dClass,M$45),(COUNTIFS(dClass,M$45,INDEX(dData,0,MATCH($B46&amp;CHAR(10)&amp;"Raw Score",dHdr,0)),"&gt;=0")+COUNTIFS(dClass,M$45,INDEX(dData,0,MATCH($B46&amp;CHAR(10)&amp;"Raw Score",dHdr,0)),"A"))/COUNTIF(dClass,M$45)),""))</f>
        <v>0.2125</v>
      </c>
      <c r="N46" s="36" t="str">
        <f>IF(OR($B46="",N$45=""),"",IFERROR(CHOOSE(MATCH(SelMeasure,MeasureList,0),AVERAGEIFS(INDEX(dData,0,MATCH($B46&amp;CHAR(10)&amp;"Raw Score",dHdr,0)),dClass,N$45)/$D46,AVERAGEIFS(INDEX(dData,0,MATCH($B46&amp;CHAR(10)&amp;"Stanine",dHdr,0)),dClass,N$45),(COUNTIFS(dClass,N$45,INDEX(dData,0,MATCH($B46&amp;CHAR(10)&amp;"Raw Score",dHdr,0)),"&gt;=0")+COUNTIFS(dClass,N$45,INDEX(dData,0,MATCH($B46&amp;CHAR(10)&amp;"Raw Score",dHdr,0)),"A"))/COUNTIF(dClass,N$45)),""))</f>
        <v/>
      </c>
      <c r="O46" s="36" t="str">
        <f>IF(OR($B46="",O$45=""),"",IFERROR(CHOOSE(MATCH(SelMeasure,MeasureList,0),AVERAGEIFS(INDEX(dData,0,MATCH($B46&amp;CHAR(10)&amp;"Raw Score",dHdr,0)),dClass,O$45)/$D46,AVERAGEIFS(INDEX(dData,0,MATCH($B46&amp;CHAR(10)&amp;"Stanine",dHdr,0)),dClass,O$45),(COUNTIFS(dClass,O$45,INDEX(dData,0,MATCH($B46&amp;CHAR(10)&amp;"Raw Score",dHdr,0)),"&gt;=0")+COUNTIFS(dClass,O$45,INDEX(dData,0,MATCH($B46&amp;CHAR(10)&amp;"Raw Score",dHdr,0)),"A"))/COUNTIF(dClass,O$45)),""))</f>
        <v/>
      </c>
    </row>
    <row r="47">
      <c r="B47" s="31" t="str">
        <f>Calc!AA4</f>
        <v>4C09 - Organic Chemistry</v>
      </c>
      <c r="C47" s="57">
        <f>Calc!AC4</f>
        <v>46305.0</v>
      </c>
      <c r="D47" s="33">
        <f>Calc!AB4</f>
        <v>35</v>
      </c>
      <c r="E47" s="33">
        <f>IF($B47="","",IFERROR(COUNT(INDEX(dData,0,MATCH($B47&amp;CHAR(10)&amp;"Raw Score",dHdr,0))),""))</f>
        <v>97</v>
      </c>
      <c r="F47" s="36">
        <f>IF($B47="","",IFERROR(($E47+COUNTIF(INDEX(dData,0,MATCH($B47&amp;CHAR(10)&amp;"Raw Score",dHdr,0)),"A"))/COUNTA(dLast),""))</f>
        <v>1</v>
      </c>
      <c r="G47" s="58">
        <f>IF($B47="","",IFERROR(CHOOSE(MATCH(SelMeasure,MeasureList,0),AVERAGE(INDEX(dData,0,MATCH($B47&amp;CHAR(10)&amp;"Raw Score",dHdr,0)))/$D47,AVERAGE(INDEX(dData,0,MATCH($B47&amp;CHAR(10)&amp;"Stanine",dHdr,0))),$F47),""))</f>
        <v>0.462150220913108</v>
      </c>
      <c r="H47" s="36">
        <f>IF(OR($B47="",H$45=""),"",IFERROR(CHOOSE(MATCH(SelMeasure,MeasureList,0),AVERAGEIFS(INDEX(dData,0,MATCH($B47&amp;CHAR(10)&amp;"Raw Score",dHdr,0)),dClass,H$45)/$D47,AVERAGEIFS(INDEX(dData,0,MATCH($B47&amp;CHAR(10)&amp;"Stanine",dHdr,0)),dClass,H$45),(COUNTIFS(dClass,H$45,INDEX(dData,0,MATCH($B47&amp;CHAR(10)&amp;"Raw Score",dHdr,0)),"&gt;=0")+COUNTIFS(dClass,H$45,INDEX(dData,0,MATCH($B47&amp;CHAR(10)&amp;"Raw Score",dHdr,0)),"A"))/COUNTIF(dClass,H$45)),""))</f>
        <v>0.626373626373626</v>
      </c>
      <c r="I47" s="36">
        <f>IF(OR($B47="",I$45=""),"",IFERROR(CHOOSE(MATCH(SelMeasure,MeasureList,0),AVERAGEIFS(INDEX(dData,0,MATCH($B47&amp;CHAR(10)&amp;"Raw Score",dHdr,0)),dClass,I$45)/$D47,AVERAGEIFS(INDEX(dData,0,MATCH($B47&amp;CHAR(10)&amp;"Stanine",dHdr,0)),dClass,I$45),(COUNTIFS(dClass,I$45,INDEX(dData,0,MATCH($B47&amp;CHAR(10)&amp;"Raw Score",dHdr,0)),"&gt;=0")+COUNTIFS(dClass,I$45,INDEX(dData,0,MATCH($B47&amp;CHAR(10)&amp;"Raw Score",dHdr,0)),"A"))/COUNTIF(dClass,I$45)),""))</f>
        <v>0.510989010989011</v>
      </c>
      <c r="J47" s="36">
        <f>IF(OR($B47="",J$45=""),"",IFERROR(CHOOSE(MATCH(SelMeasure,MeasureList,0),AVERAGEIFS(INDEX(dData,0,MATCH($B47&amp;CHAR(10)&amp;"Raw Score",dHdr,0)),dClass,J$45)/$D47,AVERAGEIFS(INDEX(dData,0,MATCH($B47&amp;CHAR(10)&amp;"Stanine",dHdr,0)),dClass,J$45),(COUNTIFS(dClass,J$45,INDEX(dData,0,MATCH($B47&amp;CHAR(10)&amp;"Raw Score",dHdr,0)),"&gt;=0")+COUNTIFS(dClass,J$45,INDEX(dData,0,MATCH($B47&amp;CHAR(10)&amp;"Raw Score",dHdr,0)),"A"))/COUNTIF(dClass,J$45)),""))</f>
        <v>0.446616541353383</v>
      </c>
      <c r="K47" s="36">
        <f>IF(OR($B47="",K$45=""),"",IFERROR(CHOOSE(MATCH(SelMeasure,MeasureList,0),AVERAGEIFS(INDEX(dData,0,MATCH($B47&amp;CHAR(10)&amp;"Raw Score",dHdr,0)),dClass,K$45)/$D47,AVERAGEIFS(INDEX(dData,0,MATCH($B47&amp;CHAR(10)&amp;"Stanine",dHdr,0)),dClass,K$45),(COUNTIFS(dClass,K$45,INDEX(dData,0,MATCH($B47&amp;CHAR(10)&amp;"Raw Score",dHdr,0)),"&gt;=0")+COUNTIFS(dClass,K$45,INDEX(dData,0,MATCH($B47&amp;CHAR(10)&amp;"Raw Score",dHdr,0)),"A"))/COUNTIF(dClass,K$45)),""))</f>
        <v>0.295238095238095</v>
      </c>
      <c r="L47" s="36">
        <f>IF(OR($B47="",L$45=""),"",IFERROR(CHOOSE(MATCH(SelMeasure,MeasureList,0),AVERAGEIFS(INDEX(dData,0,MATCH($B47&amp;CHAR(10)&amp;"Raw Score",dHdr,0)),dClass,L$45)/$D47,AVERAGEIFS(INDEX(dData,0,MATCH($B47&amp;CHAR(10)&amp;"Stanine",dHdr,0)),dClass,L$45),(COUNTIFS(dClass,L$45,INDEX(dData,0,MATCH($B47&amp;CHAR(10)&amp;"Raw Score",dHdr,0)),"&gt;=0")+COUNTIFS(dClass,L$45,INDEX(dData,0,MATCH($B47&amp;CHAR(10)&amp;"Raw Score",dHdr,0)),"A"))/COUNTIF(dClass,L$45)),""))</f>
        <v>0.262857142857143</v>
      </c>
      <c r="M47" s="36">
        <f>IF(OR($B47="",M$45=""),"",IFERROR(CHOOSE(MATCH(SelMeasure,MeasureList,0),AVERAGEIFS(INDEX(dData,0,MATCH($B47&amp;CHAR(10)&amp;"Raw Score",dHdr,0)),dClass,M$45)/$D47,AVERAGEIFS(INDEX(dData,0,MATCH($B47&amp;CHAR(10)&amp;"Stanine",dHdr,0)),dClass,M$45),(COUNTIFS(dClass,M$45,INDEX(dData,0,MATCH($B47&amp;CHAR(10)&amp;"Raw Score",dHdr,0)),"&gt;=0")+COUNTIFS(dClass,M$45,INDEX(dData,0,MATCH($B47&amp;CHAR(10)&amp;"Raw Score",dHdr,0)),"A"))/COUNTIF(dClass,M$45)),""))</f>
        <v>0.15</v>
      </c>
      <c r="N47" s="36" t="str">
        <f>IF(OR($B47="",N$45=""),"",IFERROR(CHOOSE(MATCH(SelMeasure,MeasureList,0),AVERAGEIFS(INDEX(dData,0,MATCH($B47&amp;CHAR(10)&amp;"Raw Score",dHdr,0)),dClass,N$45)/$D47,AVERAGEIFS(INDEX(dData,0,MATCH($B47&amp;CHAR(10)&amp;"Stanine",dHdr,0)),dClass,N$45),(COUNTIFS(dClass,N$45,INDEX(dData,0,MATCH($B47&amp;CHAR(10)&amp;"Raw Score",dHdr,0)),"&gt;=0")+COUNTIFS(dClass,N$45,INDEX(dData,0,MATCH($B47&amp;CHAR(10)&amp;"Raw Score",dHdr,0)),"A"))/COUNTIF(dClass,N$45)),""))</f>
        <v/>
      </c>
      <c r="O47" s="36" t="str">
        <f>IF(OR($B47="",O$45=""),"",IFERROR(CHOOSE(MATCH(SelMeasure,MeasureList,0),AVERAGEIFS(INDEX(dData,0,MATCH($B47&amp;CHAR(10)&amp;"Raw Score",dHdr,0)),dClass,O$45)/$D47,AVERAGEIFS(INDEX(dData,0,MATCH($B47&amp;CHAR(10)&amp;"Stanine",dHdr,0)),dClass,O$45),(COUNTIFS(dClass,O$45,INDEX(dData,0,MATCH($B47&amp;CHAR(10)&amp;"Raw Score",dHdr,0)),"&gt;=0")+COUNTIFS(dClass,O$45,INDEX(dData,0,MATCH($B47&amp;CHAR(10)&amp;"Raw Score",dHdr,0)),"A"))/COUNTIF(dClass,O$45)),""))</f>
        <v/>
      </c>
    </row>
    <row r="48">
      <c r="B48" s="31" t="str">
        <f>Calc!AA5</f>
        <v>4P06 - Waves</v>
      </c>
      <c r="C48" s="57">
        <f>Calc!AC5</f>
        <v>46319.0</v>
      </c>
      <c r="D48" s="33">
        <f>Calc!AB5</f>
        <v>38</v>
      </c>
      <c r="E48" s="33">
        <f>IF($B48="","",IFERROR(COUNT(INDEX(dData,0,MATCH($B48&amp;CHAR(10)&amp;"Raw Score",dHdr,0))),""))</f>
        <v>106</v>
      </c>
      <c r="F48" s="36">
        <f>IF($B48="","",IFERROR(($E48+COUNTIF(INDEX(dData,0,MATCH($B48&amp;CHAR(10)&amp;"Raw Score",dHdr,0)),"A"))/COUNTA(dLast),""))</f>
        <v>1</v>
      </c>
      <c r="G48" s="58">
        <f>IF($B48="","",IFERROR(CHOOSE(MATCH(SelMeasure,MeasureList,0),AVERAGE(INDEX(dData,0,MATCH($B48&amp;CHAR(10)&amp;"Raw Score",dHdr,0)))/$D48,AVERAGE(INDEX(dData,0,MATCH($B48&amp;CHAR(10)&amp;"Stanine",dHdr,0))),$F48),""))</f>
        <v>0.553128103277061</v>
      </c>
      <c r="H48" s="36">
        <f>IF(OR($B48="",H$45=""),"",IFERROR(CHOOSE(MATCH(SelMeasure,MeasureList,0),AVERAGEIFS(INDEX(dData,0,MATCH($B48&amp;CHAR(10)&amp;"Raw Score",dHdr,0)),dClass,H$45)/$D48,AVERAGEIFS(INDEX(dData,0,MATCH($B48&amp;CHAR(10)&amp;"Stanine",dHdr,0)),dClass,H$45),(COUNTIFS(dClass,H$45,INDEX(dData,0,MATCH($B48&amp;CHAR(10)&amp;"Raw Score",dHdr,0)),"&gt;=0")+COUNTIFS(dClass,H$45,INDEX(dData,0,MATCH($B48&amp;CHAR(10)&amp;"Raw Score",dHdr,0)),"A"))/COUNTIF(dClass,H$45)),""))</f>
        <v>0.759398496240602</v>
      </c>
      <c r="I48" s="36">
        <f>IF(OR($B48="",I$45=""),"",IFERROR(CHOOSE(MATCH(SelMeasure,MeasureList,0),AVERAGEIFS(INDEX(dData,0,MATCH($B48&amp;CHAR(10)&amp;"Raw Score",dHdr,0)),dClass,I$45)/$D48,AVERAGEIFS(INDEX(dData,0,MATCH($B48&amp;CHAR(10)&amp;"Stanine",dHdr,0)),dClass,I$45),(COUNTIFS(dClass,I$45,INDEX(dData,0,MATCH($B48&amp;CHAR(10)&amp;"Raw Score",dHdr,0)),"&gt;=0")+COUNTIFS(dClass,I$45,INDEX(dData,0,MATCH($B48&amp;CHAR(10)&amp;"Raw Score",dHdr,0)),"A"))/COUNTIF(dClass,I$45)),""))</f>
        <v>0.603238866396761</v>
      </c>
      <c r="J48" s="36">
        <f>IF(OR($B48="",J$45=""),"",IFERROR(CHOOSE(MATCH(SelMeasure,MeasureList,0),AVERAGEIFS(INDEX(dData,0,MATCH($B48&amp;CHAR(10)&amp;"Raw Score",dHdr,0)),dClass,J$45)/$D48,AVERAGEIFS(INDEX(dData,0,MATCH($B48&amp;CHAR(10)&amp;"Stanine",dHdr,0)),dClass,J$45),(COUNTIFS(dClass,J$45,INDEX(dData,0,MATCH($B48&amp;CHAR(10)&amp;"Raw Score",dHdr,0)),"&gt;=0")+COUNTIFS(dClass,J$45,INDEX(dData,0,MATCH($B48&amp;CHAR(10)&amp;"Raw Score",dHdr,0)),"A"))/COUNTIF(dClass,J$45)),""))</f>
        <v>0.526315789473684</v>
      </c>
      <c r="K48" s="36">
        <f>IF(OR($B48="",K$45=""),"",IFERROR(CHOOSE(MATCH(SelMeasure,MeasureList,0),AVERAGEIFS(INDEX(dData,0,MATCH($B48&amp;CHAR(10)&amp;"Raw Score",dHdr,0)),dClass,K$45)/$D48,AVERAGEIFS(INDEX(dData,0,MATCH($B48&amp;CHAR(10)&amp;"Stanine",dHdr,0)),dClass,K$45),(COUNTIFS(dClass,K$45,INDEX(dData,0,MATCH($B48&amp;CHAR(10)&amp;"Raw Score",dHdr,0)),"&gt;=0")+COUNTIFS(dClass,K$45,INDEX(dData,0,MATCH($B48&amp;CHAR(10)&amp;"Raw Score",dHdr,0)),"A"))/COUNTIF(dClass,K$45)),""))</f>
        <v>0.362348178137652</v>
      </c>
      <c r="L48" s="36">
        <f>IF(OR($B48="",L$45=""),"",IFERROR(CHOOSE(MATCH(SelMeasure,MeasureList,0),AVERAGEIFS(INDEX(dData,0,MATCH($B48&amp;CHAR(10)&amp;"Raw Score",dHdr,0)),dClass,L$45)/$D48,AVERAGEIFS(INDEX(dData,0,MATCH($B48&amp;CHAR(10)&amp;"Stanine",dHdr,0)),dClass,L$45),(COUNTIFS(dClass,L$45,INDEX(dData,0,MATCH($B48&amp;CHAR(10)&amp;"Raw Score",dHdr,0)),"&gt;=0")+COUNTIFS(dClass,L$45,INDEX(dData,0,MATCH($B48&amp;CHAR(10)&amp;"Raw Score",dHdr,0)),"A"))/COUNTIF(dClass,L$45)),""))</f>
        <v>0.3582995951417</v>
      </c>
      <c r="M48" s="36">
        <f>IF(OR($B48="",M$45=""),"",IFERROR(CHOOSE(MATCH(SelMeasure,MeasureList,0),AVERAGEIFS(INDEX(dData,0,MATCH($B48&amp;CHAR(10)&amp;"Raw Score",dHdr,0)),dClass,M$45)/$D48,AVERAGEIFS(INDEX(dData,0,MATCH($B48&amp;CHAR(10)&amp;"Stanine",dHdr,0)),dClass,M$45),(COUNTIFS(dClass,M$45,INDEX(dData,0,MATCH($B48&amp;CHAR(10)&amp;"Raw Score",dHdr,0)),"&gt;=0")+COUNTIFS(dClass,M$45,INDEX(dData,0,MATCH($B48&amp;CHAR(10)&amp;"Raw Score",dHdr,0)),"A"))/COUNTIF(dClass,M$45)),""))</f>
        <v>0.252631578947368</v>
      </c>
      <c r="N48" s="36" t="str">
        <f>IF(OR($B48="",N$45=""),"",IFERROR(CHOOSE(MATCH(SelMeasure,MeasureList,0),AVERAGEIFS(INDEX(dData,0,MATCH($B48&amp;CHAR(10)&amp;"Raw Score",dHdr,0)),dClass,N$45)/$D48,AVERAGEIFS(INDEX(dData,0,MATCH($B48&amp;CHAR(10)&amp;"Stanine",dHdr,0)),dClass,N$45),(COUNTIFS(dClass,N$45,INDEX(dData,0,MATCH($B48&amp;CHAR(10)&amp;"Raw Score",dHdr,0)),"&gt;=0")+COUNTIFS(dClass,N$45,INDEX(dData,0,MATCH($B48&amp;CHAR(10)&amp;"Raw Score",dHdr,0)),"A"))/COUNTIF(dClass,N$45)),""))</f>
        <v/>
      </c>
      <c r="O48" s="36" t="str">
        <f>IF(OR($B48="",O$45=""),"",IFERROR(CHOOSE(MATCH(SelMeasure,MeasureList,0),AVERAGEIFS(INDEX(dData,0,MATCH($B48&amp;CHAR(10)&amp;"Raw Score",dHdr,0)),dClass,O$45)/$D48,AVERAGEIFS(INDEX(dData,0,MATCH($B48&amp;CHAR(10)&amp;"Stanine",dHdr,0)),dClass,O$45),(COUNTIFS(dClass,O$45,INDEX(dData,0,MATCH($B48&amp;CHAR(10)&amp;"Raw Score",dHdr,0)),"&gt;=0")+COUNTIFS(dClass,O$45,INDEX(dData,0,MATCH($B48&amp;CHAR(10)&amp;"Raw Score",dHdr,0)),"A"))/COUNTIF(dClass,O$45)),""))</f>
        <v/>
      </c>
    </row>
    <row r="49">
      <c r="B49" s="31" t="str">
        <f>Calc!AA6</f>
        <v>4B06 - Inheritance</v>
      </c>
      <c r="C49" s="57">
        <f>Calc!AC6</f>
        <v>46333.0</v>
      </c>
      <c r="D49" s="33">
        <f>Calc!AB6</f>
        <v>42</v>
      </c>
      <c r="E49" s="33">
        <f>IF($B49="","",IFERROR(COUNT(INDEX(dData,0,MATCH($B49&amp;CHAR(10)&amp;"Raw Score",dHdr,0))),""))</f>
        <v>102</v>
      </c>
      <c r="F49" s="36">
        <f>IF($B49="","",IFERROR(($E49+COUNTIF(INDEX(dData,0,MATCH($B49&amp;CHAR(10)&amp;"Raw Score",dHdr,0)),"A"))/COUNTA(dLast),""))</f>
        <v>1</v>
      </c>
      <c r="G49" s="58">
        <f>IF($B49="","",IFERROR(CHOOSE(MATCH(SelMeasure,MeasureList,0),AVERAGE(INDEX(dData,0,MATCH($B49&amp;CHAR(10)&amp;"Raw Score",dHdr,0)))/$D49,AVERAGE(INDEX(dData,0,MATCH($B49&amp;CHAR(10)&amp;"Stanine",dHdr,0))),$F49),""))</f>
        <v>0.448879551820728</v>
      </c>
      <c r="H49" s="36">
        <f>IF(OR($B49="",H$45=""),"",IFERROR(CHOOSE(MATCH(SelMeasure,MeasureList,0),AVERAGEIFS(INDEX(dData,0,MATCH($B49&amp;CHAR(10)&amp;"Raw Score",dHdr,0)),dClass,H$45)/$D49,AVERAGEIFS(INDEX(dData,0,MATCH($B49&amp;CHAR(10)&amp;"Stanine",dHdr,0)),dClass,H$45),(COUNTIFS(dClass,H$45,INDEX(dData,0,MATCH($B49&amp;CHAR(10)&amp;"Raw Score",dHdr,0)),"&gt;=0")+COUNTIFS(dClass,H$45,INDEX(dData,0,MATCH($B49&amp;CHAR(10)&amp;"Raw Score",dHdr,0)),"A"))/COUNTIF(dClass,H$45)),""))</f>
        <v>0.665784832451499</v>
      </c>
      <c r="I49" s="36">
        <f>IF(OR($B49="",I$45=""),"",IFERROR(CHOOSE(MATCH(SelMeasure,MeasureList,0),AVERAGEIFS(INDEX(dData,0,MATCH($B49&amp;CHAR(10)&amp;"Raw Score",dHdr,0)),dClass,I$45)/$D49,AVERAGEIFS(INDEX(dData,0,MATCH($B49&amp;CHAR(10)&amp;"Stanine",dHdr,0)),dClass,I$45),(COUNTIFS(dClass,I$45,INDEX(dData,0,MATCH($B49&amp;CHAR(10)&amp;"Raw Score",dHdr,0)),"&gt;=0")+COUNTIFS(dClass,I$45,INDEX(dData,0,MATCH($B49&amp;CHAR(10)&amp;"Raw Score",dHdr,0)),"A"))/COUNTIF(dClass,I$45)),""))</f>
        <v>0.4824016563147</v>
      </c>
      <c r="J49" s="36">
        <f>IF(OR($B49="",J$45=""),"",IFERROR(CHOOSE(MATCH(SelMeasure,MeasureList,0),AVERAGEIFS(INDEX(dData,0,MATCH($B49&amp;CHAR(10)&amp;"Raw Score",dHdr,0)),dClass,J$45)/$D49,AVERAGEIFS(INDEX(dData,0,MATCH($B49&amp;CHAR(10)&amp;"Stanine",dHdr,0)),dClass,J$45),(COUNTIFS(dClass,J$45,INDEX(dData,0,MATCH($B49&amp;CHAR(10)&amp;"Raw Score",dHdr,0)),"&gt;=0")+COUNTIFS(dClass,J$45,INDEX(dData,0,MATCH($B49&amp;CHAR(10)&amp;"Raw Score",dHdr,0)),"A"))/COUNTIF(dClass,J$45)),""))</f>
        <v>0.410430839002268</v>
      </c>
      <c r="K49" s="36">
        <f>IF(OR($B49="",K$45=""),"",IFERROR(CHOOSE(MATCH(SelMeasure,MeasureList,0),AVERAGEIFS(INDEX(dData,0,MATCH($B49&amp;CHAR(10)&amp;"Raw Score",dHdr,0)),dClass,K$45)/$D49,AVERAGEIFS(INDEX(dData,0,MATCH($B49&amp;CHAR(10)&amp;"Stanine",dHdr,0)),dClass,K$45),(COUNTIFS(dClass,K$45,INDEX(dData,0,MATCH($B49&amp;CHAR(10)&amp;"Raw Score",dHdr,0)),"&gt;=0")+COUNTIFS(dClass,K$45,INDEX(dData,0,MATCH($B49&amp;CHAR(10)&amp;"Raw Score",dHdr,0)),"A"))/COUNTIF(dClass,K$45)),""))</f>
        <v>0.276556776556777</v>
      </c>
      <c r="L49" s="36">
        <f>IF(OR($B49="",L$45=""),"",IFERROR(CHOOSE(MATCH(SelMeasure,MeasureList,0),AVERAGEIFS(INDEX(dData,0,MATCH($B49&amp;CHAR(10)&amp;"Raw Score",dHdr,0)),dClass,L$45)/$D49,AVERAGEIFS(INDEX(dData,0,MATCH($B49&amp;CHAR(10)&amp;"Stanine",dHdr,0)),dClass,L$45),(COUNTIFS(dClass,L$45,INDEX(dData,0,MATCH($B49&amp;CHAR(10)&amp;"Raw Score",dHdr,0)),"&gt;=0")+COUNTIFS(dClass,L$45,INDEX(dData,0,MATCH($B49&amp;CHAR(10)&amp;"Raw Score",dHdr,0)),"A"))/COUNTIF(dClass,L$45)),""))</f>
        <v>0.282051282051282</v>
      </c>
      <c r="M49" s="36">
        <f>IF(OR($B49="",M$45=""),"",IFERROR(CHOOSE(MATCH(SelMeasure,MeasureList,0),AVERAGEIFS(INDEX(dData,0,MATCH($B49&amp;CHAR(10)&amp;"Raw Score",dHdr,0)),dClass,M$45)/$D49,AVERAGEIFS(INDEX(dData,0,MATCH($B49&amp;CHAR(10)&amp;"Stanine",dHdr,0)),dClass,M$45),(COUNTIFS(dClass,M$45,INDEX(dData,0,MATCH($B49&amp;CHAR(10)&amp;"Raw Score",dHdr,0)),"&gt;=0")+COUNTIFS(dClass,M$45,INDEX(dData,0,MATCH($B49&amp;CHAR(10)&amp;"Raw Score",dHdr,0)),"A"))/COUNTIF(dClass,M$45)),""))</f>
        <v>0.166666666666667</v>
      </c>
      <c r="N49" s="36" t="str">
        <f>IF(OR($B49="",N$45=""),"",IFERROR(CHOOSE(MATCH(SelMeasure,MeasureList,0),AVERAGEIFS(INDEX(dData,0,MATCH($B49&amp;CHAR(10)&amp;"Raw Score",dHdr,0)),dClass,N$45)/$D49,AVERAGEIFS(INDEX(dData,0,MATCH($B49&amp;CHAR(10)&amp;"Stanine",dHdr,0)),dClass,N$45),(COUNTIFS(dClass,N$45,INDEX(dData,0,MATCH($B49&amp;CHAR(10)&amp;"Raw Score",dHdr,0)),"&gt;=0")+COUNTIFS(dClass,N$45,INDEX(dData,0,MATCH($B49&amp;CHAR(10)&amp;"Raw Score",dHdr,0)),"A"))/COUNTIF(dClass,N$45)),""))</f>
        <v/>
      </c>
      <c r="O49" s="36" t="str">
        <f>IF(OR($B49="",O$45=""),"",IFERROR(CHOOSE(MATCH(SelMeasure,MeasureList,0),AVERAGEIFS(INDEX(dData,0,MATCH($B49&amp;CHAR(10)&amp;"Raw Score",dHdr,0)),dClass,O$45)/$D49,AVERAGEIFS(INDEX(dData,0,MATCH($B49&amp;CHAR(10)&amp;"Stanine",dHdr,0)),dClass,O$45),(COUNTIFS(dClass,O$45,INDEX(dData,0,MATCH($B49&amp;CHAR(10)&amp;"Raw Score",dHdr,0)),"&gt;=0")+COUNTIFS(dClass,O$45,INDEX(dData,0,MATCH($B49&amp;CHAR(10)&amp;"Raw Score",dHdr,0)),"A"))/COUNTIF(dClass,O$45)),""))</f>
        <v/>
      </c>
    </row>
    <row r="50">
      <c r="B50" s="31" t="str">
        <f>Calc!AA7</f>
        <v>4C10 - Chemical Analysis</v>
      </c>
      <c r="C50" s="57">
        <f>Calc!AC7</f>
        <v>46347.0</v>
      </c>
      <c r="D50" s="33">
        <f>Calc!AB7</f>
        <v>30</v>
      </c>
      <c r="E50" s="33">
        <f>IF($B50="","",IFERROR(COUNT(INDEX(dData,0,MATCH($B50&amp;CHAR(10)&amp;"Raw Score",dHdr,0))),""))</f>
        <v>105</v>
      </c>
      <c r="F50" s="36">
        <f>IF($B50="","",IFERROR(($E50+COUNTIF(INDEX(dData,0,MATCH($B50&amp;CHAR(10)&amp;"Raw Score",dHdr,0)),"A"))/COUNTA(dLast),""))</f>
        <v>1</v>
      </c>
      <c r="G50" s="58">
        <f>IF($B50="","",IFERROR(CHOOSE(MATCH(SelMeasure,MeasureList,0),AVERAGE(INDEX(dData,0,MATCH($B50&amp;CHAR(10)&amp;"Raw Score",dHdr,0)))/$D50,AVERAGE(INDEX(dData,0,MATCH($B50&amp;CHAR(10)&amp;"Stanine",dHdr,0))),$F50),""))</f>
        <v>0.480634920634921</v>
      </c>
      <c r="H50" s="36">
        <f>IF(OR($B50="",H$45=""),"",IFERROR(CHOOSE(MATCH(SelMeasure,MeasureList,0),AVERAGEIFS(INDEX(dData,0,MATCH($B50&amp;CHAR(10)&amp;"Raw Score",dHdr,0)),dClass,H$45)/$D50,AVERAGEIFS(INDEX(dData,0,MATCH($B50&amp;CHAR(10)&amp;"Stanine",dHdr,0)),dClass,H$45),(COUNTIFS(dClass,H$45,INDEX(dData,0,MATCH($B50&amp;CHAR(10)&amp;"Raw Score",dHdr,0)),"&gt;=0")+COUNTIFS(dClass,H$45,INDEX(dData,0,MATCH($B50&amp;CHAR(10)&amp;"Raw Score",dHdr,0)),"A"))/COUNTIF(dClass,H$45)),""))</f>
        <v>0.664285714285714</v>
      </c>
      <c r="I50" s="36">
        <f>IF(OR($B50="",I$45=""),"",IFERROR(CHOOSE(MATCH(SelMeasure,MeasureList,0),AVERAGEIFS(INDEX(dData,0,MATCH($B50&amp;CHAR(10)&amp;"Raw Score",dHdr,0)),dClass,I$45)/$D50,AVERAGEIFS(INDEX(dData,0,MATCH($B50&amp;CHAR(10)&amp;"Stanine",dHdr,0)),dClass,I$45),(COUNTIFS(dClass,I$45,INDEX(dData,0,MATCH($B50&amp;CHAR(10)&amp;"Raw Score",dHdr,0)),"&gt;=0")+COUNTIFS(dClass,I$45,INDEX(dData,0,MATCH($B50&amp;CHAR(10)&amp;"Raw Score",dHdr,0)),"A"))/COUNTIF(dClass,I$45)),""))</f>
        <v>0.526923076923077</v>
      </c>
      <c r="J50" s="36">
        <f>IF(OR($B50="",J$45=""),"",IFERROR(CHOOSE(MATCH(SelMeasure,MeasureList,0),AVERAGEIFS(INDEX(dData,0,MATCH($B50&amp;CHAR(10)&amp;"Raw Score",dHdr,0)),dClass,J$45)/$D50,AVERAGEIFS(INDEX(dData,0,MATCH($B50&amp;CHAR(10)&amp;"Stanine",dHdr,0)),dClass,J$45),(COUNTIFS(dClass,J$45,INDEX(dData,0,MATCH($B50&amp;CHAR(10)&amp;"Raw Score",dHdr,0)),"&gt;=0")+COUNTIFS(dClass,J$45,INDEX(dData,0,MATCH($B50&amp;CHAR(10)&amp;"Raw Score",dHdr,0)),"A"))/COUNTIF(dClass,J$45)),""))</f>
        <v>0.461666666666667</v>
      </c>
      <c r="K50" s="36">
        <f>IF(OR($B50="",K$45=""),"",IFERROR(CHOOSE(MATCH(SelMeasure,MeasureList,0),AVERAGEIFS(INDEX(dData,0,MATCH($B50&amp;CHAR(10)&amp;"Raw Score",dHdr,0)),dClass,K$45)/$D50,AVERAGEIFS(INDEX(dData,0,MATCH($B50&amp;CHAR(10)&amp;"Stanine",dHdr,0)),dClass,K$45),(COUNTIFS(dClass,K$45,INDEX(dData,0,MATCH($B50&amp;CHAR(10)&amp;"Raw Score",dHdr,0)),"&gt;=0")+COUNTIFS(dClass,K$45,INDEX(dData,0,MATCH($B50&amp;CHAR(10)&amp;"Raw Score",dHdr,0)),"A"))/COUNTIF(dClass,K$45)),""))</f>
        <v>0.315384615384615</v>
      </c>
      <c r="L50" s="36">
        <f>IF(OR($B50="",L$45=""),"",IFERROR(CHOOSE(MATCH(SelMeasure,MeasureList,0),AVERAGEIFS(INDEX(dData,0,MATCH($B50&amp;CHAR(10)&amp;"Raw Score",dHdr,0)),dClass,L$45)/$D50,AVERAGEIFS(INDEX(dData,0,MATCH($B50&amp;CHAR(10)&amp;"Stanine",dHdr,0)),dClass,L$45),(COUNTIFS(dClass,L$45,INDEX(dData,0,MATCH($B50&amp;CHAR(10)&amp;"Raw Score",dHdr,0)),"&gt;=0")+COUNTIFS(dClass,L$45,INDEX(dData,0,MATCH($B50&amp;CHAR(10)&amp;"Raw Score",dHdr,0)),"A"))/COUNTIF(dClass,L$45)),""))</f>
        <v>0.31025641025641</v>
      </c>
      <c r="M50" s="36">
        <f>IF(OR($B50="",M$45=""),"",IFERROR(CHOOSE(MATCH(SelMeasure,MeasureList,0),AVERAGEIFS(INDEX(dData,0,MATCH($B50&amp;CHAR(10)&amp;"Raw Score",dHdr,0)),dClass,M$45)/$D50,AVERAGEIFS(INDEX(dData,0,MATCH($B50&amp;CHAR(10)&amp;"Stanine",dHdr,0)),dClass,M$45),(COUNTIFS(dClass,M$45,INDEX(dData,0,MATCH($B50&amp;CHAR(10)&amp;"Raw Score",dHdr,0)),"&gt;=0")+COUNTIFS(dClass,M$45,INDEX(dData,0,MATCH($B50&amp;CHAR(10)&amp;"Raw Score",dHdr,0)),"A"))/COUNTIF(dClass,M$45)),""))</f>
        <v>0.16</v>
      </c>
      <c r="N50" s="36" t="str">
        <f>IF(OR($B50="",N$45=""),"",IFERROR(CHOOSE(MATCH(SelMeasure,MeasureList,0),AVERAGEIFS(INDEX(dData,0,MATCH($B50&amp;CHAR(10)&amp;"Raw Score",dHdr,0)),dClass,N$45)/$D50,AVERAGEIFS(INDEX(dData,0,MATCH($B50&amp;CHAR(10)&amp;"Stanine",dHdr,0)),dClass,N$45),(COUNTIFS(dClass,N$45,INDEX(dData,0,MATCH($B50&amp;CHAR(10)&amp;"Raw Score",dHdr,0)),"&gt;=0")+COUNTIFS(dClass,N$45,INDEX(dData,0,MATCH($B50&amp;CHAR(10)&amp;"Raw Score",dHdr,0)),"A"))/COUNTIF(dClass,N$45)),""))</f>
        <v/>
      </c>
      <c r="O50" s="36" t="str">
        <f>IF(OR($B50="",O$45=""),"",IFERROR(CHOOSE(MATCH(SelMeasure,MeasureList,0),AVERAGEIFS(INDEX(dData,0,MATCH($B50&amp;CHAR(10)&amp;"Raw Score",dHdr,0)),dClass,O$45)/$D50,AVERAGEIFS(INDEX(dData,0,MATCH($B50&amp;CHAR(10)&amp;"Stanine",dHdr,0)),dClass,O$45),(COUNTIFS(dClass,O$45,INDEX(dData,0,MATCH($B50&amp;CHAR(10)&amp;"Raw Score",dHdr,0)),"&gt;=0")+COUNTIFS(dClass,O$45,INDEX(dData,0,MATCH($B50&amp;CHAR(10)&amp;"Raw Score",dHdr,0)),"A"))/COUNTIF(dClass,O$45)),""))</f>
        <v/>
      </c>
    </row>
    <row r="51">
      <c r="B51" s="31" t="str">
        <f>Calc!AA8</f>
        <v>4P07 - Magnetism</v>
      </c>
      <c r="C51" s="57">
        <f>Calc!AC8</f>
        <v>46361.0</v>
      </c>
      <c r="D51" s="33">
        <f>Calc!AB8</f>
        <v>34</v>
      </c>
      <c r="E51" s="33">
        <f>IF($B51="","",IFERROR(COUNT(INDEX(dData,0,MATCH($B51&amp;CHAR(10)&amp;"Raw Score",dHdr,0))),""))</f>
        <v>100</v>
      </c>
      <c r="F51" s="36">
        <f>IF($B51="","",IFERROR(($E51+COUNTIF(INDEX(dData,0,MATCH($B51&amp;CHAR(10)&amp;"Raw Score",dHdr,0)),"A"))/COUNTA(dLast),""))</f>
        <v>1</v>
      </c>
      <c r="G51" s="58">
        <f>IF($B51="","",IFERROR(CHOOSE(MATCH(SelMeasure,MeasureList,0),AVERAGE(INDEX(dData,0,MATCH($B51&amp;CHAR(10)&amp;"Raw Score",dHdr,0)))/$D51,AVERAGE(INDEX(dData,0,MATCH($B51&amp;CHAR(10)&amp;"Stanine",dHdr,0))),$F51),""))</f>
        <v>0.461470588235294</v>
      </c>
      <c r="H51" s="36">
        <f>IF(OR($B51="",H$45=""),"",IFERROR(CHOOSE(MATCH(SelMeasure,MeasureList,0),AVERAGEIFS(INDEX(dData,0,MATCH($B51&amp;CHAR(10)&amp;"Raw Score",dHdr,0)),dClass,H$45)/$D51,AVERAGEIFS(INDEX(dData,0,MATCH($B51&amp;CHAR(10)&amp;"Stanine",dHdr,0)),dClass,H$45),(COUNTIFS(dClass,H$45,INDEX(dData,0,MATCH($B51&amp;CHAR(10)&amp;"Raw Score",dHdr,0)),"&gt;=0")+COUNTIFS(dClass,H$45,INDEX(dData,0,MATCH($B51&amp;CHAR(10)&amp;"Raw Score",dHdr,0)),"A"))/COUNTIF(dClass,H$45)),""))</f>
        <v>0.654684095860566</v>
      </c>
      <c r="I51" s="36">
        <f>IF(OR($B51="",I$45=""),"",IFERROR(CHOOSE(MATCH(SelMeasure,MeasureList,0),AVERAGEIFS(INDEX(dData,0,MATCH($B51&amp;CHAR(10)&amp;"Raw Score",dHdr,0)),dClass,I$45)/$D51,AVERAGEIFS(INDEX(dData,0,MATCH($B51&amp;CHAR(10)&amp;"Stanine",dHdr,0)),dClass,I$45),(COUNTIFS(dClass,I$45,INDEX(dData,0,MATCH($B51&amp;CHAR(10)&amp;"Raw Score",dHdr,0)),"&gt;=0")+COUNTIFS(dClass,I$45,INDEX(dData,0,MATCH($B51&amp;CHAR(10)&amp;"Raw Score",dHdr,0)),"A"))/COUNTIF(dClass,I$45)),""))</f>
        <v>0.473039215686275</v>
      </c>
      <c r="J51" s="36">
        <f>IF(OR($B51="",J$45=""),"",IFERROR(CHOOSE(MATCH(SelMeasure,MeasureList,0),AVERAGEIFS(INDEX(dData,0,MATCH($B51&amp;CHAR(10)&amp;"Raw Score",dHdr,0)),dClass,J$45)/$D51,AVERAGEIFS(INDEX(dData,0,MATCH($B51&amp;CHAR(10)&amp;"Stanine",dHdr,0)),dClass,J$45),(COUNTIFS(dClass,J$45,INDEX(dData,0,MATCH($B51&amp;CHAR(10)&amp;"Raw Score",dHdr,0)),"&gt;=0")+COUNTIFS(dClass,J$45,INDEX(dData,0,MATCH($B51&amp;CHAR(10)&amp;"Raw Score",dHdr,0)),"A"))/COUNTIF(dClass,J$45)),""))</f>
        <v>0.436764705882353</v>
      </c>
      <c r="K51" s="36">
        <f>IF(OR($B51="",K$45=""),"",IFERROR(CHOOSE(MATCH(SelMeasure,MeasureList,0),AVERAGEIFS(INDEX(dData,0,MATCH($B51&amp;CHAR(10)&amp;"Raw Score",dHdr,0)),dClass,K$45)/$D51,AVERAGEIFS(INDEX(dData,0,MATCH($B51&amp;CHAR(10)&amp;"Stanine",dHdr,0)),dClass,K$45),(COUNTIFS(dClass,K$45,INDEX(dData,0,MATCH($B51&amp;CHAR(10)&amp;"Raw Score",dHdr,0)),"&gt;=0")+COUNTIFS(dClass,K$45,INDEX(dData,0,MATCH($B51&amp;CHAR(10)&amp;"Raw Score",dHdr,0)),"A"))/COUNTIF(dClass,K$45)),""))</f>
        <v>0.343137254901961</v>
      </c>
      <c r="L51" s="36">
        <f>IF(OR($B51="",L$45=""),"",IFERROR(CHOOSE(MATCH(SelMeasure,MeasureList,0),AVERAGEIFS(INDEX(dData,0,MATCH($B51&amp;CHAR(10)&amp;"Raw Score",dHdr,0)),dClass,L$45)/$D51,AVERAGEIFS(INDEX(dData,0,MATCH($B51&amp;CHAR(10)&amp;"Stanine",dHdr,0)),dClass,L$45),(COUNTIFS(dClass,L$45,INDEX(dData,0,MATCH($B51&amp;CHAR(10)&amp;"Raw Score",dHdr,0)),"&gt;=0")+COUNTIFS(dClass,L$45,INDEX(dData,0,MATCH($B51&amp;CHAR(10)&amp;"Raw Score",dHdr,0)),"A"))/COUNTIF(dClass,L$45)),""))</f>
        <v>0.276960784313725</v>
      </c>
      <c r="M51" s="36">
        <f>IF(OR($B51="",M$45=""),"",IFERROR(CHOOSE(MATCH(SelMeasure,MeasureList,0),AVERAGEIFS(INDEX(dData,0,MATCH($B51&amp;CHAR(10)&amp;"Raw Score",dHdr,0)),dClass,M$45)/$D51,AVERAGEIFS(INDEX(dData,0,MATCH($B51&amp;CHAR(10)&amp;"Stanine",dHdr,0)),dClass,M$45),(COUNTIFS(dClass,M$45,INDEX(dData,0,MATCH($B51&amp;CHAR(10)&amp;"Raw Score",dHdr,0)),"&gt;=0")+COUNTIFS(dClass,M$45,INDEX(dData,0,MATCH($B51&amp;CHAR(10)&amp;"Raw Score",dHdr,0)),"A"))/COUNTIF(dClass,M$45)),""))</f>
        <v>0.188235294117647</v>
      </c>
      <c r="N51" s="36" t="str">
        <f>IF(OR($B51="",N$45=""),"",IFERROR(CHOOSE(MATCH(SelMeasure,MeasureList,0),AVERAGEIFS(INDEX(dData,0,MATCH($B51&amp;CHAR(10)&amp;"Raw Score",dHdr,0)),dClass,N$45)/$D51,AVERAGEIFS(INDEX(dData,0,MATCH($B51&amp;CHAR(10)&amp;"Stanine",dHdr,0)),dClass,N$45),(COUNTIFS(dClass,N$45,INDEX(dData,0,MATCH($B51&amp;CHAR(10)&amp;"Raw Score",dHdr,0)),"&gt;=0")+COUNTIFS(dClass,N$45,INDEX(dData,0,MATCH($B51&amp;CHAR(10)&amp;"Raw Score",dHdr,0)),"A"))/COUNTIF(dClass,N$45)),""))</f>
        <v/>
      </c>
      <c r="O51" s="36" t="str">
        <f>IF(OR($B51="",O$45=""),"",IFERROR(CHOOSE(MATCH(SelMeasure,MeasureList,0),AVERAGEIFS(INDEX(dData,0,MATCH($B51&amp;CHAR(10)&amp;"Raw Score",dHdr,0)),dClass,O$45)/$D51,AVERAGEIFS(INDEX(dData,0,MATCH($B51&amp;CHAR(10)&amp;"Stanine",dHdr,0)),dClass,O$45),(COUNTIFS(dClass,O$45,INDEX(dData,0,MATCH($B51&amp;CHAR(10)&amp;"Raw Score",dHdr,0)),"&gt;=0")+COUNTIFS(dClass,O$45,INDEX(dData,0,MATCH($B51&amp;CHAR(10)&amp;"Raw Score",dHdr,0)),"A"))/COUNTIF(dClass,O$45)),""))</f>
        <v/>
      </c>
    </row>
    <row r="52">
      <c r="B52" s="31" t="str">
        <f>Calc!AA9</f>
        <v/>
      </c>
      <c r="C52" s="57" t="str">
        <f>Calc!AC9</f>
        <v/>
      </c>
      <c r="D52" s="33" t="str">
        <f>Calc!AB9</f>
        <v/>
      </c>
      <c r="E52" s="33" t="str">
        <f>IF($B52="","",IFERROR(COUNT(INDEX(dData,0,MATCH($B52&amp;CHAR(10)&amp;"Raw Score",dHdr,0))),""))</f>
        <v/>
      </c>
      <c r="F52" s="36" t="str">
        <f>IF($B52="","",IFERROR(($E52+COUNTIF(INDEX(dData,0,MATCH($B52&amp;CHAR(10)&amp;"Raw Score",dHdr,0)),"A"))/COUNTA(dLast),""))</f>
        <v/>
      </c>
      <c r="G52" s="58" t="str">
        <f>IF($B52="","",IFERROR(CHOOSE(MATCH(SelMeasure,MeasureList,0),AVERAGE(INDEX(dData,0,MATCH($B52&amp;CHAR(10)&amp;"Raw Score",dHdr,0)))/$D52,AVERAGE(INDEX(dData,0,MATCH($B52&amp;CHAR(10)&amp;"Stanine",dHdr,0))),$F52),""))</f>
        <v/>
      </c>
      <c r="H52" s="36" t="str">
        <f>IF(OR($B52="",H$45=""),"",IFERROR(CHOOSE(MATCH(SelMeasure,MeasureList,0),AVERAGEIFS(INDEX(dData,0,MATCH($B52&amp;CHAR(10)&amp;"Raw Score",dHdr,0)),dClass,H$45)/$D52,AVERAGEIFS(INDEX(dData,0,MATCH($B52&amp;CHAR(10)&amp;"Stanine",dHdr,0)),dClass,H$45),(COUNTIFS(dClass,H$45,INDEX(dData,0,MATCH($B52&amp;CHAR(10)&amp;"Raw Score",dHdr,0)),"&gt;=0")+COUNTIFS(dClass,H$45,INDEX(dData,0,MATCH($B52&amp;CHAR(10)&amp;"Raw Score",dHdr,0)),"A"))/COUNTIF(dClass,H$45)),""))</f>
        <v/>
      </c>
      <c r="I52" s="36" t="str">
        <f>IF(OR($B52="",I$45=""),"",IFERROR(CHOOSE(MATCH(SelMeasure,MeasureList,0),AVERAGEIFS(INDEX(dData,0,MATCH($B52&amp;CHAR(10)&amp;"Raw Score",dHdr,0)),dClass,I$45)/$D52,AVERAGEIFS(INDEX(dData,0,MATCH($B52&amp;CHAR(10)&amp;"Stanine",dHdr,0)),dClass,I$45),(COUNTIFS(dClass,I$45,INDEX(dData,0,MATCH($B52&amp;CHAR(10)&amp;"Raw Score",dHdr,0)),"&gt;=0")+COUNTIFS(dClass,I$45,INDEX(dData,0,MATCH($B52&amp;CHAR(10)&amp;"Raw Score",dHdr,0)),"A"))/COUNTIF(dClass,I$45)),""))</f>
        <v/>
      </c>
      <c r="J52" s="36" t="str">
        <f>IF(OR($B52="",J$45=""),"",IFERROR(CHOOSE(MATCH(SelMeasure,MeasureList,0),AVERAGEIFS(INDEX(dData,0,MATCH($B52&amp;CHAR(10)&amp;"Raw Score",dHdr,0)),dClass,J$45)/$D52,AVERAGEIFS(INDEX(dData,0,MATCH($B52&amp;CHAR(10)&amp;"Stanine",dHdr,0)),dClass,J$45),(COUNTIFS(dClass,J$45,INDEX(dData,0,MATCH($B52&amp;CHAR(10)&amp;"Raw Score",dHdr,0)),"&gt;=0")+COUNTIFS(dClass,J$45,INDEX(dData,0,MATCH($B52&amp;CHAR(10)&amp;"Raw Score",dHdr,0)),"A"))/COUNTIF(dClass,J$45)),""))</f>
        <v/>
      </c>
      <c r="K52" s="36" t="str">
        <f>IF(OR($B52="",K$45=""),"",IFERROR(CHOOSE(MATCH(SelMeasure,MeasureList,0),AVERAGEIFS(INDEX(dData,0,MATCH($B52&amp;CHAR(10)&amp;"Raw Score",dHdr,0)),dClass,K$45)/$D52,AVERAGEIFS(INDEX(dData,0,MATCH($B52&amp;CHAR(10)&amp;"Stanine",dHdr,0)),dClass,K$45),(COUNTIFS(dClass,K$45,INDEX(dData,0,MATCH($B52&amp;CHAR(10)&amp;"Raw Score",dHdr,0)),"&gt;=0")+COUNTIFS(dClass,K$45,INDEX(dData,0,MATCH($B52&amp;CHAR(10)&amp;"Raw Score",dHdr,0)),"A"))/COUNTIF(dClass,K$45)),""))</f>
        <v/>
      </c>
      <c r="L52" s="36" t="str">
        <f>IF(OR($B52="",L$45=""),"",IFERROR(CHOOSE(MATCH(SelMeasure,MeasureList,0),AVERAGEIFS(INDEX(dData,0,MATCH($B52&amp;CHAR(10)&amp;"Raw Score",dHdr,0)),dClass,L$45)/$D52,AVERAGEIFS(INDEX(dData,0,MATCH($B52&amp;CHAR(10)&amp;"Stanine",dHdr,0)),dClass,L$45),(COUNTIFS(dClass,L$45,INDEX(dData,0,MATCH($B52&amp;CHAR(10)&amp;"Raw Score",dHdr,0)),"&gt;=0")+COUNTIFS(dClass,L$45,INDEX(dData,0,MATCH($B52&amp;CHAR(10)&amp;"Raw Score",dHdr,0)),"A"))/COUNTIF(dClass,L$45)),""))</f>
        <v/>
      </c>
      <c r="M52" s="36" t="str">
        <f>IF(OR($B52="",M$45=""),"",IFERROR(CHOOSE(MATCH(SelMeasure,MeasureList,0),AVERAGEIFS(INDEX(dData,0,MATCH($B52&amp;CHAR(10)&amp;"Raw Score",dHdr,0)),dClass,M$45)/$D52,AVERAGEIFS(INDEX(dData,0,MATCH($B52&amp;CHAR(10)&amp;"Stanine",dHdr,0)),dClass,M$45),(COUNTIFS(dClass,M$45,INDEX(dData,0,MATCH($B52&amp;CHAR(10)&amp;"Raw Score",dHdr,0)),"&gt;=0")+COUNTIFS(dClass,M$45,INDEX(dData,0,MATCH($B52&amp;CHAR(10)&amp;"Raw Score",dHdr,0)),"A"))/COUNTIF(dClass,M$45)),""))</f>
        <v/>
      </c>
      <c r="N52" s="36" t="str">
        <f>IF(OR($B52="",N$45=""),"",IFERROR(CHOOSE(MATCH(SelMeasure,MeasureList,0),AVERAGEIFS(INDEX(dData,0,MATCH($B52&amp;CHAR(10)&amp;"Raw Score",dHdr,0)),dClass,N$45)/$D52,AVERAGEIFS(INDEX(dData,0,MATCH($B52&amp;CHAR(10)&amp;"Stanine",dHdr,0)),dClass,N$45),(COUNTIFS(dClass,N$45,INDEX(dData,0,MATCH($B52&amp;CHAR(10)&amp;"Raw Score",dHdr,0)),"&gt;=0")+COUNTIFS(dClass,N$45,INDEX(dData,0,MATCH($B52&amp;CHAR(10)&amp;"Raw Score",dHdr,0)),"A"))/COUNTIF(dClass,N$45)),""))</f>
        <v/>
      </c>
      <c r="O52" s="36" t="str">
        <f>IF(OR($B52="",O$45=""),"",IFERROR(CHOOSE(MATCH(SelMeasure,MeasureList,0),AVERAGEIFS(INDEX(dData,0,MATCH($B52&amp;CHAR(10)&amp;"Raw Score",dHdr,0)),dClass,O$45)/$D52,AVERAGEIFS(INDEX(dData,0,MATCH($B52&amp;CHAR(10)&amp;"Stanine",dHdr,0)),dClass,O$45),(COUNTIFS(dClass,O$45,INDEX(dData,0,MATCH($B52&amp;CHAR(10)&amp;"Raw Score",dHdr,0)),"&gt;=0")+COUNTIFS(dClass,O$45,INDEX(dData,0,MATCH($B52&amp;CHAR(10)&amp;"Raw Score",dHdr,0)),"A"))/COUNTIF(dClass,O$45)),""))</f>
        <v/>
      </c>
    </row>
    <row r="53">
      <c r="B53" s="31" t="str">
        <f>Calc!AA10</f>
        <v/>
      </c>
      <c r="C53" s="57" t="str">
        <f>Calc!AC10</f>
        <v/>
      </c>
      <c r="D53" s="33" t="str">
        <f>Calc!AB10</f>
        <v/>
      </c>
      <c r="E53" s="33" t="str">
        <f>IF($B53="","",IFERROR(COUNT(INDEX(dData,0,MATCH($B53&amp;CHAR(10)&amp;"Raw Score",dHdr,0))),""))</f>
        <v/>
      </c>
      <c r="F53" s="36" t="str">
        <f>IF($B53="","",IFERROR(($E53+COUNTIF(INDEX(dData,0,MATCH($B53&amp;CHAR(10)&amp;"Raw Score",dHdr,0)),"A"))/COUNTA(dLast),""))</f>
        <v/>
      </c>
      <c r="G53" s="58" t="str">
        <f>IF($B53="","",IFERROR(CHOOSE(MATCH(SelMeasure,MeasureList,0),AVERAGE(INDEX(dData,0,MATCH($B53&amp;CHAR(10)&amp;"Raw Score",dHdr,0)))/$D53,AVERAGE(INDEX(dData,0,MATCH($B53&amp;CHAR(10)&amp;"Stanine",dHdr,0))),$F53),""))</f>
        <v/>
      </c>
      <c r="H53" s="36" t="str">
        <f>IF(OR($B53="",H$45=""),"",IFERROR(CHOOSE(MATCH(SelMeasure,MeasureList,0),AVERAGEIFS(INDEX(dData,0,MATCH($B53&amp;CHAR(10)&amp;"Raw Score",dHdr,0)),dClass,H$45)/$D53,AVERAGEIFS(INDEX(dData,0,MATCH($B53&amp;CHAR(10)&amp;"Stanine",dHdr,0)),dClass,H$45),(COUNTIFS(dClass,H$45,INDEX(dData,0,MATCH($B53&amp;CHAR(10)&amp;"Raw Score",dHdr,0)),"&gt;=0")+COUNTIFS(dClass,H$45,INDEX(dData,0,MATCH($B53&amp;CHAR(10)&amp;"Raw Score",dHdr,0)),"A"))/COUNTIF(dClass,H$45)),""))</f>
        <v/>
      </c>
      <c r="I53" s="36" t="str">
        <f>IF(OR($B53="",I$45=""),"",IFERROR(CHOOSE(MATCH(SelMeasure,MeasureList,0),AVERAGEIFS(INDEX(dData,0,MATCH($B53&amp;CHAR(10)&amp;"Raw Score",dHdr,0)),dClass,I$45)/$D53,AVERAGEIFS(INDEX(dData,0,MATCH($B53&amp;CHAR(10)&amp;"Stanine",dHdr,0)),dClass,I$45),(COUNTIFS(dClass,I$45,INDEX(dData,0,MATCH($B53&amp;CHAR(10)&amp;"Raw Score",dHdr,0)),"&gt;=0")+COUNTIFS(dClass,I$45,INDEX(dData,0,MATCH($B53&amp;CHAR(10)&amp;"Raw Score",dHdr,0)),"A"))/COUNTIF(dClass,I$45)),""))</f>
        <v/>
      </c>
      <c r="J53" s="36" t="str">
        <f>IF(OR($B53="",J$45=""),"",IFERROR(CHOOSE(MATCH(SelMeasure,MeasureList,0),AVERAGEIFS(INDEX(dData,0,MATCH($B53&amp;CHAR(10)&amp;"Raw Score",dHdr,0)),dClass,J$45)/$D53,AVERAGEIFS(INDEX(dData,0,MATCH($B53&amp;CHAR(10)&amp;"Stanine",dHdr,0)),dClass,J$45),(COUNTIFS(dClass,J$45,INDEX(dData,0,MATCH($B53&amp;CHAR(10)&amp;"Raw Score",dHdr,0)),"&gt;=0")+COUNTIFS(dClass,J$45,INDEX(dData,0,MATCH($B53&amp;CHAR(10)&amp;"Raw Score",dHdr,0)),"A"))/COUNTIF(dClass,J$45)),""))</f>
        <v/>
      </c>
      <c r="K53" s="36" t="str">
        <f>IF(OR($B53="",K$45=""),"",IFERROR(CHOOSE(MATCH(SelMeasure,MeasureList,0),AVERAGEIFS(INDEX(dData,0,MATCH($B53&amp;CHAR(10)&amp;"Raw Score",dHdr,0)),dClass,K$45)/$D53,AVERAGEIFS(INDEX(dData,0,MATCH($B53&amp;CHAR(10)&amp;"Stanine",dHdr,0)),dClass,K$45),(COUNTIFS(dClass,K$45,INDEX(dData,0,MATCH($B53&amp;CHAR(10)&amp;"Raw Score",dHdr,0)),"&gt;=0")+COUNTIFS(dClass,K$45,INDEX(dData,0,MATCH($B53&amp;CHAR(10)&amp;"Raw Score",dHdr,0)),"A"))/COUNTIF(dClass,K$45)),""))</f>
        <v/>
      </c>
      <c r="L53" s="36" t="str">
        <f>IF(OR($B53="",L$45=""),"",IFERROR(CHOOSE(MATCH(SelMeasure,MeasureList,0),AVERAGEIFS(INDEX(dData,0,MATCH($B53&amp;CHAR(10)&amp;"Raw Score",dHdr,0)),dClass,L$45)/$D53,AVERAGEIFS(INDEX(dData,0,MATCH($B53&amp;CHAR(10)&amp;"Stanine",dHdr,0)),dClass,L$45),(COUNTIFS(dClass,L$45,INDEX(dData,0,MATCH($B53&amp;CHAR(10)&amp;"Raw Score",dHdr,0)),"&gt;=0")+COUNTIFS(dClass,L$45,INDEX(dData,0,MATCH($B53&amp;CHAR(10)&amp;"Raw Score",dHdr,0)),"A"))/COUNTIF(dClass,L$45)),""))</f>
        <v/>
      </c>
      <c r="M53" s="36" t="str">
        <f>IF(OR($B53="",M$45=""),"",IFERROR(CHOOSE(MATCH(SelMeasure,MeasureList,0),AVERAGEIFS(INDEX(dData,0,MATCH($B53&amp;CHAR(10)&amp;"Raw Score",dHdr,0)),dClass,M$45)/$D53,AVERAGEIFS(INDEX(dData,0,MATCH($B53&amp;CHAR(10)&amp;"Stanine",dHdr,0)),dClass,M$45),(COUNTIFS(dClass,M$45,INDEX(dData,0,MATCH($B53&amp;CHAR(10)&amp;"Raw Score",dHdr,0)),"&gt;=0")+COUNTIFS(dClass,M$45,INDEX(dData,0,MATCH($B53&amp;CHAR(10)&amp;"Raw Score",dHdr,0)),"A"))/COUNTIF(dClass,M$45)),""))</f>
        <v/>
      </c>
      <c r="N53" s="36" t="str">
        <f>IF(OR($B53="",N$45=""),"",IFERROR(CHOOSE(MATCH(SelMeasure,MeasureList,0),AVERAGEIFS(INDEX(dData,0,MATCH($B53&amp;CHAR(10)&amp;"Raw Score",dHdr,0)),dClass,N$45)/$D53,AVERAGEIFS(INDEX(dData,0,MATCH($B53&amp;CHAR(10)&amp;"Stanine",dHdr,0)),dClass,N$45),(COUNTIFS(dClass,N$45,INDEX(dData,0,MATCH($B53&amp;CHAR(10)&amp;"Raw Score",dHdr,0)),"&gt;=0")+COUNTIFS(dClass,N$45,INDEX(dData,0,MATCH($B53&amp;CHAR(10)&amp;"Raw Score",dHdr,0)),"A"))/COUNTIF(dClass,N$45)),""))</f>
        <v/>
      </c>
      <c r="O53" s="36" t="str">
        <f>IF(OR($B53="",O$45=""),"",IFERROR(CHOOSE(MATCH(SelMeasure,MeasureList,0),AVERAGEIFS(INDEX(dData,0,MATCH($B53&amp;CHAR(10)&amp;"Raw Score",dHdr,0)),dClass,O$45)/$D53,AVERAGEIFS(INDEX(dData,0,MATCH($B53&amp;CHAR(10)&amp;"Stanine",dHdr,0)),dClass,O$45),(COUNTIFS(dClass,O$45,INDEX(dData,0,MATCH($B53&amp;CHAR(10)&amp;"Raw Score",dHdr,0)),"&gt;=0")+COUNTIFS(dClass,O$45,INDEX(dData,0,MATCH($B53&amp;CHAR(10)&amp;"Raw Score",dHdr,0)),"A"))/COUNTIF(dClass,O$45)),""))</f>
        <v/>
      </c>
    </row>
    <row r="54">
      <c r="B54" s="31" t="str">
        <f>Calc!AA11</f>
        <v/>
      </c>
      <c r="C54" s="57" t="str">
        <f>Calc!AC11</f>
        <v/>
      </c>
      <c r="D54" s="33" t="str">
        <f>Calc!AB11</f>
        <v/>
      </c>
      <c r="E54" s="33" t="str">
        <f>IF($B54="","",IFERROR(COUNT(INDEX(dData,0,MATCH($B54&amp;CHAR(10)&amp;"Raw Score",dHdr,0))),""))</f>
        <v/>
      </c>
      <c r="F54" s="36" t="str">
        <f>IF($B54="","",IFERROR(($E54+COUNTIF(INDEX(dData,0,MATCH($B54&amp;CHAR(10)&amp;"Raw Score",dHdr,0)),"A"))/COUNTA(dLast),""))</f>
        <v/>
      </c>
      <c r="G54" s="58" t="str">
        <f>IF($B54="","",IFERROR(CHOOSE(MATCH(SelMeasure,MeasureList,0),AVERAGE(INDEX(dData,0,MATCH($B54&amp;CHAR(10)&amp;"Raw Score",dHdr,0)))/$D54,AVERAGE(INDEX(dData,0,MATCH($B54&amp;CHAR(10)&amp;"Stanine",dHdr,0))),$F54),""))</f>
        <v/>
      </c>
      <c r="H54" s="36" t="str">
        <f>IF(OR($B54="",H$45=""),"",IFERROR(CHOOSE(MATCH(SelMeasure,MeasureList,0),AVERAGEIFS(INDEX(dData,0,MATCH($B54&amp;CHAR(10)&amp;"Raw Score",dHdr,0)),dClass,H$45)/$D54,AVERAGEIFS(INDEX(dData,0,MATCH($B54&amp;CHAR(10)&amp;"Stanine",dHdr,0)),dClass,H$45),(COUNTIFS(dClass,H$45,INDEX(dData,0,MATCH($B54&amp;CHAR(10)&amp;"Raw Score",dHdr,0)),"&gt;=0")+COUNTIFS(dClass,H$45,INDEX(dData,0,MATCH($B54&amp;CHAR(10)&amp;"Raw Score",dHdr,0)),"A"))/COUNTIF(dClass,H$45)),""))</f>
        <v/>
      </c>
      <c r="I54" s="36" t="str">
        <f>IF(OR($B54="",I$45=""),"",IFERROR(CHOOSE(MATCH(SelMeasure,MeasureList,0),AVERAGEIFS(INDEX(dData,0,MATCH($B54&amp;CHAR(10)&amp;"Raw Score",dHdr,0)),dClass,I$45)/$D54,AVERAGEIFS(INDEX(dData,0,MATCH($B54&amp;CHAR(10)&amp;"Stanine",dHdr,0)),dClass,I$45),(COUNTIFS(dClass,I$45,INDEX(dData,0,MATCH($B54&amp;CHAR(10)&amp;"Raw Score",dHdr,0)),"&gt;=0")+COUNTIFS(dClass,I$45,INDEX(dData,0,MATCH($B54&amp;CHAR(10)&amp;"Raw Score",dHdr,0)),"A"))/COUNTIF(dClass,I$45)),""))</f>
        <v/>
      </c>
      <c r="J54" s="36" t="str">
        <f>IF(OR($B54="",J$45=""),"",IFERROR(CHOOSE(MATCH(SelMeasure,MeasureList,0),AVERAGEIFS(INDEX(dData,0,MATCH($B54&amp;CHAR(10)&amp;"Raw Score",dHdr,0)),dClass,J$45)/$D54,AVERAGEIFS(INDEX(dData,0,MATCH($B54&amp;CHAR(10)&amp;"Stanine",dHdr,0)),dClass,J$45),(COUNTIFS(dClass,J$45,INDEX(dData,0,MATCH($B54&amp;CHAR(10)&amp;"Raw Score",dHdr,0)),"&gt;=0")+COUNTIFS(dClass,J$45,INDEX(dData,0,MATCH($B54&amp;CHAR(10)&amp;"Raw Score",dHdr,0)),"A"))/COUNTIF(dClass,J$45)),""))</f>
        <v/>
      </c>
      <c r="K54" s="36" t="str">
        <f>IF(OR($B54="",K$45=""),"",IFERROR(CHOOSE(MATCH(SelMeasure,MeasureList,0),AVERAGEIFS(INDEX(dData,0,MATCH($B54&amp;CHAR(10)&amp;"Raw Score",dHdr,0)),dClass,K$45)/$D54,AVERAGEIFS(INDEX(dData,0,MATCH($B54&amp;CHAR(10)&amp;"Stanine",dHdr,0)),dClass,K$45),(COUNTIFS(dClass,K$45,INDEX(dData,0,MATCH($B54&amp;CHAR(10)&amp;"Raw Score",dHdr,0)),"&gt;=0")+COUNTIFS(dClass,K$45,INDEX(dData,0,MATCH($B54&amp;CHAR(10)&amp;"Raw Score",dHdr,0)),"A"))/COUNTIF(dClass,K$45)),""))</f>
        <v/>
      </c>
      <c r="L54" s="36" t="str">
        <f>IF(OR($B54="",L$45=""),"",IFERROR(CHOOSE(MATCH(SelMeasure,MeasureList,0),AVERAGEIFS(INDEX(dData,0,MATCH($B54&amp;CHAR(10)&amp;"Raw Score",dHdr,0)),dClass,L$45)/$D54,AVERAGEIFS(INDEX(dData,0,MATCH($B54&amp;CHAR(10)&amp;"Stanine",dHdr,0)),dClass,L$45),(COUNTIFS(dClass,L$45,INDEX(dData,0,MATCH($B54&amp;CHAR(10)&amp;"Raw Score",dHdr,0)),"&gt;=0")+COUNTIFS(dClass,L$45,INDEX(dData,0,MATCH($B54&amp;CHAR(10)&amp;"Raw Score",dHdr,0)),"A"))/COUNTIF(dClass,L$45)),""))</f>
        <v/>
      </c>
      <c r="M54" s="36" t="str">
        <f>IF(OR($B54="",M$45=""),"",IFERROR(CHOOSE(MATCH(SelMeasure,MeasureList,0),AVERAGEIFS(INDEX(dData,0,MATCH($B54&amp;CHAR(10)&amp;"Raw Score",dHdr,0)),dClass,M$45)/$D54,AVERAGEIFS(INDEX(dData,0,MATCH($B54&amp;CHAR(10)&amp;"Stanine",dHdr,0)),dClass,M$45),(COUNTIFS(dClass,M$45,INDEX(dData,0,MATCH($B54&amp;CHAR(10)&amp;"Raw Score",dHdr,0)),"&gt;=0")+COUNTIFS(dClass,M$45,INDEX(dData,0,MATCH($B54&amp;CHAR(10)&amp;"Raw Score",dHdr,0)),"A"))/COUNTIF(dClass,M$45)),""))</f>
        <v/>
      </c>
      <c r="N54" s="36" t="str">
        <f>IF(OR($B54="",N$45=""),"",IFERROR(CHOOSE(MATCH(SelMeasure,MeasureList,0),AVERAGEIFS(INDEX(dData,0,MATCH($B54&amp;CHAR(10)&amp;"Raw Score",dHdr,0)),dClass,N$45)/$D54,AVERAGEIFS(INDEX(dData,0,MATCH($B54&amp;CHAR(10)&amp;"Stanine",dHdr,0)),dClass,N$45),(COUNTIFS(dClass,N$45,INDEX(dData,0,MATCH($B54&amp;CHAR(10)&amp;"Raw Score",dHdr,0)),"&gt;=0")+COUNTIFS(dClass,N$45,INDEX(dData,0,MATCH($B54&amp;CHAR(10)&amp;"Raw Score",dHdr,0)),"A"))/COUNTIF(dClass,N$45)),""))</f>
        <v/>
      </c>
      <c r="O54" s="36" t="str">
        <f>IF(OR($B54="",O$45=""),"",IFERROR(CHOOSE(MATCH(SelMeasure,MeasureList,0),AVERAGEIFS(INDEX(dData,0,MATCH($B54&amp;CHAR(10)&amp;"Raw Score",dHdr,0)),dClass,O$45)/$D54,AVERAGEIFS(INDEX(dData,0,MATCH($B54&amp;CHAR(10)&amp;"Stanine",dHdr,0)),dClass,O$45),(COUNTIFS(dClass,O$45,INDEX(dData,0,MATCH($B54&amp;CHAR(10)&amp;"Raw Score",dHdr,0)),"&gt;=0")+COUNTIFS(dClass,O$45,INDEX(dData,0,MATCH($B54&amp;CHAR(10)&amp;"Raw Score",dHdr,0)),"A"))/COUNTIF(dClass,O$45)),""))</f>
        <v/>
      </c>
    </row>
    <row r="55">
      <c r="B55" s="31" t="str">
        <f>Calc!AA12</f>
        <v/>
      </c>
      <c r="C55" s="57" t="str">
        <f>Calc!AC12</f>
        <v/>
      </c>
      <c r="D55" s="33" t="str">
        <f>Calc!AB12</f>
        <v/>
      </c>
      <c r="E55" s="33" t="str">
        <f>IF($B55="","",IFERROR(COUNT(INDEX(dData,0,MATCH($B55&amp;CHAR(10)&amp;"Raw Score",dHdr,0))),""))</f>
        <v/>
      </c>
      <c r="F55" s="36" t="str">
        <f>IF($B55="","",IFERROR(($E55+COUNTIF(INDEX(dData,0,MATCH($B55&amp;CHAR(10)&amp;"Raw Score",dHdr,0)),"A"))/COUNTA(dLast),""))</f>
        <v/>
      </c>
      <c r="G55" s="58" t="str">
        <f>IF($B55="","",IFERROR(CHOOSE(MATCH(SelMeasure,MeasureList,0),AVERAGE(INDEX(dData,0,MATCH($B55&amp;CHAR(10)&amp;"Raw Score",dHdr,0)))/$D55,AVERAGE(INDEX(dData,0,MATCH($B55&amp;CHAR(10)&amp;"Stanine",dHdr,0))),$F55),""))</f>
        <v/>
      </c>
      <c r="H55" s="36" t="str">
        <f>IF(OR($B55="",H$45=""),"",IFERROR(CHOOSE(MATCH(SelMeasure,MeasureList,0),AVERAGEIFS(INDEX(dData,0,MATCH($B55&amp;CHAR(10)&amp;"Raw Score",dHdr,0)),dClass,H$45)/$D55,AVERAGEIFS(INDEX(dData,0,MATCH($B55&amp;CHAR(10)&amp;"Stanine",dHdr,0)),dClass,H$45),(COUNTIFS(dClass,H$45,INDEX(dData,0,MATCH($B55&amp;CHAR(10)&amp;"Raw Score",dHdr,0)),"&gt;=0")+COUNTIFS(dClass,H$45,INDEX(dData,0,MATCH($B55&amp;CHAR(10)&amp;"Raw Score",dHdr,0)),"A"))/COUNTIF(dClass,H$45)),""))</f>
        <v/>
      </c>
      <c r="I55" s="36" t="str">
        <f>IF(OR($B55="",I$45=""),"",IFERROR(CHOOSE(MATCH(SelMeasure,MeasureList,0),AVERAGEIFS(INDEX(dData,0,MATCH($B55&amp;CHAR(10)&amp;"Raw Score",dHdr,0)),dClass,I$45)/$D55,AVERAGEIFS(INDEX(dData,0,MATCH($B55&amp;CHAR(10)&amp;"Stanine",dHdr,0)),dClass,I$45),(COUNTIFS(dClass,I$45,INDEX(dData,0,MATCH($B55&amp;CHAR(10)&amp;"Raw Score",dHdr,0)),"&gt;=0")+COUNTIFS(dClass,I$45,INDEX(dData,0,MATCH($B55&amp;CHAR(10)&amp;"Raw Score",dHdr,0)),"A"))/COUNTIF(dClass,I$45)),""))</f>
        <v/>
      </c>
      <c r="J55" s="36" t="str">
        <f>IF(OR($B55="",J$45=""),"",IFERROR(CHOOSE(MATCH(SelMeasure,MeasureList,0),AVERAGEIFS(INDEX(dData,0,MATCH($B55&amp;CHAR(10)&amp;"Raw Score",dHdr,0)),dClass,J$45)/$D55,AVERAGEIFS(INDEX(dData,0,MATCH($B55&amp;CHAR(10)&amp;"Stanine",dHdr,0)),dClass,J$45),(COUNTIFS(dClass,J$45,INDEX(dData,0,MATCH($B55&amp;CHAR(10)&amp;"Raw Score",dHdr,0)),"&gt;=0")+COUNTIFS(dClass,J$45,INDEX(dData,0,MATCH($B55&amp;CHAR(10)&amp;"Raw Score",dHdr,0)),"A"))/COUNTIF(dClass,J$45)),""))</f>
        <v/>
      </c>
      <c r="K55" s="36" t="str">
        <f>IF(OR($B55="",K$45=""),"",IFERROR(CHOOSE(MATCH(SelMeasure,MeasureList,0),AVERAGEIFS(INDEX(dData,0,MATCH($B55&amp;CHAR(10)&amp;"Raw Score",dHdr,0)),dClass,K$45)/$D55,AVERAGEIFS(INDEX(dData,0,MATCH($B55&amp;CHAR(10)&amp;"Stanine",dHdr,0)),dClass,K$45),(COUNTIFS(dClass,K$45,INDEX(dData,0,MATCH($B55&amp;CHAR(10)&amp;"Raw Score",dHdr,0)),"&gt;=0")+COUNTIFS(dClass,K$45,INDEX(dData,0,MATCH($B55&amp;CHAR(10)&amp;"Raw Score",dHdr,0)),"A"))/COUNTIF(dClass,K$45)),""))</f>
        <v/>
      </c>
      <c r="L55" s="36" t="str">
        <f>IF(OR($B55="",L$45=""),"",IFERROR(CHOOSE(MATCH(SelMeasure,MeasureList,0),AVERAGEIFS(INDEX(dData,0,MATCH($B55&amp;CHAR(10)&amp;"Raw Score",dHdr,0)),dClass,L$45)/$D55,AVERAGEIFS(INDEX(dData,0,MATCH($B55&amp;CHAR(10)&amp;"Stanine",dHdr,0)),dClass,L$45),(COUNTIFS(dClass,L$45,INDEX(dData,0,MATCH($B55&amp;CHAR(10)&amp;"Raw Score",dHdr,0)),"&gt;=0")+COUNTIFS(dClass,L$45,INDEX(dData,0,MATCH($B55&amp;CHAR(10)&amp;"Raw Score",dHdr,0)),"A"))/COUNTIF(dClass,L$45)),""))</f>
        <v/>
      </c>
      <c r="M55" s="36" t="str">
        <f>IF(OR($B55="",M$45=""),"",IFERROR(CHOOSE(MATCH(SelMeasure,MeasureList,0),AVERAGEIFS(INDEX(dData,0,MATCH($B55&amp;CHAR(10)&amp;"Raw Score",dHdr,0)),dClass,M$45)/$D55,AVERAGEIFS(INDEX(dData,0,MATCH($B55&amp;CHAR(10)&amp;"Stanine",dHdr,0)),dClass,M$45),(COUNTIFS(dClass,M$45,INDEX(dData,0,MATCH($B55&amp;CHAR(10)&amp;"Raw Score",dHdr,0)),"&gt;=0")+COUNTIFS(dClass,M$45,INDEX(dData,0,MATCH($B55&amp;CHAR(10)&amp;"Raw Score",dHdr,0)),"A"))/COUNTIF(dClass,M$45)),""))</f>
        <v/>
      </c>
      <c r="N55" s="36" t="str">
        <f>IF(OR($B55="",N$45=""),"",IFERROR(CHOOSE(MATCH(SelMeasure,MeasureList,0),AVERAGEIFS(INDEX(dData,0,MATCH($B55&amp;CHAR(10)&amp;"Raw Score",dHdr,0)),dClass,N$45)/$D55,AVERAGEIFS(INDEX(dData,0,MATCH($B55&amp;CHAR(10)&amp;"Stanine",dHdr,0)),dClass,N$45),(COUNTIFS(dClass,N$45,INDEX(dData,0,MATCH($B55&amp;CHAR(10)&amp;"Raw Score",dHdr,0)),"&gt;=0")+COUNTIFS(dClass,N$45,INDEX(dData,0,MATCH($B55&amp;CHAR(10)&amp;"Raw Score",dHdr,0)),"A"))/COUNTIF(dClass,N$45)),""))</f>
        <v/>
      </c>
      <c r="O55" s="36" t="str">
        <f>IF(OR($B55="",O$45=""),"",IFERROR(CHOOSE(MATCH(SelMeasure,MeasureList,0),AVERAGEIFS(INDEX(dData,0,MATCH($B55&amp;CHAR(10)&amp;"Raw Score",dHdr,0)),dClass,O$45)/$D55,AVERAGEIFS(INDEX(dData,0,MATCH($B55&amp;CHAR(10)&amp;"Stanine",dHdr,0)),dClass,O$45),(COUNTIFS(dClass,O$45,INDEX(dData,0,MATCH($B55&amp;CHAR(10)&amp;"Raw Score",dHdr,0)),"&gt;=0")+COUNTIFS(dClass,O$45,INDEX(dData,0,MATCH($B55&amp;CHAR(10)&amp;"Raw Score",dHdr,0)),"A"))/COUNTIF(dClass,O$45)),""))</f>
        <v/>
      </c>
    </row>
    <row r="56">
      <c r="B56" s="31" t="str">
        <f>Calc!AA13</f>
        <v/>
      </c>
      <c r="C56" s="57" t="str">
        <f>Calc!AC13</f>
        <v/>
      </c>
      <c r="D56" s="33" t="str">
        <f>Calc!AB13</f>
        <v/>
      </c>
      <c r="E56" s="33" t="str">
        <f>IF($B56="","",IFERROR(COUNT(INDEX(dData,0,MATCH($B56&amp;CHAR(10)&amp;"Raw Score",dHdr,0))),""))</f>
        <v/>
      </c>
      <c r="F56" s="36" t="str">
        <f>IF($B56="","",IFERROR(($E56+COUNTIF(INDEX(dData,0,MATCH($B56&amp;CHAR(10)&amp;"Raw Score",dHdr,0)),"A"))/COUNTA(dLast),""))</f>
        <v/>
      </c>
      <c r="G56" s="58" t="str">
        <f>IF($B56="","",IFERROR(CHOOSE(MATCH(SelMeasure,MeasureList,0),AVERAGE(INDEX(dData,0,MATCH($B56&amp;CHAR(10)&amp;"Raw Score",dHdr,0)))/$D56,AVERAGE(INDEX(dData,0,MATCH($B56&amp;CHAR(10)&amp;"Stanine",dHdr,0))),$F56),""))</f>
        <v/>
      </c>
      <c r="H56" s="36" t="str">
        <f>IF(OR($B56="",H$45=""),"",IFERROR(CHOOSE(MATCH(SelMeasure,MeasureList,0),AVERAGEIFS(INDEX(dData,0,MATCH($B56&amp;CHAR(10)&amp;"Raw Score",dHdr,0)),dClass,H$45)/$D56,AVERAGEIFS(INDEX(dData,0,MATCH($B56&amp;CHAR(10)&amp;"Stanine",dHdr,0)),dClass,H$45),(COUNTIFS(dClass,H$45,INDEX(dData,0,MATCH($B56&amp;CHAR(10)&amp;"Raw Score",dHdr,0)),"&gt;=0")+COUNTIFS(dClass,H$45,INDEX(dData,0,MATCH($B56&amp;CHAR(10)&amp;"Raw Score",dHdr,0)),"A"))/COUNTIF(dClass,H$45)),""))</f>
        <v/>
      </c>
      <c r="I56" s="36" t="str">
        <f>IF(OR($B56="",I$45=""),"",IFERROR(CHOOSE(MATCH(SelMeasure,MeasureList,0),AVERAGEIFS(INDEX(dData,0,MATCH($B56&amp;CHAR(10)&amp;"Raw Score",dHdr,0)),dClass,I$45)/$D56,AVERAGEIFS(INDEX(dData,0,MATCH($B56&amp;CHAR(10)&amp;"Stanine",dHdr,0)),dClass,I$45),(COUNTIFS(dClass,I$45,INDEX(dData,0,MATCH($B56&amp;CHAR(10)&amp;"Raw Score",dHdr,0)),"&gt;=0")+COUNTIFS(dClass,I$45,INDEX(dData,0,MATCH($B56&amp;CHAR(10)&amp;"Raw Score",dHdr,0)),"A"))/COUNTIF(dClass,I$45)),""))</f>
        <v/>
      </c>
      <c r="J56" s="36" t="str">
        <f>IF(OR($B56="",J$45=""),"",IFERROR(CHOOSE(MATCH(SelMeasure,MeasureList,0),AVERAGEIFS(INDEX(dData,0,MATCH($B56&amp;CHAR(10)&amp;"Raw Score",dHdr,0)),dClass,J$45)/$D56,AVERAGEIFS(INDEX(dData,0,MATCH($B56&amp;CHAR(10)&amp;"Stanine",dHdr,0)),dClass,J$45),(COUNTIFS(dClass,J$45,INDEX(dData,0,MATCH($B56&amp;CHAR(10)&amp;"Raw Score",dHdr,0)),"&gt;=0")+COUNTIFS(dClass,J$45,INDEX(dData,0,MATCH($B56&amp;CHAR(10)&amp;"Raw Score",dHdr,0)),"A"))/COUNTIF(dClass,J$45)),""))</f>
        <v/>
      </c>
      <c r="K56" s="36" t="str">
        <f>IF(OR($B56="",K$45=""),"",IFERROR(CHOOSE(MATCH(SelMeasure,MeasureList,0),AVERAGEIFS(INDEX(dData,0,MATCH($B56&amp;CHAR(10)&amp;"Raw Score",dHdr,0)),dClass,K$45)/$D56,AVERAGEIFS(INDEX(dData,0,MATCH($B56&amp;CHAR(10)&amp;"Stanine",dHdr,0)),dClass,K$45),(COUNTIFS(dClass,K$45,INDEX(dData,0,MATCH($B56&amp;CHAR(10)&amp;"Raw Score",dHdr,0)),"&gt;=0")+COUNTIFS(dClass,K$45,INDEX(dData,0,MATCH($B56&amp;CHAR(10)&amp;"Raw Score",dHdr,0)),"A"))/COUNTIF(dClass,K$45)),""))</f>
        <v/>
      </c>
      <c r="L56" s="36" t="str">
        <f>IF(OR($B56="",L$45=""),"",IFERROR(CHOOSE(MATCH(SelMeasure,MeasureList,0),AVERAGEIFS(INDEX(dData,0,MATCH($B56&amp;CHAR(10)&amp;"Raw Score",dHdr,0)),dClass,L$45)/$D56,AVERAGEIFS(INDEX(dData,0,MATCH($B56&amp;CHAR(10)&amp;"Stanine",dHdr,0)),dClass,L$45),(COUNTIFS(dClass,L$45,INDEX(dData,0,MATCH($B56&amp;CHAR(10)&amp;"Raw Score",dHdr,0)),"&gt;=0")+COUNTIFS(dClass,L$45,INDEX(dData,0,MATCH($B56&amp;CHAR(10)&amp;"Raw Score",dHdr,0)),"A"))/COUNTIF(dClass,L$45)),""))</f>
        <v/>
      </c>
      <c r="M56" s="36" t="str">
        <f>IF(OR($B56="",M$45=""),"",IFERROR(CHOOSE(MATCH(SelMeasure,MeasureList,0),AVERAGEIFS(INDEX(dData,0,MATCH($B56&amp;CHAR(10)&amp;"Raw Score",dHdr,0)),dClass,M$45)/$D56,AVERAGEIFS(INDEX(dData,0,MATCH($B56&amp;CHAR(10)&amp;"Stanine",dHdr,0)),dClass,M$45),(COUNTIFS(dClass,M$45,INDEX(dData,0,MATCH($B56&amp;CHAR(10)&amp;"Raw Score",dHdr,0)),"&gt;=0")+COUNTIFS(dClass,M$45,INDEX(dData,0,MATCH($B56&amp;CHAR(10)&amp;"Raw Score",dHdr,0)),"A"))/COUNTIF(dClass,M$45)),""))</f>
        <v/>
      </c>
      <c r="N56" s="36" t="str">
        <f>IF(OR($B56="",N$45=""),"",IFERROR(CHOOSE(MATCH(SelMeasure,MeasureList,0),AVERAGEIFS(INDEX(dData,0,MATCH($B56&amp;CHAR(10)&amp;"Raw Score",dHdr,0)),dClass,N$45)/$D56,AVERAGEIFS(INDEX(dData,0,MATCH($B56&amp;CHAR(10)&amp;"Stanine",dHdr,0)),dClass,N$45),(COUNTIFS(dClass,N$45,INDEX(dData,0,MATCH($B56&amp;CHAR(10)&amp;"Raw Score",dHdr,0)),"&gt;=0")+COUNTIFS(dClass,N$45,INDEX(dData,0,MATCH($B56&amp;CHAR(10)&amp;"Raw Score",dHdr,0)),"A"))/COUNTIF(dClass,N$45)),""))</f>
        <v/>
      </c>
      <c r="O56" s="36" t="str">
        <f>IF(OR($B56="",O$45=""),"",IFERROR(CHOOSE(MATCH(SelMeasure,MeasureList,0),AVERAGEIFS(INDEX(dData,0,MATCH($B56&amp;CHAR(10)&amp;"Raw Score",dHdr,0)),dClass,O$45)/$D56,AVERAGEIFS(INDEX(dData,0,MATCH($B56&amp;CHAR(10)&amp;"Stanine",dHdr,0)),dClass,O$45),(COUNTIFS(dClass,O$45,INDEX(dData,0,MATCH($B56&amp;CHAR(10)&amp;"Raw Score",dHdr,0)),"&gt;=0")+COUNTIFS(dClass,O$45,INDEX(dData,0,MATCH($B56&amp;CHAR(10)&amp;"Raw Score",dHdr,0)),"A"))/COUNTIF(dClass,O$45)),""))</f>
        <v/>
      </c>
    </row>
    <row r="57">
      <c r="B57" s="31" t="str">
        <f>Calc!AA14</f>
        <v/>
      </c>
      <c r="C57" s="57" t="str">
        <f>Calc!AC14</f>
        <v/>
      </c>
      <c r="D57" s="33" t="str">
        <f>Calc!AB14</f>
        <v/>
      </c>
      <c r="E57" s="33" t="str">
        <f>IF($B57="","",IFERROR(COUNT(INDEX(dData,0,MATCH($B57&amp;CHAR(10)&amp;"Raw Score",dHdr,0))),""))</f>
        <v/>
      </c>
      <c r="F57" s="36" t="str">
        <f>IF($B57="","",IFERROR(($E57+COUNTIF(INDEX(dData,0,MATCH($B57&amp;CHAR(10)&amp;"Raw Score",dHdr,0)),"A"))/COUNTA(dLast),""))</f>
        <v/>
      </c>
      <c r="G57" s="58" t="str">
        <f>IF($B57="","",IFERROR(CHOOSE(MATCH(SelMeasure,MeasureList,0),AVERAGE(INDEX(dData,0,MATCH($B57&amp;CHAR(10)&amp;"Raw Score",dHdr,0)))/$D57,AVERAGE(INDEX(dData,0,MATCH($B57&amp;CHAR(10)&amp;"Stanine",dHdr,0))),$F57),""))</f>
        <v/>
      </c>
      <c r="H57" s="36" t="str">
        <f>IF(OR($B57="",H$45=""),"",IFERROR(CHOOSE(MATCH(SelMeasure,MeasureList,0),AVERAGEIFS(INDEX(dData,0,MATCH($B57&amp;CHAR(10)&amp;"Raw Score",dHdr,0)),dClass,H$45)/$D57,AVERAGEIFS(INDEX(dData,0,MATCH($B57&amp;CHAR(10)&amp;"Stanine",dHdr,0)),dClass,H$45),(COUNTIFS(dClass,H$45,INDEX(dData,0,MATCH($B57&amp;CHAR(10)&amp;"Raw Score",dHdr,0)),"&gt;=0")+COUNTIFS(dClass,H$45,INDEX(dData,0,MATCH($B57&amp;CHAR(10)&amp;"Raw Score",dHdr,0)),"A"))/COUNTIF(dClass,H$45)),""))</f>
        <v/>
      </c>
      <c r="I57" s="36" t="str">
        <f>IF(OR($B57="",I$45=""),"",IFERROR(CHOOSE(MATCH(SelMeasure,MeasureList,0),AVERAGEIFS(INDEX(dData,0,MATCH($B57&amp;CHAR(10)&amp;"Raw Score",dHdr,0)),dClass,I$45)/$D57,AVERAGEIFS(INDEX(dData,0,MATCH($B57&amp;CHAR(10)&amp;"Stanine",dHdr,0)),dClass,I$45),(COUNTIFS(dClass,I$45,INDEX(dData,0,MATCH($B57&amp;CHAR(10)&amp;"Raw Score",dHdr,0)),"&gt;=0")+COUNTIFS(dClass,I$45,INDEX(dData,0,MATCH($B57&amp;CHAR(10)&amp;"Raw Score",dHdr,0)),"A"))/COUNTIF(dClass,I$45)),""))</f>
        <v/>
      </c>
      <c r="J57" s="36" t="str">
        <f>IF(OR($B57="",J$45=""),"",IFERROR(CHOOSE(MATCH(SelMeasure,MeasureList,0),AVERAGEIFS(INDEX(dData,0,MATCH($B57&amp;CHAR(10)&amp;"Raw Score",dHdr,0)),dClass,J$45)/$D57,AVERAGEIFS(INDEX(dData,0,MATCH($B57&amp;CHAR(10)&amp;"Stanine",dHdr,0)),dClass,J$45),(COUNTIFS(dClass,J$45,INDEX(dData,0,MATCH($B57&amp;CHAR(10)&amp;"Raw Score",dHdr,0)),"&gt;=0")+COUNTIFS(dClass,J$45,INDEX(dData,0,MATCH($B57&amp;CHAR(10)&amp;"Raw Score",dHdr,0)),"A"))/COUNTIF(dClass,J$45)),""))</f>
        <v/>
      </c>
      <c r="K57" s="36" t="str">
        <f>IF(OR($B57="",K$45=""),"",IFERROR(CHOOSE(MATCH(SelMeasure,MeasureList,0),AVERAGEIFS(INDEX(dData,0,MATCH($B57&amp;CHAR(10)&amp;"Raw Score",dHdr,0)),dClass,K$45)/$D57,AVERAGEIFS(INDEX(dData,0,MATCH($B57&amp;CHAR(10)&amp;"Stanine",dHdr,0)),dClass,K$45),(COUNTIFS(dClass,K$45,INDEX(dData,0,MATCH($B57&amp;CHAR(10)&amp;"Raw Score",dHdr,0)),"&gt;=0")+COUNTIFS(dClass,K$45,INDEX(dData,0,MATCH($B57&amp;CHAR(10)&amp;"Raw Score",dHdr,0)),"A"))/COUNTIF(dClass,K$45)),""))</f>
        <v/>
      </c>
      <c r="L57" s="36" t="str">
        <f>IF(OR($B57="",L$45=""),"",IFERROR(CHOOSE(MATCH(SelMeasure,MeasureList,0),AVERAGEIFS(INDEX(dData,0,MATCH($B57&amp;CHAR(10)&amp;"Raw Score",dHdr,0)),dClass,L$45)/$D57,AVERAGEIFS(INDEX(dData,0,MATCH($B57&amp;CHAR(10)&amp;"Stanine",dHdr,0)),dClass,L$45),(COUNTIFS(dClass,L$45,INDEX(dData,0,MATCH($B57&amp;CHAR(10)&amp;"Raw Score",dHdr,0)),"&gt;=0")+COUNTIFS(dClass,L$45,INDEX(dData,0,MATCH($B57&amp;CHAR(10)&amp;"Raw Score",dHdr,0)),"A"))/COUNTIF(dClass,L$45)),""))</f>
        <v/>
      </c>
      <c r="M57" s="36" t="str">
        <f>IF(OR($B57="",M$45=""),"",IFERROR(CHOOSE(MATCH(SelMeasure,MeasureList,0),AVERAGEIFS(INDEX(dData,0,MATCH($B57&amp;CHAR(10)&amp;"Raw Score",dHdr,0)),dClass,M$45)/$D57,AVERAGEIFS(INDEX(dData,0,MATCH($B57&amp;CHAR(10)&amp;"Stanine",dHdr,0)),dClass,M$45),(COUNTIFS(dClass,M$45,INDEX(dData,0,MATCH($B57&amp;CHAR(10)&amp;"Raw Score",dHdr,0)),"&gt;=0")+COUNTIFS(dClass,M$45,INDEX(dData,0,MATCH($B57&amp;CHAR(10)&amp;"Raw Score",dHdr,0)),"A"))/COUNTIF(dClass,M$45)),""))</f>
        <v/>
      </c>
      <c r="N57" s="36" t="str">
        <f>IF(OR($B57="",N$45=""),"",IFERROR(CHOOSE(MATCH(SelMeasure,MeasureList,0),AVERAGEIFS(INDEX(dData,0,MATCH($B57&amp;CHAR(10)&amp;"Raw Score",dHdr,0)),dClass,N$45)/$D57,AVERAGEIFS(INDEX(dData,0,MATCH($B57&amp;CHAR(10)&amp;"Stanine",dHdr,0)),dClass,N$45),(COUNTIFS(dClass,N$45,INDEX(dData,0,MATCH($B57&amp;CHAR(10)&amp;"Raw Score",dHdr,0)),"&gt;=0")+COUNTIFS(dClass,N$45,INDEX(dData,0,MATCH($B57&amp;CHAR(10)&amp;"Raw Score",dHdr,0)),"A"))/COUNTIF(dClass,N$45)),""))</f>
        <v/>
      </c>
      <c r="O57" s="36" t="str">
        <f>IF(OR($B57="",O$45=""),"",IFERROR(CHOOSE(MATCH(SelMeasure,MeasureList,0),AVERAGEIFS(INDEX(dData,0,MATCH($B57&amp;CHAR(10)&amp;"Raw Score",dHdr,0)),dClass,O$45)/$D57,AVERAGEIFS(INDEX(dData,0,MATCH($B57&amp;CHAR(10)&amp;"Stanine",dHdr,0)),dClass,O$45),(COUNTIFS(dClass,O$45,INDEX(dData,0,MATCH($B57&amp;CHAR(10)&amp;"Raw Score",dHdr,0)),"&gt;=0")+COUNTIFS(dClass,O$45,INDEX(dData,0,MATCH($B57&amp;CHAR(10)&amp;"Raw Score",dHdr,0)),"A"))/COUNTIF(dClass,O$45)),""))</f>
        <v/>
      </c>
    </row>
    <row r="58">
      <c r="B58" s="31" t="str">
        <f>Calc!AA15</f>
        <v/>
      </c>
      <c r="C58" s="57" t="str">
        <f>Calc!AC15</f>
        <v/>
      </c>
      <c r="D58" s="33" t="str">
        <f>Calc!AB15</f>
        <v/>
      </c>
      <c r="E58" s="33" t="str">
        <f>IF($B58="","",IFERROR(COUNT(INDEX(dData,0,MATCH($B58&amp;CHAR(10)&amp;"Raw Score",dHdr,0))),""))</f>
        <v/>
      </c>
      <c r="F58" s="36" t="str">
        <f>IF($B58="","",IFERROR(($E58+COUNTIF(INDEX(dData,0,MATCH($B58&amp;CHAR(10)&amp;"Raw Score",dHdr,0)),"A"))/COUNTA(dLast),""))</f>
        <v/>
      </c>
      <c r="G58" s="58" t="str">
        <f>IF($B58="","",IFERROR(CHOOSE(MATCH(SelMeasure,MeasureList,0),AVERAGE(INDEX(dData,0,MATCH($B58&amp;CHAR(10)&amp;"Raw Score",dHdr,0)))/$D58,AVERAGE(INDEX(dData,0,MATCH($B58&amp;CHAR(10)&amp;"Stanine",dHdr,0))),$F58),""))</f>
        <v/>
      </c>
      <c r="H58" s="36" t="str">
        <f>IF(OR($B58="",H$45=""),"",IFERROR(CHOOSE(MATCH(SelMeasure,MeasureList,0),AVERAGEIFS(INDEX(dData,0,MATCH($B58&amp;CHAR(10)&amp;"Raw Score",dHdr,0)),dClass,H$45)/$D58,AVERAGEIFS(INDEX(dData,0,MATCH($B58&amp;CHAR(10)&amp;"Stanine",dHdr,0)),dClass,H$45),(COUNTIFS(dClass,H$45,INDEX(dData,0,MATCH($B58&amp;CHAR(10)&amp;"Raw Score",dHdr,0)),"&gt;=0")+COUNTIFS(dClass,H$45,INDEX(dData,0,MATCH($B58&amp;CHAR(10)&amp;"Raw Score",dHdr,0)),"A"))/COUNTIF(dClass,H$45)),""))</f>
        <v/>
      </c>
      <c r="I58" s="36" t="str">
        <f>IF(OR($B58="",I$45=""),"",IFERROR(CHOOSE(MATCH(SelMeasure,MeasureList,0),AVERAGEIFS(INDEX(dData,0,MATCH($B58&amp;CHAR(10)&amp;"Raw Score",dHdr,0)),dClass,I$45)/$D58,AVERAGEIFS(INDEX(dData,0,MATCH($B58&amp;CHAR(10)&amp;"Stanine",dHdr,0)),dClass,I$45),(COUNTIFS(dClass,I$45,INDEX(dData,0,MATCH($B58&amp;CHAR(10)&amp;"Raw Score",dHdr,0)),"&gt;=0")+COUNTIFS(dClass,I$45,INDEX(dData,0,MATCH($B58&amp;CHAR(10)&amp;"Raw Score",dHdr,0)),"A"))/COUNTIF(dClass,I$45)),""))</f>
        <v/>
      </c>
      <c r="J58" s="36" t="str">
        <f>IF(OR($B58="",J$45=""),"",IFERROR(CHOOSE(MATCH(SelMeasure,MeasureList,0),AVERAGEIFS(INDEX(dData,0,MATCH($B58&amp;CHAR(10)&amp;"Raw Score",dHdr,0)),dClass,J$45)/$D58,AVERAGEIFS(INDEX(dData,0,MATCH($B58&amp;CHAR(10)&amp;"Stanine",dHdr,0)),dClass,J$45),(COUNTIFS(dClass,J$45,INDEX(dData,0,MATCH($B58&amp;CHAR(10)&amp;"Raw Score",dHdr,0)),"&gt;=0")+COUNTIFS(dClass,J$45,INDEX(dData,0,MATCH($B58&amp;CHAR(10)&amp;"Raw Score",dHdr,0)),"A"))/COUNTIF(dClass,J$45)),""))</f>
        <v/>
      </c>
      <c r="K58" s="36" t="str">
        <f>IF(OR($B58="",K$45=""),"",IFERROR(CHOOSE(MATCH(SelMeasure,MeasureList,0),AVERAGEIFS(INDEX(dData,0,MATCH($B58&amp;CHAR(10)&amp;"Raw Score",dHdr,0)),dClass,K$45)/$D58,AVERAGEIFS(INDEX(dData,0,MATCH($B58&amp;CHAR(10)&amp;"Stanine",dHdr,0)),dClass,K$45),(COUNTIFS(dClass,K$45,INDEX(dData,0,MATCH($B58&amp;CHAR(10)&amp;"Raw Score",dHdr,0)),"&gt;=0")+COUNTIFS(dClass,K$45,INDEX(dData,0,MATCH($B58&amp;CHAR(10)&amp;"Raw Score",dHdr,0)),"A"))/COUNTIF(dClass,K$45)),""))</f>
        <v/>
      </c>
      <c r="L58" s="36" t="str">
        <f>IF(OR($B58="",L$45=""),"",IFERROR(CHOOSE(MATCH(SelMeasure,MeasureList,0),AVERAGEIFS(INDEX(dData,0,MATCH($B58&amp;CHAR(10)&amp;"Raw Score",dHdr,0)),dClass,L$45)/$D58,AVERAGEIFS(INDEX(dData,0,MATCH($B58&amp;CHAR(10)&amp;"Stanine",dHdr,0)),dClass,L$45),(COUNTIFS(dClass,L$45,INDEX(dData,0,MATCH($B58&amp;CHAR(10)&amp;"Raw Score",dHdr,0)),"&gt;=0")+COUNTIFS(dClass,L$45,INDEX(dData,0,MATCH($B58&amp;CHAR(10)&amp;"Raw Score",dHdr,0)),"A"))/COUNTIF(dClass,L$45)),""))</f>
        <v/>
      </c>
      <c r="M58" s="36" t="str">
        <f>IF(OR($B58="",M$45=""),"",IFERROR(CHOOSE(MATCH(SelMeasure,MeasureList,0),AVERAGEIFS(INDEX(dData,0,MATCH($B58&amp;CHAR(10)&amp;"Raw Score",dHdr,0)),dClass,M$45)/$D58,AVERAGEIFS(INDEX(dData,0,MATCH($B58&amp;CHAR(10)&amp;"Stanine",dHdr,0)),dClass,M$45),(COUNTIFS(dClass,M$45,INDEX(dData,0,MATCH($B58&amp;CHAR(10)&amp;"Raw Score",dHdr,0)),"&gt;=0")+COUNTIFS(dClass,M$45,INDEX(dData,0,MATCH($B58&amp;CHAR(10)&amp;"Raw Score",dHdr,0)),"A"))/COUNTIF(dClass,M$45)),""))</f>
        <v/>
      </c>
      <c r="N58" s="36" t="str">
        <f>IF(OR($B58="",N$45=""),"",IFERROR(CHOOSE(MATCH(SelMeasure,MeasureList,0),AVERAGEIFS(INDEX(dData,0,MATCH($B58&amp;CHAR(10)&amp;"Raw Score",dHdr,0)),dClass,N$45)/$D58,AVERAGEIFS(INDEX(dData,0,MATCH($B58&amp;CHAR(10)&amp;"Stanine",dHdr,0)),dClass,N$45),(COUNTIFS(dClass,N$45,INDEX(dData,0,MATCH($B58&amp;CHAR(10)&amp;"Raw Score",dHdr,0)),"&gt;=0")+COUNTIFS(dClass,N$45,INDEX(dData,0,MATCH($B58&amp;CHAR(10)&amp;"Raw Score",dHdr,0)),"A"))/COUNTIF(dClass,N$45)),""))</f>
        <v/>
      </c>
      <c r="O58" s="36" t="str">
        <f>IF(OR($B58="",O$45=""),"",IFERROR(CHOOSE(MATCH(SelMeasure,MeasureList,0),AVERAGEIFS(INDEX(dData,0,MATCH($B58&amp;CHAR(10)&amp;"Raw Score",dHdr,0)),dClass,O$45)/$D58,AVERAGEIFS(INDEX(dData,0,MATCH($B58&amp;CHAR(10)&amp;"Stanine",dHdr,0)),dClass,O$45),(COUNTIFS(dClass,O$45,INDEX(dData,0,MATCH($B58&amp;CHAR(10)&amp;"Raw Score",dHdr,0)),"&gt;=0")+COUNTIFS(dClass,O$45,INDEX(dData,0,MATCH($B58&amp;CHAR(10)&amp;"Raw Score",dHdr,0)),"A"))/COUNTIF(dClass,O$45)),""))</f>
        <v/>
      </c>
    </row>
    <row r="59">
      <c r="B59" s="31" t="str">
        <f>Calc!AA16</f>
        <v/>
      </c>
      <c r="C59" s="57" t="str">
        <f>Calc!AC16</f>
        <v/>
      </c>
      <c r="D59" s="33" t="str">
        <f>Calc!AB16</f>
        <v/>
      </c>
      <c r="E59" s="33" t="str">
        <f>IF($B59="","",IFERROR(COUNT(INDEX(dData,0,MATCH($B59&amp;CHAR(10)&amp;"Raw Score",dHdr,0))),""))</f>
        <v/>
      </c>
      <c r="F59" s="36" t="str">
        <f>IF($B59="","",IFERROR(($E59+COUNTIF(INDEX(dData,0,MATCH($B59&amp;CHAR(10)&amp;"Raw Score",dHdr,0)),"A"))/COUNTA(dLast),""))</f>
        <v/>
      </c>
      <c r="G59" s="58" t="str">
        <f>IF($B59="","",IFERROR(CHOOSE(MATCH(SelMeasure,MeasureList,0),AVERAGE(INDEX(dData,0,MATCH($B59&amp;CHAR(10)&amp;"Raw Score",dHdr,0)))/$D59,AVERAGE(INDEX(dData,0,MATCH($B59&amp;CHAR(10)&amp;"Stanine",dHdr,0))),$F59),""))</f>
        <v/>
      </c>
      <c r="H59" s="36" t="str">
        <f>IF(OR($B59="",H$45=""),"",IFERROR(CHOOSE(MATCH(SelMeasure,MeasureList,0),AVERAGEIFS(INDEX(dData,0,MATCH($B59&amp;CHAR(10)&amp;"Raw Score",dHdr,0)),dClass,H$45)/$D59,AVERAGEIFS(INDEX(dData,0,MATCH($B59&amp;CHAR(10)&amp;"Stanine",dHdr,0)),dClass,H$45),(COUNTIFS(dClass,H$45,INDEX(dData,0,MATCH($B59&amp;CHAR(10)&amp;"Raw Score",dHdr,0)),"&gt;=0")+COUNTIFS(dClass,H$45,INDEX(dData,0,MATCH($B59&amp;CHAR(10)&amp;"Raw Score",dHdr,0)),"A"))/COUNTIF(dClass,H$45)),""))</f>
        <v/>
      </c>
      <c r="I59" s="36" t="str">
        <f>IF(OR($B59="",I$45=""),"",IFERROR(CHOOSE(MATCH(SelMeasure,MeasureList,0),AVERAGEIFS(INDEX(dData,0,MATCH($B59&amp;CHAR(10)&amp;"Raw Score",dHdr,0)),dClass,I$45)/$D59,AVERAGEIFS(INDEX(dData,0,MATCH($B59&amp;CHAR(10)&amp;"Stanine",dHdr,0)),dClass,I$45),(COUNTIFS(dClass,I$45,INDEX(dData,0,MATCH($B59&amp;CHAR(10)&amp;"Raw Score",dHdr,0)),"&gt;=0")+COUNTIFS(dClass,I$45,INDEX(dData,0,MATCH($B59&amp;CHAR(10)&amp;"Raw Score",dHdr,0)),"A"))/COUNTIF(dClass,I$45)),""))</f>
        <v/>
      </c>
      <c r="J59" s="36" t="str">
        <f>IF(OR($B59="",J$45=""),"",IFERROR(CHOOSE(MATCH(SelMeasure,MeasureList,0),AVERAGEIFS(INDEX(dData,0,MATCH($B59&amp;CHAR(10)&amp;"Raw Score",dHdr,0)),dClass,J$45)/$D59,AVERAGEIFS(INDEX(dData,0,MATCH($B59&amp;CHAR(10)&amp;"Stanine",dHdr,0)),dClass,J$45),(COUNTIFS(dClass,J$45,INDEX(dData,0,MATCH($B59&amp;CHAR(10)&amp;"Raw Score",dHdr,0)),"&gt;=0")+COUNTIFS(dClass,J$45,INDEX(dData,0,MATCH($B59&amp;CHAR(10)&amp;"Raw Score",dHdr,0)),"A"))/COUNTIF(dClass,J$45)),""))</f>
        <v/>
      </c>
      <c r="K59" s="36" t="str">
        <f>IF(OR($B59="",K$45=""),"",IFERROR(CHOOSE(MATCH(SelMeasure,MeasureList,0),AVERAGEIFS(INDEX(dData,0,MATCH($B59&amp;CHAR(10)&amp;"Raw Score",dHdr,0)),dClass,K$45)/$D59,AVERAGEIFS(INDEX(dData,0,MATCH($B59&amp;CHAR(10)&amp;"Stanine",dHdr,0)),dClass,K$45),(COUNTIFS(dClass,K$45,INDEX(dData,0,MATCH($B59&amp;CHAR(10)&amp;"Raw Score",dHdr,0)),"&gt;=0")+COUNTIFS(dClass,K$45,INDEX(dData,0,MATCH($B59&amp;CHAR(10)&amp;"Raw Score",dHdr,0)),"A"))/COUNTIF(dClass,K$45)),""))</f>
        <v/>
      </c>
      <c r="L59" s="36" t="str">
        <f>IF(OR($B59="",L$45=""),"",IFERROR(CHOOSE(MATCH(SelMeasure,MeasureList,0),AVERAGEIFS(INDEX(dData,0,MATCH($B59&amp;CHAR(10)&amp;"Raw Score",dHdr,0)),dClass,L$45)/$D59,AVERAGEIFS(INDEX(dData,0,MATCH($B59&amp;CHAR(10)&amp;"Stanine",dHdr,0)),dClass,L$45),(COUNTIFS(dClass,L$45,INDEX(dData,0,MATCH($B59&amp;CHAR(10)&amp;"Raw Score",dHdr,0)),"&gt;=0")+COUNTIFS(dClass,L$45,INDEX(dData,0,MATCH($B59&amp;CHAR(10)&amp;"Raw Score",dHdr,0)),"A"))/COUNTIF(dClass,L$45)),""))</f>
        <v/>
      </c>
      <c r="M59" s="36" t="str">
        <f>IF(OR($B59="",M$45=""),"",IFERROR(CHOOSE(MATCH(SelMeasure,MeasureList,0),AVERAGEIFS(INDEX(dData,0,MATCH($B59&amp;CHAR(10)&amp;"Raw Score",dHdr,0)),dClass,M$45)/$D59,AVERAGEIFS(INDEX(dData,0,MATCH($B59&amp;CHAR(10)&amp;"Stanine",dHdr,0)),dClass,M$45),(COUNTIFS(dClass,M$45,INDEX(dData,0,MATCH($B59&amp;CHAR(10)&amp;"Raw Score",dHdr,0)),"&gt;=0")+COUNTIFS(dClass,M$45,INDEX(dData,0,MATCH($B59&amp;CHAR(10)&amp;"Raw Score",dHdr,0)),"A"))/COUNTIF(dClass,M$45)),""))</f>
        <v/>
      </c>
      <c r="N59" s="36" t="str">
        <f>IF(OR($B59="",N$45=""),"",IFERROR(CHOOSE(MATCH(SelMeasure,MeasureList,0),AVERAGEIFS(INDEX(dData,0,MATCH($B59&amp;CHAR(10)&amp;"Raw Score",dHdr,0)),dClass,N$45)/$D59,AVERAGEIFS(INDEX(dData,0,MATCH($B59&amp;CHAR(10)&amp;"Stanine",dHdr,0)),dClass,N$45),(COUNTIFS(dClass,N$45,INDEX(dData,0,MATCH($B59&amp;CHAR(10)&amp;"Raw Score",dHdr,0)),"&gt;=0")+COUNTIFS(dClass,N$45,INDEX(dData,0,MATCH($B59&amp;CHAR(10)&amp;"Raw Score",dHdr,0)),"A"))/COUNTIF(dClass,N$45)),""))</f>
        <v/>
      </c>
      <c r="O59" s="36" t="str">
        <f>IF(OR($B59="",O$45=""),"",IFERROR(CHOOSE(MATCH(SelMeasure,MeasureList,0),AVERAGEIFS(INDEX(dData,0,MATCH($B59&amp;CHAR(10)&amp;"Raw Score",dHdr,0)),dClass,O$45)/$D59,AVERAGEIFS(INDEX(dData,0,MATCH($B59&amp;CHAR(10)&amp;"Stanine",dHdr,0)),dClass,O$45),(COUNTIFS(dClass,O$45,INDEX(dData,0,MATCH($B59&amp;CHAR(10)&amp;"Raw Score",dHdr,0)),"&gt;=0")+COUNTIFS(dClass,O$45,INDEX(dData,0,MATCH($B59&amp;CHAR(10)&amp;"Raw Score",dHdr,0)),"A"))/COUNTIF(dClass,O$45)),""))</f>
        <v/>
      </c>
    </row>
    <row r="60">
      <c r="B60" s="31" t="str">
        <f>Calc!AA17</f>
        <v/>
      </c>
      <c r="C60" s="57" t="str">
        <f>Calc!AC17</f>
        <v/>
      </c>
      <c r="D60" s="33" t="str">
        <f>Calc!AB17</f>
        <v/>
      </c>
      <c r="E60" s="33" t="str">
        <f>IF($B60="","",IFERROR(COUNT(INDEX(dData,0,MATCH($B60&amp;CHAR(10)&amp;"Raw Score",dHdr,0))),""))</f>
        <v/>
      </c>
      <c r="F60" s="36" t="str">
        <f>IF($B60="","",IFERROR(($E60+COUNTIF(INDEX(dData,0,MATCH($B60&amp;CHAR(10)&amp;"Raw Score",dHdr,0)),"A"))/COUNTA(dLast),""))</f>
        <v/>
      </c>
      <c r="G60" s="58" t="str">
        <f>IF($B60="","",IFERROR(CHOOSE(MATCH(SelMeasure,MeasureList,0),AVERAGE(INDEX(dData,0,MATCH($B60&amp;CHAR(10)&amp;"Raw Score",dHdr,0)))/$D60,AVERAGE(INDEX(dData,0,MATCH($B60&amp;CHAR(10)&amp;"Stanine",dHdr,0))),$F60),""))</f>
        <v/>
      </c>
      <c r="H60" s="36" t="str">
        <f>IF(OR($B60="",H$45=""),"",IFERROR(CHOOSE(MATCH(SelMeasure,MeasureList,0),AVERAGEIFS(INDEX(dData,0,MATCH($B60&amp;CHAR(10)&amp;"Raw Score",dHdr,0)),dClass,H$45)/$D60,AVERAGEIFS(INDEX(dData,0,MATCH($B60&amp;CHAR(10)&amp;"Stanine",dHdr,0)),dClass,H$45),(COUNTIFS(dClass,H$45,INDEX(dData,0,MATCH($B60&amp;CHAR(10)&amp;"Raw Score",dHdr,0)),"&gt;=0")+COUNTIFS(dClass,H$45,INDEX(dData,0,MATCH($B60&amp;CHAR(10)&amp;"Raw Score",dHdr,0)),"A"))/COUNTIF(dClass,H$45)),""))</f>
        <v/>
      </c>
      <c r="I60" s="36" t="str">
        <f>IF(OR($B60="",I$45=""),"",IFERROR(CHOOSE(MATCH(SelMeasure,MeasureList,0),AVERAGEIFS(INDEX(dData,0,MATCH($B60&amp;CHAR(10)&amp;"Raw Score",dHdr,0)),dClass,I$45)/$D60,AVERAGEIFS(INDEX(dData,0,MATCH($B60&amp;CHAR(10)&amp;"Stanine",dHdr,0)),dClass,I$45),(COUNTIFS(dClass,I$45,INDEX(dData,0,MATCH($B60&amp;CHAR(10)&amp;"Raw Score",dHdr,0)),"&gt;=0")+COUNTIFS(dClass,I$45,INDEX(dData,0,MATCH($B60&amp;CHAR(10)&amp;"Raw Score",dHdr,0)),"A"))/COUNTIF(dClass,I$45)),""))</f>
        <v/>
      </c>
      <c r="J60" s="36" t="str">
        <f>IF(OR($B60="",J$45=""),"",IFERROR(CHOOSE(MATCH(SelMeasure,MeasureList,0),AVERAGEIFS(INDEX(dData,0,MATCH($B60&amp;CHAR(10)&amp;"Raw Score",dHdr,0)),dClass,J$45)/$D60,AVERAGEIFS(INDEX(dData,0,MATCH($B60&amp;CHAR(10)&amp;"Stanine",dHdr,0)),dClass,J$45),(COUNTIFS(dClass,J$45,INDEX(dData,0,MATCH($B60&amp;CHAR(10)&amp;"Raw Score",dHdr,0)),"&gt;=0")+COUNTIFS(dClass,J$45,INDEX(dData,0,MATCH($B60&amp;CHAR(10)&amp;"Raw Score",dHdr,0)),"A"))/COUNTIF(dClass,J$45)),""))</f>
        <v/>
      </c>
      <c r="K60" s="36" t="str">
        <f>IF(OR($B60="",K$45=""),"",IFERROR(CHOOSE(MATCH(SelMeasure,MeasureList,0),AVERAGEIFS(INDEX(dData,0,MATCH($B60&amp;CHAR(10)&amp;"Raw Score",dHdr,0)),dClass,K$45)/$D60,AVERAGEIFS(INDEX(dData,0,MATCH($B60&amp;CHAR(10)&amp;"Stanine",dHdr,0)),dClass,K$45),(COUNTIFS(dClass,K$45,INDEX(dData,0,MATCH($B60&amp;CHAR(10)&amp;"Raw Score",dHdr,0)),"&gt;=0")+COUNTIFS(dClass,K$45,INDEX(dData,0,MATCH($B60&amp;CHAR(10)&amp;"Raw Score",dHdr,0)),"A"))/COUNTIF(dClass,K$45)),""))</f>
        <v/>
      </c>
      <c r="L60" s="36" t="str">
        <f>IF(OR($B60="",L$45=""),"",IFERROR(CHOOSE(MATCH(SelMeasure,MeasureList,0),AVERAGEIFS(INDEX(dData,0,MATCH($B60&amp;CHAR(10)&amp;"Raw Score",dHdr,0)),dClass,L$45)/$D60,AVERAGEIFS(INDEX(dData,0,MATCH($B60&amp;CHAR(10)&amp;"Stanine",dHdr,0)),dClass,L$45),(COUNTIFS(dClass,L$45,INDEX(dData,0,MATCH($B60&amp;CHAR(10)&amp;"Raw Score",dHdr,0)),"&gt;=0")+COUNTIFS(dClass,L$45,INDEX(dData,0,MATCH($B60&amp;CHAR(10)&amp;"Raw Score",dHdr,0)),"A"))/COUNTIF(dClass,L$45)),""))</f>
        <v/>
      </c>
      <c r="M60" s="36" t="str">
        <f>IF(OR($B60="",M$45=""),"",IFERROR(CHOOSE(MATCH(SelMeasure,MeasureList,0),AVERAGEIFS(INDEX(dData,0,MATCH($B60&amp;CHAR(10)&amp;"Raw Score",dHdr,0)),dClass,M$45)/$D60,AVERAGEIFS(INDEX(dData,0,MATCH($B60&amp;CHAR(10)&amp;"Stanine",dHdr,0)),dClass,M$45),(COUNTIFS(dClass,M$45,INDEX(dData,0,MATCH($B60&amp;CHAR(10)&amp;"Raw Score",dHdr,0)),"&gt;=0")+COUNTIFS(dClass,M$45,INDEX(dData,0,MATCH($B60&amp;CHAR(10)&amp;"Raw Score",dHdr,0)),"A"))/COUNTIF(dClass,M$45)),""))</f>
        <v/>
      </c>
      <c r="N60" s="36" t="str">
        <f>IF(OR($B60="",N$45=""),"",IFERROR(CHOOSE(MATCH(SelMeasure,MeasureList,0),AVERAGEIFS(INDEX(dData,0,MATCH($B60&amp;CHAR(10)&amp;"Raw Score",dHdr,0)),dClass,N$45)/$D60,AVERAGEIFS(INDEX(dData,0,MATCH($B60&amp;CHAR(10)&amp;"Stanine",dHdr,0)),dClass,N$45),(COUNTIFS(dClass,N$45,INDEX(dData,0,MATCH($B60&amp;CHAR(10)&amp;"Raw Score",dHdr,0)),"&gt;=0")+COUNTIFS(dClass,N$45,INDEX(dData,0,MATCH($B60&amp;CHAR(10)&amp;"Raw Score",dHdr,0)),"A"))/COUNTIF(dClass,N$45)),""))</f>
        <v/>
      </c>
      <c r="O60" s="36" t="str">
        <f>IF(OR($B60="",O$45=""),"",IFERROR(CHOOSE(MATCH(SelMeasure,MeasureList,0),AVERAGEIFS(INDEX(dData,0,MATCH($B60&amp;CHAR(10)&amp;"Raw Score",dHdr,0)),dClass,O$45)/$D60,AVERAGEIFS(INDEX(dData,0,MATCH($B60&amp;CHAR(10)&amp;"Stanine",dHdr,0)),dClass,O$45),(COUNTIFS(dClass,O$45,INDEX(dData,0,MATCH($B60&amp;CHAR(10)&amp;"Raw Score",dHdr,0)),"&gt;=0")+COUNTIFS(dClass,O$45,INDEX(dData,0,MATCH($B60&amp;CHAR(10)&amp;"Raw Score",dHdr,0)),"A"))/COUNTIF(dClass,O$45)),""))</f>
        <v/>
      </c>
    </row>
    <row r="61">
      <c r="B61" s="31" t="str">
        <f>Calc!AA18</f>
        <v/>
      </c>
      <c r="C61" s="57" t="str">
        <f>Calc!AC18</f>
        <v/>
      </c>
      <c r="D61" s="33" t="str">
        <f>Calc!AB18</f>
        <v/>
      </c>
      <c r="E61" s="33" t="str">
        <f>IF($B61="","",IFERROR(COUNT(INDEX(dData,0,MATCH($B61&amp;CHAR(10)&amp;"Raw Score",dHdr,0))),""))</f>
        <v/>
      </c>
      <c r="F61" s="36" t="str">
        <f>IF($B61="","",IFERROR(($E61+COUNTIF(INDEX(dData,0,MATCH($B61&amp;CHAR(10)&amp;"Raw Score",dHdr,0)),"A"))/COUNTA(dLast),""))</f>
        <v/>
      </c>
      <c r="G61" s="58" t="str">
        <f>IF($B61="","",IFERROR(CHOOSE(MATCH(SelMeasure,MeasureList,0),AVERAGE(INDEX(dData,0,MATCH($B61&amp;CHAR(10)&amp;"Raw Score",dHdr,0)))/$D61,AVERAGE(INDEX(dData,0,MATCH($B61&amp;CHAR(10)&amp;"Stanine",dHdr,0))),$F61),""))</f>
        <v/>
      </c>
      <c r="H61" s="36" t="str">
        <f>IF(OR($B61="",H$45=""),"",IFERROR(CHOOSE(MATCH(SelMeasure,MeasureList,0),AVERAGEIFS(INDEX(dData,0,MATCH($B61&amp;CHAR(10)&amp;"Raw Score",dHdr,0)),dClass,H$45)/$D61,AVERAGEIFS(INDEX(dData,0,MATCH($B61&amp;CHAR(10)&amp;"Stanine",dHdr,0)),dClass,H$45),(COUNTIFS(dClass,H$45,INDEX(dData,0,MATCH($B61&amp;CHAR(10)&amp;"Raw Score",dHdr,0)),"&gt;=0")+COUNTIFS(dClass,H$45,INDEX(dData,0,MATCH($B61&amp;CHAR(10)&amp;"Raw Score",dHdr,0)),"A"))/COUNTIF(dClass,H$45)),""))</f>
        <v/>
      </c>
      <c r="I61" s="36" t="str">
        <f>IF(OR($B61="",I$45=""),"",IFERROR(CHOOSE(MATCH(SelMeasure,MeasureList,0),AVERAGEIFS(INDEX(dData,0,MATCH($B61&amp;CHAR(10)&amp;"Raw Score",dHdr,0)),dClass,I$45)/$D61,AVERAGEIFS(INDEX(dData,0,MATCH($B61&amp;CHAR(10)&amp;"Stanine",dHdr,0)),dClass,I$45),(COUNTIFS(dClass,I$45,INDEX(dData,0,MATCH($B61&amp;CHAR(10)&amp;"Raw Score",dHdr,0)),"&gt;=0")+COUNTIFS(dClass,I$45,INDEX(dData,0,MATCH($B61&amp;CHAR(10)&amp;"Raw Score",dHdr,0)),"A"))/COUNTIF(dClass,I$45)),""))</f>
        <v/>
      </c>
      <c r="J61" s="36" t="str">
        <f>IF(OR($B61="",J$45=""),"",IFERROR(CHOOSE(MATCH(SelMeasure,MeasureList,0),AVERAGEIFS(INDEX(dData,0,MATCH($B61&amp;CHAR(10)&amp;"Raw Score",dHdr,0)),dClass,J$45)/$D61,AVERAGEIFS(INDEX(dData,0,MATCH($B61&amp;CHAR(10)&amp;"Stanine",dHdr,0)),dClass,J$45),(COUNTIFS(dClass,J$45,INDEX(dData,0,MATCH($B61&amp;CHAR(10)&amp;"Raw Score",dHdr,0)),"&gt;=0")+COUNTIFS(dClass,J$45,INDEX(dData,0,MATCH($B61&amp;CHAR(10)&amp;"Raw Score",dHdr,0)),"A"))/COUNTIF(dClass,J$45)),""))</f>
        <v/>
      </c>
      <c r="K61" s="36" t="str">
        <f>IF(OR($B61="",K$45=""),"",IFERROR(CHOOSE(MATCH(SelMeasure,MeasureList,0),AVERAGEIFS(INDEX(dData,0,MATCH($B61&amp;CHAR(10)&amp;"Raw Score",dHdr,0)),dClass,K$45)/$D61,AVERAGEIFS(INDEX(dData,0,MATCH($B61&amp;CHAR(10)&amp;"Stanine",dHdr,0)),dClass,K$45),(COUNTIFS(dClass,K$45,INDEX(dData,0,MATCH($B61&amp;CHAR(10)&amp;"Raw Score",dHdr,0)),"&gt;=0")+COUNTIFS(dClass,K$45,INDEX(dData,0,MATCH($B61&amp;CHAR(10)&amp;"Raw Score",dHdr,0)),"A"))/COUNTIF(dClass,K$45)),""))</f>
        <v/>
      </c>
      <c r="L61" s="36" t="str">
        <f>IF(OR($B61="",L$45=""),"",IFERROR(CHOOSE(MATCH(SelMeasure,MeasureList,0),AVERAGEIFS(INDEX(dData,0,MATCH($B61&amp;CHAR(10)&amp;"Raw Score",dHdr,0)),dClass,L$45)/$D61,AVERAGEIFS(INDEX(dData,0,MATCH($B61&amp;CHAR(10)&amp;"Stanine",dHdr,0)),dClass,L$45),(COUNTIFS(dClass,L$45,INDEX(dData,0,MATCH($B61&amp;CHAR(10)&amp;"Raw Score",dHdr,0)),"&gt;=0")+COUNTIFS(dClass,L$45,INDEX(dData,0,MATCH($B61&amp;CHAR(10)&amp;"Raw Score",dHdr,0)),"A"))/COUNTIF(dClass,L$45)),""))</f>
        <v/>
      </c>
      <c r="M61" s="36" t="str">
        <f>IF(OR($B61="",M$45=""),"",IFERROR(CHOOSE(MATCH(SelMeasure,MeasureList,0),AVERAGEIFS(INDEX(dData,0,MATCH($B61&amp;CHAR(10)&amp;"Raw Score",dHdr,0)),dClass,M$45)/$D61,AVERAGEIFS(INDEX(dData,0,MATCH($B61&amp;CHAR(10)&amp;"Stanine",dHdr,0)),dClass,M$45),(COUNTIFS(dClass,M$45,INDEX(dData,0,MATCH($B61&amp;CHAR(10)&amp;"Raw Score",dHdr,0)),"&gt;=0")+COUNTIFS(dClass,M$45,INDEX(dData,0,MATCH($B61&amp;CHAR(10)&amp;"Raw Score",dHdr,0)),"A"))/COUNTIF(dClass,M$45)),""))</f>
        <v/>
      </c>
      <c r="N61" s="36" t="str">
        <f>IF(OR($B61="",N$45=""),"",IFERROR(CHOOSE(MATCH(SelMeasure,MeasureList,0),AVERAGEIFS(INDEX(dData,0,MATCH($B61&amp;CHAR(10)&amp;"Raw Score",dHdr,0)),dClass,N$45)/$D61,AVERAGEIFS(INDEX(dData,0,MATCH($B61&amp;CHAR(10)&amp;"Stanine",dHdr,0)),dClass,N$45),(COUNTIFS(dClass,N$45,INDEX(dData,0,MATCH($B61&amp;CHAR(10)&amp;"Raw Score",dHdr,0)),"&gt;=0")+COUNTIFS(dClass,N$45,INDEX(dData,0,MATCH($B61&amp;CHAR(10)&amp;"Raw Score",dHdr,0)),"A"))/COUNTIF(dClass,N$45)),""))</f>
        <v/>
      </c>
      <c r="O61" s="36" t="str">
        <f>IF(OR($B61="",O$45=""),"",IFERROR(CHOOSE(MATCH(SelMeasure,MeasureList,0),AVERAGEIFS(INDEX(dData,0,MATCH($B61&amp;CHAR(10)&amp;"Raw Score",dHdr,0)),dClass,O$45)/$D61,AVERAGEIFS(INDEX(dData,0,MATCH($B61&amp;CHAR(10)&amp;"Stanine",dHdr,0)),dClass,O$45),(COUNTIFS(dClass,O$45,INDEX(dData,0,MATCH($B61&amp;CHAR(10)&amp;"Raw Score",dHdr,0)),"&gt;=0")+COUNTIFS(dClass,O$45,INDEX(dData,0,MATCH($B61&amp;CHAR(10)&amp;"Raw Score",dHdr,0)),"A"))/COUNTIF(dClass,O$45)),""))</f>
        <v/>
      </c>
    </row>
    <row r="62">
      <c r="B62" s="31" t="str">
        <f>Calc!AA19</f>
        <v/>
      </c>
      <c r="C62" s="57" t="str">
        <f>Calc!AC19</f>
        <v/>
      </c>
      <c r="D62" s="33" t="str">
        <f>Calc!AB19</f>
        <v/>
      </c>
      <c r="E62" s="33" t="str">
        <f>IF($B62="","",IFERROR(COUNT(INDEX(dData,0,MATCH($B62&amp;CHAR(10)&amp;"Raw Score",dHdr,0))),""))</f>
        <v/>
      </c>
      <c r="F62" s="36" t="str">
        <f>IF($B62="","",IFERROR(($E62+COUNTIF(INDEX(dData,0,MATCH($B62&amp;CHAR(10)&amp;"Raw Score",dHdr,0)),"A"))/COUNTA(dLast),""))</f>
        <v/>
      </c>
      <c r="G62" s="58" t="str">
        <f>IF($B62="","",IFERROR(CHOOSE(MATCH(SelMeasure,MeasureList,0),AVERAGE(INDEX(dData,0,MATCH($B62&amp;CHAR(10)&amp;"Raw Score",dHdr,0)))/$D62,AVERAGE(INDEX(dData,0,MATCH($B62&amp;CHAR(10)&amp;"Stanine",dHdr,0))),$F62),""))</f>
        <v/>
      </c>
      <c r="H62" s="36" t="str">
        <f>IF(OR($B62="",H$45=""),"",IFERROR(CHOOSE(MATCH(SelMeasure,MeasureList,0),AVERAGEIFS(INDEX(dData,0,MATCH($B62&amp;CHAR(10)&amp;"Raw Score",dHdr,0)),dClass,H$45)/$D62,AVERAGEIFS(INDEX(dData,0,MATCH($B62&amp;CHAR(10)&amp;"Stanine",dHdr,0)),dClass,H$45),(COUNTIFS(dClass,H$45,INDEX(dData,0,MATCH($B62&amp;CHAR(10)&amp;"Raw Score",dHdr,0)),"&gt;=0")+COUNTIFS(dClass,H$45,INDEX(dData,0,MATCH($B62&amp;CHAR(10)&amp;"Raw Score",dHdr,0)),"A"))/COUNTIF(dClass,H$45)),""))</f>
        <v/>
      </c>
      <c r="I62" s="36" t="str">
        <f>IF(OR($B62="",I$45=""),"",IFERROR(CHOOSE(MATCH(SelMeasure,MeasureList,0),AVERAGEIFS(INDEX(dData,0,MATCH($B62&amp;CHAR(10)&amp;"Raw Score",dHdr,0)),dClass,I$45)/$D62,AVERAGEIFS(INDEX(dData,0,MATCH($B62&amp;CHAR(10)&amp;"Stanine",dHdr,0)),dClass,I$45),(COUNTIFS(dClass,I$45,INDEX(dData,0,MATCH($B62&amp;CHAR(10)&amp;"Raw Score",dHdr,0)),"&gt;=0")+COUNTIFS(dClass,I$45,INDEX(dData,0,MATCH($B62&amp;CHAR(10)&amp;"Raw Score",dHdr,0)),"A"))/COUNTIF(dClass,I$45)),""))</f>
        <v/>
      </c>
      <c r="J62" s="36" t="str">
        <f>IF(OR($B62="",J$45=""),"",IFERROR(CHOOSE(MATCH(SelMeasure,MeasureList,0),AVERAGEIFS(INDEX(dData,0,MATCH($B62&amp;CHAR(10)&amp;"Raw Score",dHdr,0)),dClass,J$45)/$D62,AVERAGEIFS(INDEX(dData,0,MATCH($B62&amp;CHAR(10)&amp;"Stanine",dHdr,0)),dClass,J$45),(COUNTIFS(dClass,J$45,INDEX(dData,0,MATCH($B62&amp;CHAR(10)&amp;"Raw Score",dHdr,0)),"&gt;=0")+COUNTIFS(dClass,J$45,INDEX(dData,0,MATCH($B62&amp;CHAR(10)&amp;"Raw Score",dHdr,0)),"A"))/COUNTIF(dClass,J$45)),""))</f>
        <v/>
      </c>
      <c r="K62" s="36" t="str">
        <f>IF(OR($B62="",K$45=""),"",IFERROR(CHOOSE(MATCH(SelMeasure,MeasureList,0),AVERAGEIFS(INDEX(dData,0,MATCH($B62&amp;CHAR(10)&amp;"Raw Score",dHdr,0)),dClass,K$45)/$D62,AVERAGEIFS(INDEX(dData,0,MATCH($B62&amp;CHAR(10)&amp;"Stanine",dHdr,0)),dClass,K$45),(COUNTIFS(dClass,K$45,INDEX(dData,0,MATCH($B62&amp;CHAR(10)&amp;"Raw Score",dHdr,0)),"&gt;=0")+COUNTIFS(dClass,K$45,INDEX(dData,0,MATCH($B62&amp;CHAR(10)&amp;"Raw Score",dHdr,0)),"A"))/COUNTIF(dClass,K$45)),""))</f>
        <v/>
      </c>
      <c r="L62" s="36" t="str">
        <f>IF(OR($B62="",L$45=""),"",IFERROR(CHOOSE(MATCH(SelMeasure,MeasureList,0),AVERAGEIFS(INDEX(dData,0,MATCH($B62&amp;CHAR(10)&amp;"Raw Score",dHdr,0)),dClass,L$45)/$D62,AVERAGEIFS(INDEX(dData,0,MATCH($B62&amp;CHAR(10)&amp;"Stanine",dHdr,0)),dClass,L$45),(COUNTIFS(dClass,L$45,INDEX(dData,0,MATCH($B62&amp;CHAR(10)&amp;"Raw Score",dHdr,0)),"&gt;=0")+COUNTIFS(dClass,L$45,INDEX(dData,0,MATCH($B62&amp;CHAR(10)&amp;"Raw Score",dHdr,0)),"A"))/COUNTIF(dClass,L$45)),""))</f>
        <v/>
      </c>
      <c r="M62" s="36" t="str">
        <f>IF(OR($B62="",M$45=""),"",IFERROR(CHOOSE(MATCH(SelMeasure,MeasureList,0),AVERAGEIFS(INDEX(dData,0,MATCH($B62&amp;CHAR(10)&amp;"Raw Score",dHdr,0)),dClass,M$45)/$D62,AVERAGEIFS(INDEX(dData,0,MATCH($B62&amp;CHAR(10)&amp;"Stanine",dHdr,0)),dClass,M$45),(COUNTIFS(dClass,M$45,INDEX(dData,0,MATCH($B62&amp;CHAR(10)&amp;"Raw Score",dHdr,0)),"&gt;=0")+COUNTIFS(dClass,M$45,INDEX(dData,0,MATCH($B62&amp;CHAR(10)&amp;"Raw Score",dHdr,0)),"A"))/COUNTIF(dClass,M$45)),""))</f>
        <v/>
      </c>
      <c r="N62" s="36" t="str">
        <f>IF(OR($B62="",N$45=""),"",IFERROR(CHOOSE(MATCH(SelMeasure,MeasureList,0),AVERAGEIFS(INDEX(dData,0,MATCH($B62&amp;CHAR(10)&amp;"Raw Score",dHdr,0)),dClass,N$45)/$D62,AVERAGEIFS(INDEX(dData,0,MATCH($B62&amp;CHAR(10)&amp;"Stanine",dHdr,0)),dClass,N$45),(COUNTIFS(dClass,N$45,INDEX(dData,0,MATCH($B62&amp;CHAR(10)&amp;"Raw Score",dHdr,0)),"&gt;=0")+COUNTIFS(dClass,N$45,INDEX(dData,0,MATCH($B62&amp;CHAR(10)&amp;"Raw Score",dHdr,0)),"A"))/COUNTIF(dClass,N$45)),""))</f>
        <v/>
      </c>
      <c r="O62" s="36" t="str">
        <f>IF(OR($B62="",O$45=""),"",IFERROR(CHOOSE(MATCH(SelMeasure,MeasureList,0),AVERAGEIFS(INDEX(dData,0,MATCH($B62&amp;CHAR(10)&amp;"Raw Score",dHdr,0)),dClass,O$45)/$D62,AVERAGEIFS(INDEX(dData,0,MATCH($B62&amp;CHAR(10)&amp;"Stanine",dHdr,0)),dClass,O$45),(COUNTIFS(dClass,O$45,INDEX(dData,0,MATCH($B62&amp;CHAR(10)&amp;"Raw Score",dHdr,0)),"&gt;=0")+COUNTIFS(dClass,O$45,INDEX(dData,0,MATCH($B62&amp;CHAR(10)&amp;"Raw Score",dHdr,0)),"A"))/COUNTIF(dClass,O$45)),""))</f>
        <v/>
      </c>
    </row>
    <row r="63">
      <c r="B63" s="31" t="str">
        <f>Calc!AA20</f>
        <v/>
      </c>
      <c r="C63" s="57" t="str">
        <f>Calc!AC20</f>
        <v/>
      </c>
      <c r="D63" s="33" t="str">
        <f>Calc!AB20</f>
        <v/>
      </c>
      <c r="E63" s="33" t="str">
        <f>IF($B63="","",IFERROR(COUNT(INDEX(dData,0,MATCH($B63&amp;CHAR(10)&amp;"Raw Score",dHdr,0))),""))</f>
        <v/>
      </c>
      <c r="F63" s="36" t="str">
        <f>IF($B63="","",IFERROR(($E63+COUNTIF(INDEX(dData,0,MATCH($B63&amp;CHAR(10)&amp;"Raw Score",dHdr,0)),"A"))/COUNTA(dLast),""))</f>
        <v/>
      </c>
      <c r="G63" s="58" t="str">
        <f>IF($B63="","",IFERROR(CHOOSE(MATCH(SelMeasure,MeasureList,0),AVERAGE(INDEX(dData,0,MATCH($B63&amp;CHAR(10)&amp;"Raw Score",dHdr,0)))/$D63,AVERAGE(INDEX(dData,0,MATCH($B63&amp;CHAR(10)&amp;"Stanine",dHdr,0))),$F63),""))</f>
        <v/>
      </c>
      <c r="H63" s="36" t="str">
        <f>IF(OR($B63="",H$45=""),"",IFERROR(CHOOSE(MATCH(SelMeasure,MeasureList,0),AVERAGEIFS(INDEX(dData,0,MATCH($B63&amp;CHAR(10)&amp;"Raw Score",dHdr,0)),dClass,H$45)/$D63,AVERAGEIFS(INDEX(dData,0,MATCH($B63&amp;CHAR(10)&amp;"Stanine",dHdr,0)),dClass,H$45),(COUNTIFS(dClass,H$45,INDEX(dData,0,MATCH($B63&amp;CHAR(10)&amp;"Raw Score",dHdr,0)),"&gt;=0")+COUNTIFS(dClass,H$45,INDEX(dData,0,MATCH($B63&amp;CHAR(10)&amp;"Raw Score",dHdr,0)),"A"))/COUNTIF(dClass,H$45)),""))</f>
        <v/>
      </c>
      <c r="I63" s="36" t="str">
        <f>IF(OR($B63="",I$45=""),"",IFERROR(CHOOSE(MATCH(SelMeasure,MeasureList,0),AVERAGEIFS(INDEX(dData,0,MATCH($B63&amp;CHAR(10)&amp;"Raw Score",dHdr,0)),dClass,I$45)/$D63,AVERAGEIFS(INDEX(dData,0,MATCH($B63&amp;CHAR(10)&amp;"Stanine",dHdr,0)),dClass,I$45),(COUNTIFS(dClass,I$45,INDEX(dData,0,MATCH($B63&amp;CHAR(10)&amp;"Raw Score",dHdr,0)),"&gt;=0")+COUNTIFS(dClass,I$45,INDEX(dData,0,MATCH($B63&amp;CHAR(10)&amp;"Raw Score",dHdr,0)),"A"))/COUNTIF(dClass,I$45)),""))</f>
        <v/>
      </c>
      <c r="J63" s="36" t="str">
        <f>IF(OR($B63="",J$45=""),"",IFERROR(CHOOSE(MATCH(SelMeasure,MeasureList,0),AVERAGEIFS(INDEX(dData,0,MATCH($B63&amp;CHAR(10)&amp;"Raw Score",dHdr,0)),dClass,J$45)/$D63,AVERAGEIFS(INDEX(dData,0,MATCH($B63&amp;CHAR(10)&amp;"Stanine",dHdr,0)),dClass,J$45),(COUNTIFS(dClass,J$45,INDEX(dData,0,MATCH($B63&amp;CHAR(10)&amp;"Raw Score",dHdr,0)),"&gt;=0")+COUNTIFS(dClass,J$45,INDEX(dData,0,MATCH($B63&amp;CHAR(10)&amp;"Raw Score",dHdr,0)),"A"))/COUNTIF(dClass,J$45)),""))</f>
        <v/>
      </c>
      <c r="K63" s="36" t="str">
        <f>IF(OR($B63="",K$45=""),"",IFERROR(CHOOSE(MATCH(SelMeasure,MeasureList,0),AVERAGEIFS(INDEX(dData,0,MATCH($B63&amp;CHAR(10)&amp;"Raw Score",dHdr,0)),dClass,K$45)/$D63,AVERAGEIFS(INDEX(dData,0,MATCH($B63&amp;CHAR(10)&amp;"Stanine",dHdr,0)),dClass,K$45),(COUNTIFS(dClass,K$45,INDEX(dData,0,MATCH($B63&amp;CHAR(10)&amp;"Raw Score",dHdr,0)),"&gt;=0")+COUNTIFS(dClass,K$45,INDEX(dData,0,MATCH($B63&amp;CHAR(10)&amp;"Raw Score",dHdr,0)),"A"))/COUNTIF(dClass,K$45)),""))</f>
        <v/>
      </c>
      <c r="L63" s="36" t="str">
        <f>IF(OR($B63="",L$45=""),"",IFERROR(CHOOSE(MATCH(SelMeasure,MeasureList,0),AVERAGEIFS(INDEX(dData,0,MATCH($B63&amp;CHAR(10)&amp;"Raw Score",dHdr,0)),dClass,L$45)/$D63,AVERAGEIFS(INDEX(dData,0,MATCH($B63&amp;CHAR(10)&amp;"Stanine",dHdr,0)),dClass,L$45),(COUNTIFS(dClass,L$45,INDEX(dData,0,MATCH($B63&amp;CHAR(10)&amp;"Raw Score",dHdr,0)),"&gt;=0")+COUNTIFS(dClass,L$45,INDEX(dData,0,MATCH($B63&amp;CHAR(10)&amp;"Raw Score",dHdr,0)),"A"))/COUNTIF(dClass,L$45)),""))</f>
        <v/>
      </c>
      <c r="M63" s="36" t="str">
        <f>IF(OR($B63="",M$45=""),"",IFERROR(CHOOSE(MATCH(SelMeasure,MeasureList,0),AVERAGEIFS(INDEX(dData,0,MATCH($B63&amp;CHAR(10)&amp;"Raw Score",dHdr,0)),dClass,M$45)/$D63,AVERAGEIFS(INDEX(dData,0,MATCH($B63&amp;CHAR(10)&amp;"Stanine",dHdr,0)),dClass,M$45),(COUNTIFS(dClass,M$45,INDEX(dData,0,MATCH($B63&amp;CHAR(10)&amp;"Raw Score",dHdr,0)),"&gt;=0")+COUNTIFS(dClass,M$45,INDEX(dData,0,MATCH($B63&amp;CHAR(10)&amp;"Raw Score",dHdr,0)),"A"))/COUNTIF(dClass,M$45)),""))</f>
        <v/>
      </c>
      <c r="N63" s="36" t="str">
        <f>IF(OR($B63="",N$45=""),"",IFERROR(CHOOSE(MATCH(SelMeasure,MeasureList,0),AVERAGEIFS(INDEX(dData,0,MATCH($B63&amp;CHAR(10)&amp;"Raw Score",dHdr,0)),dClass,N$45)/$D63,AVERAGEIFS(INDEX(dData,0,MATCH($B63&amp;CHAR(10)&amp;"Stanine",dHdr,0)),dClass,N$45),(COUNTIFS(dClass,N$45,INDEX(dData,0,MATCH($B63&amp;CHAR(10)&amp;"Raw Score",dHdr,0)),"&gt;=0")+COUNTIFS(dClass,N$45,INDEX(dData,0,MATCH($B63&amp;CHAR(10)&amp;"Raw Score",dHdr,0)),"A"))/COUNTIF(dClass,N$45)),""))</f>
        <v/>
      </c>
      <c r="O63" s="36" t="str">
        <f>IF(OR($B63="",O$45=""),"",IFERROR(CHOOSE(MATCH(SelMeasure,MeasureList,0),AVERAGEIFS(INDEX(dData,0,MATCH($B63&amp;CHAR(10)&amp;"Raw Score",dHdr,0)),dClass,O$45)/$D63,AVERAGEIFS(INDEX(dData,0,MATCH($B63&amp;CHAR(10)&amp;"Stanine",dHdr,0)),dClass,O$45),(COUNTIFS(dClass,O$45,INDEX(dData,0,MATCH($B63&amp;CHAR(10)&amp;"Raw Score",dHdr,0)),"&gt;=0")+COUNTIFS(dClass,O$45,INDEX(dData,0,MATCH($B63&amp;CHAR(10)&amp;"Raw Score",dHdr,0)),"A"))/COUNTIF(dClass,O$45)),""))</f>
        <v/>
      </c>
    </row>
    <row r="64">
      <c r="B64" s="31" t="str">
        <f>Calc!AA21</f>
        <v/>
      </c>
      <c r="C64" s="57" t="str">
        <f>Calc!AC21</f>
        <v/>
      </c>
      <c r="D64" s="33" t="str">
        <f>Calc!AB21</f>
        <v/>
      </c>
      <c r="E64" s="33" t="str">
        <f>IF($B64="","",IFERROR(COUNT(INDEX(dData,0,MATCH($B64&amp;CHAR(10)&amp;"Raw Score",dHdr,0))),""))</f>
        <v/>
      </c>
      <c r="F64" s="36" t="str">
        <f>IF($B64="","",IFERROR(($E64+COUNTIF(INDEX(dData,0,MATCH($B64&amp;CHAR(10)&amp;"Raw Score",dHdr,0)),"A"))/COUNTA(dLast),""))</f>
        <v/>
      </c>
      <c r="G64" s="58" t="str">
        <f>IF($B64="","",IFERROR(CHOOSE(MATCH(SelMeasure,MeasureList,0),AVERAGE(INDEX(dData,0,MATCH($B64&amp;CHAR(10)&amp;"Raw Score",dHdr,0)))/$D64,AVERAGE(INDEX(dData,0,MATCH($B64&amp;CHAR(10)&amp;"Stanine",dHdr,0))),$F64),""))</f>
        <v/>
      </c>
      <c r="H64" s="36" t="str">
        <f>IF(OR($B64="",H$45=""),"",IFERROR(CHOOSE(MATCH(SelMeasure,MeasureList,0),AVERAGEIFS(INDEX(dData,0,MATCH($B64&amp;CHAR(10)&amp;"Raw Score",dHdr,0)),dClass,H$45)/$D64,AVERAGEIFS(INDEX(dData,0,MATCH($B64&amp;CHAR(10)&amp;"Stanine",dHdr,0)),dClass,H$45),(COUNTIFS(dClass,H$45,INDEX(dData,0,MATCH($B64&amp;CHAR(10)&amp;"Raw Score",dHdr,0)),"&gt;=0")+COUNTIFS(dClass,H$45,INDEX(dData,0,MATCH($B64&amp;CHAR(10)&amp;"Raw Score",dHdr,0)),"A"))/COUNTIF(dClass,H$45)),""))</f>
        <v/>
      </c>
      <c r="I64" s="36" t="str">
        <f>IF(OR($B64="",I$45=""),"",IFERROR(CHOOSE(MATCH(SelMeasure,MeasureList,0),AVERAGEIFS(INDEX(dData,0,MATCH($B64&amp;CHAR(10)&amp;"Raw Score",dHdr,0)),dClass,I$45)/$D64,AVERAGEIFS(INDEX(dData,0,MATCH($B64&amp;CHAR(10)&amp;"Stanine",dHdr,0)),dClass,I$45),(COUNTIFS(dClass,I$45,INDEX(dData,0,MATCH($B64&amp;CHAR(10)&amp;"Raw Score",dHdr,0)),"&gt;=0")+COUNTIFS(dClass,I$45,INDEX(dData,0,MATCH($B64&amp;CHAR(10)&amp;"Raw Score",dHdr,0)),"A"))/COUNTIF(dClass,I$45)),""))</f>
        <v/>
      </c>
      <c r="J64" s="36" t="str">
        <f>IF(OR($B64="",J$45=""),"",IFERROR(CHOOSE(MATCH(SelMeasure,MeasureList,0),AVERAGEIFS(INDEX(dData,0,MATCH($B64&amp;CHAR(10)&amp;"Raw Score",dHdr,0)),dClass,J$45)/$D64,AVERAGEIFS(INDEX(dData,0,MATCH($B64&amp;CHAR(10)&amp;"Stanine",dHdr,0)),dClass,J$45),(COUNTIFS(dClass,J$45,INDEX(dData,0,MATCH($B64&amp;CHAR(10)&amp;"Raw Score",dHdr,0)),"&gt;=0")+COUNTIFS(dClass,J$45,INDEX(dData,0,MATCH($B64&amp;CHAR(10)&amp;"Raw Score",dHdr,0)),"A"))/COUNTIF(dClass,J$45)),""))</f>
        <v/>
      </c>
      <c r="K64" s="36" t="str">
        <f>IF(OR($B64="",K$45=""),"",IFERROR(CHOOSE(MATCH(SelMeasure,MeasureList,0),AVERAGEIFS(INDEX(dData,0,MATCH($B64&amp;CHAR(10)&amp;"Raw Score",dHdr,0)),dClass,K$45)/$D64,AVERAGEIFS(INDEX(dData,0,MATCH($B64&amp;CHAR(10)&amp;"Stanine",dHdr,0)),dClass,K$45),(COUNTIFS(dClass,K$45,INDEX(dData,0,MATCH($B64&amp;CHAR(10)&amp;"Raw Score",dHdr,0)),"&gt;=0")+COUNTIFS(dClass,K$45,INDEX(dData,0,MATCH($B64&amp;CHAR(10)&amp;"Raw Score",dHdr,0)),"A"))/COUNTIF(dClass,K$45)),""))</f>
        <v/>
      </c>
      <c r="L64" s="36" t="str">
        <f>IF(OR($B64="",L$45=""),"",IFERROR(CHOOSE(MATCH(SelMeasure,MeasureList,0),AVERAGEIFS(INDEX(dData,0,MATCH($B64&amp;CHAR(10)&amp;"Raw Score",dHdr,0)),dClass,L$45)/$D64,AVERAGEIFS(INDEX(dData,0,MATCH($B64&amp;CHAR(10)&amp;"Stanine",dHdr,0)),dClass,L$45),(COUNTIFS(dClass,L$45,INDEX(dData,0,MATCH($B64&amp;CHAR(10)&amp;"Raw Score",dHdr,0)),"&gt;=0")+COUNTIFS(dClass,L$45,INDEX(dData,0,MATCH($B64&amp;CHAR(10)&amp;"Raw Score",dHdr,0)),"A"))/COUNTIF(dClass,L$45)),""))</f>
        <v/>
      </c>
      <c r="M64" s="36" t="str">
        <f>IF(OR($B64="",M$45=""),"",IFERROR(CHOOSE(MATCH(SelMeasure,MeasureList,0),AVERAGEIFS(INDEX(dData,0,MATCH($B64&amp;CHAR(10)&amp;"Raw Score",dHdr,0)),dClass,M$45)/$D64,AVERAGEIFS(INDEX(dData,0,MATCH($B64&amp;CHAR(10)&amp;"Stanine",dHdr,0)),dClass,M$45),(COUNTIFS(dClass,M$45,INDEX(dData,0,MATCH($B64&amp;CHAR(10)&amp;"Raw Score",dHdr,0)),"&gt;=0")+COUNTIFS(dClass,M$45,INDEX(dData,0,MATCH($B64&amp;CHAR(10)&amp;"Raw Score",dHdr,0)),"A"))/COUNTIF(dClass,M$45)),""))</f>
        <v/>
      </c>
      <c r="N64" s="36" t="str">
        <f>IF(OR($B64="",N$45=""),"",IFERROR(CHOOSE(MATCH(SelMeasure,MeasureList,0),AVERAGEIFS(INDEX(dData,0,MATCH($B64&amp;CHAR(10)&amp;"Raw Score",dHdr,0)),dClass,N$45)/$D64,AVERAGEIFS(INDEX(dData,0,MATCH($B64&amp;CHAR(10)&amp;"Stanine",dHdr,0)),dClass,N$45),(COUNTIFS(dClass,N$45,INDEX(dData,0,MATCH($B64&amp;CHAR(10)&amp;"Raw Score",dHdr,0)),"&gt;=0")+COUNTIFS(dClass,N$45,INDEX(dData,0,MATCH($B64&amp;CHAR(10)&amp;"Raw Score",dHdr,0)),"A"))/COUNTIF(dClass,N$45)),""))</f>
        <v/>
      </c>
      <c r="O64" s="36" t="str">
        <f>IF(OR($B64="",O$45=""),"",IFERROR(CHOOSE(MATCH(SelMeasure,MeasureList,0),AVERAGEIFS(INDEX(dData,0,MATCH($B64&amp;CHAR(10)&amp;"Raw Score",dHdr,0)),dClass,O$45)/$D64,AVERAGEIFS(INDEX(dData,0,MATCH($B64&amp;CHAR(10)&amp;"Stanine",dHdr,0)),dClass,O$45),(COUNTIFS(dClass,O$45,INDEX(dData,0,MATCH($B64&amp;CHAR(10)&amp;"Raw Score",dHdr,0)),"&gt;=0")+COUNTIFS(dClass,O$45,INDEX(dData,0,MATCH($B64&amp;CHAR(10)&amp;"Raw Score",dHdr,0)),"A"))/COUNTIF(dClass,O$45)),""))</f>
        <v/>
      </c>
    </row>
    <row r="65">
      <c r="B65" s="31" t="str">
        <f>Calc!AA22</f>
        <v/>
      </c>
      <c r="C65" s="57" t="str">
        <f>Calc!AC22</f>
        <v/>
      </c>
      <c r="D65" s="33" t="str">
        <f>Calc!AB22</f>
        <v/>
      </c>
      <c r="E65" s="33" t="str">
        <f>IF($B65="","",IFERROR(COUNT(INDEX(dData,0,MATCH($B65&amp;CHAR(10)&amp;"Raw Score",dHdr,0))),""))</f>
        <v/>
      </c>
      <c r="F65" s="36" t="str">
        <f>IF($B65="","",IFERROR(($E65+COUNTIF(INDEX(dData,0,MATCH($B65&amp;CHAR(10)&amp;"Raw Score",dHdr,0)),"A"))/COUNTA(dLast),""))</f>
        <v/>
      </c>
      <c r="G65" s="58" t="str">
        <f>IF($B65="","",IFERROR(CHOOSE(MATCH(SelMeasure,MeasureList,0),AVERAGE(INDEX(dData,0,MATCH($B65&amp;CHAR(10)&amp;"Raw Score",dHdr,0)))/$D65,AVERAGE(INDEX(dData,0,MATCH($B65&amp;CHAR(10)&amp;"Stanine",dHdr,0))),$F65),""))</f>
        <v/>
      </c>
      <c r="H65" s="36" t="str">
        <f>IF(OR($B65="",H$45=""),"",IFERROR(CHOOSE(MATCH(SelMeasure,MeasureList,0),AVERAGEIFS(INDEX(dData,0,MATCH($B65&amp;CHAR(10)&amp;"Raw Score",dHdr,0)),dClass,H$45)/$D65,AVERAGEIFS(INDEX(dData,0,MATCH($B65&amp;CHAR(10)&amp;"Stanine",dHdr,0)),dClass,H$45),(COUNTIFS(dClass,H$45,INDEX(dData,0,MATCH($B65&amp;CHAR(10)&amp;"Raw Score",dHdr,0)),"&gt;=0")+COUNTIFS(dClass,H$45,INDEX(dData,0,MATCH($B65&amp;CHAR(10)&amp;"Raw Score",dHdr,0)),"A"))/COUNTIF(dClass,H$45)),""))</f>
        <v/>
      </c>
      <c r="I65" s="36" t="str">
        <f>IF(OR($B65="",I$45=""),"",IFERROR(CHOOSE(MATCH(SelMeasure,MeasureList,0),AVERAGEIFS(INDEX(dData,0,MATCH($B65&amp;CHAR(10)&amp;"Raw Score",dHdr,0)),dClass,I$45)/$D65,AVERAGEIFS(INDEX(dData,0,MATCH($B65&amp;CHAR(10)&amp;"Stanine",dHdr,0)),dClass,I$45),(COUNTIFS(dClass,I$45,INDEX(dData,0,MATCH($B65&amp;CHAR(10)&amp;"Raw Score",dHdr,0)),"&gt;=0")+COUNTIFS(dClass,I$45,INDEX(dData,0,MATCH($B65&amp;CHAR(10)&amp;"Raw Score",dHdr,0)),"A"))/COUNTIF(dClass,I$45)),""))</f>
        <v/>
      </c>
      <c r="J65" s="36" t="str">
        <f>IF(OR($B65="",J$45=""),"",IFERROR(CHOOSE(MATCH(SelMeasure,MeasureList,0),AVERAGEIFS(INDEX(dData,0,MATCH($B65&amp;CHAR(10)&amp;"Raw Score",dHdr,0)),dClass,J$45)/$D65,AVERAGEIFS(INDEX(dData,0,MATCH($B65&amp;CHAR(10)&amp;"Stanine",dHdr,0)),dClass,J$45),(COUNTIFS(dClass,J$45,INDEX(dData,0,MATCH($B65&amp;CHAR(10)&amp;"Raw Score",dHdr,0)),"&gt;=0")+COUNTIFS(dClass,J$45,INDEX(dData,0,MATCH($B65&amp;CHAR(10)&amp;"Raw Score",dHdr,0)),"A"))/COUNTIF(dClass,J$45)),""))</f>
        <v/>
      </c>
      <c r="K65" s="36" t="str">
        <f>IF(OR($B65="",K$45=""),"",IFERROR(CHOOSE(MATCH(SelMeasure,MeasureList,0),AVERAGEIFS(INDEX(dData,0,MATCH($B65&amp;CHAR(10)&amp;"Raw Score",dHdr,0)),dClass,K$45)/$D65,AVERAGEIFS(INDEX(dData,0,MATCH($B65&amp;CHAR(10)&amp;"Stanine",dHdr,0)),dClass,K$45),(COUNTIFS(dClass,K$45,INDEX(dData,0,MATCH($B65&amp;CHAR(10)&amp;"Raw Score",dHdr,0)),"&gt;=0")+COUNTIFS(dClass,K$45,INDEX(dData,0,MATCH($B65&amp;CHAR(10)&amp;"Raw Score",dHdr,0)),"A"))/COUNTIF(dClass,K$45)),""))</f>
        <v/>
      </c>
      <c r="L65" s="36" t="str">
        <f>IF(OR($B65="",L$45=""),"",IFERROR(CHOOSE(MATCH(SelMeasure,MeasureList,0),AVERAGEIFS(INDEX(dData,0,MATCH($B65&amp;CHAR(10)&amp;"Raw Score",dHdr,0)),dClass,L$45)/$D65,AVERAGEIFS(INDEX(dData,0,MATCH($B65&amp;CHAR(10)&amp;"Stanine",dHdr,0)),dClass,L$45),(COUNTIFS(dClass,L$45,INDEX(dData,0,MATCH($B65&amp;CHAR(10)&amp;"Raw Score",dHdr,0)),"&gt;=0")+COUNTIFS(dClass,L$45,INDEX(dData,0,MATCH($B65&amp;CHAR(10)&amp;"Raw Score",dHdr,0)),"A"))/COUNTIF(dClass,L$45)),""))</f>
        <v/>
      </c>
      <c r="M65" s="36" t="str">
        <f>IF(OR($B65="",M$45=""),"",IFERROR(CHOOSE(MATCH(SelMeasure,MeasureList,0),AVERAGEIFS(INDEX(dData,0,MATCH($B65&amp;CHAR(10)&amp;"Raw Score",dHdr,0)),dClass,M$45)/$D65,AVERAGEIFS(INDEX(dData,0,MATCH($B65&amp;CHAR(10)&amp;"Stanine",dHdr,0)),dClass,M$45),(COUNTIFS(dClass,M$45,INDEX(dData,0,MATCH($B65&amp;CHAR(10)&amp;"Raw Score",dHdr,0)),"&gt;=0")+COUNTIFS(dClass,M$45,INDEX(dData,0,MATCH($B65&amp;CHAR(10)&amp;"Raw Score",dHdr,0)),"A"))/COUNTIF(dClass,M$45)),""))</f>
        <v/>
      </c>
      <c r="N65" s="36" t="str">
        <f>IF(OR($B65="",N$45=""),"",IFERROR(CHOOSE(MATCH(SelMeasure,MeasureList,0),AVERAGEIFS(INDEX(dData,0,MATCH($B65&amp;CHAR(10)&amp;"Raw Score",dHdr,0)),dClass,N$45)/$D65,AVERAGEIFS(INDEX(dData,0,MATCH($B65&amp;CHAR(10)&amp;"Stanine",dHdr,0)),dClass,N$45),(COUNTIFS(dClass,N$45,INDEX(dData,0,MATCH($B65&amp;CHAR(10)&amp;"Raw Score",dHdr,0)),"&gt;=0")+COUNTIFS(dClass,N$45,INDEX(dData,0,MATCH($B65&amp;CHAR(10)&amp;"Raw Score",dHdr,0)),"A"))/COUNTIF(dClass,N$45)),""))</f>
        <v/>
      </c>
      <c r="O65" s="36" t="str">
        <f>IF(OR($B65="",O$45=""),"",IFERROR(CHOOSE(MATCH(SelMeasure,MeasureList,0),AVERAGEIFS(INDEX(dData,0,MATCH($B65&amp;CHAR(10)&amp;"Raw Score",dHdr,0)),dClass,O$45)/$D65,AVERAGEIFS(INDEX(dData,0,MATCH($B65&amp;CHAR(10)&amp;"Stanine",dHdr,0)),dClass,O$45),(COUNTIFS(dClass,O$45,INDEX(dData,0,MATCH($B65&amp;CHAR(10)&amp;"Raw Score",dHdr,0)),"&gt;=0")+COUNTIFS(dClass,O$45,INDEX(dData,0,MATCH($B65&amp;CHAR(10)&amp;"Raw Score",dHdr,0)),"A"))/COUNTIF(dClass,O$45)),""))</f>
        <v/>
      </c>
    </row>
    <row r="66">
      <c r="B66" s="31" t="str">
        <f>Calc!AA23</f>
        <v/>
      </c>
      <c r="C66" s="57" t="str">
        <f>Calc!AC23</f>
        <v/>
      </c>
      <c r="D66" s="33" t="str">
        <f>Calc!AB23</f>
        <v/>
      </c>
      <c r="E66" s="33" t="str">
        <f>IF($B66="","",IFERROR(COUNT(INDEX(dData,0,MATCH($B66&amp;CHAR(10)&amp;"Raw Score",dHdr,0))),""))</f>
        <v/>
      </c>
      <c r="F66" s="36" t="str">
        <f>IF($B66="","",IFERROR(($E66+COUNTIF(INDEX(dData,0,MATCH($B66&amp;CHAR(10)&amp;"Raw Score",dHdr,0)),"A"))/COUNTA(dLast),""))</f>
        <v/>
      </c>
      <c r="G66" s="58" t="str">
        <f>IF($B66="","",IFERROR(CHOOSE(MATCH(SelMeasure,MeasureList,0),AVERAGE(INDEX(dData,0,MATCH($B66&amp;CHAR(10)&amp;"Raw Score",dHdr,0)))/$D66,AVERAGE(INDEX(dData,0,MATCH($B66&amp;CHAR(10)&amp;"Stanine",dHdr,0))),$F66),""))</f>
        <v/>
      </c>
      <c r="H66" s="36" t="str">
        <f>IF(OR($B66="",H$45=""),"",IFERROR(CHOOSE(MATCH(SelMeasure,MeasureList,0),AVERAGEIFS(INDEX(dData,0,MATCH($B66&amp;CHAR(10)&amp;"Raw Score",dHdr,0)),dClass,H$45)/$D66,AVERAGEIFS(INDEX(dData,0,MATCH($B66&amp;CHAR(10)&amp;"Stanine",dHdr,0)),dClass,H$45),(COUNTIFS(dClass,H$45,INDEX(dData,0,MATCH($B66&amp;CHAR(10)&amp;"Raw Score",dHdr,0)),"&gt;=0")+COUNTIFS(dClass,H$45,INDEX(dData,0,MATCH($B66&amp;CHAR(10)&amp;"Raw Score",dHdr,0)),"A"))/COUNTIF(dClass,H$45)),""))</f>
        <v/>
      </c>
      <c r="I66" s="36" t="str">
        <f>IF(OR($B66="",I$45=""),"",IFERROR(CHOOSE(MATCH(SelMeasure,MeasureList,0),AVERAGEIFS(INDEX(dData,0,MATCH($B66&amp;CHAR(10)&amp;"Raw Score",dHdr,0)),dClass,I$45)/$D66,AVERAGEIFS(INDEX(dData,0,MATCH($B66&amp;CHAR(10)&amp;"Stanine",dHdr,0)),dClass,I$45),(COUNTIFS(dClass,I$45,INDEX(dData,0,MATCH($B66&amp;CHAR(10)&amp;"Raw Score",dHdr,0)),"&gt;=0")+COUNTIFS(dClass,I$45,INDEX(dData,0,MATCH($B66&amp;CHAR(10)&amp;"Raw Score",dHdr,0)),"A"))/COUNTIF(dClass,I$45)),""))</f>
        <v/>
      </c>
      <c r="J66" s="36" t="str">
        <f>IF(OR($B66="",J$45=""),"",IFERROR(CHOOSE(MATCH(SelMeasure,MeasureList,0),AVERAGEIFS(INDEX(dData,0,MATCH($B66&amp;CHAR(10)&amp;"Raw Score",dHdr,0)),dClass,J$45)/$D66,AVERAGEIFS(INDEX(dData,0,MATCH($B66&amp;CHAR(10)&amp;"Stanine",dHdr,0)),dClass,J$45),(COUNTIFS(dClass,J$45,INDEX(dData,0,MATCH($B66&amp;CHAR(10)&amp;"Raw Score",dHdr,0)),"&gt;=0")+COUNTIFS(dClass,J$45,INDEX(dData,0,MATCH($B66&amp;CHAR(10)&amp;"Raw Score",dHdr,0)),"A"))/COUNTIF(dClass,J$45)),""))</f>
        <v/>
      </c>
      <c r="K66" s="36" t="str">
        <f>IF(OR($B66="",K$45=""),"",IFERROR(CHOOSE(MATCH(SelMeasure,MeasureList,0),AVERAGEIFS(INDEX(dData,0,MATCH($B66&amp;CHAR(10)&amp;"Raw Score",dHdr,0)),dClass,K$45)/$D66,AVERAGEIFS(INDEX(dData,0,MATCH($B66&amp;CHAR(10)&amp;"Stanine",dHdr,0)),dClass,K$45),(COUNTIFS(dClass,K$45,INDEX(dData,0,MATCH($B66&amp;CHAR(10)&amp;"Raw Score",dHdr,0)),"&gt;=0")+COUNTIFS(dClass,K$45,INDEX(dData,0,MATCH($B66&amp;CHAR(10)&amp;"Raw Score",dHdr,0)),"A"))/COUNTIF(dClass,K$45)),""))</f>
        <v/>
      </c>
      <c r="L66" s="36" t="str">
        <f>IF(OR($B66="",L$45=""),"",IFERROR(CHOOSE(MATCH(SelMeasure,MeasureList,0),AVERAGEIFS(INDEX(dData,0,MATCH($B66&amp;CHAR(10)&amp;"Raw Score",dHdr,0)),dClass,L$45)/$D66,AVERAGEIFS(INDEX(dData,0,MATCH($B66&amp;CHAR(10)&amp;"Stanine",dHdr,0)),dClass,L$45),(COUNTIFS(dClass,L$45,INDEX(dData,0,MATCH($B66&amp;CHAR(10)&amp;"Raw Score",dHdr,0)),"&gt;=0")+COUNTIFS(dClass,L$45,INDEX(dData,0,MATCH($B66&amp;CHAR(10)&amp;"Raw Score",dHdr,0)),"A"))/COUNTIF(dClass,L$45)),""))</f>
        <v/>
      </c>
      <c r="M66" s="36" t="str">
        <f>IF(OR($B66="",M$45=""),"",IFERROR(CHOOSE(MATCH(SelMeasure,MeasureList,0),AVERAGEIFS(INDEX(dData,0,MATCH($B66&amp;CHAR(10)&amp;"Raw Score",dHdr,0)),dClass,M$45)/$D66,AVERAGEIFS(INDEX(dData,0,MATCH($B66&amp;CHAR(10)&amp;"Stanine",dHdr,0)),dClass,M$45),(COUNTIFS(dClass,M$45,INDEX(dData,0,MATCH($B66&amp;CHAR(10)&amp;"Raw Score",dHdr,0)),"&gt;=0")+COUNTIFS(dClass,M$45,INDEX(dData,0,MATCH($B66&amp;CHAR(10)&amp;"Raw Score",dHdr,0)),"A"))/COUNTIF(dClass,M$45)),""))</f>
        <v/>
      </c>
      <c r="N66" s="36" t="str">
        <f>IF(OR($B66="",N$45=""),"",IFERROR(CHOOSE(MATCH(SelMeasure,MeasureList,0),AVERAGEIFS(INDEX(dData,0,MATCH($B66&amp;CHAR(10)&amp;"Raw Score",dHdr,0)),dClass,N$45)/$D66,AVERAGEIFS(INDEX(dData,0,MATCH($B66&amp;CHAR(10)&amp;"Stanine",dHdr,0)),dClass,N$45),(COUNTIFS(dClass,N$45,INDEX(dData,0,MATCH($B66&amp;CHAR(10)&amp;"Raw Score",dHdr,0)),"&gt;=0")+COUNTIFS(dClass,N$45,INDEX(dData,0,MATCH($B66&amp;CHAR(10)&amp;"Raw Score",dHdr,0)),"A"))/COUNTIF(dClass,N$45)),""))</f>
        <v/>
      </c>
      <c r="O66" s="36" t="str">
        <f>IF(OR($B66="",O$45=""),"",IFERROR(CHOOSE(MATCH(SelMeasure,MeasureList,0),AVERAGEIFS(INDEX(dData,0,MATCH($B66&amp;CHAR(10)&amp;"Raw Score",dHdr,0)),dClass,O$45)/$D66,AVERAGEIFS(INDEX(dData,0,MATCH($B66&amp;CHAR(10)&amp;"Stanine",dHdr,0)),dClass,O$45),(COUNTIFS(dClass,O$45,INDEX(dData,0,MATCH($B66&amp;CHAR(10)&amp;"Raw Score",dHdr,0)),"&gt;=0")+COUNTIFS(dClass,O$45,INDEX(dData,0,MATCH($B66&amp;CHAR(10)&amp;"Raw Score",dHdr,0)),"A"))/COUNTIF(dClass,O$45)),""))</f>
        <v/>
      </c>
    </row>
    <row r="67">
      <c r="B67" s="31" t="str">
        <f>Calc!AA24</f>
        <v/>
      </c>
      <c r="C67" s="57" t="str">
        <f>Calc!AC24</f>
        <v/>
      </c>
      <c r="D67" s="33" t="str">
        <f>Calc!AB24</f>
        <v/>
      </c>
      <c r="E67" s="33" t="str">
        <f>IF($B67="","",IFERROR(COUNT(INDEX(dData,0,MATCH($B67&amp;CHAR(10)&amp;"Raw Score",dHdr,0))),""))</f>
        <v/>
      </c>
      <c r="F67" s="36" t="str">
        <f>IF($B67="","",IFERROR(($E67+COUNTIF(INDEX(dData,0,MATCH($B67&amp;CHAR(10)&amp;"Raw Score",dHdr,0)),"A"))/COUNTA(dLast),""))</f>
        <v/>
      </c>
      <c r="G67" s="58" t="str">
        <f>IF($B67="","",IFERROR(CHOOSE(MATCH(SelMeasure,MeasureList,0),AVERAGE(INDEX(dData,0,MATCH($B67&amp;CHAR(10)&amp;"Raw Score",dHdr,0)))/$D67,AVERAGE(INDEX(dData,0,MATCH($B67&amp;CHAR(10)&amp;"Stanine",dHdr,0))),$F67),""))</f>
        <v/>
      </c>
      <c r="H67" s="36" t="str">
        <f>IF(OR($B67="",H$45=""),"",IFERROR(CHOOSE(MATCH(SelMeasure,MeasureList,0),AVERAGEIFS(INDEX(dData,0,MATCH($B67&amp;CHAR(10)&amp;"Raw Score",dHdr,0)),dClass,H$45)/$D67,AVERAGEIFS(INDEX(dData,0,MATCH($B67&amp;CHAR(10)&amp;"Stanine",dHdr,0)),dClass,H$45),(COUNTIFS(dClass,H$45,INDEX(dData,0,MATCH($B67&amp;CHAR(10)&amp;"Raw Score",dHdr,0)),"&gt;=0")+COUNTIFS(dClass,H$45,INDEX(dData,0,MATCH($B67&amp;CHAR(10)&amp;"Raw Score",dHdr,0)),"A"))/COUNTIF(dClass,H$45)),""))</f>
        <v/>
      </c>
      <c r="I67" s="36" t="str">
        <f>IF(OR($B67="",I$45=""),"",IFERROR(CHOOSE(MATCH(SelMeasure,MeasureList,0),AVERAGEIFS(INDEX(dData,0,MATCH($B67&amp;CHAR(10)&amp;"Raw Score",dHdr,0)),dClass,I$45)/$D67,AVERAGEIFS(INDEX(dData,0,MATCH($B67&amp;CHAR(10)&amp;"Stanine",dHdr,0)),dClass,I$45),(COUNTIFS(dClass,I$45,INDEX(dData,0,MATCH($B67&amp;CHAR(10)&amp;"Raw Score",dHdr,0)),"&gt;=0")+COUNTIFS(dClass,I$45,INDEX(dData,0,MATCH($B67&amp;CHAR(10)&amp;"Raw Score",dHdr,0)),"A"))/COUNTIF(dClass,I$45)),""))</f>
        <v/>
      </c>
      <c r="J67" s="36" t="str">
        <f>IF(OR($B67="",J$45=""),"",IFERROR(CHOOSE(MATCH(SelMeasure,MeasureList,0),AVERAGEIFS(INDEX(dData,0,MATCH($B67&amp;CHAR(10)&amp;"Raw Score",dHdr,0)),dClass,J$45)/$D67,AVERAGEIFS(INDEX(dData,0,MATCH($B67&amp;CHAR(10)&amp;"Stanine",dHdr,0)),dClass,J$45),(COUNTIFS(dClass,J$45,INDEX(dData,0,MATCH($B67&amp;CHAR(10)&amp;"Raw Score",dHdr,0)),"&gt;=0")+COUNTIFS(dClass,J$45,INDEX(dData,0,MATCH($B67&amp;CHAR(10)&amp;"Raw Score",dHdr,0)),"A"))/COUNTIF(dClass,J$45)),""))</f>
        <v/>
      </c>
      <c r="K67" s="36" t="str">
        <f>IF(OR($B67="",K$45=""),"",IFERROR(CHOOSE(MATCH(SelMeasure,MeasureList,0),AVERAGEIFS(INDEX(dData,0,MATCH($B67&amp;CHAR(10)&amp;"Raw Score",dHdr,0)),dClass,K$45)/$D67,AVERAGEIFS(INDEX(dData,0,MATCH($B67&amp;CHAR(10)&amp;"Stanine",dHdr,0)),dClass,K$45),(COUNTIFS(dClass,K$45,INDEX(dData,0,MATCH($B67&amp;CHAR(10)&amp;"Raw Score",dHdr,0)),"&gt;=0")+COUNTIFS(dClass,K$45,INDEX(dData,0,MATCH($B67&amp;CHAR(10)&amp;"Raw Score",dHdr,0)),"A"))/COUNTIF(dClass,K$45)),""))</f>
        <v/>
      </c>
      <c r="L67" s="36" t="str">
        <f>IF(OR($B67="",L$45=""),"",IFERROR(CHOOSE(MATCH(SelMeasure,MeasureList,0),AVERAGEIFS(INDEX(dData,0,MATCH($B67&amp;CHAR(10)&amp;"Raw Score",dHdr,0)),dClass,L$45)/$D67,AVERAGEIFS(INDEX(dData,0,MATCH($B67&amp;CHAR(10)&amp;"Stanine",dHdr,0)),dClass,L$45),(COUNTIFS(dClass,L$45,INDEX(dData,0,MATCH($B67&amp;CHAR(10)&amp;"Raw Score",dHdr,0)),"&gt;=0")+COUNTIFS(dClass,L$45,INDEX(dData,0,MATCH($B67&amp;CHAR(10)&amp;"Raw Score",dHdr,0)),"A"))/COUNTIF(dClass,L$45)),""))</f>
        <v/>
      </c>
      <c r="M67" s="36" t="str">
        <f>IF(OR($B67="",M$45=""),"",IFERROR(CHOOSE(MATCH(SelMeasure,MeasureList,0),AVERAGEIFS(INDEX(dData,0,MATCH($B67&amp;CHAR(10)&amp;"Raw Score",dHdr,0)),dClass,M$45)/$D67,AVERAGEIFS(INDEX(dData,0,MATCH($B67&amp;CHAR(10)&amp;"Stanine",dHdr,0)),dClass,M$45),(COUNTIFS(dClass,M$45,INDEX(dData,0,MATCH($B67&amp;CHAR(10)&amp;"Raw Score",dHdr,0)),"&gt;=0")+COUNTIFS(dClass,M$45,INDEX(dData,0,MATCH($B67&amp;CHAR(10)&amp;"Raw Score",dHdr,0)),"A"))/COUNTIF(dClass,M$45)),""))</f>
        <v/>
      </c>
      <c r="N67" s="36" t="str">
        <f>IF(OR($B67="",N$45=""),"",IFERROR(CHOOSE(MATCH(SelMeasure,MeasureList,0),AVERAGEIFS(INDEX(dData,0,MATCH($B67&amp;CHAR(10)&amp;"Raw Score",dHdr,0)),dClass,N$45)/$D67,AVERAGEIFS(INDEX(dData,0,MATCH($B67&amp;CHAR(10)&amp;"Stanine",dHdr,0)),dClass,N$45),(COUNTIFS(dClass,N$45,INDEX(dData,0,MATCH($B67&amp;CHAR(10)&amp;"Raw Score",dHdr,0)),"&gt;=0")+COUNTIFS(dClass,N$45,INDEX(dData,0,MATCH($B67&amp;CHAR(10)&amp;"Raw Score",dHdr,0)),"A"))/COUNTIF(dClass,N$45)),""))</f>
        <v/>
      </c>
      <c r="O67" s="36" t="str">
        <f>IF(OR($B67="",O$45=""),"",IFERROR(CHOOSE(MATCH(SelMeasure,MeasureList,0),AVERAGEIFS(INDEX(dData,0,MATCH($B67&amp;CHAR(10)&amp;"Raw Score",dHdr,0)),dClass,O$45)/$D67,AVERAGEIFS(INDEX(dData,0,MATCH($B67&amp;CHAR(10)&amp;"Stanine",dHdr,0)),dClass,O$45),(COUNTIFS(dClass,O$45,INDEX(dData,0,MATCH($B67&amp;CHAR(10)&amp;"Raw Score",dHdr,0)),"&gt;=0")+COUNTIFS(dClass,O$45,INDEX(dData,0,MATCH($B67&amp;CHAR(10)&amp;"Raw Score",dHdr,0)),"A"))/COUNTIF(dClass,O$45)),""))</f>
        <v/>
      </c>
    </row>
    <row r="68">
      <c r="B68" s="31" t="str">
        <f>Calc!AA25</f>
        <v/>
      </c>
      <c r="C68" s="57" t="str">
        <f>Calc!AC25</f>
        <v/>
      </c>
      <c r="D68" s="33" t="str">
        <f>Calc!AB25</f>
        <v/>
      </c>
      <c r="E68" s="33" t="str">
        <f>IF($B68="","",IFERROR(COUNT(INDEX(dData,0,MATCH($B68&amp;CHAR(10)&amp;"Raw Score",dHdr,0))),""))</f>
        <v/>
      </c>
      <c r="F68" s="36" t="str">
        <f>IF($B68="","",IFERROR(($E68+COUNTIF(INDEX(dData,0,MATCH($B68&amp;CHAR(10)&amp;"Raw Score",dHdr,0)),"A"))/COUNTA(dLast),""))</f>
        <v/>
      </c>
      <c r="G68" s="58" t="str">
        <f>IF($B68="","",IFERROR(CHOOSE(MATCH(SelMeasure,MeasureList,0),AVERAGE(INDEX(dData,0,MATCH($B68&amp;CHAR(10)&amp;"Raw Score",dHdr,0)))/$D68,AVERAGE(INDEX(dData,0,MATCH($B68&amp;CHAR(10)&amp;"Stanine",dHdr,0))),$F68),""))</f>
        <v/>
      </c>
      <c r="H68" s="36" t="str">
        <f>IF(OR($B68="",H$45=""),"",IFERROR(CHOOSE(MATCH(SelMeasure,MeasureList,0),AVERAGEIFS(INDEX(dData,0,MATCH($B68&amp;CHAR(10)&amp;"Raw Score",dHdr,0)),dClass,H$45)/$D68,AVERAGEIFS(INDEX(dData,0,MATCH($B68&amp;CHAR(10)&amp;"Stanine",dHdr,0)),dClass,H$45),(COUNTIFS(dClass,H$45,INDEX(dData,0,MATCH($B68&amp;CHAR(10)&amp;"Raw Score",dHdr,0)),"&gt;=0")+COUNTIFS(dClass,H$45,INDEX(dData,0,MATCH($B68&amp;CHAR(10)&amp;"Raw Score",dHdr,0)),"A"))/COUNTIF(dClass,H$45)),""))</f>
        <v/>
      </c>
      <c r="I68" s="36" t="str">
        <f>IF(OR($B68="",I$45=""),"",IFERROR(CHOOSE(MATCH(SelMeasure,MeasureList,0),AVERAGEIFS(INDEX(dData,0,MATCH($B68&amp;CHAR(10)&amp;"Raw Score",dHdr,0)),dClass,I$45)/$D68,AVERAGEIFS(INDEX(dData,0,MATCH($B68&amp;CHAR(10)&amp;"Stanine",dHdr,0)),dClass,I$45),(COUNTIFS(dClass,I$45,INDEX(dData,0,MATCH($B68&amp;CHAR(10)&amp;"Raw Score",dHdr,0)),"&gt;=0")+COUNTIFS(dClass,I$45,INDEX(dData,0,MATCH($B68&amp;CHAR(10)&amp;"Raw Score",dHdr,0)),"A"))/COUNTIF(dClass,I$45)),""))</f>
        <v/>
      </c>
      <c r="J68" s="36" t="str">
        <f>IF(OR($B68="",J$45=""),"",IFERROR(CHOOSE(MATCH(SelMeasure,MeasureList,0),AVERAGEIFS(INDEX(dData,0,MATCH($B68&amp;CHAR(10)&amp;"Raw Score",dHdr,0)),dClass,J$45)/$D68,AVERAGEIFS(INDEX(dData,0,MATCH($B68&amp;CHAR(10)&amp;"Stanine",dHdr,0)),dClass,J$45),(COUNTIFS(dClass,J$45,INDEX(dData,0,MATCH($B68&amp;CHAR(10)&amp;"Raw Score",dHdr,0)),"&gt;=0")+COUNTIFS(dClass,J$45,INDEX(dData,0,MATCH($B68&amp;CHAR(10)&amp;"Raw Score",dHdr,0)),"A"))/COUNTIF(dClass,J$45)),""))</f>
        <v/>
      </c>
      <c r="K68" s="36" t="str">
        <f>IF(OR($B68="",K$45=""),"",IFERROR(CHOOSE(MATCH(SelMeasure,MeasureList,0),AVERAGEIFS(INDEX(dData,0,MATCH($B68&amp;CHAR(10)&amp;"Raw Score",dHdr,0)),dClass,K$45)/$D68,AVERAGEIFS(INDEX(dData,0,MATCH($B68&amp;CHAR(10)&amp;"Stanine",dHdr,0)),dClass,K$45),(COUNTIFS(dClass,K$45,INDEX(dData,0,MATCH($B68&amp;CHAR(10)&amp;"Raw Score",dHdr,0)),"&gt;=0")+COUNTIFS(dClass,K$45,INDEX(dData,0,MATCH($B68&amp;CHAR(10)&amp;"Raw Score",dHdr,0)),"A"))/COUNTIF(dClass,K$45)),""))</f>
        <v/>
      </c>
      <c r="L68" s="36" t="str">
        <f>IF(OR($B68="",L$45=""),"",IFERROR(CHOOSE(MATCH(SelMeasure,MeasureList,0),AVERAGEIFS(INDEX(dData,0,MATCH($B68&amp;CHAR(10)&amp;"Raw Score",dHdr,0)),dClass,L$45)/$D68,AVERAGEIFS(INDEX(dData,0,MATCH($B68&amp;CHAR(10)&amp;"Stanine",dHdr,0)),dClass,L$45),(COUNTIFS(dClass,L$45,INDEX(dData,0,MATCH($B68&amp;CHAR(10)&amp;"Raw Score",dHdr,0)),"&gt;=0")+COUNTIFS(dClass,L$45,INDEX(dData,0,MATCH($B68&amp;CHAR(10)&amp;"Raw Score",dHdr,0)),"A"))/COUNTIF(dClass,L$45)),""))</f>
        <v/>
      </c>
      <c r="M68" s="36" t="str">
        <f>IF(OR($B68="",M$45=""),"",IFERROR(CHOOSE(MATCH(SelMeasure,MeasureList,0),AVERAGEIFS(INDEX(dData,0,MATCH($B68&amp;CHAR(10)&amp;"Raw Score",dHdr,0)),dClass,M$45)/$D68,AVERAGEIFS(INDEX(dData,0,MATCH($B68&amp;CHAR(10)&amp;"Stanine",dHdr,0)),dClass,M$45),(COUNTIFS(dClass,M$45,INDEX(dData,0,MATCH($B68&amp;CHAR(10)&amp;"Raw Score",dHdr,0)),"&gt;=0")+COUNTIFS(dClass,M$45,INDEX(dData,0,MATCH($B68&amp;CHAR(10)&amp;"Raw Score",dHdr,0)),"A"))/COUNTIF(dClass,M$45)),""))</f>
        <v/>
      </c>
      <c r="N68" s="36" t="str">
        <f>IF(OR($B68="",N$45=""),"",IFERROR(CHOOSE(MATCH(SelMeasure,MeasureList,0),AVERAGEIFS(INDEX(dData,0,MATCH($B68&amp;CHAR(10)&amp;"Raw Score",dHdr,0)),dClass,N$45)/$D68,AVERAGEIFS(INDEX(dData,0,MATCH($B68&amp;CHAR(10)&amp;"Stanine",dHdr,0)),dClass,N$45),(COUNTIFS(dClass,N$45,INDEX(dData,0,MATCH($B68&amp;CHAR(10)&amp;"Raw Score",dHdr,0)),"&gt;=0")+COUNTIFS(dClass,N$45,INDEX(dData,0,MATCH($B68&amp;CHAR(10)&amp;"Raw Score",dHdr,0)),"A"))/COUNTIF(dClass,N$45)),""))</f>
        <v/>
      </c>
      <c r="O68" s="36" t="str">
        <f>IF(OR($B68="",O$45=""),"",IFERROR(CHOOSE(MATCH(SelMeasure,MeasureList,0),AVERAGEIFS(INDEX(dData,0,MATCH($B68&amp;CHAR(10)&amp;"Raw Score",dHdr,0)),dClass,O$45)/$D68,AVERAGEIFS(INDEX(dData,0,MATCH($B68&amp;CHAR(10)&amp;"Stanine",dHdr,0)),dClass,O$45),(COUNTIFS(dClass,O$45,INDEX(dData,0,MATCH($B68&amp;CHAR(10)&amp;"Raw Score",dHdr,0)),"&gt;=0")+COUNTIFS(dClass,O$45,INDEX(dData,0,MATCH($B68&amp;CHAR(10)&amp;"Raw Score",dHdr,0)),"A"))/COUNTIF(dClass,O$45)),""))</f>
        <v/>
      </c>
    </row>
    <row r="69">
      <c r="B69" s="31" t="str">
        <f>Calc!AA26</f>
        <v/>
      </c>
      <c r="C69" s="57" t="str">
        <f>Calc!AC26</f>
        <v/>
      </c>
      <c r="D69" s="33" t="str">
        <f>Calc!AB26</f>
        <v/>
      </c>
      <c r="E69" s="33" t="str">
        <f>IF($B69="","",IFERROR(COUNT(INDEX(dData,0,MATCH($B69&amp;CHAR(10)&amp;"Raw Score",dHdr,0))),""))</f>
        <v/>
      </c>
      <c r="F69" s="36" t="str">
        <f>IF($B69="","",IFERROR(($E69+COUNTIF(INDEX(dData,0,MATCH($B69&amp;CHAR(10)&amp;"Raw Score",dHdr,0)),"A"))/COUNTA(dLast),""))</f>
        <v/>
      </c>
      <c r="G69" s="58" t="str">
        <f>IF($B69="","",IFERROR(CHOOSE(MATCH(SelMeasure,MeasureList,0),AVERAGE(INDEX(dData,0,MATCH($B69&amp;CHAR(10)&amp;"Raw Score",dHdr,0)))/$D69,AVERAGE(INDEX(dData,0,MATCH($B69&amp;CHAR(10)&amp;"Stanine",dHdr,0))),$F69),""))</f>
        <v/>
      </c>
      <c r="H69" s="36" t="str">
        <f>IF(OR($B69="",H$45=""),"",IFERROR(CHOOSE(MATCH(SelMeasure,MeasureList,0),AVERAGEIFS(INDEX(dData,0,MATCH($B69&amp;CHAR(10)&amp;"Raw Score",dHdr,0)),dClass,H$45)/$D69,AVERAGEIFS(INDEX(dData,0,MATCH($B69&amp;CHAR(10)&amp;"Stanine",dHdr,0)),dClass,H$45),(COUNTIFS(dClass,H$45,INDEX(dData,0,MATCH($B69&amp;CHAR(10)&amp;"Raw Score",dHdr,0)),"&gt;=0")+COUNTIFS(dClass,H$45,INDEX(dData,0,MATCH($B69&amp;CHAR(10)&amp;"Raw Score",dHdr,0)),"A"))/COUNTIF(dClass,H$45)),""))</f>
        <v/>
      </c>
      <c r="I69" s="36" t="str">
        <f>IF(OR($B69="",I$45=""),"",IFERROR(CHOOSE(MATCH(SelMeasure,MeasureList,0),AVERAGEIFS(INDEX(dData,0,MATCH($B69&amp;CHAR(10)&amp;"Raw Score",dHdr,0)),dClass,I$45)/$D69,AVERAGEIFS(INDEX(dData,0,MATCH($B69&amp;CHAR(10)&amp;"Stanine",dHdr,0)),dClass,I$45),(COUNTIFS(dClass,I$45,INDEX(dData,0,MATCH($B69&amp;CHAR(10)&amp;"Raw Score",dHdr,0)),"&gt;=0")+COUNTIFS(dClass,I$45,INDEX(dData,0,MATCH($B69&amp;CHAR(10)&amp;"Raw Score",dHdr,0)),"A"))/COUNTIF(dClass,I$45)),""))</f>
        <v/>
      </c>
      <c r="J69" s="36" t="str">
        <f>IF(OR($B69="",J$45=""),"",IFERROR(CHOOSE(MATCH(SelMeasure,MeasureList,0),AVERAGEIFS(INDEX(dData,0,MATCH($B69&amp;CHAR(10)&amp;"Raw Score",dHdr,0)),dClass,J$45)/$D69,AVERAGEIFS(INDEX(dData,0,MATCH($B69&amp;CHAR(10)&amp;"Stanine",dHdr,0)),dClass,J$45),(COUNTIFS(dClass,J$45,INDEX(dData,0,MATCH($B69&amp;CHAR(10)&amp;"Raw Score",dHdr,0)),"&gt;=0")+COUNTIFS(dClass,J$45,INDEX(dData,0,MATCH($B69&amp;CHAR(10)&amp;"Raw Score",dHdr,0)),"A"))/COUNTIF(dClass,J$45)),""))</f>
        <v/>
      </c>
      <c r="K69" s="36" t="str">
        <f>IF(OR($B69="",K$45=""),"",IFERROR(CHOOSE(MATCH(SelMeasure,MeasureList,0),AVERAGEIFS(INDEX(dData,0,MATCH($B69&amp;CHAR(10)&amp;"Raw Score",dHdr,0)),dClass,K$45)/$D69,AVERAGEIFS(INDEX(dData,0,MATCH($B69&amp;CHAR(10)&amp;"Stanine",dHdr,0)),dClass,K$45),(COUNTIFS(dClass,K$45,INDEX(dData,0,MATCH($B69&amp;CHAR(10)&amp;"Raw Score",dHdr,0)),"&gt;=0")+COUNTIFS(dClass,K$45,INDEX(dData,0,MATCH($B69&amp;CHAR(10)&amp;"Raw Score",dHdr,0)),"A"))/COUNTIF(dClass,K$45)),""))</f>
        <v/>
      </c>
      <c r="L69" s="36" t="str">
        <f>IF(OR($B69="",L$45=""),"",IFERROR(CHOOSE(MATCH(SelMeasure,MeasureList,0),AVERAGEIFS(INDEX(dData,0,MATCH($B69&amp;CHAR(10)&amp;"Raw Score",dHdr,0)),dClass,L$45)/$D69,AVERAGEIFS(INDEX(dData,0,MATCH($B69&amp;CHAR(10)&amp;"Stanine",dHdr,0)),dClass,L$45),(COUNTIFS(dClass,L$45,INDEX(dData,0,MATCH($B69&amp;CHAR(10)&amp;"Raw Score",dHdr,0)),"&gt;=0")+COUNTIFS(dClass,L$45,INDEX(dData,0,MATCH($B69&amp;CHAR(10)&amp;"Raw Score",dHdr,0)),"A"))/COUNTIF(dClass,L$45)),""))</f>
        <v/>
      </c>
      <c r="M69" s="36" t="str">
        <f>IF(OR($B69="",M$45=""),"",IFERROR(CHOOSE(MATCH(SelMeasure,MeasureList,0),AVERAGEIFS(INDEX(dData,0,MATCH($B69&amp;CHAR(10)&amp;"Raw Score",dHdr,0)),dClass,M$45)/$D69,AVERAGEIFS(INDEX(dData,0,MATCH($B69&amp;CHAR(10)&amp;"Stanine",dHdr,0)),dClass,M$45),(COUNTIFS(dClass,M$45,INDEX(dData,0,MATCH($B69&amp;CHAR(10)&amp;"Raw Score",dHdr,0)),"&gt;=0")+COUNTIFS(dClass,M$45,INDEX(dData,0,MATCH($B69&amp;CHAR(10)&amp;"Raw Score",dHdr,0)),"A"))/COUNTIF(dClass,M$45)),""))</f>
        <v/>
      </c>
      <c r="N69" s="36" t="str">
        <f>IF(OR($B69="",N$45=""),"",IFERROR(CHOOSE(MATCH(SelMeasure,MeasureList,0),AVERAGEIFS(INDEX(dData,0,MATCH($B69&amp;CHAR(10)&amp;"Raw Score",dHdr,0)),dClass,N$45)/$D69,AVERAGEIFS(INDEX(dData,0,MATCH($B69&amp;CHAR(10)&amp;"Stanine",dHdr,0)),dClass,N$45),(COUNTIFS(dClass,N$45,INDEX(dData,0,MATCH($B69&amp;CHAR(10)&amp;"Raw Score",dHdr,0)),"&gt;=0")+COUNTIFS(dClass,N$45,INDEX(dData,0,MATCH($B69&amp;CHAR(10)&amp;"Raw Score",dHdr,0)),"A"))/COUNTIF(dClass,N$45)),""))</f>
        <v/>
      </c>
      <c r="O69" s="36" t="str">
        <f>IF(OR($B69="",O$45=""),"",IFERROR(CHOOSE(MATCH(SelMeasure,MeasureList,0),AVERAGEIFS(INDEX(dData,0,MATCH($B69&amp;CHAR(10)&amp;"Raw Score",dHdr,0)),dClass,O$45)/$D69,AVERAGEIFS(INDEX(dData,0,MATCH($B69&amp;CHAR(10)&amp;"Stanine",dHdr,0)),dClass,O$45),(COUNTIFS(dClass,O$45,INDEX(dData,0,MATCH($B69&amp;CHAR(10)&amp;"Raw Score",dHdr,0)),"&gt;=0")+COUNTIFS(dClass,O$45,INDEX(dData,0,MATCH($B69&amp;CHAR(10)&amp;"Raw Score",dHdr,0)),"A"))/COUNTIF(dClass,O$45)),""))</f>
        <v/>
      </c>
    </row>
    <row r="70">
      <c r="B70" s="31" t="str">
        <f>Calc!AA27</f>
        <v/>
      </c>
      <c r="C70" s="57" t="str">
        <f>Calc!AC27</f>
        <v/>
      </c>
      <c r="D70" s="33" t="str">
        <f>Calc!AB27</f>
        <v/>
      </c>
      <c r="E70" s="33" t="str">
        <f>IF($B70="","",IFERROR(COUNT(INDEX(dData,0,MATCH($B70&amp;CHAR(10)&amp;"Raw Score",dHdr,0))),""))</f>
        <v/>
      </c>
      <c r="F70" s="36" t="str">
        <f>IF($B70="","",IFERROR(($E70+COUNTIF(INDEX(dData,0,MATCH($B70&amp;CHAR(10)&amp;"Raw Score",dHdr,0)),"A"))/COUNTA(dLast),""))</f>
        <v/>
      </c>
      <c r="G70" s="58" t="str">
        <f>IF($B70="","",IFERROR(CHOOSE(MATCH(SelMeasure,MeasureList,0),AVERAGE(INDEX(dData,0,MATCH($B70&amp;CHAR(10)&amp;"Raw Score",dHdr,0)))/$D70,AVERAGE(INDEX(dData,0,MATCH($B70&amp;CHAR(10)&amp;"Stanine",dHdr,0))),$F70),""))</f>
        <v/>
      </c>
      <c r="H70" s="36" t="str">
        <f>IF(OR($B70="",H$45=""),"",IFERROR(CHOOSE(MATCH(SelMeasure,MeasureList,0),AVERAGEIFS(INDEX(dData,0,MATCH($B70&amp;CHAR(10)&amp;"Raw Score",dHdr,0)),dClass,H$45)/$D70,AVERAGEIFS(INDEX(dData,0,MATCH($B70&amp;CHAR(10)&amp;"Stanine",dHdr,0)),dClass,H$45),(COUNTIFS(dClass,H$45,INDEX(dData,0,MATCH($B70&amp;CHAR(10)&amp;"Raw Score",dHdr,0)),"&gt;=0")+COUNTIFS(dClass,H$45,INDEX(dData,0,MATCH($B70&amp;CHAR(10)&amp;"Raw Score",dHdr,0)),"A"))/COUNTIF(dClass,H$45)),""))</f>
        <v/>
      </c>
      <c r="I70" s="36" t="str">
        <f>IF(OR($B70="",I$45=""),"",IFERROR(CHOOSE(MATCH(SelMeasure,MeasureList,0),AVERAGEIFS(INDEX(dData,0,MATCH($B70&amp;CHAR(10)&amp;"Raw Score",dHdr,0)),dClass,I$45)/$D70,AVERAGEIFS(INDEX(dData,0,MATCH($B70&amp;CHAR(10)&amp;"Stanine",dHdr,0)),dClass,I$45),(COUNTIFS(dClass,I$45,INDEX(dData,0,MATCH($B70&amp;CHAR(10)&amp;"Raw Score",dHdr,0)),"&gt;=0")+COUNTIFS(dClass,I$45,INDEX(dData,0,MATCH($B70&amp;CHAR(10)&amp;"Raw Score",dHdr,0)),"A"))/COUNTIF(dClass,I$45)),""))</f>
        <v/>
      </c>
      <c r="J70" s="36" t="str">
        <f>IF(OR($B70="",J$45=""),"",IFERROR(CHOOSE(MATCH(SelMeasure,MeasureList,0),AVERAGEIFS(INDEX(dData,0,MATCH($B70&amp;CHAR(10)&amp;"Raw Score",dHdr,0)),dClass,J$45)/$D70,AVERAGEIFS(INDEX(dData,0,MATCH($B70&amp;CHAR(10)&amp;"Stanine",dHdr,0)),dClass,J$45),(COUNTIFS(dClass,J$45,INDEX(dData,0,MATCH($B70&amp;CHAR(10)&amp;"Raw Score",dHdr,0)),"&gt;=0")+COUNTIFS(dClass,J$45,INDEX(dData,0,MATCH($B70&amp;CHAR(10)&amp;"Raw Score",dHdr,0)),"A"))/COUNTIF(dClass,J$45)),""))</f>
        <v/>
      </c>
      <c r="K70" s="36" t="str">
        <f>IF(OR($B70="",K$45=""),"",IFERROR(CHOOSE(MATCH(SelMeasure,MeasureList,0),AVERAGEIFS(INDEX(dData,0,MATCH($B70&amp;CHAR(10)&amp;"Raw Score",dHdr,0)),dClass,K$45)/$D70,AVERAGEIFS(INDEX(dData,0,MATCH($B70&amp;CHAR(10)&amp;"Stanine",dHdr,0)),dClass,K$45),(COUNTIFS(dClass,K$45,INDEX(dData,0,MATCH($B70&amp;CHAR(10)&amp;"Raw Score",dHdr,0)),"&gt;=0")+COUNTIFS(dClass,K$45,INDEX(dData,0,MATCH($B70&amp;CHAR(10)&amp;"Raw Score",dHdr,0)),"A"))/COUNTIF(dClass,K$45)),""))</f>
        <v/>
      </c>
      <c r="L70" s="36" t="str">
        <f>IF(OR($B70="",L$45=""),"",IFERROR(CHOOSE(MATCH(SelMeasure,MeasureList,0),AVERAGEIFS(INDEX(dData,0,MATCH($B70&amp;CHAR(10)&amp;"Raw Score",dHdr,0)),dClass,L$45)/$D70,AVERAGEIFS(INDEX(dData,0,MATCH($B70&amp;CHAR(10)&amp;"Stanine",dHdr,0)),dClass,L$45),(COUNTIFS(dClass,L$45,INDEX(dData,0,MATCH($B70&amp;CHAR(10)&amp;"Raw Score",dHdr,0)),"&gt;=0")+COUNTIFS(dClass,L$45,INDEX(dData,0,MATCH($B70&amp;CHAR(10)&amp;"Raw Score",dHdr,0)),"A"))/COUNTIF(dClass,L$45)),""))</f>
        <v/>
      </c>
      <c r="M70" s="36" t="str">
        <f>IF(OR($B70="",M$45=""),"",IFERROR(CHOOSE(MATCH(SelMeasure,MeasureList,0),AVERAGEIFS(INDEX(dData,0,MATCH($B70&amp;CHAR(10)&amp;"Raw Score",dHdr,0)),dClass,M$45)/$D70,AVERAGEIFS(INDEX(dData,0,MATCH($B70&amp;CHAR(10)&amp;"Stanine",dHdr,0)),dClass,M$45),(COUNTIFS(dClass,M$45,INDEX(dData,0,MATCH($B70&amp;CHAR(10)&amp;"Raw Score",dHdr,0)),"&gt;=0")+COUNTIFS(dClass,M$45,INDEX(dData,0,MATCH($B70&amp;CHAR(10)&amp;"Raw Score",dHdr,0)),"A"))/COUNTIF(dClass,M$45)),""))</f>
        <v/>
      </c>
      <c r="N70" s="36" t="str">
        <f>IF(OR($B70="",N$45=""),"",IFERROR(CHOOSE(MATCH(SelMeasure,MeasureList,0),AVERAGEIFS(INDEX(dData,0,MATCH($B70&amp;CHAR(10)&amp;"Raw Score",dHdr,0)),dClass,N$45)/$D70,AVERAGEIFS(INDEX(dData,0,MATCH($B70&amp;CHAR(10)&amp;"Stanine",dHdr,0)),dClass,N$45),(COUNTIFS(dClass,N$45,INDEX(dData,0,MATCH($B70&amp;CHAR(10)&amp;"Raw Score",dHdr,0)),"&gt;=0")+COUNTIFS(dClass,N$45,INDEX(dData,0,MATCH($B70&amp;CHAR(10)&amp;"Raw Score",dHdr,0)),"A"))/COUNTIF(dClass,N$45)),""))</f>
        <v/>
      </c>
      <c r="O70" s="36" t="str">
        <f>IF(OR($B70="",O$45=""),"",IFERROR(CHOOSE(MATCH(SelMeasure,MeasureList,0),AVERAGEIFS(INDEX(dData,0,MATCH($B70&amp;CHAR(10)&amp;"Raw Score",dHdr,0)),dClass,O$45)/$D70,AVERAGEIFS(INDEX(dData,0,MATCH($B70&amp;CHAR(10)&amp;"Stanine",dHdr,0)),dClass,O$45),(COUNTIFS(dClass,O$45,INDEX(dData,0,MATCH($B70&amp;CHAR(10)&amp;"Raw Score",dHdr,0)),"&gt;=0")+COUNTIFS(dClass,O$45,INDEX(dData,0,MATCH($B70&amp;CHAR(10)&amp;"Raw Score",dHdr,0)),"A"))/COUNTIF(dClass,O$45)),""))</f>
        <v/>
      </c>
    </row>
    <row r="71">
      <c r="B71" s="31" t="str">
        <f>Calc!AA28</f>
        <v/>
      </c>
      <c r="C71" s="57" t="str">
        <f>Calc!AC28</f>
        <v/>
      </c>
      <c r="D71" s="33" t="str">
        <f>Calc!AB28</f>
        <v/>
      </c>
      <c r="E71" s="33" t="str">
        <f>IF($B71="","",IFERROR(COUNT(INDEX(dData,0,MATCH($B71&amp;CHAR(10)&amp;"Raw Score",dHdr,0))),""))</f>
        <v/>
      </c>
      <c r="F71" s="36" t="str">
        <f>IF($B71="","",IFERROR(($E71+COUNTIF(INDEX(dData,0,MATCH($B71&amp;CHAR(10)&amp;"Raw Score",dHdr,0)),"A"))/COUNTA(dLast),""))</f>
        <v/>
      </c>
      <c r="G71" s="58" t="str">
        <f>IF($B71="","",IFERROR(CHOOSE(MATCH(SelMeasure,MeasureList,0),AVERAGE(INDEX(dData,0,MATCH($B71&amp;CHAR(10)&amp;"Raw Score",dHdr,0)))/$D71,AVERAGE(INDEX(dData,0,MATCH($B71&amp;CHAR(10)&amp;"Stanine",dHdr,0))),$F71),""))</f>
        <v/>
      </c>
      <c r="H71" s="36" t="str">
        <f>IF(OR($B71="",H$45=""),"",IFERROR(CHOOSE(MATCH(SelMeasure,MeasureList,0),AVERAGEIFS(INDEX(dData,0,MATCH($B71&amp;CHAR(10)&amp;"Raw Score",dHdr,0)),dClass,H$45)/$D71,AVERAGEIFS(INDEX(dData,0,MATCH($B71&amp;CHAR(10)&amp;"Stanine",dHdr,0)),dClass,H$45),(COUNTIFS(dClass,H$45,INDEX(dData,0,MATCH($B71&amp;CHAR(10)&amp;"Raw Score",dHdr,0)),"&gt;=0")+COUNTIFS(dClass,H$45,INDEX(dData,0,MATCH($B71&amp;CHAR(10)&amp;"Raw Score",dHdr,0)),"A"))/COUNTIF(dClass,H$45)),""))</f>
        <v/>
      </c>
      <c r="I71" s="36" t="str">
        <f>IF(OR($B71="",I$45=""),"",IFERROR(CHOOSE(MATCH(SelMeasure,MeasureList,0),AVERAGEIFS(INDEX(dData,0,MATCH($B71&amp;CHAR(10)&amp;"Raw Score",dHdr,0)),dClass,I$45)/$D71,AVERAGEIFS(INDEX(dData,0,MATCH($B71&amp;CHAR(10)&amp;"Stanine",dHdr,0)),dClass,I$45),(COUNTIFS(dClass,I$45,INDEX(dData,0,MATCH($B71&amp;CHAR(10)&amp;"Raw Score",dHdr,0)),"&gt;=0")+COUNTIFS(dClass,I$45,INDEX(dData,0,MATCH($B71&amp;CHAR(10)&amp;"Raw Score",dHdr,0)),"A"))/COUNTIF(dClass,I$45)),""))</f>
        <v/>
      </c>
      <c r="J71" s="36" t="str">
        <f>IF(OR($B71="",J$45=""),"",IFERROR(CHOOSE(MATCH(SelMeasure,MeasureList,0),AVERAGEIFS(INDEX(dData,0,MATCH($B71&amp;CHAR(10)&amp;"Raw Score",dHdr,0)),dClass,J$45)/$D71,AVERAGEIFS(INDEX(dData,0,MATCH($B71&amp;CHAR(10)&amp;"Stanine",dHdr,0)),dClass,J$45),(COUNTIFS(dClass,J$45,INDEX(dData,0,MATCH($B71&amp;CHAR(10)&amp;"Raw Score",dHdr,0)),"&gt;=0")+COUNTIFS(dClass,J$45,INDEX(dData,0,MATCH($B71&amp;CHAR(10)&amp;"Raw Score",dHdr,0)),"A"))/COUNTIF(dClass,J$45)),""))</f>
        <v/>
      </c>
      <c r="K71" s="36" t="str">
        <f>IF(OR($B71="",K$45=""),"",IFERROR(CHOOSE(MATCH(SelMeasure,MeasureList,0),AVERAGEIFS(INDEX(dData,0,MATCH($B71&amp;CHAR(10)&amp;"Raw Score",dHdr,0)),dClass,K$45)/$D71,AVERAGEIFS(INDEX(dData,0,MATCH($B71&amp;CHAR(10)&amp;"Stanine",dHdr,0)),dClass,K$45),(COUNTIFS(dClass,K$45,INDEX(dData,0,MATCH($B71&amp;CHAR(10)&amp;"Raw Score",dHdr,0)),"&gt;=0")+COUNTIFS(dClass,K$45,INDEX(dData,0,MATCH($B71&amp;CHAR(10)&amp;"Raw Score",dHdr,0)),"A"))/COUNTIF(dClass,K$45)),""))</f>
        <v/>
      </c>
      <c r="L71" s="36" t="str">
        <f>IF(OR($B71="",L$45=""),"",IFERROR(CHOOSE(MATCH(SelMeasure,MeasureList,0),AVERAGEIFS(INDEX(dData,0,MATCH($B71&amp;CHAR(10)&amp;"Raw Score",dHdr,0)),dClass,L$45)/$D71,AVERAGEIFS(INDEX(dData,0,MATCH($B71&amp;CHAR(10)&amp;"Stanine",dHdr,0)),dClass,L$45),(COUNTIFS(dClass,L$45,INDEX(dData,0,MATCH($B71&amp;CHAR(10)&amp;"Raw Score",dHdr,0)),"&gt;=0")+COUNTIFS(dClass,L$45,INDEX(dData,0,MATCH($B71&amp;CHAR(10)&amp;"Raw Score",dHdr,0)),"A"))/COUNTIF(dClass,L$45)),""))</f>
        <v/>
      </c>
      <c r="M71" s="36" t="str">
        <f>IF(OR($B71="",M$45=""),"",IFERROR(CHOOSE(MATCH(SelMeasure,MeasureList,0),AVERAGEIFS(INDEX(dData,0,MATCH($B71&amp;CHAR(10)&amp;"Raw Score",dHdr,0)),dClass,M$45)/$D71,AVERAGEIFS(INDEX(dData,0,MATCH($B71&amp;CHAR(10)&amp;"Stanine",dHdr,0)),dClass,M$45),(COUNTIFS(dClass,M$45,INDEX(dData,0,MATCH($B71&amp;CHAR(10)&amp;"Raw Score",dHdr,0)),"&gt;=0")+COUNTIFS(dClass,M$45,INDEX(dData,0,MATCH($B71&amp;CHAR(10)&amp;"Raw Score",dHdr,0)),"A"))/COUNTIF(dClass,M$45)),""))</f>
        <v/>
      </c>
      <c r="N71" s="36" t="str">
        <f>IF(OR($B71="",N$45=""),"",IFERROR(CHOOSE(MATCH(SelMeasure,MeasureList,0),AVERAGEIFS(INDEX(dData,0,MATCH($B71&amp;CHAR(10)&amp;"Raw Score",dHdr,0)),dClass,N$45)/$D71,AVERAGEIFS(INDEX(dData,0,MATCH($B71&amp;CHAR(10)&amp;"Stanine",dHdr,0)),dClass,N$45),(COUNTIFS(dClass,N$45,INDEX(dData,0,MATCH($B71&amp;CHAR(10)&amp;"Raw Score",dHdr,0)),"&gt;=0")+COUNTIFS(dClass,N$45,INDEX(dData,0,MATCH($B71&amp;CHAR(10)&amp;"Raw Score",dHdr,0)),"A"))/COUNTIF(dClass,N$45)),""))</f>
        <v/>
      </c>
      <c r="O71" s="36" t="str">
        <f>IF(OR($B71="",O$45=""),"",IFERROR(CHOOSE(MATCH(SelMeasure,MeasureList,0),AVERAGEIFS(INDEX(dData,0,MATCH($B71&amp;CHAR(10)&amp;"Raw Score",dHdr,0)),dClass,O$45)/$D71,AVERAGEIFS(INDEX(dData,0,MATCH($B71&amp;CHAR(10)&amp;"Stanine",dHdr,0)),dClass,O$45),(COUNTIFS(dClass,O$45,INDEX(dData,0,MATCH($B71&amp;CHAR(10)&amp;"Raw Score",dHdr,0)),"&gt;=0")+COUNTIFS(dClass,O$45,INDEX(dData,0,MATCH($B71&amp;CHAR(10)&amp;"Raw Score",dHdr,0)),"A"))/COUNTIF(dClass,O$45)),""))</f>
        <v/>
      </c>
    </row>
    <row r="72">
      <c r="B72" s="31" t="str">
        <f>Calc!AA29</f>
        <v/>
      </c>
      <c r="C72" s="57" t="str">
        <f>Calc!AC29</f>
        <v/>
      </c>
      <c r="D72" s="33" t="str">
        <f>Calc!AB29</f>
        <v/>
      </c>
      <c r="E72" s="33" t="str">
        <f>IF($B72="","",IFERROR(COUNT(INDEX(dData,0,MATCH($B72&amp;CHAR(10)&amp;"Raw Score",dHdr,0))),""))</f>
        <v/>
      </c>
      <c r="F72" s="36" t="str">
        <f>IF($B72="","",IFERROR(($E72+COUNTIF(INDEX(dData,0,MATCH($B72&amp;CHAR(10)&amp;"Raw Score",dHdr,0)),"A"))/COUNTA(dLast),""))</f>
        <v/>
      </c>
      <c r="G72" s="58" t="str">
        <f>IF($B72="","",IFERROR(CHOOSE(MATCH(SelMeasure,MeasureList,0),AVERAGE(INDEX(dData,0,MATCH($B72&amp;CHAR(10)&amp;"Raw Score",dHdr,0)))/$D72,AVERAGE(INDEX(dData,0,MATCH($B72&amp;CHAR(10)&amp;"Stanine",dHdr,0))),$F72),""))</f>
        <v/>
      </c>
      <c r="H72" s="36" t="str">
        <f>IF(OR($B72="",H$45=""),"",IFERROR(CHOOSE(MATCH(SelMeasure,MeasureList,0),AVERAGEIFS(INDEX(dData,0,MATCH($B72&amp;CHAR(10)&amp;"Raw Score",dHdr,0)),dClass,H$45)/$D72,AVERAGEIFS(INDEX(dData,0,MATCH($B72&amp;CHAR(10)&amp;"Stanine",dHdr,0)),dClass,H$45),(COUNTIFS(dClass,H$45,INDEX(dData,0,MATCH($B72&amp;CHAR(10)&amp;"Raw Score",dHdr,0)),"&gt;=0")+COUNTIFS(dClass,H$45,INDEX(dData,0,MATCH($B72&amp;CHAR(10)&amp;"Raw Score",dHdr,0)),"A"))/COUNTIF(dClass,H$45)),""))</f>
        <v/>
      </c>
      <c r="I72" s="36" t="str">
        <f>IF(OR($B72="",I$45=""),"",IFERROR(CHOOSE(MATCH(SelMeasure,MeasureList,0),AVERAGEIFS(INDEX(dData,0,MATCH($B72&amp;CHAR(10)&amp;"Raw Score",dHdr,0)),dClass,I$45)/$D72,AVERAGEIFS(INDEX(dData,0,MATCH($B72&amp;CHAR(10)&amp;"Stanine",dHdr,0)),dClass,I$45),(COUNTIFS(dClass,I$45,INDEX(dData,0,MATCH($B72&amp;CHAR(10)&amp;"Raw Score",dHdr,0)),"&gt;=0")+COUNTIFS(dClass,I$45,INDEX(dData,0,MATCH($B72&amp;CHAR(10)&amp;"Raw Score",dHdr,0)),"A"))/COUNTIF(dClass,I$45)),""))</f>
        <v/>
      </c>
      <c r="J72" s="36" t="str">
        <f>IF(OR($B72="",J$45=""),"",IFERROR(CHOOSE(MATCH(SelMeasure,MeasureList,0),AVERAGEIFS(INDEX(dData,0,MATCH($B72&amp;CHAR(10)&amp;"Raw Score",dHdr,0)),dClass,J$45)/$D72,AVERAGEIFS(INDEX(dData,0,MATCH($B72&amp;CHAR(10)&amp;"Stanine",dHdr,0)),dClass,J$45),(COUNTIFS(dClass,J$45,INDEX(dData,0,MATCH($B72&amp;CHAR(10)&amp;"Raw Score",dHdr,0)),"&gt;=0")+COUNTIFS(dClass,J$45,INDEX(dData,0,MATCH($B72&amp;CHAR(10)&amp;"Raw Score",dHdr,0)),"A"))/COUNTIF(dClass,J$45)),""))</f>
        <v/>
      </c>
      <c r="K72" s="36" t="str">
        <f>IF(OR($B72="",K$45=""),"",IFERROR(CHOOSE(MATCH(SelMeasure,MeasureList,0),AVERAGEIFS(INDEX(dData,0,MATCH($B72&amp;CHAR(10)&amp;"Raw Score",dHdr,0)),dClass,K$45)/$D72,AVERAGEIFS(INDEX(dData,0,MATCH($B72&amp;CHAR(10)&amp;"Stanine",dHdr,0)),dClass,K$45),(COUNTIFS(dClass,K$45,INDEX(dData,0,MATCH($B72&amp;CHAR(10)&amp;"Raw Score",dHdr,0)),"&gt;=0")+COUNTIFS(dClass,K$45,INDEX(dData,0,MATCH($B72&amp;CHAR(10)&amp;"Raw Score",dHdr,0)),"A"))/COUNTIF(dClass,K$45)),""))</f>
        <v/>
      </c>
      <c r="L72" s="36" t="str">
        <f>IF(OR($B72="",L$45=""),"",IFERROR(CHOOSE(MATCH(SelMeasure,MeasureList,0),AVERAGEIFS(INDEX(dData,0,MATCH($B72&amp;CHAR(10)&amp;"Raw Score",dHdr,0)),dClass,L$45)/$D72,AVERAGEIFS(INDEX(dData,0,MATCH($B72&amp;CHAR(10)&amp;"Stanine",dHdr,0)),dClass,L$45),(COUNTIFS(dClass,L$45,INDEX(dData,0,MATCH($B72&amp;CHAR(10)&amp;"Raw Score",dHdr,0)),"&gt;=0")+COUNTIFS(dClass,L$45,INDEX(dData,0,MATCH($B72&amp;CHAR(10)&amp;"Raw Score",dHdr,0)),"A"))/COUNTIF(dClass,L$45)),""))</f>
        <v/>
      </c>
      <c r="M72" s="36" t="str">
        <f>IF(OR($B72="",M$45=""),"",IFERROR(CHOOSE(MATCH(SelMeasure,MeasureList,0),AVERAGEIFS(INDEX(dData,0,MATCH($B72&amp;CHAR(10)&amp;"Raw Score",dHdr,0)),dClass,M$45)/$D72,AVERAGEIFS(INDEX(dData,0,MATCH($B72&amp;CHAR(10)&amp;"Stanine",dHdr,0)),dClass,M$45),(COUNTIFS(dClass,M$45,INDEX(dData,0,MATCH($B72&amp;CHAR(10)&amp;"Raw Score",dHdr,0)),"&gt;=0")+COUNTIFS(dClass,M$45,INDEX(dData,0,MATCH($B72&amp;CHAR(10)&amp;"Raw Score",dHdr,0)),"A"))/COUNTIF(dClass,M$45)),""))</f>
        <v/>
      </c>
      <c r="N72" s="36" t="str">
        <f>IF(OR($B72="",N$45=""),"",IFERROR(CHOOSE(MATCH(SelMeasure,MeasureList,0),AVERAGEIFS(INDEX(dData,0,MATCH($B72&amp;CHAR(10)&amp;"Raw Score",dHdr,0)),dClass,N$45)/$D72,AVERAGEIFS(INDEX(dData,0,MATCH($B72&amp;CHAR(10)&amp;"Stanine",dHdr,0)),dClass,N$45),(COUNTIFS(dClass,N$45,INDEX(dData,0,MATCH($B72&amp;CHAR(10)&amp;"Raw Score",dHdr,0)),"&gt;=0")+COUNTIFS(dClass,N$45,INDEX(dData,0,MATCH($B72&amp;CHAR(10)&amp;"Raw Score",dHdr,0)),"A"))/COUNTIF(dClass,N$45)),""))</f>
        <v/>
      </c>
      <c r="O72" s="36" t="str">
        <f>IF(OR($B72="",O$45=""),"",IFERROR(CHOOSE(MATCH(SelMeasure,MeasureList,0),AVERAGEIFS(INDEX(dData,0,MATCH($B72&amp;CHAR(10)&amp;"Raw Score",dHdr,0)),dClass,O$45)/$D72,AVERAGEIFS(INDEX(dData,0,MATCH($B72&amp;CHAR(10)&amp;"Stanine",dHdr,0)),dClass,O$45),(COUNTIFS(dClass,O$45,INDEX(dData,0,MATCH($B72&amp;CHAR(10)&amp;"Raw Score",dHdr,0)),"&gt;=0")+COUNTIFS(dClass,O$45,INDEX(dData,0,MATCH($B72&amp;CHAR(10)&amp;"Raw Score",dHdr,0)),"A"))/COUNTIF(dClass,O$45)),""))</f>
        <v/>
      </c>
    </row>
    <row r="73">
      <c r="B73" s="31" t="str">
        <f>Calc!AA30</f>
        <v/>
      </c>
      <c r="C73" s="57" t="str">
        <f>Calc!AC30</f>
        <v/>
      </c>
      <c r="D73" s="33" t="str">
        <f>Calc!AB30</f>
        <v/>
      </c>
      <c r="E73" s="33" t="str">
        <f>IF($B73="","",IFERROR(COUNT(INDEX(dData,0,MATCH($B73&amp;CHAR(10)&amp;"Raw Score",dHdr,0))),""))</f>
        <v/>
      </c>
      <c r="F73" s="36" t="str">
        <f>IF($B73="","",IFERROR(($E73+COUNTIF(INDEX(dData,0,MATCH($B73&amp;CHAR(10)&amp;"Raw Score",dHdr,0)),"A"))/COUNTA(dLast),""))</f>
        <v/>
      </c>
      <c r="G73" s="58" t="str">
        <f>IF($B73="","",IFERROR(CHOOSE(MATCH(SelMeasure,MeasureList,0),AVERAGE(INDEX(dData,0,MATCH($B73&amp;CHAR(10)&amp;"Raw Score",dHdr,0)))/$D73,AVERAGE(INDEX(dData,0,MATCH($B73&amp;CHAR(10)&amp;"Stanine",dHdr,0))),$F73),""))</f>
        <v/>
      </c>
      <c r="H73" s="36" t="str">
        <f>IF(OR($B73="",H$45=""),"",IFERROR(CHOOSE(MATCH(SelMeasure,MeasureList,0),AVERAGEIFS(INDEX(dData,0,MATCH($B73&amp;CHAR(10)&amp;"Raw Score",dHdr,0)),dClass,H$45)/$D73,AVERAGEIFS(INDEX(dData,0,MATCH($B73&amp;CHAR(10)&amp;"Stanine",dHdr,0)),dClass,H$45),(COUNTIFS(dClass,H$45,INDEX(dData,0,MATCH($B73&amp;CHAR(10)&amp;"Raw Score",dHdr,0)),"&gt;=0")+COUNTIFS(dClass,H$45,INDEX(dData,0,MATCH($B73&amp;CHAR(10)&amp;"Raw Score",dHdr,0)),"A"))/COUNTIF(dClass,H$45)),""))</f>
        <v/>
      </c>
      <c r="I73" s="36" t="str">
        <f>IF(OR($B73="",I$45=""),"",IFERROR(CHOOSE(MATCH(SelMeasure,MeasureList,0),AVERAGEIFS(INDEX(dData,0,MATCH($B73&amp;CHAR(10)&amp;"Raw Score",dHdr,0)),dClass,I$45)/$D73,AVERAGEIFS(INDEX(dData,0,MATCH($B73&amp;CHAR(10)&amp;"Stanine",dHdr,0)),dClass,I$45),(COUNTIFS(dClass,I$45,INDEX(dData,0,MATCH($B73&amp;CHAR(10)&amp;"Raw Score",dHdr,0)),"&gt;=0")+COUNTIFS(dClass,I$45,INDEX(dData,0,MATCH($B73&amp;CHAR(10)&amp;"Raw Score",dHdr,0)),"A"))/COUNTIF(dClass,I$45)),""))</f>
        <v/>
      </c>
      <c r="J73" s="36" t="str">
        <f>IF(OR($B73="",J$45=""),"",IFERROR(CHOOSE(MATCH(SelMeasure,MeasureList,0),AVERAGEIFS(INDEX(dData,0,MATCH($B73&amp;CHAR(10)&amp;"Raw Score",dHdr,0)),dClass,J$45)/$D73,AVERAGEIFS(INDEX(dData,0,MATCH($B73&amp;CHAR(10)&amp;"Stanine",dHdr,0)),dClass,J$45),(COUNTIFS(dClass,J$45,INDEX(dData,0,MATCH($B73&amp;CHAR(10)&amp;"Raw Score",dHdr,0)),"&gt;=0")+COUNTIFS(dClass,J$45,INDEX(dData,0,MATCH($B73&amp;CHAR(10)&amp;"Raw Score",dHdr,0)),"A"))/COUNTIF(dClass,J$45)),""))</f>
        <v/>
      </c>
      <c r="K73" s="36" t="str">
        <f>IF(OR($B73="",K$45=""),"",IFERROR(CHOOSE(MATCH(SelMeasure,MeasureList,0),AVERAGEIFS(INDEX(dData,0,MATCH($B73&amp;CHAR(10)&amp;"Raw Score",dHdr,0)),dClass,K$45)/$D73,AVERAGEIFS(INDEX(dData,0,MATCH($B73&amp;CHAR(10)&amp;"Stanine",dHdr,0)),dClass,K$45),(COUNTIFS(dClass,K$45,INDEX(dData,0,MATCH($B73&amp;CHAR(10)&amp;"Raw Score",dHdr,0)),"&gt;=0")+COUNTIFS(dClass,K$45,INDEX(dData,0,MATCH($B73&amp;CHAR(10)&amp;"Raw Score",dHdr,0)),"A"))/COUNTIF(dClass,K$45)),""))</f>
        <v/>
      </c>
      <c r="L73" s="36" t="str">
        <f>IF(OR($B73="",L$45=""),"",IFERROR(CHOOSE(MATCH(SelMeasure,MeasureList,0),AVERAGEIFS(INDEX(dData,0,MATCH($B73&amp;CHAR(10)&amp;"Raw Score",dHdr,0)),dClass,L$45)/$D73,AVERAGEIFS(INDEX(dData,0,MATCH($B73&amp;CHAR(10)&amp;"Stanine",dHdr,0)),dClass,L$45),(COUNTIFS(dClass,L$45,INDEX(dData,0,MATCH($B73&amp;CHAR(10)&amp;"Raw Score",dHdr,0)),"&gt;=0")+COUNTIFS(dClass,L$45,INDEX(dData,0,MATCH($B73&amp;CHAR(10)&amp;"Raw Score",dHdr,0)),"A"))/COUNTIF(dClass,L$45)),""))</f>
        <v/>
      </c>
      <c r="M73" s="36" t="str">
        <f>IF(OR($B73="",M$45=""),"",IFERROR(CHOOSE(MATCH(SelMeasure,MeasureList,0),AVERAGEIFS(INDEX(dData,0,MATCH($B73&amp;CHAR(10)&amp;"Raw Score",dHdr,0)),dClass,M$45)/$D73,AVERAGEIFS(INDEX(dData,0,MATCH($B73&amp;CHAR(10)&amp;"Stanine",dHdr,0)),dClass,M$45),(COUNTIFS(dClass,M$45,INDEX(dData,0,MATCH($B73&amp;CHAR(10)&amp;"Raw Score",dHdr,0)),"&gt;=0")+COUNTIFS(dClass,M$45,INDEX(dData,0,MATCH($B73&amp;CHAR(10)&amp;"Raw Score",dHdr,0)),"A"))/COUNTIF(dClass,M$45)),""))</f>
        <v/>
      </c>
      <c r="N73" s="36" t="str">
        <f>IF(OR($B73="",N$45=""),"",IFERROR(CHOOSE(MATCH(SelMeasure,MeasureList,0),AVERAGEIFS(INDEX(dData,0,MATCH($B73&amp;CHAR(10)&amp;"Raw Score",dHdr,0)),dClass,N$45)/$D73,AVERAGEIFS(INDEX(dData,0,MATCH($B73&amp;CHAR(10)&amp;"Stanine",dHdr,0)),dClass,N$45),(COUNTIFS(dClass,N$45,INDEX(dData,0,MATCH($B73&amp;CHAR(10)&amp;"Raw Score",dHdr,0)),"&gt;=0")+COUNTIFS(dClass,N$45,INDEX(dData,0,MATCH($B73&amp;CHAR(10)&amp;"Raw Score",dHdr,0)),"A"))/COUNTIF(dClass,N$45)),""))</f>
        <v/>
      </c>
      <c r="O73" s="36" t="str">
        <f>IF(OR($B73="",O$45=""),"",IFERROR(CHOOSE(MATCH(SelMeasure,MeasureList,0),AVERAGEIFS(INDEX(dData,0,MATCH($B73&amp;CHAR(10)&amp;"Raw Score",dHdr,0)),dClass,O$45)/$D73,AVERAGEIFS(INDEX(dData,0,MATCH($B73&amp;CHAR(10)&amp;"Stanine",dHdr,0)),dClass,O$45),(COUNTIFS(dClass,O$45,INDEX(dData,0,MATCH($B73&amp;CHAR(10)&amp;"Raw Score",dHdr,0)),"&gt;=0")+COUNTIFS(dClass,O$45,INDEX(dData,0,MATCH($B73&amp;CHAR(10)&amp;"Raw Score",dHdr,0)),"A"))/COUNTIF(dClass,O$45)),""))</f>
        <v/>
      </c>
    </row>
    <row r="74">
      <c r="B74" s="31" t="str">
        <f>Calc!AA31</f>
        <v/>
      </c>
      <c r="C74" s="57" t="str">
        <f>Calc!AC31</f>
        <v/>
      </c>
      <c r="D74" s="33" t="str">
        <f>Calc!AB31</f>
        <v/>
      </c>
      <c r="E74" s="33" t="str">
        <f>IF($B74="","",IFERROR(COUNT(INDEX(dData,0,MATCH($B74&amp;CHAR(10)&amp;"Raw Score",dHdr,0))),""))</f>
        <v/>
      </c>
      <c r="F74" s="36" t="str">
        <f>IF($B74="","",IFERROR(($E74+COUNTIF(INDEX(dData,0,MATCH($B74&amp;CHAR(10)&amp;"Raw Score",dHdr,0)),"A"))/COUNTA(dLast),""))</f>
        <v/>
      </c>
      <c r="G74" s="58" t="str">
        <f>IF($B74="","",IFERROR(CHOOSE(MATCH(SelMeasure,MeasureList,0),AVERAGE(INDEX(dData,0,MATCH($B74&amp;CHAR(10)&amp;"Raw Score",dHdr,0)))/$D74,AVERAGE(INDEX(dData,0,MATCH($B74&amp;CHAR(10)&amp;"Stanine",dHdr,0))),$F74),""))</f>
        <v/>
      </c>
      <c r="H74" s="36" t="str">
        <f>IF(OR($B74="",H$45=""),"",IFERROR(CHOOSE(MATCH(SelMeasure,MeasureList,0),AVERAGEIFS(INDEX(dData,0,MATCH($B74&amp;CHAR(10)&amp;"Raw Score",dHdr,0)),dClass,H$45)/$D74,AVERAGEIFS(INDEX(dData,0,MATCH($B74&amp;CHAR(10)&amp;"Stanine",dHdr,0)),dClass,H$45),(COUNTIFS(dClass,H$45,INDEX(dData,0,MATCH($B74&amp;CHAR(10)&amp;"Raw Score",dHdr,0)),"&gt;=0")+COUNTIFS(dClass,H$45,INDEX(dData,0,MATCH($B74&amp;CHAR(10)&amp;"Raw Score",dHdr,0)),"A"))/COUNTIF(dClass,H$45)),""))</f>
        <v/>
      </c>
      <c r="I74" s="36" t="str">
        <f>IF(OR($B74="",I$45=""),"",IFERROR(CHOOSE(MATCH(SelMeasure,MeasureList,0),AVERAGEIFS(INDEX(dData,0,MATCH($B74&amp;CHAR(10)&amp;"Raw Score",dHdr,0)),dClass,I$45)/$D74,AVERAGEIFS(INDEX(dData,0,MATCH($B74&amp;CHAR(10)&amp;"Stanine",dHdr,0)),dClass,I$45),(COUNTIFS(dClass,I$45,INDEX(dData,0,MATCH($B74&amp;CHAR(10)&amp;"Raw Score",dHdr,0)),"&gt;=0")+COUNTIFS(dClass,I$45,INDEX(dData,0,MATCH($B74&amp;CHAR(10)&amp;"Raw Score",dHdr,0)),"A"))/COUNTIF(dClass,I$45)),""))</f>
        <v/>
      </c>
      <c r="J74" s="36" t="str">
        <f>IF(OR($B74="",J$45=""),"",IFERROR(CHOOSE(MATCH(SelMeasure,MeasureList,0),AVERAGEIFS(INDEX(dData,0,MATCH($B74&amp;CHAR(10)&amp;"Raw Score",dHdr,0)),dClass,J$45)/$D74,AVERAGEIFS(INDEX(dData,0,MATCH($B74&amp;CHAR(10)&amp;"Stanine",dHdr,0)),dClass,J$45),(COUNTIFS(dClass,J$45,INDEX(dData,0,MATCH($B74&amp;CHAR(10)&amp;"Raw Score",dHdr,0)),"&gt;=0")+COUNTIFS(dClass,J$45,INDEX(dData,0,MATCH($B74&amp;CHAR(10)&amp;"Raw Score",dHdr,0)),"A"))/COUNTIF(dClass,J$45)),""))</f>
        <v/>
      </c>
      <c r="K74" s="36" t="str">
        <f>IF(OR($B74="",K$45=""),"",IFERROR(CHOOSE(MATCH(SelMeasure,MeasureList,0),AVERAGEIFS(INDEX(dData,0,MATCH($B74&amp;CHAR(10)&amp;"Raw Score",dHdr,0)),dClass,K$45)/$D74,AVERAGEIFS(INDEX(dData,0,MATCH($B74&amp;CHAR(10)&amp;"Stanine",dHdr,0)),dClass,K$45),(COUNTIFS(dClass,K$45,INDEX(dData,0,MATCH($B74&amp;CHAR(10)&amp;"Raw Score",dHdr,0)),"&gt;=0")+COUNTIFS(dClass,K$45,INDEX(dData,0,MATCH($B74&amp;CHAR(10)&amp;"Raw Score",dHdr,0)),"A"))/COUNTIF(dClass,K$45)),""))</f>
        <v/>
      </c>
      <c r="L74" s="36" t="str">
        <f>IF(OR($B74="",L$45=""),"",IFERROR(CHOOSE(MATCH(SelMeasure,MeasureList,0),AVERAGEIFS(INDEX(dData,0,MATCH($B74&amp;CHAR(10)&amp;"Raw Score",dHdr,0)),dClass,L$45)/$D74,AVERAGEIFS(INDEX(dData,0,MATCH($B74&amp;CHAR(10)&amp;"Stanine",dHdr,0)),dClass,L$45),(COUNTIFS(dClass,L$45,INDEX(dData,0,MATCH($B74&amp;CHAR(10)&amp;"Raw Score",dHdr,0)),"&gt;=0")+COUNTIFS(dClass,L$45,INDEX(dData,0,MATCH($B74&amp;CHAR(10)&amp;"Raw Score",dHdr,0)),"A"))/COUNTIF(dClass,L$45)),""))</f>
        <v/>
      </c>
      <c r="M74" s="36" t="str">
        <f>IF(OR($B74="",M$45=""),"",IFERROR(CHOOSE(MATCH(SelMeasure,MeasureList,0),AVERAGEIFS(INDEX(dData,0,MATCH($B74&amp;CHAR(10)&amp;"Raw Score",dHdr,0)),dClass,M$45)/$D74,AVERAGEIFS(INDEX(dData,0,MATCH($B74&amp;CHAR(10)&amp;"Stanine",dHdr,0)),dClass,M$45),(COUNTIFS(dClass,M$45,INDEX(dData,0,MATCH($B74&amp;CHAR(10)&amp;"Raw Score",dHdr,0)),"&gt;=0")+COUNTIFS(dClass,M$45,INDEX(dData,0,MATCH($B74&amp;CHAR(10)&amp;"Raw Score",dHdr,0)),"A"))/COUNTIF(dClass,M$45)),""))</f>
        <v/>
      </c>
      <c r="N74" s="36" t="str">
        <f>IF(OR($B74="",N$45=""),"",IFERROR(CHOOSE(MATCH(SelMeasure,MeasureList,0),AVERAGEIFS(INDEX(dData,0,MATCH($B74&amp;CHAR(10)&amp;"Raw Score",dHdr,0)),dClass,N$45)/$D74,AVERAGEIFS(INDEX(dData,0,MATCH($B74&amp;CHAR(10)&amp;"Stanine",dHdr,0)),dClass,N$45),(COUNTIFS(dClass,N$45,INDEX(dData,0,MATCH($B74&amp;CHAR(10)&amp;"Raw Score",dHdr,0)),"&gt;=0")+COUNTIFS(dClass,N$45,INDEX(dData,0,MATCH($B74&amp;CHAR(10)&amp;"Raw Score",dHdr,0)),"A"))/COUNTIF(dClass,N$45)),""))</f>
        <v/>
      </c>
      <c r="O74" s="36" t="str">
        <f>IF(OR($B74="",O$45=""),"",IFERROR(CHOOSE(MATCH(SelMeasure,MeasureList,0),AVERAGEIFS(INDEX(dData,0,MATCH($B74&amp;CHAR(10)&amp;"Raw Score",dHdr,0)),dClass,O$45)/$D74,AVERAGEIFS(INDEX(dData,0,MATCH($B74&amp;CHAR(10)&amp;"Stanine",dHdr,0)),dClass,O$45),(COUNTIFS(dClass,O$45,INDEX(dData,0,MATCH($B74&amp;CHAR(10)&amp;"Raw Score",dHdr,0)),"&gt;=0")+COUNTIFS(dClass,O$45,INDEX(dData,0,MATCH($B74&amp;CHAR(10)&amp;"Raw Score",dHdr,0)),"A"))/COUNTIF(dClass,O$45)),""))</f>
        <v/>
      </c>
    </row>
    <row r="75">
      <c r="B75" s="31" t="str">
        <f>Calc!AA32</f>
        <v/>
      </c>
      <c r="C75" s="57" t="str">
        <f>Calc!AC32</f>
        <v/>
      </c>
      <c r="D75" s="33" t="str">
        <f>Calc!AB32</f>
        <v/>
      </c>
      <c r="E75" s="33" t="str">
        <f>IF($B75="","",IFERROR(COUNT(INDEX(dData,0,MATCH($B75&amp;CHAR(10)&amp;"Raw Score",dHdr,0))),""))</f>
        <v/>
      </c>
      <c r="F75" s="36" t="str">
        <f>IF($B75="","",IFERROR(($E75+COUNTIF(INDEX(dData,0,MATCH($B75&amp;CHAR(10)&amp;"Raw Score",dHdr,0)),"A"))/COUNTA(dLast),""))</f>
        <v/>
      </c>
      <c r="G75" s="58" t="str">
        <f>IF($B75="","",IFERROR(CHOOSE(MATCH(SelMeasure,MeasureList,0),AVERAGE(INDEX(dData,0,MATCH($B75&amp;CHAR(10)&amp;"Raw Score",dHdr,0)))/$D75,AVERAGE(INDEX(dData,0,MATCH($B75&amp;CHAR(10)&amp;"Stanine",dHdr,0))),$F75),""))</f>
        <v/>
      </c>
      <c r="H75" s="36" t="str">
        <f>IF(OR($B75="",H$45=""),"",IFERROR(CHOOSE(MATCH(SelMeasure,MeasureList,0),AVERAGEIFS(INDEX(dData,0,MATCH($B75&amp;CHAR(10)&amp;"Raw Score",dHdr,0)),dClass,H$45)/$D75,AVERAGEIFS(INDEX(dData,0,MATCH($B75&amp;CHAR(10)&amp;"Stanine",dHdr,0)),dClass,H$45),(COUNTIFS(dClass,H$45,INDEX(dData,0,MATCH($B75&amp;CHAR(10)&amp;"Raw Score",dHdr,0)),"&gt;=0")+COUNTIFS(dClass,H$45,INDEX(dData,0,MATCH($B75&amp;CHAR(10)&amp;"Raw Score",dHdr,0)),"A"))/COUNTIF(dClass,H$45)),""))</f>
        <v/>
      </c>
      <c r="I75" s="36" t="str">
        <f>IF(OR($B75="",I$45=""),"",IFERROR(CHOOSE(MATCH(SelMeasure,MeasureList,0),AVERAGEIFS(INDEX(dData,0,MATCH($B75&amp;CHAR(10)&amp;"Raw Score",dHdr,0)),dClass,I$45)/$D75,AVERAGEIFS(INDEX(dData,0,MATCH($B75&amp;CHAR(10)&amp;"Stanine",dHdr,0)),dClass,I$45),(COUNTIFS(dClass,I$45,INDEX(dData,0,MATCH($B75&amp;CHAR(10)&amp;"Raw Score",dHdr,0)),"&gt;=0")+COUNTIFS(dClass,I$45,INDEX(dData,0,MATCH($B75&amp;CHAR(10)&amp;"Raw Score",dHdr,0)),"A"))/COUNTIF(dClass,I$45)),""))</f>
        <v/>
      </c>
      <c r="J75" s="36" t="str">
        <f>IF(OR($B75="",J$45=""),"",IFERROR(CHOOSE(MATCH(SelMeasure,MeasureList,0),AVERAGEIFS(INDEX(dData,0,MATCH($B75&amp;CHAR(10)&amp;"Raw Score",dHdr,0)),dClass,J$45)/$D75,AVERAGEIFS(INDEX(dData,0,MATCH($B75&amp;CHAR(10)&amp;"Stanine",dHdr,0)),dClass,J$45),(COUNTIFS(dClass,J$45,INDEX(dData,0,MATCH($B75&amp;CHAR(10)&amp;"Raw Score",dHdr,0)),"&gt;=0")+COUNTIFS(dClass,J$45,INDEX(dData,0,MATCH($B75&amp;CHAR(10)&amp;"Raw Score",dHdr,0)),"A"))/COUNTIF(dClass,J$45)),""))</f>
        <v/>
      </c>
      <c r="K75" s="36" t="str">
        <f>IF(OR($B75="",K$45=""),"",IFERROR(CHOOSE(MATCH(SelMeasure,MeasureList,0),AVERAGEIFS(INDEX(dData,0,MATCH($B75&amp;CHAR(10)&amp;"Raw Score",dHdr,0)),dClass,K$45)/$D75,AVERAGEIFS(INDEX(dData,0,MATCH($B75&amp;CHAR(10)&amp;"Stanine",dHdr,0)),dClass,K$45),(COUNTIFS(dClass,K$45,INDEX(dData,0,MATCH($B75&amp;CHAR(10)&amp;"Raw Score",dHdr,0)),"&gt;=0")+COUNTIFS(dClass,K$45,INDEX(dData,0,MATCH($B75&amp;CHAR(10)&amp;"Raw Score",dHdr,0)),"A"))/COUNTIF(dClass,K$45)),""))</f>
        <v/>
      </c>
      <c r="L75" s="36" t="str">
        <f>IF(OR($B75="",L$45=""),"",IFERROR(CHOOSE(MATCH(SelMeasure,MeasureList,0),AVERAGEIFS(INDEX(dData,0,MATCH($B75&amp;CHAR(10)&amp;"Raw Score",dHdr,0)),dClass,L$45)/$D75,AVERAGEIFS(INDEX(dData,0,MATCH($B75&amp;CHAR(10)&amp;"Stanine",dHdr,0)),dClass,L$45),(COUNTIFS(dClass,L$45,INDEX(dData,0,MATCH($B75&amp;CHAR(10)&amp;"Raw Score",dHdr,0)),"&gt;=0")+COUNTIFS(dClass,L$45,INDEX(dData,0,MATCH($B75&amp;CHAR(10)&amp;"Raw Score",dHdr,0)),"A"))/COUNTIF(dClass,L$45)),""))</f>
        <v/>
      </c>
      <c r="M75" s="36" t="str">
        <f>IF(OR($B75="",M$45=""),"",IFERROR(CHOOSE(MATCH(SelMeasure,MeasureList,0),AVERAGEIFS(INDEX(dData,0,MATCH($B75&amp;CHAR(10)&amp;"Raw Score",dHdr,0)),dClass,M$45)/$D75,AVERAGEIFS(INDEX(dData,0,MATCH($B75&amp;CHAR(10)&amp;"Stanine",dHdr,0)),dClass,M$45),(COUNTIFS(dClass,M$45,INDEX(dData,0,MATCH($B75&amp;CHAR(10)&amp;"Raw Score",dHdr,0)),"&gt;=0")+COUNTIFS(dClass,M$45,INDEX(dData,0,MATCH($B75&amp;CHAR(10)&amp;"Raw Score",dHdr,0)),"A"))/COUNTIF(dClass,M$45)),""))</f>
        <v/>
      </c>
      <c r="N75" s="36" t="str">
        <f>IF(OR($B75="",N$45=""),"",IFERROR(CHOOSE(MATCH(SelMeasure,MeasureList,0),AVERAGEIFS(INDEX(dData,0,MATCH($B75&amp;CHAR(10)&amp;"Raw Score",dHdr,0)),dClass,N$45)/$D75,AVERAGEIFS(INDEX(dData,0,MATCH($B75&amp;CHAR(10)&amp;"Stanine",dHdr,0)),dClass,N$45),(COUNTIFS(dClass,N$45,INDEX(dData,0,MATCH($B75&amp;CHAR(10)&amp;"Raw Score",dHdr,0)),"&gt;=0")+COUNTIFS(dClass,N$45,INDEX(dData,0,MATCH($B75&amp;CHAR(10)&amp;"Raw Score",dHdr,0)),"A"))/COUNTIF(dClass,N$45)),""))</f>
        <v/>
      </c>
      <c r="O75" s="36" t="str">
        <f>IF(OR($B75="",O$45=""),"",IFERROR(CHOOSE(MATCH(SelMeasure,MeasureList,0),AVERAGEIFS(INDEX(dData,0,MATCH($B75&amp;CHAR(10)&amp;"Raw Score",dHdr,0)),dClass,O$45)/$D75,AVERAGEIFS(INDEX(dData,0,MATCH($B75&amp;CHAR(10)&amp;"Stanine",dHdr,0)),dClass,O$45),(COUNTIFS(dClass,O$45,INDEX(dData,0,MATCH($B75&amp;CHAR(10)&amp;"Raw Score",dHdr,0)),"&gt;=0")+COUNTIFS(dClass,O$45,INDEX(dData,0,MATCH($B75&amp;CHAR(10)&amp;"Raw Score",dHdr,0)),"A"))/COUNTIF(dClass,O$45)),""))</f>
        <v/>
      </c>
    </row>
    <row r="76">
      <c r="B76" s="31" t="str">
        <f>Calc!AA33</f>
        <v/>
      </c>
      <c r="C76" s="57" t="str">
        <f>Calc!AC33</f>
        <v/>
      </c>
      <c r="D76" s="33" t="str">
        <f>Calc!AB33</f>
        <v/>
      </c>
      <c r="E76" s="33" t="str">
        <f>IF($B76="","",IFERROR(COUNT(INDEX(dData,0,MATCH($B76&amp;CHAR(10)&amp;"Raw Score",dHdr,0))),""))</f>
        <v/>
      </c>
      <c r="F76" s="36" t="str">
        <f>IF($B76="","",IFERROR(($E76+COUNTIF(INDEX(dData,0,MATCH($B76&amp;CHAR(10)&amp;"Raw Score",dHdr,0)),"A"))/COUNTA(dLast),""))</f>
        <v/>
      </c>
      <c r="G76" s="58" t="str">
        <f>IF($B76="","",IFERROR(CHOOSE(MATCH(SelMeasure,MeasureList,0),AVERAGE(INDEX(dData,0,MATCH($B76&amp;CHAR(10)&amp;"Raw Score",dHdr,0)))/$D76,AVERAGE(INDEX(dData,0,MATCH($B76&amp;CHAR(10)&amp;"Stanine",dHdr,0))),$F76),""))</f>
        <v/>
      </c>
      <c r="H76" s="36" t="str">
        <f>IF(OR($B76="",H$45=""),"",IFERROR(CHOOSE(MATCH(SelMeasure,MeasureList,0),AVERAGEIFS(INDEX(dData,0,MATCH($B76&amp;CHAR(10)&amp;"Raw Score",dHdr,0)),dClass,H$45)/$D76,AVERAGEIFS(INDEX(dData,0,MATCH($B76&amp;CHAR(10)&amp;"Stanine",dHdr,0)),dClass,H$45),(COUNTIFS(dClass,H$45,INDEX(dData,0,MATCH($B76&amp;CHAR(10)&amp;"Raw Score",dHdr,0)),"&gt;=0")+COUNTIFS(dClass,H$45,INDEX(dData,0,MATCH($B76&amp;CHAR(10)&amp;"Raw Score",dHdr,0)),"A"))/COUNTIF(dClass,H$45)),""))</f>
        <v/>
      </c>
      <c r="I76" s="36" t="str">
        <f>IF(OR($B76="",I$45=""),"",IFERROR(CHOOSE(MATCH(SelMeasure,MeasureList,0),AVERAGEIFS(INDEX(dData,0,MATCH($B76&amp;CHAR(10)&amp;"Raw Score",dHdr,0)),dClass,I$45)/$D76,AVERAGEIFS(INDEX(dData,0,MATCH($B76&amp;CHAR(10)&amp;"Stanine",dHdr,0)),dClass,I$45),(COUNTIFS(dClass,I$45,INDEX(dData,0,MATCH($B76&amp;CHAR(10)&amp;"Raw Score",dHdr,0)),"&gt;=0")+COUNTIFS(dClass,I$45,INDEX(dData,0,MATCH($B76&amp;CHAR(10)&amp;"Raw Score",dHdr,0)),"A"))/COUNTIF(dClass,I$45)),""))</f>
        <v/>
      </c>
      <c r="J76" s="36" t="str">
        <f>IF(OR($B76="",J$45=""),"",IFERROR(CHOOSE(MATCH(SelMeasure,MeasureList,0),AVERAGEIFS(INDEX(dData,0,MATCH($B76&amp;CHAR(10)&amp;"Raw Score",dHdr,0)),dClass,J$45)/$D76,AVERAGEIFS(INDEX(dData,0,MATCH($B76&amp;CHAR(10)&amp;"Stanine",dHdr,0)),dClass,J$45),(COUNTIFS(dClass,J$45,INDEX(dData,0,MATCH($B76&amp;CHAR(10)&amp;"Raw Score",dHdr,0)),"&gt;=0")+COUNTIFS(dClass,J$45,INDEX(dData,0,MATCH($B76&amp;CHAR(10)&amp;"Raw Score",dHdr,0)),"A"))/COUNTIF(dClass,J$45)),""))</f>
        <v/>
      </c>
      <c r="K76" s="36" t="str">
        <f>IF(OR($B76="",K$45=""),"",IFERROR(CHOOSE(MATCH(SelMeasure,MeasureList,0),AVERAGEIFS(INDEX(dData,0,MATCH($B76&amp;CHAR(10)&amp;"Raw Score",dHdr,0)),dClass,K$45)/$D76,AVERAGEIFS(INDEX(dData,0,MATCH($B76&amp;CHAR(10)&amp;"Stanine",dHdr,0)),dClass,K$45),(COUNTIFS(dClass,K$45,INDEX(dData,0,MATCH($B76&amp;CHAR(10)&amp;"Raw Score",dHdr,0)),"&gt;=0")+COUNTIFS(dClass,K$45,INDEX(dData,0,MATCH($B76&amp;CHAR(10)&amp;"Raw Score",dHdr,0)),"A"))/COUNTIF(dClass,K$45)),""))</f>
        <v/>
      </c>
      <c r="L76" s="36" t="str">
        <f>IF(OR($B76="",L$45=""),"",IFERROR(CHOOSE(MATCH(SelMeasure,MeasureList,0),AVERAGEIFS(INDEX(dData,0,MATCH($B76&amp;CHAR(10)&amp;"Raw Score",dHdr,0)),dClass,L$45)/$D76,AVERAGEIFS(INDEX(dData,0,MATCH($B76&amp;CHAR(10)&amp;"Stanine",dHdr,0)),dClass,L$45),(COUNTIFS(dClass,L$45,INDEX(dData,0,MATCH($B76&amp;CHAR(10)&amp;"Raw Score",dHdr,0)),"&gt;=0")+COUNTIFS(dClass,L$45,INDEX(dData,0,MATCH($B76&amp;CHAR(10)&amp;"Raw Score",dHdr,0)),"A"))/COUNTIF(dClass,L$45)),""))</f>
        <v/>
      </c>
      <c r="M76" s="36" t="str">
        <f>IF(OR($B76="",M$45=""),"",IFERROR(CHOOSE(MATCH(SelMeasure,MeasureList,0),AVERAGEIFS(INDEX(dData,0,MATCH($B76&amp;CHAR(10)&amp;"Raw Score",dHdr,0)),dClass,M$45)/$D76,AVERAGEIFS(INDEX(dData,0,MATCH($B76&amp;CHAR(10)&amp;"Stanine",dHdr,0)),dClass,M$45),(COUNTIFS(dClass,M$45,INDEX(dData,0,MATCH($B76&amp;CHAR(10)&amp;"Raw Score",dHdr,0)),"&gt;=0")+COUNTIFS(dClass,M$45,INDEX(dData,0,MATCH($B76&amp;CHAR(10)&amp;"Raw Score",dHdr,0)),"A"))/COUNTIF(dClass,M$45)),""))</f>
        <v/>
      </c>
      <c r="N76" s="36" t="str">
        <f>IF(OR($B76="",N$45=""),"",IFERROR(CHOOSE(MATCH(SelMeasure,MeasureList,0),AVERAGEIFS(INDEX(dData,0,MATCH($B76&amp;CHAR(10)&amp;"Raw Score",dHdr,0)),dClass,N$45)/$D76,AVERAGEIFS(INDEX(dData,0,MATCH($B76&amp;CHAR(10)&amp;"Stanine",dHdr,0)),dClass,N$45),(COUNTIFS(dClass,N$45,INDEX(dData,0,MATCH($B76&amp;CHAR(10)&amp;"Raw Score",dHdr,0)),"&gt;=0")+COUNTIFS(dClass,N$45,INDEX(dData,0,MATCH($B76&amp;CHAR(10)&amp;"Raw Score",dHdr,0)),"A"))/COUNTIF(dClass,N$45)),""))</f>
        <v/>
      </c>
      <c r="O76" s="36" t="str">
        <f>IF(OR($B76="",O$45=""),"",IFERROR(CHOOSE(MATCH(SelMeasure,MeasureList,0),AVERAGEIFS(INDEX(dData,0,MATCH($B76&amp;CHAR(10)&amp;"Raw Score",dHdr,0)),dClass,O$45)/$D76,AVERAGEIFS(INDEX(dData,0,MATCH($B76&amp;CHAR(10)&amp;"Stanine",dHdr,0)),dClass,O$45),(COUNTIFS(dClass,O$45,INDEX(dData,0,MATCH($B76&amp;CHAR(10)&amp;"Raw Score",dHdr,0)),"&gt;=0")+COUNTIFS(dClass,O$45,INDEX(dData,0,MATCH($B76&amp;CHAR(10)&amp;"Raw Score",dHdr,0)),"A"))/COUNTIF(dClass,O$45)),""))</f>
        <v/>
      </c>
    </row>
    <row r="77">
      <c r="B77" s="31" t="str">
        <f>Calc!AA34</f>
        <v/>
      </c>
      <c r="C77" s="57" t="str">
        <f>Calc!AC34</f>
        <v/>
      </c>
      <c r="D77" s="33" t="str">
        <f>Calc!AB34</f>
        <v/>
      </c>
      <c r="E77" s="33" t="str">
        <f>IF($B77="","",IFERROR(COUNT(INDEX(dData,0,MATCH($B77&amp;CHAR(10)&amp;"Raw Score",dHdr,0))),""))</f>
        <v/>
      </c>
      <c r="F77" s="36" t="str">
        <f>IF($B77="","",IFERROR(($E77+COUNTIF(INDEX(dData,0,MATCH($B77&amp;CHAR(10)&amp;"Raw Score",dHdr,0)),"A"))/COUNTA(dLast),""))</f>
        <v/>
      </c>
      <c r="G77" s="58" t="str">
        <f>IF($B77="","",IFERROR(CHOOSE(MATCH(SelMeasure,MeasureList,0),AVERAGE(INDEX(dData,0,MATCH($B77&amp;CHAR(10)&amp;"Raw Score",dHdr,0)))/$D77,AVERAGE(INDEX(dData,0,MATCH($B77&amp;CHAR(10)&amp;"Stanine",dHdr,0))),$F77),""))</f>
        <v/>
      </c>
      <c r="H77" s="36" t="str">
        <f>IF(OR($B77="",H$45=""),"",IFERROR(CHOOSE(MATCH(SelMeasure,MeasureList,0),AVERAGEIFS(INDEX(dData,0,MATCH($B77&amp;CHAR(10)&amp;"Raw Score",dHdr,0)),dClass,H$45)/$D77,AVERAGEIFS(INDEX(dData,0,MATCH($B77&amp;CHAR(10)&amp;"Stanine",dHdr,0)),dClass,H$45),(COUNTIFS(dClass,H$45,INDEX(dData,0,MATCH($B77&amp;CHAR(10)&amp;"Raw Score",dHdr,0)),"&gt;=0")+COUNTIFS(dClass,H$45,INDEX(dData,0,MATCH($B77&amp;CHAR(10)&amp;"Raw Score",dHdr,0)),"A"))/COUNTIF(dClass,H$45)),""))</f>
        <v/>
      </c>
      <c r="I77" s="36" t="str">
        <f>IF(OR($B77="",I$45=""),"",IFERROR(CHOOSE(MATCH(SelMeasure,MeasureList,0),AVERAGEIFS(INDEX(dData,0,MATCH($B77&amp;CHAR(10)&amp;"Raw Score",dHdr,0)),dClass,I$45)/$D77,AVERAGEIFS(INDEX(dData,0,MATCH($B77&amp;CHAR(10)&amp;"Stanine",dHdr,0)),dClass,I$45),(COUNTIFS(dClass,I$45,INDEX(dData,0,MATCH($B77&amp;CHAR(10)&amp;"Raw Score",dHdr,0)),"&gt;=0")+COUNTIFS(dClass,I$45,INDEX(dData,0,MATCH($B77&amp;CHAR(10)&amp;"Raw Score",dHdr,0)),"A"))/COUNTIF(dClass,I$45)),""))</f>
        <v/>
      </c>
      <c r="J77" s="36" t="str">
        <f>IF(OR($B77="",J$45=""),"",IFERROR(CHOOSE(MATCH(SelMeasure,MeasureList,0),AVERAGEIFS(INDEX(dData,0,MATCH($B77&amp;CHAR(10)&amp;"Raw Score",dHdr,0)),dClass,J$45)/$D77,AVERAGEIFS(INDEX(dData,0,MATCH($B77&amp;CHAR(10)&amp;"Stanine",dHdr,0)),dClass,J$45),(COUNTIFS(dClass,J$45,INDEX(dData,0,MATCH($B77&amp;CHAR(10)&amp;"Raw Score",dHdr,0)),"&gt;=0")+COUNTIFS(dClass,J$45,INDEX(dData,0,MATCH($B77&amp;CHAR(10)&amp;"Raw Score",dHdr,0)),"A"))/COUNTIF(dClass,J$45)),""))</f>
        <v/>
      </c>
      <c r="K77" s="36" t="str">
        <f>IF(OR($B77="",K$45=""),"",IFERROR(CHOOSE(MATCH(SelMeasure,MeasureList,0),AVERAGEIFS(INDEX(dData,0,MATCH($B77&amp;CHAR(10)&amp;"Raw Score",dHdr,0)),dClass,K$45)/$D77,AVERAGEIFS(INDEX(dData,0,MATCH($B77&amp;CHAR(10)&amp;"Stanine",dHdr,0)),dClass,K$45),(COUNTIFS(dClass,K$45,INDEX(dData,0,MATCH($B77&amp;CHAR(10)&amp;"Raw Score",dHdr,0)),"&gt;=0")+COUNTIFS(dClass,K$45,INDEX(dData,0,MATCH($B77&amp;CHAR(10)&amp;"Raw Score",dHdr,0)),"A"))/COUNTIF(dClass,K$45)),""))</f>
        <v/>
      </c>
      <c r="L77" s="36" t="str">
        <f>IF(OR($B77="",L$45=""),"",IFERROR(CHOOSE(MATCH(SelMeasure,MeasureList,0),AVERAGEIFS(INDEX(dData,0,MATCH($B77&amp;CHAR(10)&amp;"Raw Score",dHdr,0)),dClass,L$45)/$D77,AVERAGEIFS(INDEX(dData,0,MATCH($B77&amp;CHAR(10)&amp;"Stanine",dHdr,0)),dClass,L$45),(COUNTIFS(dClass,L$45,INDEX(dData,0,MATCH($B77&amp;CHAR(10)&amp;"Raw Score",dHdr,0)),"&gt;=0")+COUNTIFS(dClass,L$45,INDEX(dData,0,MATCH($B77&amp;CHAR(10)&amp;"Raw Score",dHdr,0)),"A"))/COUNTIF(dClass,L$45)),""))</f>
        <v/>
      </c>
      <c r="M77" s="36" t="str">
        <f>IF(OR($B77="",M$45=""),"",IFERROR(CHOOSE(MATCH(SelMeasure,MeasureList,0),AVERAGEIFS(INDEX(dData,0,MATCH($B77&amp;CHAR(10)&amp;"Raw Score",dHdr,0)),dClass,M$45)/$D77,AVERAGEIFS(INDEX(dData,0,MATCH($B77&amp;CHAR(10)&amp;"Stanine",dHdr,0)),dClass,M$45),(COUNTIFS(dClass,M$45,INDEX(dData,0,MATCH($B77&amp;CHAR(10)&amp;"Raw Score",dHdr,0)),"&gt;=0")+COUNTIFS(dClass,M$45,INDEX(dData,0,MATCH($B77&amp;CHAR(10)&amp;"Raw Score",dHdr,0)),"A"))/COUNTIF(dClass,M$45)),""))</f>
        <v/>
      </c>
      <c r="N77" s="36" t="str">
        <f>IF(OR($B77="",N$45=""),"",IFERROR(CHOOSE(MATCH(SelMeasure,MeasureList,0),AVERAGEIFS(INDEX(dData,0,MATCH($B77&amp;CHAR(10)&amp;"Raw Score",dHdr,0)),dClass,N$45)/$D77,AVERAGEIFS(INDEX(dData,0,MATCH($B77&amp;CHAR(10)&amp;"Stanine",dHdr,0)),dClass,N$45),(COUNTIFS(dClass,N$45,INDEX(dData,0,MATCH($B77&amp;CHAR(10)&amp;"Raw Score",dHdr,0)),"&gt;=0")+COUNTIFS(dClass,N$45,INDEX(dData,0,MATCH($B77&amp;CHAR(10)&amp;"Raw Score",dHdr,0)),"A"))/COUNTIF(dClass,N$45)),""))</f>
        <v/>
      </c>
      <c r="O77" s="36" t="str">
        <f>IF(OR($B77="",O$45=""),"",IFERROR(CHOOSE(MATCH(SelMeasure,MeasureList,0),AVERAGEIFS(INDEX(dData,0,MATCH($B77&amp;CHAR(10)&amp;"Raw Score",dHdr,0)),dClass,O$45)/$D77,AVERAGEIFS(INDEX(dData,0,MATCH($B77&amp;CHAR(10)&amp;"Stanine",dHdr,0)),dClass,O$45),(COUNTIFS(dClass,O$45,INDEX(dData,0,MATCH($B77&amp;CHAR(10)&amp;"Raw Score",dHdr,0)),"&gt;=0")+COUNTIFS(dClass,O$45,INDEX(dData,0,MATCH($B77&amp;CHAR(10)&amp;"Raw Score",dHdr,0)),"A"))/COUNTIF(dClass,O$45)),""))</f>
        <v/>
      </c>
    </row>
    <row r="78">
      <c r="B78" s="31" t="str">
        <f>Calc!AA35</f>
        <v/>
      </c>
      <c r="C78" s="57" t="str">
        <f>Calc!AC35</f>
        <v/>
      </c>
      <c r="D78" s="33" t="str">
        <f>Calc!AB35</f>
        <v/>
      </c>
      <c r="E78" s="33" t="str">
        <f>IF($B78="","",IFERROR(COUNT(INDEX(dData,0,MATCH($B78&amp;CHAR(10)&amp;"Raw Score",dHdr,0))),""))</f>
        <v/>
      </c>
      <c r="F78" s="36" t="str">
        <f>IF($B78="","",IFERROR(($E78+COUNTIF(INDEX(dData,0,MATCH($B78&amp;CHAR(10)&amp;"Raw Score",dHdr,0)),"A"))/COUNTA(dLast),""))</f>
        <v/>
      </c>
      <c r="G78" s="58" t="str">
        <f>IF($B78="","",IFERROR(CHOOSE(MATCH(SelMeasure,MeasureList,0),AVERAGE(INDEX(dData,0,MATCH($B78&amp;CHAR(10)&amp;"Raw Score",dHdr,0)))/$D78,AVERAGE(INDEX(dData,0,MATCH($B78&amp;CHAR(10)&amp;"Stanine",dHdr,0))),$F78),""))</f>
        <v/>
      </c>
      <c r="H78" s="36" t="str">
        <f>IF(OR($B78="",H$45=""),"",IFERROR(CHOOSE(MATCH(SelMeasure,MeasureList,0),AVERAGEIFS(INDEX(dData,0,MATCH($B78&amp;CHAR(10)&amp;"Raw Score",dHdr,0)),dClass,H$45)/$D78,AVERAGEIFS(INDEX(dData,0,MATCH($B78&amp;CHAR(10)&amp;"Stanine",dHdr,0)),dClass,H$45),(COUNTIFS(dClass,H$45,INDEX(dData,0,MATCH($B78&amp;CHAR(10)&amp;"Raw Score",dHdr,0)),"&gt;=0")+COUNTIFS(dClass,H$45,INDEX(dData,0,MATCH($B78&amp;CHAR(10)&amp;"Raw Score",dHdr,0)),"A"))/COUNTIF(dClass,H$45)),""))</f>
        <v/>
      </c>
      <c r="I78" s="36" t="str">
        <f>IF(OR($B78="",I$45=""),"",IFERROR(CHOOSE(MATCH(SelMeasure,MeasureList,0),AVERAGEIFS(INDEX(dData,0,MATCH($B78&amp;CHAR(10)&amp;"Raw Score",dHdr,0)),dClass,I$45)/$D78,AVERAGEIFS(INDEX(dData,0,MATCH($B78&amp;CHAR(10)&amp;"Stanine",dHdr,0)),dClass,I$45),(COUNTIFS(dClass,I$45,INDEX(dData,0,MATCH($B78&amp;CHAR(10)&amp;"Raw Score",dHdr,0)),"&gt;=0")+COUNTIFS(dClass,I$45,INDEX(dData,0,MATCH($B78&amp;CHAR(10)&amp;"Raw Score",dHdr,0)),"A"))/COUNTIF(dClass,I$45)),""))</f>
        <v/>
      </c>
      <c r="J78" s="36" t="str">
        <f>IF(OR($B78="",J$45=""),"",IFERROR(CHOOSE(MATCH(SelMeasure,MeasureList,0),AVERAGEIFS(INDEX(dData,0,MATCH($B78&amp;CHAR(10)&amp;"Raw Score",dHdr,0)),dClass,J$45)/$D78,AVERAGEIFS(INDEX(dData,0,MATCH($B78&amp;CHAR(10)&amp;"Stanine",dHdr,0)),dClass,J$45),(COUNTIFS(dClass,J$45,INDEX(dData,0,MATCH($B78&amp;CHAR(10)&amp;"Raw Score",dHdr,0)),"&gt;=0")+COUNTIFS(dClass,J$45,INDEX(dData,0,MATCH($B78&amp;CHAR(10)&amp;"Raw Score",dHdr,0)),"A"))/COUNTIF(dClass,J$45)),""))</f>
        <v/>
      </c>
      <c r="K78" s="36" t="str">
        <f>IF(OR($B78="",K$45=""),"",IFERROR(CHOOSE(MATCH(SelMeasure,MeasureList,0),AVERAGEIFS(INDEX(dData,0,MATCH($B78&amp;CHAR(10)&amp;"Raw Score",dHdr,0)),dClass,K$45)/$D78,AVERAGEIFS(INDEX(dData,0,MATCH($B78&amp;CHAR(10)&amp;"Stanine",dHdr,0)),dClass,K$45),(COUNTIFS(dClass,K$45,INDEX(dData,0,MATCH($B78&amp;CHAR(10)&amp;"Raw Score",dHdr,0)),"&gt;=0")+COUNTIFS(dClass,K$45,INDEX(dData,0,MATCH($B78&amp;CHAR(10)&amp;"Raw Score",dHdr,0)),"A"))/COUNTIF(dClass,K$45)),""))</f>
        <v/>
      </c>
      <c r="L78" s="36" t="str">
        <f>IF(OR($B78="",L$45=""),"",IFERROR(CHOOSE(MATCH(SelMeasure,MeasureList,0),AVERAGEIFS(INDEX(dData,0,MATCH($B78&amp;CHAR(10)&amp;"Raw Score",dHdr,0)),dClass,L$45)/$D78,AVERAGEIFS(INDEX(dData,0,MATCH($B78&amp;CHAR(10)&amp;"Stanine",dHdr,0)),dClass,L$45),(COUNTIFS(dClass,L$45,INDEX(dData,0,MATCH($B78&amp;CHAR(10)&amp;"Raw Score",dHdr,0)),"&gt;=0")+COUNTIFS(dClass,L$45,INDEX(dData,0,MATCH($B78&amp;CHAR(10)&amp;"Raw Score",dHdr,0)),"A"))/COUNTIF(dClass,L$45)),""))</f>
        <v/>
      </c>
      <c r="M78" s="36" t="str">
        <f>IF(OR($B78="",M$45=""),"",IFERROR(CHOOSE(MATCH(SelMeasure,MeasureList,0),AVERAGEIFS(INDEX(dData,0,MATCH($B78&amp;CHAR(10)&amp;"Raw Score",dHdr,0)),dClass,M$45)/$D78,AVERAGEIFS(INDEX(dData,0,MATCH($B78&amp;CHAR(10)&amp;"Stanine",dHdr,0)),dClass,M$45),(COUNTIFS(dClass,M$45,INDEX(dData,0,MATCH($B78&amp;CHAR(10)&amp;"Raw Score",dHdr,0)),"&gt;=0")+COUNTIFS(dClass,M$45,INDEX(dData,0,MATCH($B78&amp;CHAR(10)&amp;"Raw Score",dHdr,0)),"A"))/COUNTIF(dClass,M$45)),""))</f>
        <v/>
      </c>
      <c r="N78" s="36" t="str">
        <f>IF(OR($B78="",N$45=""),"",IFERROR(CHOOSE(MATCH(SelMeasure,MeasureList,0),AVERAGEIFS(INDEX(dData,0,MATCH($B78&amp;CHAR(10)&amp;"Raw Score",dHdr,0)),dClass,N$45)/$D78,AVERAGEIFS(INDEX(dData,0,MATCH($B78&amp;CHAR(10)&amp;"Stanine",dHdr,0)),dClass,N$45),(COUNTIFS(dClass,N$45,INDEX(dData,0,MATCH($B78&amp;CHAR(10)&amp;"Raw Score",dHdr,0)),"&gt;=0")+COUNTIFS(dClass,N$45,INDEX(dData,0,MATCH($B78&amp;CHAR(10)&amp;"Raw Score",dHdr,0)),"A"))/COUNTIF(dClass,N$45)),""))</f>
        <v/>
      </c>
      <c r="O78" s="36" t="str">
        <f>IF(OR($B78="",O$45=""),"",IFERROR(CHOOSE(MATCH(SelMeasure,MeasureList,0),AVERAGEIFS(INDEX(dData,0,MATCH($B78&amp;CHAR(10)&amp;"Raw Score",dHdr,0)),dClass,O$45)/$D78,AVERAGEIFS(INDEX(dData,0,MATCH($B78&amp;CHAR(10)&amp;"Stanine",dHdr,0)),dClass,O$45),(COUNTIFS(dClass,O$45,INDEX(dData,0,MATCH($B78&amp;CHAR(10)&amp;"Raw Score",dHdr,0)),"&gt;=0")+COUNTIFS(dClass,O$45,INDEX(dData,0,MATCH($B78&amp;CHAR(10)&amp;"Raw Score",dHdr,0)),"A"))/COUNTIF(dClass,O$45)),""))</f>
        <v/>
      </c>
    </row>
    <row r="79">
      <c r="B79" s="31" t="str">
        <f>Calc!AA36</f>
        <v/>
      </c>
      <c r="C79" s="57" t="str">
        <f>Calc!AC36</f>
        <v/>
      </c>
      <c r="D79" s="33" t="str">
        <f>Calc!AB36</f>
        <v/>
      </c>
      <c r="E79" s="33" t="str">
        <f>IF($B79="","",IFERROR(COUNT(INDEX(dData,0,MATCH($B79&amp;CHAR(10)&amp;"Raw Score",dHdr,0))),""))</f>
        <v/>
      </c>
      <c r="F79" s="36" t="str">
        <f>IF($B79="","",IFERROR(($E79+COUNTIF(INDEX(dData,0,MATCH($B79&amp;CHAR(10)&amp;"Raw Score",dHdr,0)),"A"))/COUNTA(dLast),""))</f>
        <v/>
      </c>
      <c r="G79" s="58" t="str">
        <f>IF($B79="","",IFERROR(CHOOSE(MATCH(SelMeasure,MeasureList,0),AVERAGE(INDEX(dData,0,MATCH($B79&amp;CHAR(10)&amp;"Raw Score",dHdr,0)))/$D79,AVERAGE(INDEX(dData,0,MATCH($B79&amp;CHAR(10)&amp;"Stanine",dHdr,0))),$F79),""))</f>
        <v/>
      </c>
      <c r="H79" s="36" t="str">
        <f>IF(OR($B79="",H$45=""),"",IFERROR(CHOOSE(MATCH(SelMeasure,MeasureList,0),AVERAGEIFS(INDEX(dData,0,MATCH($B79&amp;CHAR(10)&amp;"Raw Score",dHdr,0)),dClass,H$45)/$D79,AVERAGEIFS(INDEX(dData,0,MATCH($B79&amp;CHAR(10)&amp;"Stanine",dHdr,0)),dClass,H$45),(COUNTIFS(dClass,H$45,INDEX(dData,0,MATCH($B79&amp;CHAR(10)&amp;"Raw Score",dHdr,0)),"&gt;=0")+COUNTIFS(dClass,H$45,INDEX(dData,0,MATCH($B79&amp;CHAR(10)&amp;"Raw Score",dHdr,0)),"A"))/COUNTIF(dClass,H$45)),""))</f>
        <v/>
      </c>
      <c r="I79" s="36" t="str">
        <f>IF(OR($B79="",I$45=""),"",IFERROR(CHOOSE(MATCH(SelMeasure,MeasureList,0),AVERAGEIFS(INDEX(dData,0,MATCH($B79&amp;CHAR(10)&amp;"Raw Score",dHdr,0)),dClass,I$45)/$D79,AVERAGEIFS(INDEX(dData,0,MATCH($B79&amp;CHAR(10)&amp;"Stanine",dHdr,0)),dClass,I$45),(COUNTIFS(dClass,I$45,INDEX(dData,0,MATCH($B79&amp;CHAR(10)&amp;"Raw Score",dHdr,0)),"&gt;=0")+COUNTIFS(dClass,I$45,INDEX(dData,0,MATCH($B79&amp;CHAR(10)&amp;"Raw Score",dHdr,0)),"A"))/COUNTIF(dClass,I$45)),""))</f>
        <v/>
      </c>
      <c r="J79" s="36" t="str">
        <f>IF(OR($B79="",J$45=""),"",IFERROR(CHOOSE(MATCH(SelMeasure,MeasureList,0),AVERAGEIFS(INDEX(dData,0,MATCH($B79&amp;CHAR(10)&amp;"Raw Score",dHdr,0)),dClass,J$45)/$D79,AVERAGEIFS(INDEX(dData,0,MATCH($B79&amp;CHAR(10)&amp;"Stanine",dHdr,0)),dClass,J$45),(COUNTIFS(dClass,J$45,INDEX(dData,0,MATCH($B79&amp;CHAR(10)&amp;"Raw Score",dHdr,0)),"&gt;=0")+COUNTIFS(dClass,J$45,INDEX(dData,0,MATCH($B79&amp;CHAR(10)&amp;"Raw Score",dHdr,0)),"A"))/COUNTIF(dClass,J$45)),""))</f>
        <v/>
      </c>
      <c r="K79" s="36" t="str">
        <f>IF(OR($B79="",K$45=""),"",IFERROR(CHOOSE(MATCH(SelMeasure,MeasureList,0),AVERAGEIFS(INDEX(dData,0,MATCH($B79&amp;CHAR(10)&amp;"Raw Score",dHdr,0)),dClass,K$45)/$D79,AVERAGEIFS(INDEX(dData,0,MATCH($B79&amp;CHAR(10)&amp;"Stanine",dHdr,0)),dClass,K$45),(COUNTIFS(dClass,K$45,INDEX(dData,0,MATCH($B79&amp;CHAR(10)&amp;"Raw Score",dHdr,0)),"&gt;=0")+COUNTIFS(dClass,K$45,INDEX(dData,0,MATCH($B79&amp;CHAR(10)&amp;"Raw Score",dHdr,0)),"A"))/COUNTIF(dClass,K$45)),""))</f>
        <v/>
      </c>
      <c r="L79" s="36" t="str">
        <f>IF(OR($B79="",L$45=""),"",IFERROR(CHOOSE(MATCH(SelMeasure,MeasureList,0),AVERAGEIFS(INDEX(dData,0,MATCH($B79&amp;CHAR(10)&amp;"Raw Score",dHdr,0)),dClass,L$45)/$D79,AVERAGEIFS(INDEX(dData,0,MATCH($B79&amp;CHAR(10)&amp;"Stanine",dHdr,0)),dClass,L$45),(COUNTIFS(dClass,L$45,INDEX(dData,0,MATCH($B79&amp;CHAR(10)&amp;"Raw Score",dHdr,0)),"&gt;=0")+COUNTIFS(dClass,L$45,INDEX(dData,0,MATCH($B79&amp;CHAR(10)&amp;"Raw Score",dHdr,0)),"A"))/COUNTIF(dClass,L$45)),""))</f>
        <v/>
      </c>
      <c r="M79" s="36" t="str">
        <f>IF(OR($B79="",M$45=""),"",IFERROR(CHOOSE(MATCH(SelMeasure,MeasureList,0),AVERAGEIFS(INDEX(dData,0,MATCH($B79&amp;CHAR(10)&amp;"Raw Score",dHdr,0)),dClass,M$45)/$D79,AVERAGEIFS(INDEX(dData,0,MATCH($B79&amp;CHAR(10)&amp;"Stanine",dHdr,0)),dClass,M$45),(COUNTIFS(dClass,M$45,INDEX(dData,0,MATCH($B79&amp;CHAR(10)&amp;"Raw Score",dHdr,0)),"&gt;=0")+COUNTIFS(dClass,M$45,INDEX(dData,0,MATCH($B79&amp;CHAR(10)&amp;"Raw Score",dHdr,0)),"A"))/COUNTIF(dClass,M$45)),""))</f>
        <v/>
      </c>
      <c r="N79" s="36" t="str">
        <f>IF(OR($B79="",N$45=""),"",IFERROR(CHOOSE(MATCH(SelMeasure,MeasureList,0),AVERAGEIFS(INDEX(dData,0,MATCH($B79&amp;CHAR(10)&amp;"Raw Score",dHdr,0)),dClass,N$45)/$D79,AVERAGEIFS(INDEX(dData,0,MATCH($B79&amp;CHAR(10)&amp;"Stanine",dHdr,0)),dClass,N$45),(COUNTIFS(dClass,N$45,INDEX(dData,0,MATCH($B79&amp;CHAR(10)&amp;"Raw Score",dHdr,0)),"&gt;=0")+COUNTIFS(dClass,N$45,INDEX(dData,0,MATCH($B79&amp;CHAR(10)&amp;"Raw Score",dHdr,0)),"A"))/COUNTIF(dClass,N$45)),""))</f>
        <v/>
      </c>
      <c r="O79" s="36" t="str">
        <f>IF(OR($B79="",O$45=""),"",IFERROR(CHOOSE(MATCH(SelMeasure,MeasureList,0),AVERAGEIFS(INDEX(dData,0,MATCH($B79&amp;CHAR(10)&amp;"Raw Score",dHdr,0)),dClass,O$45)/$D79,AVERAGEIFS(INDEX(dData,0,MATCH($B79&amp;CHAR(10)&amp;"Stanine",dHdr,0)),dClass,O$45),(COUNTIFS(dClass,O$45,INDEX(dData,0,MATCH($B79&amp;CHAR(10)&amp;"Raw Score",dHdr,0)),"&gt;=0")+COUNTIFS(dClass,O$45,INDEX(dData,0,MATCH($B79&amp;CHAR(10)&amp;"Raw Score",dHdr,0)),"A"))/COUNTIF(dClass,O$45)),""))</f>
        <v/>
      </c>
    </row>
    <row r="80">
      <c r="B80" s="31" t="str">
        <f>Calc!AA37</f>
        <v/>
      </c>
      <c r="C80" s="57" t="str">
        <f>Calc!AC37</f>
        <v/>
      </c>
      <c r="D80" s="33" t="str">
        <f>Calc!AB37</f>
        <v/>
      </c>
      <c r="E80" s="33" t="str">
        <f>IF($B80="","",IFERROR(COUNT(INDEX(dData,0,MATCH($B80&amp;CHAR(10)&amp;"Raw Score",dHdr,0))),""))</f>
        <v/>
      </c>
      <c r="F80" s="36" t="str">
        <f>IF($B80="","",IFERROR(($E80+COUNTIF(INDEX(dData,0,MATCH($B80&amp;CHAR(10)&amp;"Raw Score",dHdr,0)),"A"))/COUNTA(dLast),""))</f>
        <v/>
      </c>
      <c r="G80" s="58" t="str">
        <f>IF($B80="","",IFERROR(CHOOSE(MATCH(SelMeasure,MeasureList,0),AVERAGE(INDEX(dData,0,MATCH($B80&amp;CHAR(10)&amp;"Raw Score",dHdr,0)))/$D80,AVERAGE(INDEX(dData,0,MATCH($B80&amp;CHAR(10)&amp;"Stanine",dHdr,0))),$F80),""))</f>
        <v/>
      </c>
      <c r="H80" s="36" t="str">
        <f>IF(OR($B80="",H$45=""),"",IFERROR(CHOOSE(MATCH(SelMeasure,MeasureList,0),AVERAGEIFS(INDEX(dData,0,MATCH($B80&amp;CHAR(10)&amp;"Raw Score",dHdr,0)),dClass,H$45)/$D80,AVERAGEIFS(INDEX(dData,0,MATCH($B80&amp;CHAR(10)&amp;"Stanine",dHdr,0)),dClass,H$45),(COUNTIFS(dClass,H$45,INDEX(dData,0,MATCH($B80&amp;CHAR(10)&amp;"Raw Score",dHdr,0)),"&gt;=0")+COUNTIFS(dClass,H$45,INDEX(dData,0,MATCH($B80&amp;CHAR(10)&amp;"Raw Score",dHdr,0)),"A"))/COUNTIF(dClass,H$45)),""))</f>
        <v/>
      </c>
      <c r="I80" s="36" t="str">
        <f>IF(OR($B80="",I$45=""),"",IFERROR(CHOOSE(MATCH(SelMeasure,MeasureList,0),AVERAGEIFS(INDEX(dData,0,MATCH($B80&amp;CHAR(10)&amp;"Raw Score",dHdr,0)),dClass,I$45)/$D80,AVERAGEIFS(INDEX(dData,0,MATCH($B80&amp;CHAR(10)&amp;"Stanine",dHdr,0)),dClass,I$45),(COUNTIFS(dClass,I$45,INDEX(dData,0,MATCH($B80&amp;CHAR(10)&amp;"Raw Score",dHdr,0)),"&gt;=0")+COUNTIFS(dClass,I$45,INDEX(dData,0,MATCH($B80&amp;CHAR(10)&amp;"Raw Score",dHdr,0)),"A"))/COUNTIF(dClass,I$45)),""))</f>
        <v/>
      </c>
      <c r="J80" s="36" t="str">
        <f>IF(OR($B80="",J$45=""),"",IFERROR(CHOOSE(MATCH(SelMeasure,MeasureList,0),AVERAGEIFS(INDEX(dData,0,MATCH($B80&amp;CHAR(10)&amp;"Raw Score",dHdr,0)),dClass,J$45)/$D80,AVERAGEIFS(INDEX(dData,0,MATCH($B80&amp;CHAR(10)&amp;"Stanine",dHdr,0)),dClass,J$45),(COUNTIFS(dClass,J$45,INDEX(dData,0,MATCH($B80&amp;CHAR(10)&amp;"Raw Score",dHdr,0)),"&gt;=0")+COUNTIFS(dClass,J$45,INDEX(dData,0,MATCH($B80&amp;CHAR(10)&amp;"Raw Score",dHdr,0)),"A"))/COUNTIF(dClass,J$45)),""))</f>
        <v/>
      </c>
      <c r="K80" s="36" t="str">
        <f>IF(OR($B80="",K$45=""),"",IFERROR(CHOOSE(MATCH(SelMeasure,MeasureList,0),AVERAGEIFS(INDEX(dData,0,MATCH($B80&amp;CHAR(10)&amp;"Raw Score",dHdr,0)),dClass,K$45)/$D80,AVERAGEIFS(INDEX(dData,0,MATCH($B80&amp;CHAR(10)&amp;"Stanine",dHdr,0)),dClass,K$45),(COUNTIFS(dClass,K$45,INDEX(dData,0,MATCH($B80&amp;CHAR(10)&amp;"Raw Score",dHdr,0)),"&gt;=0")+COUNTIFS(dClass,K$45,INDEX(dData,0,MATCH($B80&amp;CHAR(10)&amp;"Raw Score",dHdr,0)),"A"))/COUNTIF(dClass,K$45)),""))</f>
        <v/>
      </c>
      <c r="L80" s="36" t="str">
        <f>IF(OR($B80="",L$45=""),"",IFERROR(CHOOSE(MATCH(SelMeasure,MeasureList,0),AVERAGEIFS(INDEX(dData,0,MATCH($B80&amp;CHAR(10)&amp;"Raw Score",dHdr,0)),dClass,L$45)/$D80,AVERAGEIFS(INDEX(dData,0,MATCH($B80&amp;CHAR(10)&amp;"Stanine",dHdr,0)),dClass,L$45),(COUNTIFS(dClass,L$45,INDEX(dData,0,MATCH($B80&amp;CHAR(10)&amp;"Raw Score",dHdr,0)),"&gt;=0")+COUNTIFS(dClass,L$45,INDEX(dData,0,MATCH($B80&amp;CHAR(10)&amp;"Raw Score",dHdr,0)),"A"))/COUNTIF(dClass,L$45)),""))</f>
        <v/>
      </c>
      <c r="M80" s="36" t="str">
        <f>IF(OR($B80="",M$45=""),"",IFERROR(CHOOSE(MATCH(SelMeasure,MeasureList,0),AVERAGEIFS(INDEX(dData,0,MATCH($B80&amp;CHAR(10)&amp;"Raw Score",dHdr,0)),dClass,M$45)/$D80,AVERAGEIFS(INDEX(dData,0,MATCH($B80&amp;CHAR(10)&amp;"Stanine",dHdr,0)),dClass,M$45),(COUNTIFS(dClass,M$45,INDEX(dData,0,MATCH($B80&amp;CHAR(10)&amp;"Raw Score",dHdr,0)),"&gt;=0")+COUNTIFS(dClass,M$45,INDEX(dData,0,MATCH($B80&amp;CHAR(10)&amp;"Raw Score",dHdr,0)),"A"))/COUNTIF(dClass,M$45)),""))</f>
        <v/>
      </c>
      <c r="N80" s="36" t="str">
        <f>IF(OR($B80="",N$45=""),"",IFERROR(CHOOSE(MATCH(SelMeasure,MeasureList,0),AVERAGEIFS(INDEX(dData,0,MATCH($B80&amp;CHAR(10)&amp;"Raw Score",dHdr,0)),dClass,N$45)/$D80,AVERAGEIFS(INDEX(dData,0,MATCH($B80&amp;CHAR(10)&amp;"Stanine",dHdr,0)),dClass,N$45),(COUNTIFS(dClass,N$45,INDEX(dData,0,MATCH($B80&amp;CHAR(10)&amp;"Raw Score",dHdr,0)),"&gt;=0")+COUNTIFS(dClass,N$45,INDEX(dData,0,MATCH($B80&amp;CHAR(10)&amp;"Raw Score",dHdr,0)),"A"))/COUNTIF(dClass,N$45)),""))</f>
        <v/>
      </c>
      <c r="O80" s="36" t="str">
        <f>IF(OR($B80="",O$45=""),"",IFERROR(CHOOSE(MATCH(SelMeasure,MeasureList,0),AVERAGEIFS(INDEX(dData,0,MATCH($B80&amp;CHAR(10)&amp;"Raw Score",dHdr,0)),dClass,O$45)/$D80,AVERAGEIFS(INDEX(dData,0,MATCH($B80&amp;CHAR(10)&amp;"Stanine",dHdr,0)),dClass,O$45),(COUNTIFS(dClass,O$45,INDEX(dData,0,MATCH($B80&amp;CHAR(10)&amp;"Raw Score",dHdr,0)),"&gt;=0")+COUNTIFS(dClass,O$45,INDEX(dData,0,MATCH($B80&amp;CHAR(10)&amp;"Raw Score",dHdr,0)),"A"))/COUNTIF(dClass,O$45)),""))</f>
        <v/>
      </c>
    </row>
    <row r="81">
      <c r="B81" s="31" t="str">
        <f>Calc!AA38</f>
        <v/>
      </c>
      <c r="C81" s="57" t="str">
        <f>Calc!AC38</f>
        <v/>
      </c>
      <c r="D81" s="33" t="str">
        <f>Calc!AB38</f>
        <v/>
      </c>
      <c r="E81" s="33" t="str">
        <f>IF($B81="","",IFERROR(COUNT(INDEX(dData,0,MATCH($B81&amp;CHAR(10)&amp;"Raw Score",dHdr,0))),""))</f>
        <v/>
      </c>
      <c r="F81" s="36" t="str">
        <f>IF($B81="","",IFERROR(($E81+COUNTIF(INDEX(dData,0,MATCH($B81&amp;CHAR(10)&amp;"Raw Score",dHdr,0)),"A"))/COUNTA(dLast),""))</f>
        <v/>
      </c>
      <c r="G81" s="58" t="str">
        <f>IF($B81="","",IFERROR(CHOOSE(MATCH(SelMeasure,MeasureList,0),AVERAGE(INDEX(dData,0,MATCH($B81&amp;CHAR(10)&amp;"Raw Score",dHdr,0)))/$D81,AVERAGE(INDEX(dData,0,MATCH($B81&amp;CHAR(10)&amp;"Stanine",dHdr,0))),$F81),""))</f>
        <v/>
      </c>
      <c r="H81" s="36" t="str">
        <f>IF(OR($B81="",H$45=""),"",IFERROR(CHOOSE(MATCH(SelMeasure,MeasureList,0),AVERAGEIFS(INDEX(dData,0,MATCH($B81&amp;CHAR(10)&amp;"Raw Score",dHdr,0)),dClass,H$45)/$D81,AVERAGEIFS(INDEX(dData,0,MATCH($B81&amp;CHAR(10)&amp;"Stanine",dHdr,0)),dClass,H$45),(COUNTIFS(dClass,H$45,INDEX(dData,0,MATCH($B81&amp;CHAR(10)&amp;"Raw Score",dHdr,0)),"&gt;=0")+COUNTIFS(dClass,H$45,INDEX(dData,0,MATCH($B81&amp;CHAR(10)&amp;"Raw Score",dHdr,0)),"A"))/COUNTIF(dClass,H$45)),""))</f>
        <v/>
      </c>
      <c r="I81" s="36" t="str">
        <f>IF(OR($B81="",I$45=""),"",IFERROR(CHOOSE(MATCH(SelMeasure,MeasureList,0),AVERAGEIFS(INDEX(dData,0,MATCH($B81&amp;CHAR(10)&amp;"Raw Score",dHdr,0)),dClass,I$45)/$D81,AVERAGEIFS(INDEX(dData,0,MATCH($B81&amp;CHAR(10)&amp;"Stanine",dHdr,0)),dClass,I$45),(COUNTIFS(dClass,I$45,INDEX(dData,0,MATCH($B81&amp;CHAR(10)&amp;"Raw Score",dHdr,0)),"&gt;=0")+COUNTIFS(dClass,I$45,INDEX(dData,0,MATCH($B81&amp;CHAR(10)&amp;"Raw Score",dHdr,0)),"A"))/COUNTIF(dClass,I$45)),""))</f>
        <v/>
      </c>
      <c r="J81" s="36" t="str">
        <f>IF(OR($B81="",J$45=""),"",IFERROR(CHOOSE(MATCH(SelMeasure,MeasureList,0),AVERAGEIFS(INDEX(dData,0,MATCH($B81&amp;CHAR(10)&amp;"Raw Score",dHdr,0)),dClass,J$45)/$D81,AVERAGEIFS(INDEX(dData,0,MATCH($B81&amp;CHAR(10)&amp;"Stanine",dHdr,0)),dClass,J$45),(COUNTIFS(dClass,J$45,INDEX(dData,0,MATCH($B81&amp;CHAR(10)&amp;"Raw Score",dHdr,0)),"&gt;=0")+COUNTIFS(dClass,J$45,INDEX(dData,0,MATCH($B81&amp;CHAR(10)&amp;"Raw Score",dHdr,0)),"A"))/COUNTIF(dClass,J$45)),""))</f>
        <v/>
      </c>
      <c r="K81" s="36" t="str">
        <f>IF(OR($B81="",K$45=""),"",IFERROR(CHOOSE(MATCH(SelMeasure,MeasureList,0),AVERAGEIFS(INDEX(dData,0,MATCH($B81&amp;CHAR(10)&amp;"Raw Score",dHdr,0)),dClass,K$45)/$D81,AVERAGEIFS(INDEX(dData,0,MATCH($B81&amp;CHAR(10)&amp;"Stanine",dHdr,0)),dClass,K$45),(COUNTIFS(dClass,K$45,INDEX(dData,0,MATCH($B81&amp;CHAR(10)&amp;"Raw Score",dHdr,0)),"&gt;=0")+COUNTIFS(dClass,K$45,INDEX(dData,0,MATCH($B81&amp;CHAR(10)&amp;"Raw Score",dHdr,0)),"A"))/COUNTIF(dClass,K$45)),""))</f>
        <v/>
      </c>
      <c r="L81" s="36" t="str">
        <f>IF(OR($B81="",L$45=""),"",IFERROR(CHOOSE(MATCH(SelMeasure,MeasureList,0),AVERAGEIFS(INDEX(dData,0,MATCH($B81&amp;CHAR(10)&amp;"Raw Score",dHdr,0)),dClass,L$45)/$D81,AVERAGEIFS(INDEX(dData,0,MATCH($B81&amp;CHAR(10)&amp;"Stanine",dHdr,0)),dClass,L$45),(COUNTIFS(dClass,L$45,INDEX(dData,0,MATCH($B81&amp;CHAR(10)&amp;"Raw Score",dHdr,0)),"&gt;=0")+COUNTIFS(dClass,L$45,INDEX(dData,0,MATCH($B81&amp;CHAR(10)&amp;"Raw Score",dHdr,0)),"A"))/COUNTIF(dClass,L$45)),""))</f>
        <v/>
      </c>
      <c r="M81" s="36" t="str">
        <f>IF(OR($B81="",M$45=""),"",IFERROR(CHOOSE(MATCH(SelMeasure,MeasureList,0),AVERAGEIFS(INDEX(dData,0,MATCH($B81&amp;CHAR(10)&amp;"Raw Score",dHdr,0)),dClass,M$45)/$D81,AVERAGEIFS(INDEX(dData,0,MATCH($B81&amp;CHAR(10)&amp;"Stanine",dHdr,0)),dClass,M$45),(COUNTIFS(dClass,M$45,INDEX(dData,0,MATCH($B81&amp;CHAR(10)&amp;"Raw Score",dHdr,0)),"&gt;=0")+COUNTIFS(dClass,M$45,INDEX(dData,0,MATCH($B81&amp;CHAR(10)&amp;"Raw Score",dHdr,0)),"A"))/COUNTIF(dClass,M$45)),""))</f>
        <v/>
      </c>
      <c r="N81" s="36" t="str">
        <f>IF(OR($B81="",N$45=""),"",IFERROR(CHOOSE(MATCH(SelMeasure,MeasureList,0),AVERAGEIFS(INDEX(dData,0,MATCH($B81&amp;CHAR(10)&amp;"Raw Score",dHdr,0)),dClass,N$45)/$D81,AVERAGEIFS(INDEX(dData,0,MATCH($B81&amp;CHAR(10)&amp;"Stanine",dHdr,0)),dClass,N$45),(COUNTIFS(dClass,N$45,INDEX(dData,0,MATCH($B81&amp;CHAR(10)&amp;"Raw Score",dHdr,0)),"&gt;=0")+COUNTIFS(dClass,N$45,INDEX(dData,0,MATCH($B81&amp;CHAR(10)&amp;"Raw Score",dHdr,0)),"A"))/COUNTIF(dClass,N$45)),""))</f>
        <v/>
      </c>
      <c r="O81" s="36" t="str">
        <f>IF(OR($B81="",O$45=""),"",IFERROR(CHOOSE(MATCH(SelMeasure,MeasureList,0),AVERAGEIFS(INDEX(dData,0,MATCH($B81&amp;CHAR(10)&amp;"Raw Score",dHdr,0)),dClass,O$45)/$D81,AVERAGEIFS(INDEX(dData,0,MATCH($B81&amp;CHAR(10)&amp;"Stanine",dHdr,0)),dClass,O$45),(COUNTIFS(dClass,O$45,INDEX(dData,0,MATCH($B81&amp;CHAR(10)&amp;"Raw Score",dHdr,0)),"&gt;=0")+COUNTIFS(dClass,O$45,INDEX(dData,0,MATCH($B81&amp;CHAR(10)&amp;"Raw Score",dHdr,0)),"A"))/COUNTIF(dClass,O$45)),""))</f>
        <v/>
      </c>
    </row>
    <row r="82">
      <c r="B82" s="31" t="str">
        <f>Calc!AA39</f>
        <v/>
      </c>
      <c r="C82" s="57" t="str">
        <f>Calc!AC39</f>
        <v/>
      </c>
      <c r="D82" s="33" t="str">
        <f>Calc!AB39</f>
        <v/>
      </c>
      <c r="E82" s="33" t="str">
        <f>IF($B82="","",IFERROR(COUNT(INDEX(dData,0,MATCH($B82&amp;CHAR(10)&amp;"Raw Score",dHdr,0))),""))</f>
        <v/>
      </c>
      <c r="F82" s="36" t="str">
        <f>IF($B82="","",IFERROR(($E82+COUNTIF(INDEX(dData,0,MATCH($B82&amp;CHAR(10)&amp;"Raw Score",dHdr,0)),"A"))/COUNTA(dLast),""))</f>
        <v/>
      </c>
      <c r="G82" s="58" t="str">
        <f>IF($B82="","",IFERROR(CHOOSE(MATCH(SelMeasure,MeasureList,0),AVERAGE(INDEX(dData,0,MATCH($B82&amp;CHAR(10)&amp;"Raw Score",dHdr,0)))/$D82,AVERAGE(INDEX(dData,0,MATCH($B82&amp;CHAR(10)&amp;"Stanine",dHdr,0))),$F82),""))</f>
        <v/>
      </c>
      <c r="H82" s="36" t="str">
        <f>IF(OR($B82="",H$45=""),"",IFERROR(CHOOSE(MATCH(SelMeasure,MeasureList,0),AVERAGEIFS(INDEX(dData,0,MATCH($B82&amp;CHAR(10)&amp;"Raw Score",dHdr,0)),dClass,H$45)/$D82,AVERAGEIFS(INDEX(dData,0,MATCH($B82&amp;CHAR(10)&amp;"Stanine",dHdr,0)),dClass,H$45),(COUNTIFS(dClass,H$45,INDEX(dData,0,MATCH($B82&amp;CHAR(10)&amp;"Raw Score",dHdr,0)),"&gt;=0")+COUNTIFS(dClass,H$45,INDEX(dData,0,MATCH($B82&amp;CHAR(10)&amp;"Raw Score",dHdr,0)),"A"))/COUNTIF(dClass,H$45)),""))</f>
        <v/>
      </c>
      <c r="I82" s="36" t="str">
        <f>IF(OR($B82="",I$45=""),"",IFERROR(CHOOSE(MATCH(SelMeasure,MeasureList,0),AVERAGEIFS(INDEX(dData,0,MATCH($B82&amp;CHAR(10)&amp;"Raw Score",dHdr,0)),dClass,I$45)/$D82,AVERAGEIFS(INDEX(dData,0,MATCH($B82&amp;CHAR(10)&amp;"Stanine",dHdr,0)),dClass,I$45),(COUNTIFS(dClass,I$45,INDEX(dData,0,MATCH($B82&amp;CHAR(10)&amp;"Raw Score",dHdr,0)),"&gt;=0")+COUNTIFS(dClass,I$45,INDEX(dData,0,MATCH($B82&amp;CHAR(10)&amp;"Raw Score",dHdr,0)),"A"))/COUNTIF(dClass,I$45)),""))</f>
        <v/>
      </c>
      <c r="J82" s="36" t="str">
        <f>IF(OR($B82="",J$45=""),"",IFERROR(CHOOSE(MATCH(SelMeasure,MeasureList,0),AVERAGEIFS(INDEX(dData,0,MATCH($B82&amp;CHAR(10)&amp;"Raw Score",dHdr,0)),dClass,J$45)/$D82,AVERAGEIFS(INDEX(dData,0,MATCH($B82&amp;CHAR(10)&amp;"Stanine",dHdr,0)),dClass,J$45),(COUNTIFS(dClass,J$45,INDEX(dData,0,MATCH($B82&amp;CHAR(10)&amp;"Raw Score",dHdr,0)),"&gt;=0")+COUNTIFS(dClass,J$45,INDEX(dData,0,MATCH($B82&amp;CHAR(10)&amp;"Raw Score",dHdr,0)),"A"))/COUNTIF(dClass,J$45)),""))</f>
        <v/>
      </c>
      <c r="K82" s="36" t="str">
        <f>IF(OR($B82="",K$45=""),"",IFERROR(CHOOSE(MATCH(SelMeasure,MeasureList,0),AVERAGEIFS(INDEX(dData,0,MATCH($B82&amp;CHAR(10)&amp;"Raw Score",dHdr,0)),dClass,K$45)/$D82,AVERAGEIFS(INDEX(dData,0,MATCH($B82&amp;CHAR(10)&amp;"Stanine",dHdr,0)),dClass,K$45),(COUNTIFS(dClass,K$45,INDEX(dData,0,MATCH($B82&amp;CHAR(10)&amp;"Raw Score",dHdr,0)),"&gt;=0")+COUNTIFS(dClass,K$45,INDEX(dData,0,MATCH($B82&amp;CHAR(10)&amp;"Raw Score",dHdr,0)),"A"))/COUNTIF(dClass,K$45)),""))</f>
        <v/>
      </c>
      <c r="L82" s="36" t="str">
        <f>IF(OR($B82="",L$45=""),"",IFERROR(CHOOSE(MATCH(SelMeasure,MeasureList,0),AVERAGEIFS(INDEX(dData,0,MATCH($B82&amp;CHAR(10)&amp;"Raw Score",dHdr,0)),dClass,L$45)/$D82,AVERAGEIFS(INDEX(dData,0,MATCH($B82&amp;CHAR(10)&amp;"Stanine",dHdr,0)),dClass,L$45),(COUNTIFS(dClass,L$45,INDEX(dData,0,MATCH($B82&amp;CHAR(10)&amp;"Raw Score",dHdr,0)),"&gt;=0")+COUNTIFS(dClass,L$45,INDEX(dData,0,MATCH($B82&amp;CHAR(10)&amp;"Raw Score",dHdr,0)),"A"))/COUNTIF(dClass,L$45)),""))</f>
        <v/>
      </c>
      <c r="M82" s="36" t="str">
        <f>IF(OR($B82="",M$45=""),"",IFERROR(CHOOSE(MATCH(SelMeasure,MeasureList,0),AVERAGEIFS(INDEX(dData,0,MATCH($B82&amp;CHAR(10)&amp;"Raw Score",dHdr,0)),dClass,M$45)/$D82,AVERAGEIFS(INDEX(dData,0,MATCH($B82&amp;CHAR(10)&amp;"Stanine",dHdr,0)),dClass,M$45),(COUNTIFS(dClass,M$45,INDEX(dData,0,MATCH($B82&amp;CHAR(10)&amp;"Raw Score",dHdr,0)),"&gt;=0")+COUNTIFS(dClass,M$45,INDEX(dData,0,MATCH($B82&amp;CHAR(10)&amp;"Raw Score",dHdr,0)),"A"))/COUNTIF(dClass,M$45)),""))</f>
        <v/>
      </c>
      <c r="N82" s="36" t="str">
        <f>IF(OR($B82="",N$45=""),"",IFERROR(CHOOSE(MATCH(SelMeasure,MeasureList,0),AVERAGEIFS(INDEX(dData,0,MATCH($B82&amp;CHAR(10)&amp;"Raw Score",dHdr,0)),dClass,N$45)/$D82,AVERAGEIFS(INDEX(dData,0,MATCH($B82&amp;CHAR(10)&amp;"Stanine",dHdr,0)),dClass,N$45),(COUNTIFS(dClass,N$45,INDEX(dData,0,MATCH($B82&amp;CHAR(10)&amp;"Raw Score",dHdr,0)),"&gt;=0")+COUNTIFS(dClass,N$45,INDEX(dData,0,MATCH($B82&amp;CHAR(10)&amp;"Raw Score",dHdr,0)),"A"))/COUNTIF(dClass,N$45)),""))</f>
        <v/>
      </c>
      <c r="O82" s="36" t="str">
        <f>IF(OR($B82="",O$45=""),"",IFERROR(CHOOSE(MATCH(SelMeasure,MeasureList,0),AVERAGEIFS(INDEX(dData,0,MATCH($B82&amp;CHAR(10)&amp;"Raw Score",dHdr,0)),dClass,O$45)/$D82,AVERAGEIFS(INDEX(dData,0,MATCH($B82&amp;CHAR(10)&amp;"Stanine",dHdr,0)),dClass,O$45),(COUNTIFS(dClass,O$45,INDEX(dData,0,MATCH($B82&amp;CHAR(10)&amp;"Raw Score",dHdr,0)),"&gt;=0")+COUNTIFS(dClass,O$45,INDEX(dData,0,MATCH($B82&amp;CHAR(10)&amp;"Raw Score",dHdr,0)),"A"))/COUNTIF(dClass,O$45)),""))</f>
        <v/>
      </c>
    </row>
    <row r="83">
      <c r="B83" s="31" t="str">
        <f>Calc!AA40</f>
        <v/>
      </c>
      <c r="C83" s="57" t="str">
        <f>Calc!AC40</f>
        <v/>
      </c>
      <c r="D83" s="33" t="str">
        <f>Calc!AB40</f>
        <v/>
      </c>
      <c r="E83" s="33" t="str">
        <f>IF($B83="","",IFERROR(COUNT(INDEX(dData,0,MATCH($B83&amp;CHAR(10)&amp;"Raw Score",dHdr,0))),""))</f>
        <v/>
      </c>
      <c r="F83" s="36" t="str">
        <f>IF($B83="","",IFERROR(($E83+COUNTIF(INDEX(dData,0,MATCH($B83&amp;CHAR(10)&amp;"Raw Score",dHdr,0)),"A"))/COUNTA(dLast),""))</f>
        <v/>
      </c>
      <c r="G83" s="58" t="str">
        <f>IF($B83="","",IFERROR(CHOOSE(MATCH(SelMeasure,MeasureList,0),AVERAGE(INDEX(dData,0,MATCH($B83&amp;CHAR(10)&amp;"Raw Score",dHdr,0)))/$D83,AVERAGE(INDEX(dData,0,MATCH($B83&amp;CHAR(10)&amp;"Stanine",dHdr,0))),$F83),""))</f>
        <v/>
      </c>
      <c r="H83" s="36" t="str">
        <f>IF(OR($B83="",H$45=""),"",IFERROR(CHOOSE(MATCH(SelMeasure,MeasureList,0),AVERAGEIFS(INDEX(dData,0,MATCH($B83&amp;CHAR(10)&amp;"Raw Score",dHdr,0)),dClass,H$45)/$D83,AVERAGEIFS(INDEX(dData,0,MATCH($B83&amp;CHAR(10)&amp;"Stanine",dHdr,0)),dClass,H$45),(COUNTIFS(dClass,H$45,INDEX(dData,0,MATCH($B83&amp;CHAR(10)&amp;"Raw Score",dHdr,0)),"&gt;=0")+COUNTIFS(dClass,H$45,INDEX(dData,0,MATCH($B83&amp;CHAR(10)&amp;"Raw Score",dHdr,0)),"A"))/COUNTIF(dClass,H$45)),""))</f>
        <v/>
      </c>
      <c r="I83" s="36" t="str">
        <f>IF(OR($B83="",I$45=""),"",IFERROR(CHOOSE(MATCH(SelMeasure,MeasureList,0),AVERAGEIFS(INDEX(dData,0,MATCH($B83&amp;CHAR(10)&amp;"Raw Score",dHdr,0)),dClass,I$45)/$D83,AVERAGEIFS(INDEX(dData,0,MATCH($B83&amp;CHAR(10)&amp;"Stanine",dHdr,0)),dClass,I$45),(COUNTIFS(dClass,I$45,INDEX(dData,0,MATCH($B83&amp;CHAR(10)&amp;"Raw Score",dHdr,0)),"&gt;=0")+COUNTIFS(dClass,I$45,INDEX(dData,0,MATCH($B83&amp;CHAR(10)&amp;"Raw Score",dHdr,0)),"A"))/COUNTIF(dClass,I$45)),""))</f>
        <v/>
      </c>
      <c r="J83" s="36" t="str">
        <f>IF(OR($B83="",J$45=""),"",IFERROR(CHOOSE(MATCH(SelMeasure,MeasureList,0),AVERAGEIFS(INDEX(dData,0,MATCH($B83&amp;CHAR(10)&amp;"Raw Score",dHdr,0)),dClass,J$45)/$D83,AVERAGEIFS(INDEX(dData,0,MATCH($B83&amp;CHAR(10)&amp;"Stanine",dHdr,0)),dClass,J$45),(COUNTIFS(dClass,J$45,INDEX(dData,0,MATCH($B83&amp;CHAR(10)&amp;"Raw Score",dHdr,0)),"&gt;=0")+COUNTIFS(dClass,J$45,INDEX(dData,0,MATCH($B83&amp;CHAR(10)&amp;"Raw Score",dHdr,0)),"A"))/COUNTIF(dClass,J$45)),""))</f>
        <v/>
      </c>
      <c r="K83" s="36" t="str">
        <f>IF(OR($B83="",K$45=""),"",IFERROR(CHOOSE(MATCH(SelMeasure,MeasureList,0),AVERAGEIFS(INDEX(dData,0,MATCH($B83&amp;CHAR(10)&amp;"Raw Score",dHdr,0)),dClass,K$45)/$D83,AVERAGEIFS(INDEX(dData,0,MATCH($B83&amp;CHAR(10)&amp;"Stanine",dHdr,0)),dClass,K$45),(COUNTIFS(dClass,K$45,INDEX(dData,0,MATCH($B83&amp;CHAR(10)&amp;"Raw Score",dHdr,0)),"&gt;=0")+COUNTIFS(dClass,K$45,INDEX(dData,0,MATCH($B83&amp;CHAR(10)&amp;"Raw Score",dHdr,0)),"A"))/COUNTIF(dClass,K$45)),""))</f>
        <v/>
      </c>
      <c r="L83" s="36" t="str">
        <f>IF(OR($B83="",L$45=""),"",IFERROR(CHOOSE(MATCH(SelMeasure,MeasureList,0),AVERAGEIFS(INDEX(dData,0,MATCH($B83&amp;CHAR(10)&amp;"Raw Score",dHdr,0)),dClass,L$45)/$D83,AVERAGEIFS(INDEX(dData,0,MATCH($B83&amp;CHAR(10)&amp;"Stanine",dHdr,0)),dClass,L$45),(COUNTIFS(dClass,L$45,INDEX(dData,0,MATCH($B83&amp;CHAR(10)&amp;"Raw Score",dHdr,0)),"&gt;=0")+COUNTIFS(dClass,L$45,INDEX(dData,0,MATCH($B83&amp;CHAR(10)&amp;"Raw Score",dHdr,0)),"A"))/COUNTIF(dClass,L$45)),""))</f>
        <v/>
      </c>
      <c r="M83" s="36" t="str">
        <f>IF(OR($B83="",M$45=""),"",IFERROR(CHOOSE(MATCH(SelMeasure,MeasureList,0),AVERAGEIFS(INDEX(dData,0,MATCH($B83&amp;CHAR(10)&amp;"Raw Score",dHdr,0)),dClass,M$45)/$D83,AVERAGEIFS(INDEX(dData,0,MATCH($B83&amp;CHAR(10)&amp;"Stanine",dHdr,0)),dClass,M$45),(COUNTIFS(dClass,M$45,INDEX(dData,0,MATCH($B83&amp;CHAR(10)&amp;"Raw Score",dHdr,0)),"&gt;=0")+COUNTIFS(dClass,M$45,INDEX(dData,0,MATCH($B83&amp;CHAR(10)&amp;"Raw Score",dHdr,0)),"A"))/COUNTIF(dClass,M$45)),""))</f>
        <v/>
      </c>
      <c r="N83" s="36" t="str">
        <f>IF(OR($B83="",N$45=""),"",IFERROR(CHOOSE(MATCH(SelMeasure,MeasureList,0),AVERAGEIFS(INDEX(dData,0,MATCH($B83&amp;CHAR(10)&amp;"Raw Score",dHdr,0)),dClass,N$45)/$D83,AVERAGEIFS(INDEX(dData,0,MATCH($B83&amp;CHAR(10)&amp;"Stanine",dHdr,0)),dClass,N$45),(COUNTIFS(dClass,N$45,INDEX(dData,0,MATCH($B83&amp;CHAR(10)&amp;"Raw Score",dHdr,0)),"&gt;=0")+COUNTIFS(dClass,N$45,INDEX(dData,0,MATCH($B83&amp;CHAR(10)&amp;"Raw Score",dHdr,0)),"A"))/COUNTIF(dClass,N$45)),""))</f>
        <v/>
      </c>
      <c r="O83" s="36" t="str">
        <f>IF(OR($B83="",O$45=""),"",IFERROR(CHOOSE(MATCH(SelMeasure,MeasureList,0),AVERAGEIFS(INDEX(dData,0,MATCH($B83&amp;CHAR(10)&amp;"Raw Score",dHdr,0)),dClass,O$45)/$D83,AVERAGEIFS(INDEX(dData,0,MATCH($B83&amp;CHAR(10)&amp;"Stanine",dHdr,0)),dClass,O$45),(COUNTIFS(dClass,O$45,INDEX(dData,0,MATCH($B83&amp;CHAR(10)&amp;"Raw Score",dHdr,0)),"&gt;=0")+COUNTIFS(dClass,O$45,INDEX(dData,0,MATCH($B83&amp;CHAR(10)&amp;"Raw Score",dHdr,0)),"A"))/COUNTIF(dClass,O$45)),""))</f>
        <v/>
      </c>
    </row>
    <row r="84">
      <c r="B84" s="31" t="str">
        <f>Calc!AA41</f>
        <v/>
      </c>
      <c r="C84" s="57" t="str">
        <f>Calc!AC41</f>
        <v/>
      </c>
      <c r="D84" s="33" t="str">
        <f>Calc!AB41</f>
        <v/>
      </c>
      <c r="E84" s="33" t="str">
        <f>IF($B84="","",IFERROR(COUNT(INDEX(dData,0,MATCH($B84&amp;CHAR(10)&amp;"Raw Score",dHdr,0))),""))</f>
        <v/>
      </c>
      <c r="F84" s="36" t="str">
        <f>IF($B84="","",IFERROR(($E84+COUNTIF(INDEX(dData,0,MATCH($B84&amp;CHAR(10)&amp;"Raw Score",dHdr,0)),"A"))/COUNTA(dLast),""))</f>
        <v/>
      </c>
      <c r="G84" s="58" t="str">
        <f>IF($B84="","",IFERROR(CHOOSE(MATCH(SelMeasure,MeasureList,0),AVERAGE(INDEX(dData,0,MATCH($B84&amp;CHAR(10)&amp;"Raw Score",dHdr,0)))/$D84,AVERAGE(INDEX(dData,0,MATCH($B84&amp;CHAR(10)&amp;"Stanine",dHdr,0))),$F84),""))</f>
        <v/>
      </c>
      <c r="H84" s="36" t="str">
        <f>IF(OR($B84="",H$45=""),"",IFERROR(CHOOSE(MATCH(SelMeasure,MeasureList,0),AVERAGEIFS(INDEX(dData,0,MATCH($B84&amp;CHAR(10)&amp;"Raw Score",dHdr,0)),dClass,H$45)/$D84,AVERAGEIFS(INDEX(dData,0,MATCH($B84&amp;CHAR(10)&amp;"Stanine",dHdr,0)),dClass,H$45),(COUNTIFS(dClass,H$45,INDEX(dData,0,MATCH($B84&amp;CHAR(10)&amp;"Raw Score",dHdr,0)),"&gt;=0")+COUNTIFS(dClass,H$45,INDEX(dData,0,MATCH($B84&amp;CHAR(10)&amp;"Raw Score",dHdr,0)),"A"))/COUNTIF(dClass,H$45)),""))</f>
        <v/>
      </c>
      <c r="I84" s="36" t="str">
        <f>IF(OR($B84="",I$45=""),"",IFERROR(CHOOSE(MATCH(SelMeasure,MeasureList,0),AVERAGEIFS(INDEX(dData,0,MATCH($B84&amp;CHAR(10)&amp;"Raw Score",dHdr,0)),dClass,I$45)/$D84,AVERAGEIFS(INDEX(dData,0,MATCH($B84&amp;CHAR(10)&amp;"Stanine",dHdr,0)),dClass,I$45),(COUNTIFS(dClass,I$45,INDEX(dData,0,MATCH($B84&amp;CHAR(10)&amp;"Raw Score",dHdr,0)),"&gt;=0")+COUNTIFS(dClass,I$45,INDEX(dData,0,MATCH($B84&amp;CHAR(10)&amp;"Raw Score",dHdr,0)),"A"))/COUNTIF(dClass,I$45)),""))</f>
        <v/>
      </c>
      <c r="J84" s="36" t="str">
        <f>IF(OR($B84="",J$45=""),"",IFERROR(CHOOSE(MATCH(SelMeasure,MeasureList,0),AVERAGEIFS(INDEX(dData,0,MATCH($B84&amp;CHAR(10)&amp;"Raw Score",dHdr,0)),dClass,J$45)/$D84,AVERAGEIFS(INDEX(dData,0,MATCH($B84&amp;CHAR(10)&amp;"Stanine",dHdr,0)),dClass,J$45),(COUNTIFS(dClass,J$45,INDEX(dData,0,MATCH($B84&amp;CHAR(10)&amp;"Raw Score",dHdr,0)),"&gt;=0")+COUNTIFS(dClass,J$45,INDEX(dData,0,MATCH($B84&amp;CHAR(10)&amp;"Raw Score",dHdr,0)),"A"))/COUNTIF(dClass,J$45)),""))</f>
        <v/>
      </c>
      <c r="K84" s="36" t="str">
        <f>IF(OR($B84="",K$45=""),"",IFERROR(CHOOSE(MATCH(SelMeasure,MeasureList,0),AVERAGEIFS(INDEX(dData,0,MATCH($B84&amp;CHAR(10)&amp;"Raw Score",dHdr,0)),dClass,K$45)/$D84,AVERAGEIFS(INDEX(dData,0,MATCH($B84&amp;CHAR(10)&amp;"Stanine",dHdr,0)),dClass,K$45),(COUNTIFS(dClass,K$45,INDEX(dData,0,MATCH($B84&amp;CHAR(10)&amp;"Raw Score",dHdr,0)),"&gt;=0")+COUNTIFS(dClass,K$45,INDEX(dData,0,MATCH($B84&amp;CHAR(10)&amp;"Raw Score",dHdr,0)),"A"))/COUNTIF(dClass,K$45)),""))</f>
        <v/>
      </c>
      <c r="L84" s="36" t="str">
        <f>IF(OR($B84="",L$45=""),"",IFERROR(CHOOSE(MATCH(SelMeasure,MeasureList,0),AVERAGEIFS(INDEX(dData,0,MATCH($B84&amp;CHAR(10)&amp;"Raw Score",dHdr,0)),dClass,L$45)/$D84,AVERAGEIFS(INDEX(dData,0,MATCH($B84&amp;CHAR(10)&amp;"Stanine",dHdr,0)),dClass,L$45),(COUNTIFS(dClass,L$45,INDEX(dData,0,MATCH($B84&amp;CHAR(10)&amp;"Raw Score",dHdr,0)),"&gt;=0")+COUNTIFS(dClass,L$45,INDEX(dData,0,MATCH($B84&amp;CHAR(10)&amp;"Raw Score",dHdr,0)),"A"))/COUNTIF(dClass,L$45)),""))</f>
        <v/>
      </c>
      <c r="M84" s="36" t="str">
        <f>IF(OR($B84="",M$45=""),"",IFERROR(CHOOSE(MATCH(SelMeasure,MeasureList,0),AVERAGEIFS(INDEX(dData,0,MATCH($B84&amp;CHAR(10)&amp;"Raw Score",dHdr,0)),dClass,M$45)/$D84,AVERAGEIFS(INDEX(dData,0,MATCH($B84&amp;CHAR(10)&amp;"Stanine",dHdr,0)),dClass,M$45),(COUNTIFS(dClass,M$45,INDEX(dData,0,MATCH($B84&amp;CHAR(10)&amp;"Raw Score",dHdr,0)),"&gt;=0")+COUNTIFS(dClass,M$45,INDEX(dData,0,MATCH($B84&amp;CHAR(10)&amp;"Raw Score",dHdr,0)),"A"))/COUNTIF(dClass,M$45)),""))</f>
        <v/>
      </c>
      <c r="N84" s="36" t="str">
        <f>IF(OR($B84="",N$45=""),"",IFERROR(CHOOSE(MATCH(SelMeasure,MeasureList,0),AVERAGEIFS(INDEX(dData,0,MATCH($B84&amp;CHAR(10)&amp;"Raw Score",dHdr,0)),dClass,N$45)/$D84,AVERAGEIFS(INDEX(dData,0,MATCH($B84&amp;CHAR(10)&amp;"Stanine",dHdr,0)),dClass,N$45),(COUNTIFS(dClass,N$45,INDEX(dData,0,MATCH($B84&amp;CHAR(10)&amp;"Raw Score",dHdr,0)),"&gt;=0")+COUNTIFS(dClass,N$45,INDEX(dData,0,MATCH($B84&amp;CHAR(10)&amp;"Raw Score",dHdr,0)),"A"))/COUNTIF(dClass,N$45)),""))</f>
        <v/>
      </c>
      <c r="O84" s="36" t="str">
        <f>IF(OR($B84="",O$45=""),"",IFERROR(CHOOSE(MATCH(SelMeasure,MeasureList,0),AVERAGEIFS(INDEX(dData,0,MATCH($B84&amp;CHAR(10)&amp;"Raw Score",dHdr,0)),dClass,O$45)/$D84,AVERAGEIFS(INDEX(dData,0,MATCH($B84&amp;CHAR(10)&amp;"Stanine",dHdr,0)),dClass,O$45),(COUNTIFS(dClass,O$45,INDEX(dData,0,MATCH($B84&amp;CHAR(10)&amp;"Raw Score",dHdr,0)),"&gt;=0")+COUNTIFS(dClass,O$45,INDEX(dData,0,MATCH($B84&amp;CHAR(10)&amp;"Raw Score",dHdr,0)),"A"))/COUNTIF(dClass,O$45)),""))</f>
        <v/>
      </c>
    </row>
    <row r="85">
      <c r="B85" s="31" t="str">
        <f>Calc!AA42</f>
        <v/>
      </c>
      <c r="C85" s="57" t="str">
        <f>Calc!AC42</f>
        <v/>
      </c>
      <c r="D85" s="33" t="str">
        <f>Calc!AB42</f>
        <v/>
      </c>
      <c r="E85" s="33" t="str">
        <f>IF($B85="","",IFERROR(COUNT(INDEX(dData,0,MATCH($B85&amp;CHAR(10)&amp;"Raw Score",dHdr,0))),""))</f>
        <v/>
      </c>
      <c r="F85" s="36" t="str">
        <f>IF($B85="","",IFERROR(($E85+COUNTIF(INDEX(dData,0,MATCH($B85&amp;CHAR(10)&amp;"Raw Score",dHdr,0)),"A"))/COUNTA(dLast),""))</f>
        <v/>
      </c>
      <c r="G85" s="58" t="str">
        <f>IF($B85="","",IFERROR(CHOOSE(MATCH(SelMeasure,MeasureList,0),AVERAGE(INDEX(dData,0,MATCH($B85&amp;CHAR(10)&amp;"Raw Score",dHdr,0)))/$D85,AVERAGE(INDEX(dData,0,MATCH($B85&amp;CHAR(10)&amp;"Stanine",dHdr,0))),$F85),""))</f>
        <v/>
      </c>
      <c r="H85" s="36" t="str">
        <f>IF(OR($B85="",H$45=""),"",IFERROR(CHOOSE(MATCH(SelMeasure,MeasureList,0),AVERAGEIFS(INDEX(dData,0,MATCH($B85&amp;CHAR(10)&amp;"Raw Score",dHdr,0)),dClass,H$45)/$D85,AVERAGEIFS(INDEX(dData,0,MATCH($B85&amp;CHAR(10)&amp;"Stanine",dHdr,0)),dClass,H$45),(COUNTIFS(dClass,H$45,INDEX(dData,0,MATCH($B85&amp;CHAR(10)&amp;"Raw Score",dHdr,0)),"&gt;=0")+COUNTIFS(dClass,H$45,INDEX(dData,0,MATCH($B85&amp;CHAR(10)&amp;"Raw Score",dHdr,0)),"A"))/COUNTIF(dClass,H$45)),""))</f>
        <v/>
      </c>
      <c r="I85" s="36" t="str">
        <f>IF(OR($B85="",I$45=""),"",IFERROR(CHOOSE(MATCH(SelMeasure,MeasureList,0),AVERAGEIFS(INDEX(dData,0,MATCH($B85&amp;CHAR(10)&amp;"Raw Score",dHdr,0)),dClass,I$45)/$D85,AVERAGEIFS(INDEX(dData,0,MATCH($B85&amp;CHAR(10)&amp;"Stanine",dHdr,0)),dClass,I$45),(COUNTIFS(dClass,I$45,INDEX(dData,0,MATCH($B85&amp;CHAR(10)&amp;"Raw Score",dHdr,0)),"&gt;=0")+COUNTIFS(dClass,I$45,INDEX(dData,0,MATCH($B85&amp;CHAR(10)&amp;"Raw Score",dHdr,0)),"A"))/COUNTIF(dClass,I$45)),""))</f>
        <v/>
      </c>
      <c r="J85" s="36" t="str">
        <f>IF(OR($B85="",J$45=""),"",IFERROR(CHOOSE(MATCH(SelMeasure,MeasureList,0),AVERAGEIFS(INDEX(dData,0,MATCH($B85&amp;CHAR(10)&amp;"Raw Score",dHdr,0)),dClass,J$45)/$D85,AVERAGEIFS(INDEX(dData,0,MATCH($B85&amp;CHAR(10)&amp;"Stanine",dHdr,0)),dClass,J$45),(COUNTIFS(dClass,J$45,INDEX(dData,0,MATCH($B85&amp;CHAR(10)&amp;"Raw Score",dHdr,0)),"&gt;=0")+COUNTIFS(dClass,J$45,INDEX(dData,0,MATCH($B85&amp;CHAR(10)&amp;"Raw Score",dHdr,0)),"A"))/COUNTIF(dClass,J$45)),""))</f>
        <v/>
      </c>
      <c r="K85" s="36" t="str">
        <f>IF(OR($B85="",K$45=""),"",IFERROR(CHOOSE(MATCH(SelMeasure,MeasureList,0),AVERAGEIFS(INDEX(dData,0,MATCH($B85&amp;CHAR(10)&amp;"Raw Score",dHdr,0)),dClass,K$45)/$D85,AVERAGEIFS(INDEX(dData,0,MATCH($B85&amp;CHAR(10)&amp;"Stanine",dHdr,0)),dClass,K$45),(COUNTIFS(dClass,K$45,INDEX(dData,0,MATCH($B85&amp;CHAR(10)&amp;"Raw Score",dHdr,0)),"&gt;=0")+COUNTIFS(dClass,K$45,INDEX(dData,0,MATCH($B85&amp;CHAR(10)&amp;"Raw Score",dHdr,0)),"A"))/COUNTIF(dClass,K$45)),""))</f>
        <v/>
      </c>
      <c r="L85" s="36" t="str">
        <f>IF(OR($B85="",L$45=""),"",IFERROR(CHOOSE(MATCH(SelMeasure,MeasureList,0),AVERAGEIFS(INDEX(dData,0,MATCH($B85&amp;CHAR(10)&amp;"Raw Score",dHdr,0)),dClass,L$45)/$D85,AVERAGEIFS(INDEX(dData,0,MATCH($B85&amp;CHAR(10)&amp;"Stanine",dHdr,0)),dClass,L$45),(COUNTIFS(dClass,L$45,INDEX(dData,0,MATCH($B85&amp;CHAR(10)&amp;"Raw Score",dHdr,0)),"&gt;=0")+COUNTIFS(dClass,L$45,INDEX(dData,0,MATCH($B85&amp;CHAR(10)&amp;"Raw Score",dHdr,0)),"A"))/COUNTIF(dClass,L$45)),""))</f>
        <v/>
      </c>
      <c r="M85" s="36" t="str">
        <f>IF(OR($B85="",M$45=""),"",IFERROR(CHOOSE(MATCH(SelMeasure,MeasureList,0),AVERAGEIFS(INDEX(dData,0,MATCH($B85&amp;CHAR(10)&amp;"Raw Score",dHdr,0)),dClass,M$45)/$D85,AVERAGEIFS(INDEX(dData,0,MATCH($B85&amp;CHAR(10)&amp;"Stanine",dHdr,0)),dClass,M$45),(COUNTIFS(dClass,M$45,INDEX(dData,0,MATCH($B85&amp;CHAR(10)&amp;"Raw Score",dHdr,0)),"&gt;=0")+COUNTIFS(dClass,M$45,INDEX(dData,0,MATCH($B85&amp;CHAR(10)&amp;"Raw Score",dHdr,0)),"A"))/COUNTIF(dClass,M$45)),""))</f>
        <v/>
      </c>
      <c r="N85" s="36" t="str">
        <f>IF(OR($B85="",N$45=""),"",IFERROR(CHOOSE(MATCH(SelMeasure,MeasureList,0),AVERAGEIFS(INDEX(dData,0,MATCH($B85&amp;CHAR(10)&amp;"Raw Score",dHdr,0)),dClass,N$45)/$D85,AVERAGEIFS(INDEX(dData,0,MATCH($B85&amp;CHAR(10)&amp;"Stanine",dHdr,0)),dClass,N$45),(COUNTIFS(dClass,N$45,INDEX(dData,0,MATCH($B85&amp;CHAR(10)&amp;"Raw Score",dHdr,0)),"&gt;=0")+COUNTIFS(dClass,N$45,INDEX(dData,0,MATCH($B85&amp;CHAR(10)&amp;"Raw Score",dHdr,0)),"A"))/COUNTIF(dClass,N$45)),""))</f>
        <v/>
      </c>
      <c r="O85" s="36" t="str">
        <f>IF(OR($B85="",O$45=""),"",IFERROR(CHOOSE(MATCH(SelMeasure,MeasureList,0),AVERAGEIFS(INDEX(dData,0,MATCH($B85&amp;CHAR(10)&amp;"Raw Score",dHdr,0)),dClass,O$45)/$D85,AVERAGEIFS(INDEX(dData,0,MATCH($B85&amp;CHAR(10)&amp;"Stanine",dHdr,0)),dClass,O$45),(COUNTIFS(dClass,O$45,INDEX(dData,0,MATCH($B85&amp;CHAR(10)&amp;"Raw Score",dHdr,0)),"&gt;=0")+COUNTIFS(dClass,O$45,INDEX(dData,0,MATCH($B85&amp;CHAR(10)&amp;"Raw Score",dHdr,0)),"A"))/COUNTIF(dClass,O$45)),""))</f>
        <v/>
      </c>
    </row>
    <row r="86">
      <c r="B86" s="31" t="str">
        <f>Calc!AA43</f>
        <v/>
      </c>
      <c r="C86" s="57" t="str">
        <f>Calc!AC43</f>
        <v/>
      </c>
      <c r="D86" s="33" t="str">
        <f>Calc!AB43</f>
        <v/>
      </c>
      <c r="E86" s="33" t="str">
        <f>IF($B86="","",IFERROR(COUNT(INDEX(dData,0,MATCH($B86&amp;CHAR(10)&amp;"Raw Score",dHdr,0))),""))</f>
        <v/>
      </c>
      <c r="F86" s="36" t="str">
        <f>IF($B86="","",IFERROR(($E86+COUNTIF(INDEX(dData,0,MATCH($B86&amp;CHAR(10)&amp;"Raw Score",dHdr,0)),"A"))/COUNTA(dLast),""))</f>
        <v/>
      </c>
      <c r="G86" s="58" t="str">
        <f>IF($B86="","",IFERROR(CHOOSE(MATCH(SelMeasure,MeasureList,0),AVERAGE(INDEX(dData,0,MATCH($B86&amp;CHAR(10)&amp;"Raw Score",dHdr,0)))/$D86,AVERAGE(INDEX(dData,0,MATCH($B86&amp;CHAR(10)&amp;"Stanine",dHdr,0))),$F86),""))</f>
        <v/>
      </c>
      <c r="H86" s="36" t="str">
        <f>IF(OR($B86="",H$45=""),"",IFERROR(CHOOSE(MATCH(SelMeasure,MeasureList,0),AVERAGEIFS(INDEX(dData,0,MATCH($B86&amp;CHAR(10)&amp;"Raw Score",dHdr,0)),dClass,H$45)/$D86,AVERAGEIFS(INDEX(dData,0,MATCH($B86&amp;CHAR(10)&amp;"Stanine",dHdr,0)),dClass,H$45),(COUNTIFS(dClass,H$45,INDEX(dData,0,MATCH($B86&amp;CHAR(10)&amp;"Raw Score",dHdr,0)),"&gt;=0")+COUNTIFS(dClass,H$45,INDEX(dData,0,MATCH($B86&amp;CHAR(10)&amp;"Raw Score",dHdr,0)),"A"))/COUNTIF(dClass,H$45)),""))</f>
        <v/>
      </c>
      <c r="I86" s="36" t="str">
        <f>IF(OR($B86="",I$45=""),"",IFERROR(CHOOSE(MATCH(SelMeasure,MeasureList,0),AVERAGEIFS(INDEX(dData,0,MATCH($B86&amp;CHAR(10)&amp;"Raw Score",dHdr,0)),dClass,I$45)/$D86,AVERAGEIFS(INDEX(dData,0,MATCH($B86&amp;CHAR(10)&amp;"Stanine",dHdr,0)),dClass,I$45),(COUNTIFS(dClass,I$45,INDEX(dData,0,MATCH($B86&amp;CHAR(10)&amp;"Raw Score",dHdr,0)),"&gt;=0")+COUNTIFS(dClass,I$45,INDEX(dData,0,MATCH($B86&amp;CHAR(10)&amp;"Raw Score",dHdr,0)),"A"))/COUNTIF(dClass,I$45)),""))</f>
        <v/>
      </c>
      <c r="J86" s="36" t="str">
        <f>IF(OR($B86="",J$45=""),"",IFERROR(CHOOSE(MATCH(SelMeasure,MeasureList,0),AVERAGEIFS(INDEX(dData,0,MATCH($B86&amp;CHAR(10)&amp;"Raw Score",dHdr,0)),dClass,J$45)/$D86,AVERAGEIFS(INDEX(dData,0,MATCH($B86&amp;CHAR(10)&amp;"Stanine",dHdr,0)),dClass,J$45),(COUNTIFS(dClass,J$45,INDEX(dData,0,MATCH($B86&amp;CHAR(10)&amp;"Raw Score",dHdr,0)),"&gt;=0")+COUNTIFS(dClass,J$45,INDEX(dData,0,MATCH($B86&amp;CHAR(10)&amp;"Raw Score",dHdr,0)),"A"))/COUNTIF(dClass,J$45)),""))</f>
        <v/>
      </c>
      <c r="K86" s="36" t="str">
        <f>IF(OR($B86="",K$45=""),"",IFERROR(CHOOSE(MATCH(SelMeasure,MeasureList,0),AVERAGEIFS(INDEX(dData,0,MATCH($B86&amp;CHAR(10)&amp;"Raw Score",dHdr,0)),dClass,K$45)/$D86,AVERAGEIFS(INDEX(dData,0,MATCH($B86&amp;CHAR(10)&amp;"Stanine",dHdr,0)),dClass,K$45),(COUNTIFS(dClass,K$45,INDEX(dData,0,MATCH($B86&amp;CHAR(10)&amp;"Raw Score",dHdr,0)),"&gt;=0")+COUNTIFS(dClass,K$45,INDEX(dData,0,MATCH($B86&amp;CHAR(10)&amp;"Raw Score",dHdr,0)),"A"))/COUNTIF(dClass,K$45)),""))</f>
        <v/>
      </c>
      <c r="L86" s="36" t="str">
        <f>IF(OR($B86="",L$45=""),"",IFERROR(CHOOSE(MATCH(SelMeasure,MeasureList,0),AVERAGEIFS(INDEX(dData,0,MATCH($B86&amp;CHAR(10)&amp;"Raw Score",dHdr,0)),dClass,L$45)/$D86,AVERAGEIFS(INDEX(dData,0,MATCH($B86&amp;CHAR(10)&amp;"Stanine",dHdr,0)),dClass,L$45),(COUNTIFS(dClass,L$45,INDEX(dData,0,MATCH($B86&amp;CHAR(10)&amp;"Raw Score",dHdr,0)),"&gt;=0")+COUNTIFS(dClass,L$45,INDEX(dData,0,MATCH($B86&amp;CHAR(10)&amp;"Raw Score",dHdr,0)),"A"))/COUNTIF(dClass,L$45)),""))</f>
        <v/>
      </c>
      <c r="M86" s="36" t="str">
        <f>IF(OR($B86="",M$45=""),"",IFERROR(CHOOSE(MATCH(SelMeasure,MeasureList,0),AVERAGEIFS(INDEX(dData,0,MATCH($B86&amp;CHAR(10)&amp;"Raw Score",dHdr,0)),dClass,M$45)/$D86,AVERAGEIFS(INDEX(dData,0,MATCH($B86&amp;CHAR(10)&amp;"Stanine",dHdr,0)),dClass,M$45),(COUNTIFS(dClass,M$45,INDEX(dData,0,MATCH($B86&amp;CHAR(10)&amp;"Raw Score",dHdr,0)),"&gt;=0")+COUNTIFS(dClass,M$45,INDEX(dData,0,MATCH($B86&amp;CHAR(10)&amp;"Raw Score",dHdr,0)),"A"))/COUNTIF(dClass,M$45)),""))</f>
        <v/>
      </c>
      <c r="N86" s="36" t="str">
        <f>IF(OR($B86="",N$45=""),"",IFERROR(CHOOSE(MATCH(SelMeasure,MeasureList,0),AVERAGEIFS(INDEX(dData,0,MATCH($B86&amp;CHAR(10)&amp;"Raw Score",dHdr,0)),dClass,N$45)/$D86,AVERAGEIFS(INDEX(dData,0,MATCH($B86&amp;CHAR(10)&amp;"Stanine",dHdr,0)),dClass,N$45),(COUNTIFS(dClass,N$45,INDEX(dData,0,MATCH($B86&amp;CHAR(10)&amp;"Raw Score",dHdr,0)),"&gt;=0")+COUNTIFS(dClass,N$45,INDEX(dData,0,MATCH($B86&amp;CHAR(10)&amp;"Raw Score",dHdr,0)),"A"))/COUNTIF(dClass,N$45)),""))</f>
        <v/>
      </c>
      <c r="O86" s="36" t="str">
        <f>IF(OR($B86="",O$45=""),"",IFERROR(CHOOSE(MATCH(SelMeasure,MeasureList,0),AVERAGEIFS(INDEX(dData,0,MATCH($B86&amp;CHAR(10)&amp;"Raw Score",dHdr,0)),dClass,O$45)/$D86,AVERAGEIFS(INDEX(dData,0,MATCH($B86&amp;CHAR(10)&amp;"Stanine",dHdr,0)),dClass,O$45),(COUNTIFS(dClass,O$45,INDEX(dData,0,MATCH($B86&amp;CHAR(10)&amp;"Raw Score",dHdr,0)),"&gt;=0")+COUNTIFS(dClass,O$45,INDEX(dData,0,MATCH($B86&amp;CHAR(10)&amp;"Raw Score",dHdr,0)),"A"))/COUNTIF(dClass,O$45)),""))</f>
        <v/>
      </c>
    </row>
    <row r="87">
      <c r="B87" s="31" t="str">
        <f>Calc!AA44</f>
        <v/>
      </c>
      <c r="C87" s="57" t="str">
        <f>Calc!AC44</f>
        <v/>
      </c>
      <c r="D87" s="33" t="str">
        <f>Calc!AB44</f>
        <v/>
      </c>
      <c r="E87" s="33" t="str">
        <f>IF($B87="","",IFERROR(COUNT(INDEX(dData,0,MATCH($B87&amp;CHAR(10)&amp;"Raw Score",dHdr,0))),""))</f>
        <v/>
      </c>
      <c r="F87" s="36" t="str">
        <f>IF($B87="","",IFERROR(($E87+COUNTIF(INDEX(dData,0,MATCH($B87&amp;CHAR(10)&amp;"Raw Score",dHdr,0)),"A"))/COUNTA(dLast),""))</f>
        <v/>
      </c>
      <c r="G87" s="58" t="str">
        <f>IF($B87="","",IFERROR(CHOOSE(MATCH(SelMeasure,MeasureList,0),AVERAGE(INDEX(dData,0,MATCH($B87&amp;CHAR(10)&amp;"Raw Score",dHdr,0)))/$D87,AVERAGE(INDEX(dData,0,MATCH($B87&amp;CHAR(10)&amp;"Stanine",dHdr,0))),$F87),""))</f>
        <v/>
      </c>
      <c r="H87" s="36" t="str">
        <f>IF(OR($B87="",H$45=""),"",IFERROR(CHOOSE(MATCH(SelMeasure,MeasureList,0),AVERAGEIFS(INDEX(dData,0,MATCH($B87&amp;CHAR(10)&amp;"Raw Score",dHdr,0)),dClass,H$45)/$D87,AVERAGEIFS(INDEX(dData,0,MATCH($B87&amp;CHAR(10)&amp;"Stanine",dHdr,0)),dClass,H$45),(COUNTIFS(dClass,H$45,INDEX(dData,0,MATCH($B87&amp;CHAR(10)&amp;"Raw Score",dHdr,0)),"&gt;=0")+COUNTIFS(dClass,H$45,INDEX(dData,0,MATCH($B87&amp;CHAR(10)&amp;"Raw Score",dHdr,0)),"A"))/COUNTIF(dClass,H$45)),""))</f>
        <v/>
      </c>
      <c r="I87" s="36" t="str">
        <f>IF(OR($B87="",I$45=""),"",IFERROR(CHOOSE(MATCH(SelMeasure,MeasureList,0),AVERAGEIFS(INDEX(dData,0,MATCH($B87&amp;CHAR(10)&amp;"Raw Score",dHdr,0)),dClass,I$45)/$D87,AVERAGEIFS(INDEX(dData,0,MATCH($B87&amp;CHAR(10)&amp;"Stanine",dHdr,0)),dClass,I$45),(COUNTIFS(dClass,I$45,INDEX(dData,0,MATCH($B87&amp;CHAR(10)&amp;"Raw Score",dHdr,0)),"&gt;=0")+COUNTIFS(dClass,I$45,INDEX(dData,0,MATCH($B87&amp;CHAR(10)&amp;"Raw Score",dHdr,0)),"A"))/COUNTIF(dClass,I$45)),""))</f>
        <v/>
      </c>
      <c r="J87" s="36" t="str">
        <f>IF(OR($B87="",J$45=""),"",IFERROR(CHOOSE(MATCH(SelMeasure,MeasureList,0),AVERAGEIFS(INDEX(dData,0,MATCH($B87&amp;CHAR(10)&amp;"Raw Score",dHdr,0)),dClass,J$45)/$D87,AVERAGEIFS(INDEX(dData,0,MATCH($B87&amp;CHAR(10)&amp;"Stanine",dHdr,0)),dClass,J$45),(COUNTIFS(dClass,J$45,INDEX(dData,0,MATCH($B87&amp;CHAR(10)&amp;"Raw Score",dHdr,0)),"&gt;=0")+COUNTIFS(dClass,J$45,INDEX(dData,0,MATCH($B87&amp;CHAR(10)&amp;"Raw Score",dHdr,0)),"A"))/COUNTIF(dClass,J$45)),""))</f>
        <v/>
      </c>
      <c r="K87" s="36" t="str">
        <f>IF(OR($B87="",K$45=""),"",IFERROR(CHOOSE(MATCH(SelMeasure,MeasureList,0),AVERAGEIFS(INDEX(dData,0,MATCH($B87&amp;CHAR(10)&amp;"Raw Score",dHdr,0)),dClass,K$45)/$D87,AVERAGEIFS(INDEX(dData,0,MATCH($B87&amp;CHAR(10)&amp;"Stanine",dHdr,0)),dClass,K$45),(COUNTIFS(dClass,K$45,INDEX(dData,0,MATCH($B87&amp;CHAR(10)&amp;"Raw Score",dHdr,0)),"&gt;=0")+COUNTIFS(dClass,K$45,INDEX(dData,0,MATCH($B87&amp;CHAR(10)&amp;"Raw Score",dHdr,0)),"A"))/COUNTIF(dClass,K$45)),""))</f>
        <v/>
      </c>
      <c r="L87" s="36" t="str">
        <f>IF(OR($B87="",L$45=""),"",IFERROR(CHOOSE(MATCH(SelMeasure,MeasureList,0),AVERAGEIFS(INDEX(dData,0,MATCH($B87&amp;CHAR(10)&amp;"Raw Score",dHdr,0)),dClass,L$45)/$D87,AVERAGEIFS(INDEX(dData,0,MATCH($B87&amp;CHAR(10)&amp;"Stanine",dHdr,0)),dClass,L$45),(COUNTIFS(dClass,L$45,INDEX(dData,0,MATCH($B87&amp;CHAR(10)&amp;"Raw Score",dHdr,0)),"&gt;=0")+COUNTIFS(dClass,L$45,INDEX(dData,0,MATCH($B87&amp;CHAR(10)&amp;"Raw Score",dHdr,0)),"A"))/COUNTIF(dClass,L$45)),""))</f>
        <v/>
      </c>
      <c r="M87" s="36" t="str">
        <f>IF(OR($B87="",M$45=""),"",IFERROR(CHOOSE(MATCH(SelMeasure,MeasureList,0),AVERAGEIFS(INDEX(dData,0,MATCH($B87&amp;CHAR(10)&amp;"Raw Score",dHdr,0)),dClass,M$45)/$D87,AVERAGEIFS(INDEX(dData,0,MATCH($B87&amp;CHAR(10)&amp;"Stanine",dHdr,0)),dClass,M$45),(COUNTIFS(dClass,M$45,INDEX(dData,0,MATCH($B87&amp;CHAR(10)&amp;"Raw Score",dHdr,0)),"&gt;=0")+COUNTIFS(dClass,M$45,INDEX(dData,0,MATCH($B87&amp;CHAR(10)&amp;"Raw Score",dHdr,0)),"A"))/COUNTIF(dClass,M$45)),""))</f>
        <v/>
      </c>
      <c r="N87" s="36" t="str">
        <f>IF(OR($B87="",N$45=""),"",IFERROR(CHOOSE(MATCH(SelMeasure,MeasureList,0),AVERAGEIFS(INDEX(dData,0,MATCH($B87&amp;CHAR(10)&amp;"Raw Score",dHdr,0)),dClass,N$45)/$D87,AVERAGEIFS(INDEX(dData,0,MATCH($B87&amp;CHAR(10)&amp;"Stanine",dHdr,0)),dClass,N$45),(COUNTIFS(dClass,N$45,INDEX(dData,0,MATCH($B87&amp;CHAR(10)&amp;"Raw Score",dHdr,0)),"&gt;=0")+COUNTIFS(dClass,N$45,INDEX(dData,0,MATCH($B87&amp;CHAR(10)&amp;"Raw Score",dHdr,0)),"A"))/COUNTIF(dClass,N$45)),""))</f>
        <v/>
      </c>
      <c r="O87" s="36" t="str">
        <f>IF(OR($B87="",O$45=""),"",IFERROR(CHOOSE(MATCH(SelMeasure,MeasureList,0),AVERAGEIFS(INDEX(dData,0,MATCH($B87&amp;CHAR(10)&amp;"Raw Score",dHdr,0)),dClass,O$45)/$D87,AVERAGEIFS(INDEX(dData,0,MATCH($B87&amp;CHAR(10)&amp;"Stanine",dHdr,0)),dClass,O$45),(COUNTIFS(dClass,O$45,INDEX(dData,0,MATCH($B87&amp;CHAR(10)&amp;"Raw Score",dHdr,0)),"&gt;=0")+COUNTIFS(dClass,O$45,INDEX(dData,0,MATCH($B87&amp;CHAR(10)&amp;"Raw Score",dHdr,0)),"A"))/COUNTIF(dClass,O$45)),""))</f>
        <v/>
      </c>
    </row>
    <row r="88">
      <c r="B88" s="31" t="str">
        <f>Calc!AA45</f>
        <v/>
      </c>
      <c r="C88" s="57" t="str">
        <f>Calc!AC45</f>
        <v/>
      </c>
      <c r="D88" s="33" t="str">
        <f>Calc!AB45</f>
        <v/>
      </c>
      <c r="E88" s="33" t="str">
        <f>IF($B88="","",IFERROR(COUNT(INDEX(dData,0,MATCH($B88&amp;CHAR(10)&amp;"Raw Score",dHdr,0))),""))</f>
        <v/>
      </c>
      <c r="F88" s="36" t="str">
        <f>IF($B88="","",IFERROR(($E88+COUNTIF(INDEX(dData,0,MATCH($B88&amp;CHAR(10)&amp;"Raw Score",dHdr,0)),"A"))/COUNTA(dLast),""))</f>
        <v/>
      </c>
      <c r="G88" s="58" t="str">
        <f>IF($B88="","",IFERROR(CHOOSE(MATCH(SelMeasure,MeasureList,0),AVERAGE(INDEX(dData,0,MATCH($B88&amp;CHAR(10)&amp;"Raw Score",dHdr,0)))/$D88,AVERAGE(INDEX(dData,0,MATCH($B88&amp;CHAR(10)&amp;"Stanine",dHdr,0))),$F88),""))</f>
        <v/>
      </c>
      <c r="H88" s="36" t="str">
        <f>IF(OR($B88="",H$45=""),"",IFERROR(CHOOSE(MATCH(SelMeasure,MeasureList,0),AVERAGEIFS(INDEX(dData,0,MATCH($B88&amp;CHAR(10)&amp;"Raw Score",dHdr,0)),dClass,H$45)/$D88,AVERAGEIFS(INDEX(dData,0,MATCH($B88&amp;CHAR(10)&amp;"Stanine",dHdr,0)),dClass,H$45),(COUNTIFS(dClass,H$45,INDEX(dData,0,MATCH($B88&amp;CHAR(10)&amp;"Raw Score",dHdr,0)),"&gt;=0")+COUNTIFS(dClass,H$45,INDEX(dData,0,MATCH($B88&amp;CHAR(10)&amp;"Raw Score",dHdr,0)),"A"))/COUNTIF(dClass,H$45)),""))</f>
        <v/>
      </c>
      <c r="I88" s="36" t="str">
        <f>IF(OR($B88="",I$45=""),"",IFERROR(CHOOSE(MATCH(SelMeasure,MeasureList,0),AVERAGEIFS(INDEX(dData,0,MATCH($B88&amp;CHAR(10)&amp;"Raw Score",dHdr,0)),dClass,I$45)/$D88,AVERAGEIFS(INDEX(dData,0,MATCH($B88&amp;CHAR(10)&amp;"Stanine",dHdr,0)),dClass,I$45),(COUNTIFS(dClass,I$45,INDEX(dData,0,MATCH($B88&amp;CHAR(10)&amp;"Raw Score",dHdr,0)),"&gt;=0")+COUNTIFS(dClass,I$45,INDEX(dData,0,MATCH($B88&amp;CHAR(10)&amp;"Raw Score",dHdr,0)),"A"))/COUNTIF(dClass,I$45)),""))</f>
        <v/>
      </c>
      <c r="J88" s="36" t="str">
        <f>IF(OR($B88="",J$45=""),"",IFERROR(CHOOSE(MATCH(SelMeasure,MeasureList,0),AVERAGEIFS(INDEX(dData,0,MATCH($B88&amp;CHAR(10)&amp;"Raw Score",dHdr,0)),dClass,J$45)/$D88,AVERAGEIFS(INDEX(dData,0,MATCH($B88&amp;CHAR(10)&amp;"Stanine",dHdr,0)),dClass,J$45),(COUNTIFS(dClass,J$45,INDEX(dData,0,MATCH($B88&amp;CHAR(10)&amp;"Raw Score",dHdr,0)),"&gt;=0")+COUNTIFS(dClass,J$45,INDEX(dData,0,MATCH($B88&amp;CHAR(10)&amp;"Raw Score",dHdr,0)),"A"))/COUNTIF(dClass,J$45)),""))</f>
        <v/>
      </c>
      <c r="K88" s="36" t="str">
        <f>IF(OR($B88="",K$45=""),"",IFERROR(CHOOSE(MATCH(SelMeasure,MeasureList,0),AVERAGEIFS(INDEX(dData,0,MATCH($B88&amp;CHAR(10)&amp;"Raw Score",dHdr,0)),dClass,K$45)/$D88,AVERAGEIFS(INDEX(dData,0,MATCH($B88&amp;CHAR(10)&amp;"Stanine",dHdr,0)),dClass,K$45),(COUNTIFS(dClass,K$45,INDEX(dData,0,MATCH($B88&amp;CHAR(10)&amp;"Raw Score",dHdr,0)),"&gt;=0")+COUNTIFS(dClass,K$45,INDEX(dData,0,MATCH($B88&amp;CHAR(10)&amp;"Raw Score",dHdr,0)),"A"))/COUNTIF(dClass,K$45)),""))</f>
        <v/>
      </c>
      <c r="L88" s="36" t="str">
        <f>IF(OR($B88="",L$45=""),"",IFERROR(CHOOSE(MATCH(SelMeasure,MeasureList,0),AVERAGEIFS(INDEX(dData,0,MATCH($B88&amp;CHAR(10)&amp;"Raw Score",dHdr,0)),dClass,L$45)/$D88,AVERAGEIFS(INDEX(dData,0,MATCH($B88&amp;CHAR(10)&amp;"Stanine",dHdr,0)),dClass,L$45),(COUNTIFS(dClass,L$45,INDEX(dData,0,MATCH($B88&amp;CHAR(10)&amp;"Raw Score",dHdr,0)),"&gt;=0")+COUNTIFS(dClass,L$45,INDEX(dData,0,MATCH($B88&amp;CHAR(10)&amp;"Raw Score",dHdr,0)),"A"))/COUNTIF(dClass,L$45)),""))</f>
        <v/>
      </c>
      <c r="M88" s="36" t="str">
        <f>IF(OR($B88="",M$45=""),"",IFERROR(CHOOSE(MATCH(SelMeasure,MeasureList,0),AVERAGEIFS(INDEX(dData,0,MATCH($B88&amp;CHAR(10)&amp;"Raw Score",dHdr,0)),dClass,M$45)/$D88,AVERAGEIFS(INDEX(dData,0,MATCH($B88&amp;CHAR(10)&amp;"Stanine",dHdr,0)),dClass,M$45),(COUNTIFS(dClass,M$45,INDEX(dData,0,MATCH($B88&amp;CHAR(10)&amp;"Raw Score",dHdr,0)),"&gt;=0")+COUNTIFS(dClass,M$45,INDEX(dData,0,MATCH($B88&amp;CHAR(10)&amp;"Raw Score",dHdr,0)),"A"))/COUNTIF(dClass,M$45)),""))</f>
        <v/>
      </c>
      <c r="N88" s="36" t="str">
        <f>IF(OR($B88="",N$45=""),"",IFERROR(CHOOSE(MATCH(SelMeasure,MeasureList,0),AVERAGEIFS(INDEX(dData,0,MATCH($B88&amp;CHAR(10)&amp;"Raw Score",dHdr,0)),dClass,N$45)/$D88,AVERAGEIFS(INDEX(dData,0,MATCH($B88&amp;CHAR(10)&amp;"Stanine",dHdr,0)),dClass,N$45),(COUNTIFS(dClass,N$45,INDEX(dData,0,MATCH($B88&amp;CHAR(10)&amp;"Raw Score",dHdr,0)),"&gt;=0")+COUNTIFS(dClass,N$45,INDEX(dData,0,MATCH($B88&amp;CHAR(10)&amp;"Raw Score",dHdr,0)),"A"))/COUNTIF(dClass,N$45)),""))</f>
        <v/>
      </c>
      <c r="O88" s="36" t="str">
        <f>IF(OR($B88="",O$45=""),"",IFERROR(CHOOSE(MATCH(SelMeasure,MeasureList,0),AVERAGEIFS(INDEX(dData,0,MATCH($B88&amp;CHAR(10)&amp;"Raw Score",dHdr,0)),dClass,O$45)/$D88,AVERAGEIFS(INDEX(dData,0,MATCH($B88&amp;CHAR(10)&amp;"Stanine",dHdr,0)),dClass,O$45),(COUNTIFS(dClass,O$45,INDEX(dData,0,MATCH($B88&amp;CHAR(10)&amp;"Raw Score",dHdr,0)),"&gt;=0")+COUNTIFS(dClass,O$45,INDEX(dData,0,MATCH($B88&amp;CHAR(10)&amp;"Raw Score",dHdr,0)),"A"))/COUNTIF(dClass,O$45)),""))</f>
        <v/>
      </c>
    </row>
    <row r="89">
      <c r="B89" s="31" t="str">
        <f>Calc!AA46</f>
        <v/>
      </c>
      <c r="C89" s="57" t="str">
        <f>Calc!AC46</f>
        <v/>
      </c>
      <c r="D89" s="33" t="str">
        <f>Calc!AB46</f>
        <v/>
      </c>
      <c r="E89" s="33" t="str">
        <f>IF($B89="","",IFERROR(COUNT(INDEX(dData,0,MATCH($B89&amp;CHAR(10)&amp;"Raw Score",dHdr,0))),""))</f>
        <v/>
      </c>
      <c r="F89" s="36" t="str">
        <f>IF($B89="","",IFERROR(($E89+COUNTIF(INDEX(dData,0,MATCH($B89&amp;CHAR(10)&amp;"Raw Score",dHdr,0)),"A"))/COUNTA(dLast),""))</f>
        <v/>
      </c>
      <c r="G89" s="58" t="str">
        <f>IF($B89="","",IFERROR(CHOOSE(MATCH(SelMeasure,MeasureList,0),AVERAGE(INDEX(dData,0,MATCH($B89&amp;CHAR(10)&amp;"Raw Score",dHdr,0)))/$D89,AVERAGE(INDEX(dData,0,MATCH($B89&amp;CHAR(10)&amp;"Stanine",dHdr,0))),$F89),""))</f>
        <v/>
      </c>
      <c r="H89" s="36" t="str">
        <f>IF(OR($B89="",H$45=""),"",IFERROR(CHOOSE(MATCH(SelMeasure,MeasureList,0),AVERAGEIFS(INDEX(dData,0,MATCH($B89&amp;CHAR(10)&amp;"Raw Score",dHdr,0)),dClass,H$45)/$D89,AVERAGEIFS(INDEX(dData,0,MATCH($B89&amp;CHAR(10)&amp;"Stanine",dHdr,0)),dClass,H$45),(COUNTIFS(dClass,H$45,INDEX(dData,0,MATCH($B89&amp;CHAR(10)&amp;"Raw Score",dHdr,0)),"&gt;=0")+COUNTIFS(dClass,H$45,INDEX(dData,0,MATCH($B89&amp;CHAR(10)&amp;"Raw Score",dHdr,0)),"A"))/COUNTIF(dClass,H$45)),""))</f>
        <v/>
      </c>
      <c r="I89" s="36" t="str">
        <f>IF(OR($B89="",I$45=""),"",IFERROR(CHOOSE(MATCH(SelMeasure,MeasureList,0),AVERAGEIFS(INDEX(dData,0,MATCH($B89&amp;CHAR(10)&amp;"Raw Score",dHdr,0)),dClass,I$45)/$D89,AVERAGEIFS(INDEX(dData,0,MATCH($B89&amp;CHAR(10)&amp;"Stanine",dHdr,0)),dClass,I$45),(COUNTIFS(dClass,I$45,INDEX(dData,0,MATCH($B89&amp;CHAR(10)&amp;"Raw Score",dHdr,0)),"&gt;=0")+COUNTIFS(dClass,I$45,INDEX(dData,0,MATCH($B89&amp;CHAR(10)&amp;"Raw Score",dHdr,0)),"A"))/COUNTIF(dClass,I$45)),""))</f>
        <v/>
      </c>
      <c r="J89" s="36" t="str">
        <f>IF(OR($B89="",J$45=""),"",IFERROR(CHOOSE(MATCH(SelMeasure,MeasureList,0),AVERAGEIFS(INDEX(dData,0,MATCH($B89&amp;CHAR(10)&amp;"Raw Score",dHdr,0)),dClass,J$45)/$D89,AVERAGEIFS(INDEX(dData,0,MATCH($B89&amp;CHAR(10)&amp;"Stanine",dHdr,0)),dClass,J$45),(COUNTIFS(dClass,J$45,INDEX(dData,0,MATCH($B89&amp;CHAR(10)&amp;"Raw Score",dHdr,0)),"&gt;=0")+COUNTIFS(dClass,J$45,INDEX(dData,0,MATCH($B89&amp;CHAR(10)&amp;"Raw Score",dHdr,0)),"A"))/COUNTIF(dClass,J$45)),""))</f>
        <v/>
      </c>
      <c r="K89" s="36" t="str">
        <f>IF(OR($B89="",K$45=""),"",IFERROR(CHOOSE(MATCH(SelMeasure,MeasureList,0),AVERAGEIFS(INDEX(dData,0,MATCH($B89&amp;CHAR(10)&amp;"Raw Score",dHdr,0)),dClass,K$45)/$D89,AVERAGEIFS(INDEX(dData,0,MATCH($B89&amp;CHAR(10)&amp;"Stanine",dHdr,0)),dClass,K$45),(COUNTIFS(dClass,K$45,INDEX(dData,0,MATCH($B89&amp;CHAR(10)&amp;"Raw Score",dHdr,0)),"&gt;=0")+COUNTIFS(dClass,K$45,INDEX(dData,0,MATCH($B89&amp;CHAR(10)&amp;"Raw Score",dHdr,0)),"A"))/COUNTIF(dClass,K$45)),""))</f>
        <v/>
      </c>
      <c r="L89" s="36" t="str">
        <f>IF(OR($B89="",L$45=""),"",IFERROR(CHOOSE(MATCH(SelMeasure,MeasureList,0),AVERAGEIFS(INDEX(dData,0,MATCH($B89&amp;CHAR(10)&amp;"Raw Score",dHdr,0)),dClass,L$45)/$D89,AVERAGEIFS(INDEX(dData,0,MATCH($B89&amp;CHAR(10)&amp;"Stanine",dHdr,0)),dClass,L$45),(COUNTIFS(dClass,L$45,INDEX(dData,0,MATCH($B89&amp;CHAR(10)&amp;"Raw Score",dHdr,0)),"&gt;=0")+COUNTIFS(dClass,L$45,INDEX(dData,0,MATCH($B89&amp;CHAR(10)&amp;"Raw Score",dHdr,0)),"A"))/COUNTIF(dClass,L$45)),""))</f>
        <v/>
      </c>
      <c r="M89" s="36" t="str">
        <f>IF(OR($B89="",M$45=""),"",IFERROR(CHOOSE(MATCH(SelMeasure,MeasureList,0),AVERAGEIFS(INDEX(dData,0,MATCH($B89&amp;CHAR(10)&amp;"Raw Score",dHdr,0)),dClass,M$45)/$D89,AVERAGEIFS(INDEX(dData,0,MATCH($B89&amp;CHAR(10)&amp;"Stanine",dHdr,0)),dClass,M$45),(COUNTIFS(dClass,M$45,INDEX(dData,0,MATCH($B89&amp;CHAR(10)&amp;"Raw Score",dHdr,0)),"&gt;=0")+COUNTIFS(dClass,M$45,INDEX(dData,0,MATCH($B89&amp;CHAR(10)&amp;"Raw Score",dHdr,0)),"A"))/COUNTIF(dClass,M$45)),""))</f>
        <v/>
      </c>
      <c r="N89" s="36" t="str">
        <f>IF(OR($B89="",N$45=""),"",IFERROR(CHOOSE(MATCH(SelMeasure,MeasureList,0),AVERAGEIFS(INDEX(dData,0,MATCH($B89&amp;CHAR(10)&amp;"Raw Score",dHdr,0)),dClass,N$45)/$D89,AVERAGEIFS(INDEX(dData,0,MATCH($B89&amp;CHAR(10)&amp;"Stanine",dHdr,0)),dClass,N$45),(COUNTIFS(dClass,N$45,INDEX(dData,0,MATCH($B89&amp;CHAR(10)&amp;"Raw Score",dHdr,0)),"&gt;=0")+COUNTIFS(dClass,N$45,INDEX(dData,0,MATCH($B89&amp;CHAR(10)&amp;"Raw Score",dHdr,0)),"A"))/COUNTIF(dClass,N$45)),""))</f>
        <v/>
      </c>
      <c r="O89" s="36" t="str">
        <f>IF(OR($B89="",O$45=""),"",IFERROR(CHOOSE(MATCH(SelMeasure,MeasureList,0),AVERAGEIFS(INDEX(dData,0,MATCH($B89&amp;CHAR(10)&amp;"Raw Score",dHdr,0)),dClass,O$45)/$D89,AVERAGEIFS(INDEX(dData,0,MATCH($B89&amp;CHAR(10)&amp;"Stanine",dHdr,0)),dClass,O$45),(COUNTIFS(dClass,O$45,INDEX(dData,0,MATCH($B89&amp;CHAR(10)&amp;"Raw Score",dHdr,0)),"&gt;=0")+COUNTIFS(dClass,O$45,INDEX(dData,0,MATCH($B89&amp;CHAR(10)&amp;"Raw Score",dHdr,0)),"A"))/COUNTIF(dClass,O$45)),""))</f>
        <v/>
      </c>
    </row>
    <row r="90">
      <c r="B90" s="31" t="str">
        <f>Calc!AA47</f>
        <v/>
      </c>
      <c r="C90" s="57" t="str">
        <f>Calc!AC47</f>
        <v/>
      </c>
      <c r="D90" s="33" t="str">
        <f>Calc!AB47</f>
        <v/>
      </c>
      <c r="E90" s="33" t="str">
        <f>IF($B90="","",IFERROR(COUNT(INDEX(dData,0,MATCH($B90&amp;CHAR(10)&amp;"Raw Score",dHdr,0))),""))</f>
        <v/>
      </c>
      <c r="F90" s="36" t="str">
        <f>IF($B90="","",IFERROR(($E90+COUNTIF(INDEX(dData,0,MATCH($B90&amp;CHAR(10)&amp;"Raw Score",dHdr,0)),"A"))/COUNTA(dLast),""))</f>
        <v/>
      </c>
      <c r="G90" s="58" t="str">
        <f>IF($B90="","",IFERROR(CHOOSE(MATCH(SelMeasure,MeasureList,0),AVERAGE(INDEX(dData,0,MATCH($B90&amp;CHAR(10)&amp;"Raw Score",dHdr,0)))/$D90,AVERAGE(INDEX(dData,0,MATCH($B90&amp;CHAR(10)&amp;"Stanine",dHdr,0))),$F90),""))</f>
        <v/>
      </c>
      <c r="H90" s="36" t="str">
        <f>IF(OR($B90="",H$45=""),"",IFERROR(CHOOSE(MATCH(SelMeasure,MeasureList,0),AVERAGEIFS(INDEX(dData,0,MATCH($B90&amp;CHAR(10)&amp;"Raw Score",dHdr,0)),dClass,H$45)/$D90,AVERAGEIFS(INDEX(dData,0,MATCH($B90&amp;CHAR(10)&amp;"Stanine",dHdr,0)),dClass,H$45),(COUNTIFS(dClass,H$45,INDEX(dData,0,MATCH($B90&amp;CHAR(10)&amp;"Raw Score",dHdr,0)),"&gt;=0")+COUNTIFS(dClass,H$45,INDEX(dData,0,MATCH($B90&amp;CHAR(10)&amp;"Raw Score",dHdr,0)),"A"))/COUNTIF(dClass,H$45)),""))</f>
        <v/>
      </c>
      <c r="I90" s="36" t="str">
        <f>IF(OR($B90="",I$45=""),"",IFERROR(CHOOSE(MATCH(SelMeasure,MeasureList,0),AVERAGEIFS(INDEX(dData,0,MATCH($B90&amp;CHAR(10)&amp;"Raw Score",dHdr,0)),dClass,I$45)/$D90,AVERAGEIFS(INDEX(dData,0,MATCH($B90&amp;CHAR(10)&amp;"Stanine",dHdr,0)),dClass,I$45),(COUNTIFS(dClass,I$45,INDEX(dData,0,MATCH($B90&amp;CHAR(10)&amp;"Raw Score",dHdr,0)),"&gt;=0")+COUNTIFS(dClass,I$45,INDEX(dData,0,MATCH($B90&amp;CHAR(10)&amp;"Raw Score",dHdr,0)),"A"))/COUNTIF(dClass,I$45)),""))</f>
        <v/>
      </c>
      <c r="J90" s="36" t="str">
        <f>IF(OR($B90="",J$45=""),"",IFERROR(CHOOSE(MATCH(SelMeasure,MeasureList,0),AVERAGEIFS(INDEX(dData,0,MATCH($B90&amp;CHAR(10)&amp;"Raw Score",dHdr,0)),dClass,J$45)/$D90,AVERAGEIFS(INDEX(dData,0,MATCH($B90&amp;CHAR(10)&amp;"Stanine",dHdr,0)),dClass,J$45),(COUNTIFS(dClass,J$45,INDEX(dData,0,MATCH($B90&amp;CHAR(10)&amp;"Raw Score",dHdr,0)),"&gt;=0")+COUNTIFS(dClass,J$45,INDEX(dData,0,MATCH($B90&amp;CHAR(10)&amp;"Raw Score",dHdr,0)),"A"))/COUNTIF(dClass,J$45)),""))</f>
        <v/>
      </c>
      <c r="K90" s="36" t="str">
        <f>IF(OR($B90="",K$45=""),"",IFERROR(CHOOSE(MATCH(SelMeasure,MeasureList,0),AVERAGEIFS(INDEX(dData,0,MATCH($B90&amp;CHAR(10)&amp;"Raw Score",dHdr,0)),dClass,K$45)/$D90,AVERAGEIFS(INDEX(dData,0,MATCH($B90&amp;CHAR(10)&amp;"Stanine",dHdr,0)),dClass,K$45),(COUNTIFS(dClass,K$45,INDEX(dData,0,MATCH($B90&amp;CHAR(10)&amp;"Raw Score",dHdr,0)),"&gt;=0")+COUNTIFS(dClass,K$45,INDEX(dData,0,MATCH($B90&amp;CHAR(10)&amp;"Raw Score",dHdr,0)),"A"))/COUNTIF(dClass,K$45)),""))</f>
        <v/>
      </c>
      <c r="L90" s="36" t="str">
        <f>IF(OR($B90="",L$45=""),"",IFERROR(CHOOSE(MATCH(SelMeasure,MeasureList,0),AVERAGEIFS(INDEX(dData,0,MATCH($B90&amp;CHAR(10)&amp;"Raw Score",dHdr,0)),dClass,L$45)/$D90,AVERAGEIFS(INDEX(dData,0,MATCH($B90&amp;CHAR(10)&amp;"Stanine",dHdr,0)),dClass,L$45),(COUNTIFS(dClass,L$45,INDEX(dData,0,MATCH($B90&amp;CHAR(10)&amp;"Raw Score",dHdr,0)),"&gt;=0")+COUNTIFS(dClass,L$45,INDEX(dData,0,MATCH($B90&amp;CHAR(10)&amp;"Raw Score",dHdr,0)),"A"))/COUNTIF(dClass,L$45)),""))</f>
        <v/>
      </c>
      <c r="M90" s="36" t="str">
        <f>IF(OR($B90="",M$45=""),"",IFERROR(CHOOSE(MATCH(SelMeasure,MeasureList,0),AVERAGEIFS(INDEX(dData,0,MATCH($B90&amp;CHAR(10)&amp;"Raw Score",dHdr,0)),dClass,M$45)/$D90,AVERAGEIFS(INDEX(dData,0,MATCH($B90&amp;CHAR(10)&amp;"Stanine",dHdr,0)),dClass,M$45),(COUNTIFS(dClass,M$45,INDEX(dData,0,MATCH($B90&amp;CHAR(10)&amp;"Raw Score",dHdr,0)),"&gt;=0")+COUNTIFS(dClass,M$45,INDEX(dData,0,MATCH($B90&amp;CHAR(10)&amp;"Raw Score",dHdr,0)),"A"))/COUNTIF(dClass,M$45)),""))</f>
        <v/>
      </c>
      <c r="N90" s="36" t="str">
        <f>IF(OR($B90="",N$45=""),"",IFERROR(CHOOSE(MATCH(SelMeasure,MeasureList,0),AVERAGEIFS(INDEX(dData,0,MATCH($B90&amp;CHAR(10)&amp;"Raw Score",dHdr,0)),dClass,N$45)/$D90,AVERAGEIFS(INDEX(dData,0,MATCH($B90&amp;CHAR(10)&amp;"Stanine",dHdr,0)),dClass,N$45),(COUNTIFS(dClass,N$45,INDEX(dData,0,MATCH($B90&amp;CHAR(10)&amp;"Raw Score",dHdr,0)),"&gt;=0")+COUNTIFS(dClass,N$45,INDEX(dData,0,MATCH($B90&amp;CHAR(10)&amp;"Raw Score",dHdr,0)),"A"))/COUNTIF(dClass,N$45)),""))</f>
        <v/>
      </c>
      <c r="O90" s="36" t="str">
        <f>IF(OR($B90="",O$45=""),"",IFERROR(CHOOSE(MATCH(SelMeasure,MeasureList,0),AVERAGEIFS(INDEX(dData,0,MATCH($B90&amp;CHAR(10)&amp;"Raw Score",dHdr,0)),dClass,O$45)/$D90,AVERAGEIFS(INDEX(dData,0,MATCH($B90&amp;CHAR(10)&amp;"Stanine",dHdr,0)),dClass,O$45),(COUNTIFS(dClass,O$45,INDEX(dData,0,MATCH($B90&amp;CHAR(10)&amp;"Raw Score",dHdr,0)),"&gt;=0")+COUNTIFS(dClass,O$45,INDEX(dData,0,MATCH($B90&amp;CHAR(10)&amp;"Raw Score",dHdr,0)),"A"))/COUNTIF(dClass,O$45)),""))</f>
        <v/>
      </c>
    </row>
    <row r="91">
      <c r="B91" s="31" t="str">
        <f>Calc!AA48</f>
        <v/>
      </c>
      <c r="C91" s="57" t="str">
        <f>Calc!AC48</f>
        <v/>
      </c>
      <c r="D91" s="33" t="str">
        <f>Calc!AB48</f>
        <v/>
      </c>
      <c r="E91" s="33" t="str">
        <f>IF($B91="","",IFERROR(COUNT(INDEX(dData,0,MATCH($B91&amp;CHAR(10)&amp;"Raw Score",dHdr,0))),""))</f>
        <v/>
      </c>
      <c r="F91" s="36" t="str">
        <f>IF($B91="","",IFERROR(($E91+COUNTIF(INDEX(dData,0,MATCH($B91&amp;CHAR(10)&amp;"Raw Score",dHdr,0)),"A"))/COUNTA(dLast),""))</f>
        <v/>
      </c>
      <c r="G91" s="58" t="str">
        <f>IF($B91="","",IFERROR(CHOOSE(MATCH(SelMeasure,MeasureList,0),AVERAGE(INDEX(dData,0,MATCH($B91&amp;CHAR(10)&amp;"Raw Score",dHdr,0)))/$D91,AVERAGE(INDEX(dData,0,MATCH($B91&amp;CHAR(10)&amp;"Stanine",dHdr,0))),$F91),""))</f>
        <v/>
      </c>
      <c r="H91" s="36" t="str">
        <f>IF(OR($B91="",H$45=""),"",IFERROR(CHOOSE(MATCH(SelMeasure,MeasureList,0),AVERAGEIFS(INDEX(dData,0,MATCH($B91&amp;CHAR(10)&amp;"Raw Score",dHdr,0)),dClass,H$45)/$D91,AVERAGEIFS(INDEX(dData,0,MATCH($B91&amp;CHAR(10)&amp;"Stanine",dHdr,0)),dClass,H$45),(COUNTIFS(dClass,H$45,INDEX(dData,0,MATCH($B91&amp;CHAR(10)&amp;"Raw Score",dHdr,0)),"&gt;=0")+COUNTIFS(dClass,H$45,INDEX(dData,0,MATCH($B91&amp;CHAR(10)&amp;"Raw Score",dHdr,0)),"A"))/COUNTIF(dClass,H$45)),""))</f>
        <v/>
      </c>
      <c r="I91" s="36" t="str">
        <f>IF(OR($B91="",I$45=""),"",IFERROR(CHOOSE(MATCH(SelMeasure,MeasureList,0),AVERAGEIFS(INDEX(dData,0,MATCH($B91&amp;CHAR(10)&amp;"Raw Score",dHdr,0)),dClass,I$45)/$D91,AVERAGEIFS(INDEX(dData,0,MATCH($B91&amp;CHAR(10)&amp;"Stanine",dHdr,0)),dClass,I$45),(COUNTIFS(dClass,I$45,INDEX(dData,0,MATCH($B91&amp;CHAR(10)&amp;"Raw Score",dHdr,0)),"&gt;=0")+COUNTIFS(dClass,I$45,INDEX(dData,0,MATCH($B91&amp;CHAR(10)&amp;"Raw Score",dHdr,0)),"A"))/COUNTIF(dClass,I$45)),""))</f>
        <v/>
      </c>
      <c r="J91" s="36" t="str">
        <f>IF(OR($B91="",J$45=""),"",IFERROR(CHOOSE(MATCH(SelMeasure,MeasureList,0),AVERAGEIFS(INDEX(dData,0,MATCH($B91&amp;CHAR(10)&amp;"Raw Score",dHdr,0)),dClass,J$45)/$D91,AVERAGEIFS(INDEX(dData,0,MATCH($B91&amp;CHAR(10)&amp;"Stanine",dHdr,0)),dClass,J$45),(COUNTIFS(dClass,J$45,INDEX(dData,0,MATCH($B91&amp;CHAR(10)&amp;"Raw Score",dHdr,0)),"&gt;=0")+COUNTIFS(dClass,J$45,INDEX(dData,0,MATCH($B91&amp;CHAR(10)&amp;"Raw Score",dHdr,0)),"A"))/COUNTIF(dClass,J$45)),""))</f>
        <v/>
      </c>
      <c r="K91" s="36" t="str">
        <f>IF(OR($B91="",K$45=""),"",IFERROR(CHOOSE(MATCH(SelMeasure,MeasureList,0),AVERAGEIFS(INDEX(dData,0,MATCH($B91&amp;CHAR(10)&amp;"Raw Score",dHdr,0)),dClass,K$45)/$D91,AVERAGEIFS(INDEX(dData,0,MATCH($B91&amp;CHAR(10)&amp;"Stanine",dHdr,0)),dClass,K$45),(COUNTIFS(dClass,K$45,INDEX(dData,0,MATCH($B91&amp;CHAR(10)&amp;"Raw Score",dHdr,0)),"&gt;=0")+COUNTIFS(dClass,K$45,INDEX(dData,0,MATCH($B91&amp;CHAR(10)&amp;"Raw Score",dHdr,0)),"A"))/COUNTIF(dClass,K$45)),""))</f>
        <v/>
      </c>
      <c r="L91" s="36" t="str">
        <f>IF(OR($B91="",L$45=""),"",IFERROR(CHOOSE(MATCH(SelMeasure,MeasureList,0),AVERAGEIFS(INDEX(dData,0,MATCH($B91&amp;CHAR(10)&amp;"Raw Score",dHdr,0)),dClass,L$45)/$D91,AVERAGEIFS(INDEX(dData,0,MATCH($B91&amp;CHAR(10)&amp;"Stanine",dHdr,0)),dClass,L$45),(COUNTIFS(dClass,L$45,INDEX(dData,0,MATCH($B91&amp;CHAR(10)&amp;"Raw Score",dHdr,0)),"&gt;=0")+COUNTIFS(dClass,L$45,INDEX(dData,0,MATCH($B91&amp;CHAR(10)&amp;"Raw Score",dHdr,0)),"A"))/COUNTIF(dClass,L$45)),""))</f>
        <v/>
      </c>
      <c r="M91" s="36" t="str">
        <f>IF(OR($B91="",M$45=""),"",IFERROR(CHOOSE(MATCH(SelMeasure,MeasureList,0),AVERAGEIFS(INDEX(dData,0,MATCH($B91&amp;CHAR(10)&amp;"Raw Score",dHdr,0)),dClass,M$45)/$D91,AVERAGEIFS(INDEX(dData,0,MATCH($B91&amp;CHAR(10)&amp;"Stanine",dHdr,0)),dClass,M$45),(COUNTIFS(dClass,M$45,INDEX(dData,0,MATCH($B91&amp;CHAR(10)&amp;"Raw Score",dHdr,0)),"&gt;=0")+COUNTIFS(dClass,M$45,INDEX(dData,0,MATCH($B91&amp;CHAR(10)&amp;"Raw Score",dHdr,0)),"A"))/COUNTIF(dClass,M$45)),""))</f>
        <v/>
      </c>
      <c r="N91" s="36" t="str">
        <f>IF(OR($B91="",N$45=""),"",IFERROR(CHOOSE(MATCH(SelMeasure,MeasureList,0),AVERAGEIFS(INDEX(dData,0,MATCH($B91&amp;CHAR(10)&amp;"Raw Score",dHdr,0)),dClass,N$45)/$D91,AVERAGEIFS(INDEX(dData,0,MATCH($B91&amp;CHAR(10)&amp;"Stanine",dHdr,0)),dClass,N$45),(COUNTIFS(dClass,N$45,INDEX(dData,0,MATCH($B91&amp;CHAR(10)&amp;"Raw Score",dHdr,0)),"&gt;=0")+COUNTIFS(dClass,N$45,INDEX(dData,0,MATCH($B91&amp;CHAR(10)&amp;"Raw Score",dHdr,0)),"A"))/COUNTIF(dClass,N$45)),""))</f>
        <v/>
      </c>
      <c r="O91" s="36" t="str">
        <f>IF(OR($B91="",O$45=""),"",IFERROR(CHOOSE(MATCH(SelMeasure,MeasureList,0),AVERAGEIFS(INDEX(dData,0,MATCH($B91&amp;CHAR(10)&amp;"Raw Score",dHdr,0)),dClass,O$45)/$D91,AVERAGEIFS(INDEX(dData,0,MATCH($B91&amp;CHAR(10)&amp;"Stanine",dHdr,0)),dClass,O$45),(COUNTIFS(dClass,O$45,INDEX(dData,0,MATCH($B91&amp;CHAR(10)&amp;"Raw Score",dHdr,0)),"&gt;=0")+COUNTIFS(dClass,O$45,INDEX(dData,0,MATCH($B91&amp;CHAR(10)&amp;"Raw Score",dHdr,0)),"A"))/COUNTIF(dClass,O$45)),""))</f>
        <v/>
      </c>
    </row>
    <row r="92">
      <c r="B92" s="31" t="str">
        <f>Calc!AA49</f>
        <v/>
      </c>
      <c r="C92" s="57" t="str">
        <f>Calc!AC49</f>
        <v/>
      </c>
      <c r="D92" s="33" t="str">
        <f>Calc!AB49</f>
        <v/>
      </c>
      <c r="E92" s="33" t="str">
        <f>IF($B92="","",IFERROR(COUNT(INDEX(dData,0,MATCH($B92&amp;CHAR(10)&amp;"Raw Score",dHdr,0))),""))</f>
        <v/>
      </c>
      <c r="F92" s="36" t="str">
        <f>IF($B92="","",IFERROR(($E92+COUNTIF(INDEX(dData,0,MATCH($B92&amp;CHAR(10)&amp;"Raw Score",dHdr,0)),"A"))/COUNTA(dLast),""))</f>
        <v/>
      </c>
      <c r="G92" s="58" t="str">
        <f>IF($B92="","",IFERROR(CHOOSE(MATCH(SelMeasure,MeasureList,0),AVERAGE(INDEX(dData,0,MATCH($B92&amp;CHAR(10)&amp;"Raw Score",dHdr,0)))/$D92,AVERAGE(INDEX(dData,0,MATCH($B92&amp;CHAR(10)&amp;"Stanine",dHdr,0))),$F92),""))</f>
        <v/>
      </c>
      <c r="H92" s="36" t="str">
        <f>IF(OR($B92="",H$45=""),"",IFERROR(CHOOSE(MATCH(SelMeasure,MeasureList,0),AVERAGEIFS(INDEX(dData,0,MATCH($B92&amp;CHAR(10)&amp;"Raw Score",dHdr,0)),dClass,H$45)/$D92,AVERAGEIFS(INDEX(dData,0,MATCH($B92&amp;CHAR(10)&amp;"Stanine",dHdr,0)),dClass,H$45),(COUNTIFS(dClass,H$45,INDEX(dData,0,MATCH($B92&amp;CHAR(10)&amp;"Raw Score",dHdr,0)),"&gt;=0")+COUNTIFS(dClass,H$45,INDEX(dData,0,MATCH($B92&amp;CHAR(10)&amp;"Raw Score",dHdr,0)),"A"))/COUNTIF(dClass,H$45)),""))</f>
        <v/>
      </c>
      <c r="I92" s="36" t="str">
        <f>IF(OR($B92="",I$45=""),"",IFERROR(CHOOSE(MATCH(SelMeasure,MeasureList,0),AVERAGEIFS(INDEX(dData,0,MATCH($B92&amp;CHAR(10)&amp;"Raw Score",dHdr,0)),dClass,I$45)/$D92,AVERAGEIFS(INDEX(dData,0,MATCH($B92&amp;CHAR(10)&amp;"Stanine",dHdr,0)),dClass,I$45),(COUNTIFS(dClass,I$45,INDEX(dData,0,MATCH($B92&amp;CHAR(10)&amp;"Raw Score",dHdr,0)),"&gt;=0")+COUNTIFS(dClass,I$45,INDEX(dData,0,MATCH($B92&amp;CHAR(10)&amp;"Raw Score",dHdr,0)),"A"))/COUNTIF(dClass,I$45)),""))</f>
        <v/>
      </c>
      <c r="J92" s="36" t="str">
        <f>IF(OR($B92="",J$45=""),"",IFERROR(CHOOSE(MATCH(SelMeasure,MeasureList,0),AVERAGEIFS(INDEX(dData,0,MATCH($B92&amp;CHAR(10)&amp;"Raw Score",dHdr,0)),dClass,J$45)/$D92,AVERAGEIFS(INDEX(dData,0,MATCH($B92&amp;CHAR(10)&amp;"Stanine",dHdr,0)),dClass,J$45),(COUNTIFS(dClass,J$45,INDEX(dData,0,MATCH($B92&amp;CHAR(10)&amp;"Raw Score",dHdr,0)),"&gt;=0")+COUNTIFS(dClass,J$45,INDEX(dData,0,MATCH($B92&amp;CHAR(10)&amp;"Raw Score",dHdr,0)),"A"))/COUNTIF(dClass,J$45)),""))</f>
        <v/>
      </c>
      <c r="K92" s="36" t="str">
        <f>IF(OR($B92="",K$45=""),"",IFERROR(CHOOSE(MATCH(SelMeasure,MeasureList,0),AVERAGEIFS(INDEX(dData,0,MATCH($B92&amp;CHAR(10)&amp;"Raw Score",dHdr,0)),dClass,K$45)/$D92,AVERAGEIFS(INDEX(dData,0,MATCH($B92&amp;CHAR(10)&amp;"Stanine",dHdr,0)),dClass,K$45),(COUNTIFS(dClass,K$45,INDEX(dData,0,MATCH($B92&amp;CHAR(10)&amp;"Raw Score",dHdr,0)),"&gt;=0")+COUNTIFS(dClass,K$45,INDEX(dData,0,MATCH($B92&amp;CHAR(10)&amp;"Raw Score",dHdr,0)),"A"))/COUNTIF(dClass,K$45)),""))</f>
        <v/>
      </c>
      <c r="L92" s="36" t="str">
        <f>IF(OR($B92="",L$45=""),"",IFERROR(CHOOSE(MATCH(SelMeasure,MeasureList,0),AVERAGEIFS(INDEX(dData,0,MATCH($B92&amp;CHAR(10)&amp;"Raw Score",dHdr,0)),dClass,L$45)/$D92,AVERAGEIFS(INDEX(dData,0,MATCH($B92&amp;CHAR(10)&amp;"Stanine",dHdr,0)),dClass,L$45),(COUNTIFS(dClass,L$45,INDEX(dData,0,MATCH($B92&amp;CHAR(10)&amp;"Raw Score",dHdr,0)),"&gt;=0")+COUNTIFS(dClass,L$45,INDEX(dData,0,MATCH($B92&amp;CHAR(10)&amp;"Raw Score",dHdr,0)),"A"))/COUNTIF(dClass,L$45)),""))</f>
        <v/>
      </c>
      <c r="M92" s="36" t="str">
        <f>IF(OR($B92="",M$45=""),"",IFERROR(CHOOSE(MATCH(SelMeasure,MeasureList,0),AVERAGEIFS(INDEX(dData,0,MATCH($B92&amp;CHAR(10)&amp;"Raw Score",dHdr,0)),dClass,M$45)/$D92,AVERAGEIFS(INDEX(dData,0,MATCH($B92&amp;CHAR(10)&amp;"Stanine",dHdr,0)),dClass,M$45),(COUNTIFS(dClass,M$45,INDEX(dData,0,MATCH($B92&amp;CHAR(10)&amp;"Raw Score",dHdr,0)),"&gt;=0")+COUNTIFS(dClass,M$45,INDEX(dData,0,MATCH($B92&amp;CHAR(10)&amp;"Raw Score",dHdr,0)),"A"))/COUNTIF(dClass,M$45)),""))</f>
        <v/>
      </c>
      <c r="N92" s="36" t="str">
        <f>IF(OR($B92="",N$45=""),"",IFERROR(CHOOSE(MATCH(SelMeasure,MeasureList,0),AVERAGEIFS(INDEX(dData,0,MATCH($B92&amp;CHAR(10)&amp;"Raw Score",dHdr,0)),dClass,N$45)/$D92,AVERAGEIFS(INDEX(dData,0,MATCH($B92&amp;CHAR(10)&amp;"Stanine",dHdr,0)),dClass,N$45),(COUNTIFS(dClass,N$45,INDEX(dData,0,MATCH($B92&amp;CHAR(10)&amp;"Raw Score",dHdr,0)),"&gt;=0")+COUNTIFS(dClass,N$45,INDEX(dData,0,MATCH($B92&amp;CHAR(10)&amp;"Raw Score",dHdr,0)),"A"))/COUNTIF(dClass,N$45)),""))</f>
        <v/>
      </c>
      <c r="O92" s="36" t="str">
        <f>IF(OR($B92="",O$45=""),"",IFERROR(CHOOSE(MATCH(SelMeasure,MeasureList,0),AVERAGEIFS(INDEX(dData,0,MATCH($B92&amp;CHAR(10)&amp;"Raw Score",dHdr,0)),dClass,O$45)/$D92,AVERAGEIFS(INDEX(dData,0,MATCH($B92&amp;CHAR(10)&amp;"Stanine",dHdr,0)),dClass,O$45),(COUNTIFS(dClass,O$45,INDEX(dData,0,MATCH($B92&amp;CHAR(10)&amp;"Raw Score",dHdr,0)),"&gt;=0")+COUNTIFS(dClass,O$45,INDEX(dData,0,MATCH($B92&amp;CHAR(10)&amp;"Raw Score",dHdr,0)),"A"))/COUNTIF(dClass,O$45)),""))</f>
        <v/>
      </c>
    </row>
    <row r="93">
      <c r="B93" s="31" t="str">
        <f>Calc!AA50</f>
        <v/>
      </c>
      <c r="C93" s="57" t="str">
        <f>Calc!AC50</f>
        <v/>
      </c>
      <c r="D93" s="33" t="str">
        <f>Calc!AB50</f>
        <v/>
      </c>
      <c r="E93" s="33" t="str">
        <f>IF($B93="","",IFERROR(COUNT(INDEX(dData,0,MATCH($B93&amp;CHAR(10)&amp;"Raw Score",dHdr,0))),""))</f>
        <v/>
      </c>
      <c r="F93" s="36" t="str">
        <f>IF($B93="","",IFERROR(($E93+COUNTIF(INDEX(dData,0,MATCH($B93&amp;CHAR(10)&amp;"Raw Score",dHdr,0)),"A"))/COUNTA(dLast),""))</f>
        <v/>
      </c>
      <c r="G93" s="58" t="str">
        <f>IF($B93="","",IFERROR(CHOOSE(MATCH(SelMeasure,MeasureList,0),AVERAGE(INDEX(dData,0,MATCH($B93&amp;CHAR(10)&amp;"Raw Score",dHdr,0)))/$D93,AVERAGE(INDEX(dData,0,MATCH($B93&amp;CHAR(10)&amp;"Stanine",dHdr,0))),$F93),""))</f>
        <v/>
      </c>
      <c r="H93" s="36" t="str">
        <f>IF(OR($B93="",H$45=""),"",IFERROR(CHOOSE(MATCH(SelMeasure,MeasureList,0),AVERAGEIFS(INDEX(dData,0,MATCH($B93&amp;CHAR(10)&amp;"Raw Score",dHdr,0)),dClass,H$45)/$D93,AVERAGEIFS(INDEX(dData,0,MATCH($B93&amp;CHAR(10)&amp;"Stanine",dHdr,0)),dClass,H$45),(COUNTIFS(dClass,H$45,INDEX(dData,0,MATCH($B93&amp;CHAR(10)&amp;"Raw Score",dHdr,0)),"&gt;=0")+COUNTIFS(dClass,H$45,INDEX(dData,0,MATCH($B93&amp;CHAR(10)&amp;"Raw Score",dHdr,0)),"A"))/COUNTIF(dClass,H$45)),""))</f>
        <v/>
      </c>
      <c r="I93" s="36" t="str">
        <f>IF(OR($B93="",I$45=""),"",IFERROR(CHOOSE(MATCH(SelMeasure,MeasureList,0),AVERAGEIFS(INDEX(dData,0,MATCH($B93&amp;CHAR(10)&amp;"Raw Score",dHdr,0)),dClass,I$45)/$D93,AVERAGEIFS(INDEX(dData,0,MATCH($B93&amp;CHAR(10)&amp;"Stanine",dHdr,0)),dClass,I$45),(COUNTIFS(dClass,I$45,INDEX(dData,0,MATCH($B93&amp;CHAR(10)&amp;"Raw Score",dHdr,0)),"&gt;=0")+COUNTIFS(dClass,I$45,INDEX(dData,0,MATCH($B93&amp;CHAR(10)&amp;"Raw Score",dHdr,0)),"A"))/COUNTIF(dClass,I$45)),""))</f>
        <v/>
      </c>
      <c r="J93" s="36" t="str">
        <f>IF(OR($B93="",J$45=""),"",IFERROR(CHOOSE(MATCH(SelMeasure,MeasureList,0),AVERAGEIFS(INDEX(dData,0,MATCH($B93&amp;CHAR(10)&amp;"Raw Score",dHdr,0)),dClass,J$45)/$D93,AVERAGEIFS(INDEX(dData,0,MATCH($B93&amp;CHAR(10)&amp;"Stanine",dHdr,0)),dClass,J$45),(COUNTIFS(dClass,J$45,INDEX(dData,0,MATCH($B93&amp;CHAR(10)&amp;"Raw Score",dHdr,0)),"&gt;=0")+COUNTIFS(dClass,J$45,INDEX(dData,0,MATCH($B93&amp;CHAR(10)&amp;"Raw Score",dHdr,0)),"A"))/COUNTIF(dClass,J$45)),""))</f>
        <v/>
      </c>
      <c r="K93" s="36" t="str">
        <f>IF(OR($B93="",K$45=""),"",IFERROR(CHOOSE(MATCH(SelMeasure,MeasureList,0),AVERAGEIFS(INDEX(dData,0,MATCH($B93&amp;CHAR(10)&amp;"Raw Score",dHdr,0)),dClass,K$45)/$D93,AVERAGEIFS(INDEX(dData,0,MATCH($B93&amp;CHAR(10)&amp;"Stanine",dHdr,0)),dClass,K$45),(COUNTIFS(dClass,K$45,INDEX(dData,0,MATCH($B93&amp;CHAR(10)&amp;"Raw Score",dHdr,0)),"&gt;=0")+COUNTIFS(dClass,K$45,INDEX(dData,0,MATCH($B93&amp;CHAR(10)&amp;"Raw Score",dHdr,0)),"A"))/COUNTIF(dClass,K$45)),""))</f>
        <v/>
      </c>
      <c r="L93" s="36" t="str">
        <f>IF(OR($B93="",L$45=""),"",IFERROR(CHOOSE(MATCH(SelMeasure,MeasureList,0),AVERAGEIFS(INDEX(dData,0,MATCH($B93&amp;CHAR(10)&amp;"Raw Score",dHdr,0)),dClass,L$45)/$D93,AVERAGEIFS(INDEX(dData,0,MATCH($B93&amp;CHAR(10)&amp;"Stanine",dHdr,0)),dClass,L$45),(COUNTIFS(dClass,L$45,INDEX(dData,0,MATCH($B93&amp;CHAR(10)&amp;"Raw Score",dHdr,0)),"&gt;=0")+COUNTIFS(dClass,L$45,INDEX(dData,0,MATCH($B93&amp;CHAR(10)&amp;"Raw Score",dHdr,0)),"A"))/COUNTIF(dClass,L$45)),""))</f>
        <v/>
      </c>
      <c r="M93" s="36" t="str">
        <f>IF(OR($B93="",M$45=""),"",IFERROR(CHOOSE(MATCH(SelMeasure,MeasureList,0),AVERAGEIFS(INDEX(dData,0,MATCH($B93&amp;CHAR(10)&amp;"Raw Score",dHdr,0)),dClass,M$45)/$D93,AVERAGEIFS(INDEX(dData,0,MATCH($B93&amp;CHAR(10)&amp;"Stanine",dHdr,0)),dClass,M$45),(COUNTIFS(dClass,M$45,INDEX(dData,0,MATCH($B93&amp;CHAR(10)&amp;"Raw Score",dHdr,0)),"&gt;=0")+COUNTIFS(dClass,M$45,INDEX(dData,0,MATCH($B93&amp;CHAR(10)&amp;"Raw Score",dHdr,0)),"A"))/COUNTIF(dClass,M$45)),""))</f>
        <v/>
      </c>
      <c r="N93" s="36" t="str">
        <f>IF(OR($B93="",N$45=""),"",IFERROR(CHOOSE(MATCH(SelMeasure,MeasureList,0),AVERAGEIFS(INDEX(dData,0,MATCH($B93&amp;CHAR(10)&amp;"Raw Score",dHdr,0)),dClass,N$45)/$D93,AVERAGEIFS(INDEX(dData,0,MATCH($B93&amp;CHAR(10)&amp;"Stanine",dHdr,0)),dClass,N$45),(COUNTIFS(dClass,N$45,INDEX(dData,0,MATCH($B93&amp;CHAR(10)&amp;"Raw Score",dHdr,0)),"&gt;=0")+COUNTIFS(dClass,N$45,INDEX(dData,0,MATCH($B93&amp;CHAR(10)&amp;"Raw Score",dHdr,0)),"A"))/COUNTIF(dClass,N$45)),""))</f>
        <v/>
      </c>
      <c r="O93" s="36" t="str">
        <f>IF(OR($B93="",O$45=""),"",IFERROR(CHOOSE(MATCH(SelMeasure,MeasureList,0),AVERAGEIFS(INDEX(dData,0,MATCH($B93&amp;CHAR(10)&amp;"Raw Score",dHdr,0)),dClass,O$45)/$D93,AVERAGEIFS(INDEX(dData,0,MATCH($B93&amp;CHAR(10)&amp;"Stanine",dHdr,0)),dClass,O$45),(COUNTIFS(dClass,O$45,INDEX(dData,0,MATCH($B93&amp;CHAR(10)&amp;"Raw Score",dHdr,0)),"&gt;=0")+COUNTIFS(dClass,O$45,INDEX(dData,0,MATCH($B93&amp;CHAR(10)&amp;"Raw Score",dHdr,0)),"A"))/COUNTIF(dClass,O$45)),""))</f>
        <v/>
      </c>
    </row>
    <row r="94">
      <c r="B94" s="31" t="str">
        <f>Calc!AA51</f>
        <v/>
      </c>
      <c r="C94" s="57" t="str">
        <f>Calc!AC51</f>
        <v/>
      </c>
      <c r="D94" s="33" t="str">
        <f>Calc!AB51</f>
        <v/>
      </c>
      <c r="E94" s="33" t="str">
        <f>IF($B94="","",IFERROR(COUNT(INDEX(dData,0,MATCH($B94&amp;CHAR(10)&amp;"Raw Score",dHdr,0))),""))</f>
        <v/>
      </c>
      <c r="F94" s="36" t="str">
        <f>IF($B94="","",IFERROR(($E94+COUNTIF(INDEX(dData,0,MATCH($B94&amp;CHAR(10)&amp;"Raw Score",dHdr,0)),"A"))/COUNTA(dLast),""))</f>
        <v/>
      </c>
      <c r="G94" s="58" t="str">
        <f>IF($B94="","",IFERROR(CHOOSE(MATCH(SelMeasure,MeasureList,0),AVERAGE(INDEX(dData,0,MATCH($B94&amp;CHAR(10)&amp;"Raw Score",dHdr,0)))/$D94,AVERAGE(INDEX(dData,0,MATCH($B94&amp;CHAR(10)&amp;"Stanine",dHdr,0))),$F94),""))</f>
        <v/>
      </c>
      <c r="H94" s="36" t="str">
        <f>IF(OR($B94="",H$45=""),"",IFERROR(CHOOSE(MATCH(SelMeasure,MeasureList,0),AVERAGEIFS(INDEX(dData,0,MATCH($B94&amp;CHAR(10)&amp;"Raw Score",dHdr,0)),dClass,H$45)/$D94,AVERAGEIFS(INDEX(dData,0,MATCH($B94&amp;CHAR(10)&amp;"Stanine",dHdr,0)),dClass,H$45),(COUNTIFS(dClass,H$45,INDEX(dData,0,MATCH($B94&amp;CHAR(10)&amp;"Raw Score",dHdr,0)),"&gt;=0")+COUNTIFS(dClass,H$45,INDEX(dData,0,MATCH($B94&amp;CHAR(10)&amp;"Raw Score",dHdr,0)),"A"))/COUNTIF(dClass,H$45)),""))</f>
        <v/>
      </c>
      <c r="I94" s="36" t="str">
        <f>IF(OR($B94="",I$45=""),"",IFERROR(CHOOSE(MATCH(SelMeasure,MeasureList,0),AVERAGEIFS(INDEX(dData,0,MATCH($B94&amp;CHAR(10)&amp;"Raw Score",dHdr,0)),dClass,I$45)/$D94,AVERAGEIFS(INDEX(dData,0,MATCH($B94&amp;CHAR(10)&amp;"Stanine",dHdr,0)),dClass,I$45),(COUNTIFS(dClass,I$45,INDEX(dData,0,MATCH($B94&amp;CHAR(10)&amp;"Raw Score",dHdr,0)),"&gt;=0")+COUNTIFS(dClass,I$45,INDEX(dData,0,MATCH($B94&amp;CHAR(10)&amp;"Raw Score",dHdr,0)),"A"))/COUNTIF(dClass,I$45)),""))</f>
        <v/>
      </c>
      <c r="J94" s="36" t="str">
        <f>IF(OR($B94="",J$45=""),"",IFERROR(CHOOSE(MATCH(SelMeasure,MeasureList,0),AVERAGEIFS(INDEX(dData,0,MATCH($B94&amp;CHAR(10)&amp;"Raw Score",dHdr,0)),dClass,J$45)/$D94,AVERAGEIFS(INDEX(dData,0,MATCH($B94&amp;CHAR(10)&amp;"Stanine",dHdr,0)),dClass,J$45),(COUNTIFS(dClass,J$45,INDEX(dData,0,MATCH($B94&amp;CHAR(10)&amp;"Raw Score",dHdr,0)),"&gt;=0")+COUNTIFS(dClass,J$45,INDEX(dData,0,MATCH($B94&amp;CHAR(10)&amp;"Raw Score",dHdr,0)),"A"))/COUNTIF(dClass,J$45)),""))</f>
        <v/>
      </c>
      <c r="K94" s="36" t="str">
        <f>IF(OR($B94="",K$45=""),"",IFERROR(CHOOSE(MATCH(SelMeasure,MeasureList,0),AVERAGEIFS(INDEX(dData,0,MATCH($B94&amp;CHAR(10)&amp;"Raw Score",dHdr,0)),dClass,K$45)/$D94,AVERAGEIFS(INDEX(dData,0,MATCH($B94&amp;CHAR(10)&amp;"Stanine",dHdr,0)),dClass,K$45),(COUNTIFS(dClass,K$45,INDEX(dData,0,MATCH($B94&amp;CHAR(10)&amp;"Raw Score",dHdr,0)),"&gt;=0")+COUNTIFS(dClass,K$45,INDEX(dData,0,MATCH($B94&amp;CHAR(10)&amp;"Raw Score",dHdr,0)),"A"))/COUNTIF(dClass,K$45)),""))</f>
        <v/>
      </c>
      <c r="L94" s="36" t="str">
        <f>IF(OR($B94="",L$45=""),"",IFERROR(CHOOSE(MATCH(SelMeasure,MeasureList,0),AVERAGEIFS(INDEX(dData,0,MATCH($B94&amp;CHAR(10)&amp;"Raw Score",dHdr,0)),dClass,L$45)/$D94,AVERAGEIFS(INDEX(dData,0,MATCH($B94&amp;CHAR(10)&amp;"Stanine",dHdr,0)),dClass,L$45),(COUNTIFS(dClass,L$45,INDEX(dData,0,MATCH($B94&amp;CHAR(10)&amp;"Raw Score",dHdr,0)),"&gt;=0")+COUNTIFS(dClass,L$45,INDEX(dData,0,MATCH($B94&amp;CHAR(10)&amp;"Raw Score",dHdr,0)),"A"))/COUNTIF(dClass,L$45)),""))</f>
        <v/>
      </c>
      <c r="M94" s="36" t="str">
        <f>IF(OR($B94="",M$45=""),"",IFERROR(CHOOSE(MATCH(SelMeasure,MeasureList,0),AVERAGEIFS(INDEX(dData,0,MATCH($B94&amp;CHAR(10)&amp;"Raw Score",dHdr,0)),dClass,M$45)/$D94,AVERAGEIFS(INDEX(dData,0,MATCH($B94&amp;CHAR(10)&amp;"Stanine",dHdr,0)),dClass,M$45),(COUNTIFS(dClass,M$45,INDEX(dData,0,MATCH($B94&amp;CHAR(10)&amp;"Raw Score",dHdr,0)),"&gt;=0")+COUNTIFS(dClass,M$45,INDEX(dData,0,MATCH($B94&amp;CHAR(10)&amp;"Raw Score",dHdr,0)),"A"))/COUNTIF(dClass,M$45)),""))</f>
        <v/>
      </c>
      <c r="N94" s="36" t="str">
        <f>IF(OR($B94="",N$45=""),"",IFERROR(CHOOSE(MATCH(SelMeasure,MeasureList,0),AVERAGEIFS(INDEX(dData,0,MATCH($B94&amp;CHAR(10)&amp;"Raw Score",dHdr,0)),dClass,N$45)/$D94,AVERAGEIFS(INDEX(dData,0,MATCH($B94&amp;CHAR(10)&amp;"Stanine",dHdr,0)),dClass,N$45),(COUNTIFS(dClass,N$45,INDEX(dData,0,MATCH($B94&amp;CHAR(10)&amp;"Raw Score",dHdr,0)),"&gt;=0")+COUNTIFS(dClass,N$45,INDEX(dData,0,MATCH($B94&amp;CHAR(10)&amp;"Raw Score",dHdr,0)),"A"))/COUNTIF(dClass,N$45)),""))</f>
        <v/>
      </c>
      <c r="O94" s="36" t="str">
        <f>IF(OR($B94="",O$45=""),"",IFERROR(CHOOSE(MATCH(SelMeasure,MeasureList,0),AVERAGEIFS(INDEX(dData,0,MATCH($B94&amp;CHAR(10)&amp;"Raw Score",dHdr,0)),dClass,O$45)/$D94,AVERAGEIFS(INDEX(dData,0,MATCH($B94&amp;CHAR(10)&amp;"Stanine",dHdr,0)),dClass,O$45),(COUNTIFS(dClass,O$45,INDEX(dData,0,MATCH($B94&amp;CHAR(10)&amp;"Raw Score",dHdr,0)),"&gt;=0")+COUNTIFS(dClass,O$45,INDEX(dData,0,MATCH($B94&amp;CHAR(10)&amp;"Raw Score",dHdr,0)),"A"))/COUNTIF(dClass,O$45)),""))</f>
        <v/>
      </c>
    </row>
    <row r="95">
      <c r="B95" s="31" t="str">
        <f>Calc!AA52</f>
        <v/>
      </c>
      <c r="C95" s="57" t="str">
        <f>Calc!AC52</f>
        <v/>
      </c>
      <c r="D95" s="33" t="str">
        <f>Calc!AB52</f>
        <v/>
      </c>
      <c r="E95" s="33" t="str">
        <f>IF($B95="","",IFERROR(COUNT(INDEX(dData,0,MATCH($B95&amp;CHAR(10)&amp;"Raw Score",dHdr,0))),""))</f>
        <v/>
      </c>
      <c r="F95" s="36" t="str">
        <f>IF($B95="","",IFERROR(($E95+COUNTIF(INDEX(dData,0,MATCH($B95&amp;CHAR(10)&amp;"Raw Score",dHdr,0)),"A"))/COUNTA(dLast),""))</f>
        <v/>
      </c>
      <c r="G95" s="58" t="str">
        <f>IF($B95="","",IFERROR(CHOOSE(MATCH(SelMeasure,MeasureList,0),AVERAGE(INDEX(dData,0,MATCH($B95&amp;CHAR(10)&amp;"Raw Score",dHdr,0)))/$D95,AVERAGE(INDEX(dData,0,MATCH($B95&amp;CHAR(10)&amp;"Stanine",dHdr,0))),$F95),""))</f>
        <v/>
      </c>
      <c r="H95" s="36" t="str">
        <f>IF(OR($B95="",H$45=""),"",IFERROR(CHOOSE(MATCH(SelMeasure,MeasureList,0),AVERAGEIFS(INDEX(dData,0,MATCH($B95&amp;CHAR(10)&amp;"Raw Score",dHdr,0)),dClass,H$45)/$D95,AVERAGEIFS(INDEX(dData,0,MATCH($B95&amp;CHAR(10)&amp;"Stanine",dHdr,0)),dClass,H$45),(COUNTIFS(dClass,H$45,INDEX(dData,0,MATCH($B95&amp;CHAR(10)&amp;"Raw Score",dHdr,0)),"&gt;=0")+COUNTIFS(dClass,H$45,INDEX(dData,0,MATCH($B95&amp;CHAR(10)&amp;"Raw Score",dHdr,0)),"A"))/COUNTIF(dClass,H$45)),""))</f>
        <v/>
      </c>
      <c r="I95" s="36" t="str">
        <f>IF(OR($B95="",I$45=""),"",IFERROR(CHOOSE(MATCH(SelMeasure,MeasureList,0),AVERAGEIFS(INDEX(dData,0,MATCH($B95&amp;CHAR(10)&amp;"Raw Score",dHdr,0)),dClass,I$45)/$D95,AVERAGEIFS(INDEX(dData,0,MATCH($B95&amp;CHAR(10)&amp;"Stanine",dHdr,0)),dClass,I$45),(COUNTIFS(dClass,I$45,INDEX(dData,0,MATCH($B95&amp;CHAR(10)&amp;"Raw Score",dHdr,0)),"&gt;=0")+COUNTIFS(dClass,I$45,INDEX(dData,0,MATCH($B95&amp;CHAR(10)&amp;"Raw Score",dHdr,0)),"A"))/COUNTIF(dClass,I$45)),""))</f>
        <v/>
      </c>
      <c r="J95" s="36" t="str">
        <f>IF(OR($B95="",J$45=""),"",IFERROR(CHOOSE(MATCH(SelMeasure,MeasureList,0),AVERAGEIFS(INDEX(dData,0,MATCH($B95&amp;CHAR(10)&amp;"Raw Score",dHdr,0)),dClass,J$45)/$D95,AVERAGEIFS(INDEX(dData,0,MATCH($B95&amp;CHAR(10)&amp;"Stanine",dHdr,0)),dClass,J$45),(COUNTIFS(dClass,J$45,INDEX(dData,0,MATCH($B95&amp;CHAR(10)&amp;"Raw Score",dHdr,0)),"&gt;=0")+COUNTIFS(dClass,J$45,INDEX(dData,0,MATCH($B95&amp;CHAR(10)&amp;"Raw Score",dHdr,0)),"A"))/COUNTIF(dClass,J$45)),""))</f>
        <v/>
      </c>
      <c r="K95" s="36" t="str">
        <f>IF(OR($B95="",K$45=""),"",IFERROR(CHOOSE(MATCH(SelMeasure,MeasureList,0),AVERAGEIFS(INDEX(dData,0,MATCH($B95&amp;CHAR(10)&amp;"Raw Score",dHdr,0)),dClass,K$45)/$D95,AVERAGEIFS(INDEX(dData,0,MATCH($B95&amp;CHAR(10)&amp;"Stanine",dHdr,0)),dClass,K$45),(COUNTIFS(dClass,K$45,INDEX(dData,0,MATCH($B95&amp;CHAR(10)&amp;"Raw Score",dHdr,0)),"&gt;=0")+COUNTIFS(dClass,K$45,INDEX(dData,0,MATCH($B95&amp;CHAR(10)&amp;"Raw Score",dHdr,0)),"A"))/COUNTIF(dClass,K$45)),""))</f>
        <v/>
      </c>
      <c r="L95" s="36" t="str">
        <f>IF(OR($B95="",L$45=""),"",IFERROR(CHOOSE(MATCH(SelMeasure,MeasureList,0),AVERAGEIFS(INDEX(dData,0,MATCH($B95&amp;CHAR(10)&amp;"Raw Score",dHdr,0)),dClass,L$45)/$D95,AVERAGEIFS(INDEX(dData,0,MATCH($B95&amp;CHAR(10)&amp;"Stanine",dHdr,0)),dClass,L$45),(COUNTIFS(dClass,L$45,INDEX(dData,0,MATCH($B95&amp;CHAR(10)&amp;"Raw Score",dHdr,0)),"&gt;=0")+COUNTIFS(dClass,L$45,INDEX(dData,0,MATCH($B95&amp;CHAR(10)&amp;"Raw Score",dHdr,0)),"A"))/COUNTIF(dClass,L$45)),""))</f>
        <v/>
      </c>
      <c r="M95" s="36" t="str">
        <f>IF(OR($B95="",M$45=""),"",IFERROR(CHOOSE(MATCH(SelMeasure,MeasureList,0),AVERAGEIFS(INDEX(dData,0,MATCH($B95&amp;CHAR(10)&amp;"Raw Score",dHdr,0)),dClass,M$45)/$D95,AVERAGEIFS(INDEX(dData,0,MATCH($B95&amp;CHAR(10)&amp;"Stanine",dHdr,0)),dClass,M$45),(COUNTIFS(dClass,M$45,INDEX(dData,0,MATCH($B95&amp;CHAR(10)&amp;"Raw Score",dHdr,0)),"&gt;=0")+COUNTIFS(dClass,M$45,INDEX(dData,0,MATCH($B95&amp;CHAR(10)&amp;"Raw Score",dHdr,0)),"A"))/COUNTIF(dClass,M$45)),""))</f>
        <v/>
      </c>
      <c r="N95" s="36" t="str">
        <f>IF(OR($B95="",N$45=""),"",IFERROR(CHOOSE(MATCH(SelMeasure,MeasureList,0),AVERAGEIFS(INDEX(dData,0,MATCH($B95&amp;CHAR(10)&amp;"Raw Score",dHdr,0)),dClass,N$45)/$D95,AVERAGEIFS(INDEX(dData,0,MATCH($B95&amp;CHAR(10)&amp;"Stanine",dHdr,0)),dClass,N$45),(COUNTIFS(dClass,N$45,INDEX(dData,0,MATCH($B95&amp;CHAR(10)&amp;"Raw Score",dHdr,0)),"&gt;=0")+COUNTIFS(dClass,N$45,INDEX(dData,0,MATCH($B95&amp;CHAR(10)&amp;"Raw Score",dHdr,0)),"A"))/COUNTIF(dClass,N$45)),""))</f>
        <v/>
      </c>
      <c r="O95" s="36" t="str">
        <f>IF(OR($B95="",O$45=""),"",IFERROR(CHOOSE(MATCH(SelMeasure,MeasureList,0),AVERAGEIFS(INDEX(dData,0,MATCH($B95&amp;CHAR(10)&amp;"Raw Score",dHdr,0)),dClass,O$45)/$D95,AVERAGEIFS(INDEX(dData,0,MATCH($B95&amp;CHAR(10)&amp;"Stanine",dHdr,0)),dClass,O$45),(COUNTIFS(dClass,O$45,INDEX(dData,0,MATCH($B95&amp;CHAR(10)&amp;"Raw Score",dHdr,0)),"&gt;=0")+COUNTIFS(dClass,O$45,INDEX(dData,0,MATCH($B95&amp;CHAR(10)&amp;"Raw Score",dHdr,0)),"A"))/COUNTIF(dClass,O$45)),""))</f>
        <v/>
      </c>
    </row>
    <row r="96">
      <c r="B96" s="31" t="str">
        <f>Calc!AA53</f>
        <v/>
      </c>
      <c r="C96" s="57" t="str">
        <f>Calc!AC53</f>
        <v/>
      </c>
      <c r="D96" s="33" t="str">
        <f>Calc!AB53</f>
        <v/>
      </c>
      <c r="E96" s="33" t="str">
        <f>IF($B96="","",IFERROR(COUNT(INDEX(dData,0,MATCH($B96&amp;CHAR(10)&amp;"Raw Score",dHdr,0))),""))</f>
        <v/>
      </c>
      <c r="F96" s="36" t="str">
        <f>IF($B96="","",IFERROR(($E96+COUNTIF(INDEX(dData,0,MATCH($B96&amp;CHAR(10)&amp;"Raw Score",dHdr,0)),"A"))/COUNTA(dLast),""))</f>
        <v/>
      </c>
      <c r="G96" s="58" t="str">
        <f>IF($B96="","",IFERROR(CHOOSE(MATCH(SelMeasure,MeasureList,0),AVERAGE(INDEX(dData,0,MATCH($B96&amp;CHAR(10)&amp;"Raw Score",dHdr,0)))/$D96,AVERAGE(INDEX(dData,0,MATCH($B96&amp;CHAR(10)&amp;"Stanine",dHdr,0))),$F96),""))</f>
        <v/>
      </c>
      <c r="H96" s="36" t="str">
        <f>IF(OR($B96="",H$45=""),"",IFERROR(CHOOSE(MATCH(SelMeasure,MeasureList,0),AVERAGEIFS(INDEX(dData,0,MATCH($B96&amp;CHAR(10)&amp;"Raw Score",dHdr,0)),dClass,H$45)/$D96,AVERAGEIFS(INDEX(dData,0,MATCH($B96&amp;CHAR(10)&amp;"Stanine",dHdr,0)),dClass,H$45),(COUNTIFS(dClass,H$45,INDEX(dData,0,MATCH($B96&amp;CHAR(10)&amp;"Raw Score",dHdr,0)),"&gt;=0")+COUNTIFS(dClass,H$45,INDEX(dData,0,MATCH($B96&amp;CHAR(10)&amp;"Raw Score",dHdr,0)),"A"))/COUNTIF(dClass,H$45)),""))</f>
        <v/>
      </c>
      <c r="I96" s="36" t="str">
        <f>IF(OR($B96="",I$45=""),"",IFERROR(CHOOSE(MATCH(SelMeasure,MeasureList,0),AVERAGEIFS(INDEX(dData,0,MATCH($B96&amp;CHAR(10)&amp;"Raw Score",dHdr,0)),dClass,I$45)/$D96,AVERAGEIFS(INDEX(dData,0,MATCH($B96&amp;CHAR(10)&amp;"Stanine",dHdr,0)),dClass,I$45),(COUNTIFS(dClass,I$45,INDEX(dData,0,MATCH($B96&amp;CHAR(10)&amp;"Raw Score",dHdr,0)),"&gt;=0")+COUNTIFS(dClass,I$45,INDEX(dData,0,MATCH($B96&amp;CHAR(10)&amp;"Raw Score",dHdr,0)),"A"))/COUNTIF(dClass,I$45)),""))</f>
        <v/>
      </c>
      <c r="J96" s="36" t="str">
        <f>IF(OR($B96="",J$45=""),"",IFERROR(CHOOSE(MATCH(SelMeasure,MeasureList,0),AVERAGEIFS(INDEX(dData,0,MATCH($B96&amp;CHAR(10)&amp;"Raw Score",dHdr,0)),dClass,J$45)/$D96,AVERAGEIFS(INDEX(dData,0,MATCH($B96&amp;CHAR(10)&amp;"Stanine",dHdr,0)),dClass,J$45),(COUNTIFS(dClass,J$45,INDEX(dData,0,MATCH($B96&amp;CHAR(10)&amp;"Raw Score",dHdr,0)),"&gt;=0")+COUNTIFS(dClass,J$45,INDEX(dData,0,MATCH($B96&amp;CHAR(10)&amp;"Raw Score",dHdr,0)),"A"))/COUNTIF(dClass,J$45)),""))</f>
        <v/>
      </c>
      <c r="K96" s="36" t="str">
        <f>IF(OR($B96="",K$45=""),"",IFERROR(CHOOSE(MATCH(SelMeasure,MeasureList,0),AVERAGEIFS(INDEX(dData,0,MATCH($B96&amp;CHAR(10)&amp;"Raw Score",dHdr,0)),dClass,K$45)/$D96,AVERAGEIFS(INDEX(dData,0,MATCH($B96&amp;CHAR(10)&amp;"Stanine",dHdr,0)),dClass,K$45),(COUNTIFS(dClass,K$45,INDEX(dData,0,MATCH($B96&amp;CHAR(10)&amp;"Raw Score",dHdr,0)),"&gt;=0")+COUNTIFS(dClass,K$45,INDEX(dData,0,MATCH($B96&amp;CHAR(10)&amp;"Raw Score",dHdr,0)),"A"))/COUNTIF(dClass,K$45)),""))</f>
        <v/>
      </c>
      <c r="L96" s="36" t="str">
        <f>IF(OR($B96="",L$45=""),"",IFERROR(CHOOSE(MATCH(SelMeasure,MeasureList,0),AVERAGEIFS(INDEX(dData,0,MATCH($B96&amp;CHAR(10)&amp;"Raw Score",dHdr,0)),dClass,L$45)/$D96,AVERAGEIFS(INDEX(dData,0,MATCH($B96&amp;CHAR(10)&amp;"Stanine",dHdr,0)),dClass,L$45),(COUNTIFS(dClass,L$45,INDEX(dData,0,MATCH($B96&amp;CHAR(10)&amp;"Raw Score",dHdr,0)),"&gt;=0")+COUNTIFS(dClass,L$45,INDEX(dData,0,MATCH($B96&amp;CHAR(10)&amp;"Raw Score",dHdr,0)),"A"))/COUNTIF(dClass,L$45)),""))</f>
        <v/>
      </c>
      <c r="M96" s="36" t="str">
        <f>IF(OR($B96="",M$45=""),"",IFERROR(CHOOSE(MATCH(SelMeasure,MeasureList,0),AVERAGEIFS(INDEX(dData,0,MATCH($B96&amp;CHAR(10)&amp;"Raw Score",dHdr,0)),dClass,M$45)/$D96,AVERAGEIFS(INDEX(dData,0,MATCH($B96&amp;CHAR(10)&amp;"Stanine",dHdr,0)),dClass,M$45),(COUNTIFS(dClass,M$45,INDEX(dData,0,MATCH($B96&amp;CHAR(10)&amp;"Raw Score",dHdr,0)),"&gt;=0")+COUNTIFS(dClass,M$45,INDEX(dData,0,MATCH($B96&amp;CHAR(10)&amp;"Raw Score",dHdr,0)),"A"))/COUNTIF(dClass,M$45)),""))</f>
        <v/>
      </c>
      <c r="N96" s="36" t="str">
        <f>IF(OR($B96="",N$45=""),"",IFERROR(CHOOSE(MATCH(SelMeasure,MeasureList,0),AVERAGEIFS(INDEX(dData,0,MATCH($B96&amp;CHAR(10)&amp;"Raw Score",dHdr,0)),dClass,N$45)/$D96,AVERAGEIFS(INDEX(dData,0,MATCH($B96&amp;CHAR(10)&amp;"Stanine",dHdr,0)),dClass,N$45),(COUNTIFS(dClass,N$45,INDEX(dData,0,MATCH($B96&amp;CHAR(10)&amp;"Raw Score",dHdr,0)),"&gt;=0")+COUNTIFS(dClass,N$45,INDEX(dData,0,MATCH($B96&amp;CHAR(10)&amp;"Raw Score",dHdr,0)),"A"))/COUNTIF(dClass,N$45)),""))</f>
        <v/>
      </c>
      <c r="O96" s="36" t="str">
        <f>IF(OR($B96="",O$45=""),"",IFERROR(CHOOSE(MATCH(SelMeasure,MeasureList,0),AVERAGEIFS(INDEX(dData,0,MATCH($B96&amp;CHAR(10)&amp;"Raw Score",dHdr,0)),dClass,O$45)/$D96,AVERAGEIFS(INDEX(dData,0,MATCH($B96&amp;CHAR(10)&amp;"Stanine",dHdr,0)),dClass,O$45),(COUNTIFS(dClass,O$45,INDEX(dData,0,MATCH($B96&amp;CHAR(10)&amp;"Raw Score",dHdr,0)),"&gt;=0")+COUNTIFS(dClass,O$45,INDEX(dData,0,MATCH($B96&amp;CHAR(10)&amp;"Raw Score",dHdr,0)),"A"))/COUNTIF(dClass,O$45)),""))</f>
        <v/>
      </c>
    </row>
    <row r="97">
      <c r="B97" s="31" t="str">
        <f>Calc!AA54</f>
        <v/>
      </c>
      <c r="C97" s="57" t="str">
        <f>Calc!AC54</f>
        <v/>
      </c>
      <c r="D97" s="33" t="str">
        <f>Calc!AB54</f>
        <v/>
      </c>
      <c r="E97" s="33" t="str">
        <f>IF($B97="","",IFERROR(COUNT(INDEX(dData,0,MATCH($B97&amp;CHAR(10)&amp;"Raw Score",dHdr,0))),""))</f>
        <v/>
      </c>
      <c r="F97" s="36" t="str">
        <f>IF($B97="","",IFERROR(($E97+COUNTIF(INDEX(dData,0,MATCH($B97&amp;CHAR(10)&amp;"Raw Score",dHdr,0)),"A"))/COUNTA(dLast),""))</f>
        <v/>
      </c>
      <c r="G97" s="58" t="str">
        <f>IF($B97="","",IFERROR(CHOOSE(MATCH(SelMeasure,MeasureList,0),AVERAGE(INDEX(dData,0,MATCH($B97&amp;CHAR(10)&amp;"Raw Score",dHdr,0)))/$D97,AVERAGE(INDEX(dData,0,MATCH($B97&amp;CHAR(10)&amp;"Stanine",dHdr,0))),$F97),""))</f>
        <v/>
      </c>
      <c r="H97" s="36" t="str">
        <f>IF(OR($B97="",H$45=""),"",IFERROR(CHOOSE(MATCH(SelMeasure,MeasureList,0),AVERAGEIFS(INDEX(dData,0,MATCH($B97&amp;CHAR(10)&amp;"Raw Score",dHdr,0)),dClass,H$45)/$D97,AVERAGEIFS(INDEX(dData,0,MATCH($B97&amp;CHAR(10)&amp;"Stanine",dHdr,0)),dClass,H$45),(COUNTIFS(dClass,H$45,INDEX(dData,0,MATCH($B97&amp;CHAR(10)&amp;"Raw Score",dHdr,0)),"&gt;=0")+COUNTIFS(dClass,H$45,INDEX(dData,0,MATCH($B97&amp;CHAR(10)&amp;"Raw Score",dHdr,0)),"A"))/COUNTIF(dClass,H$45)),""))</f>
        <v/>
      </c>
      <c r="I97" s="36" t="str">
        <f>IF(OR($B97="",I$45=""),"",IFERROR(CHOOSE(MATCH(SelMeasure,MeasureList,0),AVERAGEIFS(INDEX(dData,0,MATCH($B97&amp;CHAR(10)&amp;"Raw Score",dHdr,0)),dClass,I$45)/$D97,AVERAGEIFS(INDEX(dData,0,MATCH($B97&amp;CHAR(10)&amp;"Stanine",dHdr,0)),dClass,I$45),(COUNTIFS(dClass,I$45,INDEX(dData,0,MATCH($B97&amp;CHAR(10)&amp;"Raw Score",dHdr,0)),"&gt;=0")+COUNTIFS(dClass,I$45,INDEX(dData,0,MATCH($B97&amp;CHAR(10)&amp;"Raw Score",dHdr,0)),"A"))/COUNTIF(dClass,I$45)),""))</f>
        <v/>
      </c>
      <c r="J97" s="36" t="str">
        <f>IF(OR($B97="",J$45=""),"",IFERROR(CHOOSE(MATCH(SelMeasure,MeasureList,0),AVERAGEIFS(INDEX(dData,0,MATCH($B97&amp;CHAR(10)&amp;"Raw Score",dHdr,0)),dClass,J$45)/$D97,AVERAGEIFS(INDEX(dData,0,MATCH($B97&amp;CHAR(10)&amp;"Stanine",dHdr,0)),dClass,J$45),(COUNTIFS(dClass,J$45,INDEX(dData,0,MATCH($B97&amp;CHAR(10)&amp;"Raw Score",dHdr,0)),"&gt;=0")+COUNTIFS(dClass,J$45,INDEX(dData,0,MATCH($B97&amp;CHAR(10)&amp;"Raw Score",dHdr,0)),"A"))/COUNTIF(dClass,J$45)),""))</f>
        <v/>
      </c>
      <c r="K97" s="36" t="str">
        <f>IF(OR($B97="",K$45=""),"",IFERROR(CHOOSE(MATCH(SelMeasure,MeasureList,0),AVERAGEIFS(INDEX(dData,0,MATCH($B97&amp;CHAR(10)&amp;"Raw Score",dHdr,0)),dClass,K$45)/$D97,AVERAGEIFS(INDEX(dData,0,MATCH($B97&amp;CHAR(10)&amp;"Stanine",dHdr,0)),dClass,K$45),(COUNTIFS(dClass,K$45,INDEX(dData,0,MATCH($B97&amp;CHAR(10)&amp;"Raw Score",dHdr,0)),"&gt;=0")+COUNTIFS(dClass,K$45,INDEX(dData,0,MATCH($B97&amp;CHAR(10)&amp;"Raw Score",dHdr,0)),"A"))/COUNTIF(dClass,K$45)),""))</f>
        <v/>
      </c>
      <c r="L97" s="36" t="str">
        <f>IF(OR($B97="",L$45=""),"",IFERROR(CHOOSE(MATCH(SelMeasure,MeasureList,0),AVERAGEIFS(INDEX(dData,0,MATCH($B97&amp;CHAR(10)&amp;"Raw Score",dHdr,0)),dClass,L$45)/$D97,AVERAGEIFS(INDEX(dData,0,MATCH($B97&amp;CHAR(10)&amp;"Stanine",dHdr,0)),dClass,L$45),(COUNTIFS(dClass,L$45,INDEX(dData,0,MATCH($B97&amp;CHAR(10)&amp;"Raw Score",dHdr,0)),"&gt;=0")+COUNTIFS(dClass,L$45,INDEX(dData,0,MATCH($B97&amp;CHAR(10)&amp;"Raw Score",dHdr,0)),"A"))/COUNTIF(dClass,L$45)),""))</f>
        <v/>
      </c>
      <c r="M97" s="36" t="str">
        <f>IF(OR($B97="",M$45=""),"",IFERROR(CHOOSE(MATCH(SelMeasure,MeasureList,0),AVERAGEIFS(INDEX(dData,0,MATCH($B97&amp;CHAR(10)&amp;"Raw Score",dHdr,0)),dClass,M$45)/$D97,AVERAGEIFS(INDEX(dData,0,MATCH($B97&amp;CHAR(10)&amp;"Stanine",dHdr,0)),dClass,M$45),(COUNTIFS(dClass,M$45,INDEX(dData,0,MATCH($B97&amp;CHAR(10)&amp;"Raw Score",dHdr,0)),"&gt;=0")+COUNTIFS(dClass,M$45,INDEX(dData,0,MATCH($B97&amp;CHAR(10)&amp;"Raw Score",dHdr,0)),"A"))/COUNTIF(dClass,M$45)),""))</f>
        <v/>
      </c>
      <c r="N97" s="36" t="str">
        <f>IF(OR($B97="",N$45=""),"",IFERROR(CHOOSE(MATCH(SelMeasure,MeasureList,0),AVERAGEIFS(INDEX(dData,0,MATCH($B97&amp;CHAR(10)&amp;"Raw Score",dHdr,0)),dClass,N$45)/$D97,AVERAGEIFS(INDEX(dData,0,MATCH($B97&amp;CHAR(10)&amp;"Stanine",dHdr,0)),dClass,N$45),(COUNTIFS(dClass,N$45,INDEX(dData,0,MATCH($B97&amp;CHAR(10)&amp;"Raw Score",dHdr,0)),"&gt;=0")+COUNTIFS(dClass,N$45,INDEX(dData,0,MATCH($B97&amp;CHAR(10)&amp;"Raw Score",dHdr,0)),"A"))/COUNTIF(dClass,N$45)),""))</f>
        <v/>
      </c>
      <c r="O97" s="36" t="str">
        <f>IF(OR($B97="",O$45=""),"",IFERROR(CHOOSE(MATCH(SelMeasure,MeasureList,0),AVERAGEIFS(INDEX(dData,0,MATCH($B97&amp;CHAR(10)&amp;"Raw Score",dHdr,0)),dClass,O$45)/$D97,AVERAGEIFS(INDEX(dData,0,MATCH($B97&amp;CHAR(10)&amp;"Stanine",dHdr,0)),dClass,O$45),(COUNTIFS(dClass,O$45,INDEX(dData,0,MATCH($B97&amp;CHAR(10)&amp;"Raw Score",dHdr,0)),"&gt;=0")+COUNTIFS(dClass,O$45,INDEX(dData,0,MATCH($B97&amp;CHAR(10)&amp;"Raw Score",dHdr,0)),"A"))/COUNTIF(dClass,O$45)),""))</f>
        <v/>
      </c>
    </row>
    <row r="98">
      <c r="B98" s="31" t="str">
        <f>Calc!AA55</f>
        <v/>
      </c>
      <c r="C98" s="57" t="str">
        <f>Calc!AC55</f>
        <v/>
      </c>
      <c r="D98" s="33" t="str">
        <f>Calc!AB55</f>
        <v/>
      </c>
      <c r="E98" s="33" t="str">
        <f>IF($B98="","",IFERROR(COUNT(INDEX(dData,0,MATCH($B98&amp;CHAR(10)&amp;"Raw Score",dHdr,0))),""))</f>
        <v/>
      </c>
      <c r="F98" s="36" t="str">
        <f>IF($B98="","",IFERROR(($E98+COUNTIF(INDEX(dData,0,MATCH($B98&amp;CHAR(10)&amp;"Raw Score",dHdr,0)),"A"))/COUNTA(dLast),""))</f>
        <v/>
      </c>
      <c r="G98" s="58" t="str">
        <f>IF($B98="","",IFERROR(CHOOSE(MATCH(SelMeasure,MeasureList,0),AVERAGE(INDEX(dData,0,MATCH($B98&amp;CHAR(10)&amp;"Raw Score",dHdr,0)))/$D98,AVERAGE(INDEX(dData,0,MATCH($B98&amp;CHAR(10)&amp;"Stanine",dHdr,0))),$F98),""))</f>
        <v/>
      </c>
      <c r="H98" s="36" t="str">
        <f>IF(OR($B98="",H$45=""),"",IFERROR(CHOOSE(MATCH(SelMeasure,MeasureList,0),AVERAGEIFS(INDEX(dData,0,MATCH($B98&amp;CHAR(10)&amp;"Raw Score",dHdr,0)),dClass,H$45)/$D98,AVERAGEIFS(INDEX(dData,0,MATCH($B98&amp;CHAR(10)&amp;"Stanine",dHdr,0)),dClass,H$45),(COUNTIFS(dClass,H$45,INDEX(dData,0,MATCH($B98&amp;CHAR(10)&amp;"Raw Score",dHdr,0)),"&gt;=0")+COUNTIFS(dClass,H$45,INDEX(dData,0,MATCH($B98&amp;CHAR(10)&amp;"Raw Score",dHdr,0)),"A"))/COUNTIF(dClass,H$45)),""))</f>
        <v/>
      </c>
      <c r="I98" s="36" t="str">
        <f>IF(OR($B98="",I$45=""),"",IFERROR(CHOOSE(MATCH(SelMeasure,MeasureList,0),AVERAGEIFS(INDEX(dData,0,MATCH($B98&amp;CHAR(10)&amp;"Raw Score",dHdr,0)),dClass,I$45)/$D98,AVERAGEIFS(INDEX(dData,0,MATCH($B98&amp;CHAR(10)&amp;"Stanine",dHdr,0)),dClass,I$45),(COUNTIFS(dClass,I$45,INDEX(dData,0,MATCH($B98&amp;CHAR(10)&amp;"Raw Score",dHdr,0)),"&gt;=0")+COUNTIFS(dClass,I$45,INDEX(dData,0,MATCH($B98&amp;CHAR(10)&amp;"Raw Score",dHdr,0)),"A"))/COUNTIF(dClass,I$45)),""))</f>
        <v/>
      </c>
      <c r="J98" s="36" t="str">
        <f>IF(OR($B98="",J$45=""),"",IFERROR(CHOOSE(MATCH(SelMeasure,MeasureList,0),AVERAGEIFS(INDEX(dData,0,MATCH($B98&amp;CHAR(10)&amp;"Raw Score",dHdr,0)),dClass,J$45)/$D98,AVERAGEIFS(INDEX(dData,0,MATCH($B98&amp;CHAR(10)&amp;"Stanine",dHdr,0)),dClass,J$45),(COUNTIFS(dClass,J$45,INDEX(dData,0,MATCH($B98&amp;CHAR(10)&amp;"Raw Score",dHdr,0)),"&gt;=0")+COUNTIFS(dClass,J$45,INDEX(dData,0,MATCH($B98&amp;CHAR(10)&amp;"Raw Score",dHdr,0)),"A"))/COUNTIF(dClass,J$45)),""))</f>
        <v/>
      </c>
      <c r="K98" s="36" t="str">
        <f>IF(OR($B98="",K$45=""),"",IFERROR(CHOOSE(MATCH(SelMeasure,MeasureList,0),AVERAGEIFS(INDEX(dData,0,MATCH($B98&amp;CHAR(10)&amp;"Raw Score",dHdr,0)),dClass,K$45)/$D98,AVERAGEIFS(INDEX(dData,0,MATCH($B98&amp;CHAR(10)&amp;"Stanine",dHdr,0)),dClass,K$45),(COUNTIFS(dClass,K$45,INDEX(dData,0,MATCH($B98&amp;CHAR(10)&amp;"Raw Score",dHdr,0)),"&gt;=0")+COUNTIFS(dClass,K$45,INDEX(dData,0,MATCH($B98&amp;CHAR(10)&amp;"Raw Score",dHdr,0)),"A"))/COUNTIF(dClass,K$45)),""))</f>
        <v/>
      </c>
      <c r="L98" s="36" t="str">
        <f>IF(OR($B98="",L$45=""),"",IFERROR(CHOOSE(MATCH(SelMeasure,MeasureList,0),AVERAGEIFS(INDEX(dData,0,MATCH($B98&amp;CHAR(10)&amp;"Raw Score",dHdr,0)),dClass,L$45)/$D98,AVERAGEIFS(INDEX(dData,0,MATCH($B98&amp;CHAR(10)&amp;"Stanine",dHdr,0)),dClass,L$45),(COUNTIFS(dClass,L$45,INDEX(dData,0,MATCH($B98&amp;CHAR(10)&amp;"Raw Score",dHdr,0)),"&gt;=0")+COUNTIFS(dClass,L$45,INDEX(dData,0,MATCH($B98&amp;CHAR(10)&amp;"Raw Score",dHdr,0)),"A"))/COUNTIF(dClass,L$45)),""))</f>
        <v/>
      </c>
      <c r="M98" s="36" t="str">
        <f>IF(OR($B98="",M$45=""),"",IFERROR(CHOOSE(MATCH(SelMeasure,MeasureList,0),AVERAGEIFS(INDEX(dData,0,MATCH($B98&amp;CHAR(10)&amp;"Raw Score",dHdr,0)),dClass,M$45)/$D98,AVERAGEIFS(INDEX(dData,0,MATCH($B98&amp;CHAR(10)&amp;"Stanine",dHdr,0)),dClass,M$45),(COUNTIFS(dClass,M$45,INDEX(dData,0,MATCH($B98&amp;CHAR(10)&amp;"Raw Score",dHdr,0)),"&gt;=0")+COUNTIFS(dClass,M$45,INDEX(dData,0,MATCH($B98&amp;CHAR(10)&amp;"Raw Score",dHdr,0)),"A"))/COUNTIF(dClass,M$45)),""))</f>
        <v/>
      </c>
      <c r="N98" s="36" t="str">
        <f>IF(OR($B98="",N$45=""),"",IFERROR(CHOOSE(MATCH(SelMeasure,MeasureList,0),AVERAGEIFS(INDEX(dData,0,MATCH($B98&amp;CHAR(10)&amp;"Raw Score",dHdr,0)),dClass,N$45)/$D98,AVERAGEIFS(INDEX(dData,0,MATCH($B98&amp;CHAR(10)&amp;"Stanine",dHdr,0)),dClass,N$45),(COUNTIFS(dClass,N$45,INDEX(dData,0,MATCH($B98&amp;CHAR(10)&amp;"Raw Score",dHdr,0)),"&gt;=0")+COUNTIFS(dClass,N$45,INDEX(dData,0,MATCH($B98&amp;CHAR(10)&amp;"Raw Score",dHdr,0)),"A"))/COUNTIF(dClass,N$45)),""))</f>
        <v/>
      </c>
      <c r="O98" s="36" t="str">
        <f>IF(OR($B98="",O$45=""),"",IFERROR(CHOOSE(MATCH(SelMeasure,MeasureList,0),AVERAGEIFS(INDEX(dData,0,MATCH($B98&amp;CHAR(10)&amp;"Raw Score",dHdr,0)),dClass,O$45)/$D98,AVERAGEIFS(INDEX(dData,0,MATCH($B98&amp;CHAR(10)&amp;"Stanine",dHdr,0)),dClass,O$45),(COUNTIFS(dClass,O$45,INDEX(dData,0,MATCH($B98&amp;CHAR(10)&amp;"Raw Score",dHdr,0)),"&gt;=0")+COUNTIFS(dClass,O$45,INDEX(dData,0,MATCH($B98&amp;CHAR(10)&amp;"Raw Score",dHdr,0)),"A"))/COUNTIF(dClass,O$45)),""))</f>
        <v/>
      </c>
    </row>
    <row r="99">
      <c r="B99" s="31" t="str">
        <f>Calc!AA56</f>
        <v/>
      </c>
      <c r="C99" s="57" t="str">
        <f>Calc!AC56</f>
        <v/>
      </c>
      <c r="D99" s="33" t="str">
        <f>Calc!AB56</f>
        <v/>
      </c>
      <c r="E99" s="33" t="str">
        <f>IF($B99="","",IFERROR(COUNT(INDEX(dData,0,MATCH($B99&amp;CHAR(10)&amp;"Raw Score",dHdr,0))),""))</f>
        <v/>
      </c>
      <c r="F99" s="36" t="str">
        <f>IF($B99="","",IFERROR(($E99+COUNTIF(INDEX(dData,0,MATCH($B99&amp;CHAR(10)&amp;"Raw Score",dHdr,0)),"A"))/COUNTA(dLast),""))</f>
        <v/>
      </c>
      <c r="G99" s="58" t="str">
        <f>IF($B99="","",IFERROR(CHOOSE(MATCH(SelMeasure,MeasureList,0),AVERAGE(INDEX(dData,0,MATCH($B99&amp;CHAR(10)&amp;"Raw Score",dHdr,0)))/$D99,AVERAGE(INDEX(dData,0,MATCH($B99&amp;CHAR(10)&amp;"Stanine",dHdr,0))),$F99),""))</f>
        <v/>
      </c>
      <c r="H99" s="36" t="str">
        <f>IF(OR($B99="",H$45=""),"",IFERROR(CHOOSE(MATCH(SelMeasure,MeasureList,0),AVERAGEIFS(INDEX(dData,0,MATCH($B99&amp;CHAR(10)&amp;"Raw Score",dHdr,0)),dClass,H$45)/$D99,AVERAGEIFS(INDEX(dData,0,MATCH($B99&amp;CHAR(10)&amp;"Stanine",dHdr,0)),dClass,H$45),(COUNTIFS(dClass,H$45,INDEX(dData,0,MATCH($B99&amp;CHAR(10)&amp;"Raw Score",dHdr,0)),"&gt;=0")+COUNTIFS(dClass,H$45,INDEX(dData,0,MATCH($B99&amp;CHAR(10)&amp;"Raw Score",dHdr,0)),"A"))/COUNTIF(dClass,H$45)),""))</f>
        <v/>
      </c>
      <c r="I99" s="36" t="str">
        <f>IF(OR($B99="",I$45=""),"",IFERROR(CHOOSE(MATCH(SelMeasure,MeasureList,0),AVERAGEIFS(INDEX(dData,0,MATCH($B99&amp;CHAR(10)&amp;"Raw Score",dHdr,0)),dClass,I$45)/$D99,AVERAGEIFS(INDEX(dData,0,MATCH($B99&amp;CHAR(10)&amp;"Stanine",dHdr,0)),dClass,I$45),(COUNTIFS(dClass,I$45,INDEX(dData,0,MATCH($B99&amp;CHAR(10)&amp;"Raw Score",dHdr,0)),"&gt;=0")+COUNTIFS(dClass,I$45,INDEX(dData,0,MATCH($B99&amp;CHAR(10)&amp;"Raw Score",dHdr,0)),"A"))/COUNTIF(dClass,I$45)),""))</f>
        <v/>
      </c>
      <c r="J99" s="36" t="str">
        <f>IF(OR($B99="",J$45=""),"",IFERROR(CHOOSE(MATCH(SelMeasure,MeasureList,0),AVERAGEIFS(INDEX(dData,0,MATCH($B99&amp;CHAR(10)&amp;"Raw Score",dHdr,0)),dClass,J$45)/$D99,AVERAGEIFS(INDEX(dData,0,MATCH($B99&amp;CHAR(10)&amp;"Stanine",dHdr,0)),dClass,J$45),(COUNTIFS(dClass,J$45,INDEX(dData,0,MATCH($B99&amp;CHAR(10)&amp;"Raw Score",dHdr,0)),"&gt;=0")+COUNTIFS(dClass,J$45,INDEX(dData,0,MATCH($B99&amp;CHAR(10)&amp;"Raw Score",dHdr,0)),"A"))/COUNTIF(dClass,J$45)),""))</f>
        <v/>
      </c>
      <c r="K99" s="36" t="str">
        <f>IF(OR($B99="",K$45=""),"",IFERROR(CHOOSE(MATCH(SelMeasure,MeasureList,0),AVERAGEIFS(INDEX(dData,0,MATCH($B99&amp;CHAR(10)&amp;"Raw Score",dHdr,0)),dClass,K$45)/$D99,AVERAGEIFS(INDEX(dData,0,MATCH($B99&amp;CHAR(10)&amp;"Stanine",dHdr,0)),dClass,K$45),(COUNTIFS(dClass,K$45,INDEX(dData,0,MATCH($B99&amp;CHAR(10)&amp;"Raw Score",dHdr,0)),"&gt;=0")+COUNTIFS(dClass,K$45,INDEX(dData,0,MATCH($B99&amp;CHAR(10)&amp;"Raw Score",dHdr,0)),"A"))/COUNTIF(dClass,K$45)),""))</f>
        <v/>
      </c>
      <c r="L99" s="36" t="str">
        <f>IF(OR($B99="",L$45=""),"",IFERROR(CHOOSE(MATCH(SelMeasure,MeasureList,0),AVERAGEIFS(INDEX(dData,0,MATCH($B99&amp;CHAR(10)&amp;"Raw Score",dHdr,0)),dClass,L$45)/$D99,AVERAGEIFS(INDEX(dData,0,MATCH($B99&amp;CHAR(10)&amp;"Stanine",dHdr,0)),dClass,L$45),(COUNTIFS(dClass,L$45,INDEX(dData,0,MATCH($B99&amp;CHAR(10)&amp;"Raw Score",dHdr,0)),"&gt;=0")+COUNTIFS(dClass,L$45,INDEX(dData,0,MATCH($B99&amp;CHAR(10)&amp;"Raw Score",dHdr,0)),"A"))/COUNTIF(dClass,L$45)),""))</f>
        <v/>
      </c>
      <c r="M99" s="36" t="str">
        <f>IF(OR($B99="",M$45=""),"",IFERROR(CHOOSE(MATCH(SelMeasure,MeasureList,0),AVERAGEIFS(INDEX(dData,0,MATCH($B99&amp;CHAR(10)&amp;"Raw Score",dHdr,0)),dClass,M$45)/$D99,AVERAGEIFS(INDEX(dData,0,MATCH($B99&amp;CHAR(10)&amp;"Stanine",dHdr,0)),dClass,M$45),(COUNTIFS(dClass,M$45,INDEX(dData,0,MATCH($B99&amp;CHAR(10)&amp;"Raw Score",dHdr,0)),"&gt;=0")+COUNTIFS(dClass,M$45,INDEX(dData,0,MATCH($B99&amp;CHAR(10)&amp;"Raw Score",dHdr,0)),"A"))/COUNTIF(dClass,M$45)),""))</f>
        <v/>
      </c>
      <c r="N99" s="36" t="str">
        <f>IF(OR($B99="",N$45=""),"",IFERROR(CHOOSE(MATCH(SelMeasure,MeasureList,0),AVERAGEIFS(INDEX(dData,0,MATCH($B99&amp;CHAR(10)&amp;"Raw Score",dHdr,0)),dClass,N$45)/$D99,AVERAGEIFS(INDEX(dData,0,MATCH($B99&amp;CHAR(10)&amp;"Stanine",dHdr,0)),dClass,N$45),(COUNTIFS(dClass,N$45,INDEX(dData,0,MATCH($B99&amp;CHAR(10)&amp;"Raw Score",dHdr,0)),"&gt;=0")+COUNTIFS(dClass,N$45,INDEX(dData,0,MATCH($B99&amp;CHAR(10)&amp;"Raw Score",dHdr,0)),"A"))/COUNTIF(dClass,N$45)),""))</f>
        <v/>
      </c>
      <c r="O99" s="36" t="str">
        <f>IF(OR($B99="",O$45=""),"",IFERROR(CHOOSE(MATCH(SelMeasure,MeasureList,0),AVERAGEIFS(INDEX(dData,0,MATCH($B99&amp;CHAR(10)&amp;"Raw Score",dHdr,0)),dClass,O$45)/$D99,AVERAGEIFS(INDEX(dData,0,MATCH($B99&amp;CHAR(10)&amp;"Stanine",dHdr,0)),dClass,O$45),(COUNTIFS(dClass,O$45,INDEX(dData,0,MATCH($B99&amp;CHAR(10)&amp;"Raw Score",dHdr,0)),"&gt;=0")+COUNTIFS(dClass,O$45,INDEX(dData,0,MATCH($B99&amp;CHAR(10)&amp;"Raw Score",dHdr,0)),"A"))/COUNTIF(dClass,O$45)),""))</f>
        <v/>
      </c>
    </row>
    <row r="100">
      <c r="B100" s="31" t="str">
        <f>Calc!AA57</f>
        <v/>
      </c>
      <c r="C100" s="57" t="str">
        <f>Calc!AC57</f>
        <v/>
      </c>
      <c r="D100" s="33" t="str">
        <f>Calc!AB57</f>
        <v/>
      </c>
      <c r="E100" s="33" t="str">
        <f>IF($B100="","",IFERROR(COUNT(INDEX(dData,0,MATCH($B100&amp;CHAR(10)&amp;"Raw Score",dHdr,0))),""))</f>
        <v/>
      </c>
      <c r="F100" s="36" t="str">
        <f>IF($B100="","",IFERROR(($E100+COUNTIF(INDEX(dData,0,MATCH($B100&amp;CHAR(10)&amp;"Raw Score",dHdr,0)),"A"))/COUNTA(dLast),""))</f>
        <v/>
      </c>
      <c r="G100" s="58" t="str">
        <f>IF($B100="","",IFERROR(CHOOSE(MATCH(SelMeasure,MeasureList,0),AVERAGE(INDEX(dData,0,MATCH($B100&amp;CHAR(10)&amp;"Raw Score",dHdr,0)))/$D100,AVERAGE(INDEX(dData,0,MATCH($B100&amp;CHAR(10)&amp;"Stanine",dHdr,0))),$F100),""))</f>
        <v/>
      </c>
      <c r="H100" s="36" t="str">
        <f>IF(OR($B100="",H$45=""),"",IFERROR(CHOOSE(MATCH(SelMeasure,MeasureList,0),AVERAGEIFS(INDEX(dData,0,MATCH($B100&amp;CHAR(10)&amp;"Raw Score",dHdr,0)),dClass,H$45)/$D100,AVERAGEIFS(INDEX(dData,0,MATCH($B100&amp;CHAR(10)&amp;"Stanine",dHdr,0)),dClass,H$45),(COUNTIFS(dClass,H$45,INDEX(dData,0,MATCH($B100&amp;CHAR(10)&amp;"Raw Score",dHdr,0)),"&gt;=0")+COUNTIFS(dClass,H$45,INDEX(dData,0,MATCH($B100&amp;CHAR(10)&amp;"Raw Score",dHdr,0)),"A"))/COUNTIF(dClass,H$45)),""))</f>
        <v/>
      </c>
      <c r="I100" s="36" t="str">
        <f>IF(OR($B100="",I$45=""),"",IFERROR(CHOOSE(MATCH(SelMeasure,MeasureList,0),AVERAGEIFS(INDEX(dData,0,MATCH($B100&amp;CHAR(10)&amp;"Raw Score",dHdr,0)),dClass,I$45)/$D100,AVERAGEIFS(INDEX(dData,0,MATCH($B100&amp;CHAR(10)&amp;"Stanine",dHdr,0)),dClass,I$45),(COUNTIFS(dClass,I$45,INDEX(dData,0,MATCH($B100&amp;CHAR(10)&amp;"Raw Score",dHdr,0)),"&gt;=0")+COUNTIFS(dClass,I$45,INDEX(dData,0,MATCH($B100&amp;CHAR(10)&amp;"Raw Score",dHdr,0)),"A"))/COUNTIF(dClass,I$45)),""))</f>
        <v/>
      </c>
      <c r="J100" s="36" t="str">
        <f>IF(OR($B100="",J$45=""),"",IFERROR(CHOOSE(MATCH(SelMeasure,MeasureList,0),AVERAGEIFS(INDEX(dData,0,MATCH($B100&amp;CHAR(10)&amp;"Raw Score",dHdr,0)),dClass,J$45)/$D100,AVERAGEIFS(INDEX(dData,0,MATCH($B100&amp;CHAR(10)&amp;"Stanine",dHdr,0)),dClass,J$45),(COUNTIFS(dClass,J$45,INDEX(dData,0,MATCH($B100&amp;CHAR(10)&amp;"Raw Score",dHdr,0)),"&gt;=0")+COUNTIFS(dClass,J$45,INDEX(dData,0,MATCH($B100&amp;CHAR(10)&amp;"Raw Score",dHdr,0)),"A"))/COUNTIF(dClass,J$45)),""))</f>
        <v/>
      </c>
      <c r="K100" s="36" t="str">
        <f>IF(OR($B100="",K$45=""),"",IFERROR(CHOOSE(MATCH(SelMeasure,MeasureList,0),AVERAGEIFS(INDEX(dData,0,MATCH($B100&amp;CHAR(10)&amp;"Raw Score",dHdr,0)),dClass,K$45)/$D100,AVERAGEIFS(INDEX(dData,0,MATCH($B100&amp;CHAR(10)&amp;"Stanine",dHdr,0)),dClass,K$45),(COUNTIFS(dClass,K$45,INDEX(dData,0,MATCH($B100&amp;CHAR(10)&amp;"Raw Score",dHdr,0)),"&gt;=0")+COUNTIFS(dClass,K$45,INDEX(dData,0,MATCH($B100&amp;CHAR(10)&amp;"Raw Score",dHdr,0)),"A"))/COUNTIF(dClass,K$45)),""))</f>
        <v/>
      </c>
      <c r="L100" s="36" t="str">
        <f>IF(OR($B100="",L$45=""),"",IFERROR(CHOOSE(MATCH(SelMeasure,MeasureList,0),AVERAGEIFS(INDEX(dData,0,MATCH($B100&amp;CHAR(10)&amp;"Raw Score",dHdr,0)),dClass,L$45)/$D100,AVERAGEIFS(INDEX(dData,0,MATCH($B100&amp;CHAR(10)&amp;"Stanine",dHdr,0)),dClass,L$45),(COUNTIFS(dClass,L$45,INDEX(dData,0,MATCH($B100&amp;CHAR(10)&amp;"Raw Score",dHdr,0)),"&gt;=0")+COUNTIFS(dClass,L$45,INDEX(dData,0,MATCH($B100&amp;CHAR(10)&amp;"Raw Score",dHdr,0)),"A"))/COUNTIF(dClass,L$45)),""))</f>
        <v/>
      </c>
      <c r="M100" s="36" t="str">
        <f>IF(OR($B100="",M$45=""),"",IFERROR(CHOOSE(MATCH(SelMeasure,MeasureList,0),AVERAGEIFS(INDEX(dData,0,MATCH($B100&amp;CHAR(10)&amp;"Raw Score",dHdr,0)),dClass,M$45)/$D100,AVERAGEIFS(INDEX(dData,0,MATCH($B100&amp;CHAR(10)&amp;"Stanine",dHdr,0)),dClass,M$45),(COUNTIFS(dClass,M$45,INDEX(dData,0,MATCH($B100&amp;CHAR(10)&amp;"Raw Score",dHdr,0)),"&gt;=0")+COUNTIFS(dClass,M$45,INDEX(dData,0,MATCH($B100&amp;CHAR(10)&amp;"Raw Score",dHdr,0)),"A"))/COUNTIF(dClass,M$45)),""))</f>
        <v/>
      </c>
      <c r="N100" s="36" t="str">
        <f>IF(OR($B100="",N$45=""),"",IFERROR(CHOOSE(MATCH(SelMeasure,MeasureList,0),AVERAGEIFS(INDEX(dData,0,MATCH($B100&amp;CHAR(10)&amp;"Raw Score",dHdr,0)),dClass,N$45)/$D100,AVERAGEIFS(INDEX(dData,0,MATCH($B100&amp;CHAR(10)&amp;"Stanine",dHdr,0)),dClass,N$45),(COUNTIFS(dClass,N$45,INDEX(dData,0,MATCH($B100&amp;CHAR(10)&amp;"Raw Score",dHdr,0)),"&gt;=0")+COUNTIFS(dClass,N$45,INDEX(dData,0,MATCH($B100&amp;CHAR(10)&amp;"Raw Score",dHdr,0)),"A"))/COUNTIF(dClass,N$45)),""))</f>
        <v/>
      </c>
      <c r="O100" s="36" t="str">
        <f>IF(OR($B100="",O$45=""),"",IFERROR(CHOOSE(MATCH(SelMeasure,MeasureList,0),AVERAGEIFS(INDEX(dData,0,MATCH($B100&amp;CHAR(10)&amp;"Raw Score",dHdr,0)),dClass,O$45)/$D100,AVERAGEIFS(INDEX(dData,0,MATCH($B100&amp;CHAR(10)&amp;"Stanine",dHdr,0)),dClass,O$45),(COUNTIFS(dClass,O$45,INDEX(dData,0,MATCH($B100&amp;CHAR(10)&amp;"Raw Score",dHdr,0)),"&gt;=0")+COUNTIFS(dClass,O$45,INDEX(dData,0,MATCH($B100&amp;CHAR(10)&amp;"Raw Score",dHdr,0)),"A"))/COUNTIF(dClass,O$45)),""))</f>
        <v/>
      </c>
    </row>
    <row r="101">
      <c r="B101" s="31" t="str">
        <f>Calc!AA58</f>
        <v/>
      </c>
      <c r="C101" s="57" t="str">
        <f>Calc!AC58</f>
        <v/>
      </c>
      <c r="D101" s="33" t="str">
        <f>Calc!AB58</f>
        <v/>
      </c>
      <c r="E101" s="33" t="str">
        <f>IF($B101="","",IFERROR(COUNT(INDEX(dData,0,MATCH($B101&amp;CHAR(10)&amp;"Raw Score",dHdr,0))),""))</f>
        <v/>
      </c>
      <c r="F101" s="36" t="str">
        <f>IF($B101="","",IFERROR(($E101+COUNTIF(INDEX(dData,0,MATCH($B101&amp;CHAR(10)&amp;"Raw Score",dHdr,0)),"A"))/COUNTA(dLast),""))</f>
        <v/>
      </c>
      <c r="G101" s="58" t="str">
        <f>IF($B101="","",IFERROR(CHOOSE(MATCH(SelMeasure,MeasureList,0),AVERAGE(INDEX(dData,0,MATCH($B101&amp;CHAR(10)&amp;"Raw Score",dHdr,0)))/$D101,AVERAGE(INDEX(dData,0,MATCH($B101&amp;CHAR(10)&amp;"Stanine",dHdr,0))),$F101),""))</f>
        <v/>
      </c>
      <c r="H101" s="36" t="str">
        <f>IF(OR($B101="",H$45=""),"",IFERROR(CHOOSE(MATCH(SelMeasure,MeasureList,0),AVERAGEIFS(INDEX(dData,0,MATCH($B101&amp;CHAR(10)&amp;"Raw Score",dHdr,0)),dClass,H$45)/$D101,AVERAGEIFS(INDEX(dData,0,MATCH($B101&amp;CHAR(10)&amp;"Stanine",dHdr,0)),dClass,H$45),(COUNTIFS(dClass,H$45,INDEX(dData,0,MATCH($B101&amp;CHAR(10)&amp;"Raw Score",dHdr,0)),"&gt;=0")+COUNTIFS(dClass,H$45,INDEX(dData,0,MATCH($B101&amp;CHAR(10)&amp;"Raw Score",dHdr,0)),"A"))/COUNTIF(dClass,H$45)),""))</f>
        <v/>
      </c>
      <c r="I101" s="36" t="str">
        <f>IF(OR($B101="",I$45=""),"",IFERROR(CHOOSE(MATCH(SelMeasure,MeasureList,0),AVERAGEIFS(INDEX(dData,0,MATCH($B101&amp;CHAR(10)&amp;"Raw Score",dHdr,0)),dClass,I$45)/$D101,AVERAGEIFS(INDEX(dData,0,MATCH($B101&amp;CHAR(10)&amp;"Stanine",dHdr,0)),dClass,I$45),(COUNTIFS(dClass,I$45,INDEX(dData,0,MATCH($B101&amp;CHAR(10)&amp;"Raw Score",dHdr,0)),"&gt;=0")+COUNTIFS(dClass,I$45,INDEX(dData,0,MATCH($B101&amp;CHAR(10)&amp;"Raw Score",dHdr,0)),"A"))/COUNTIF(dClass,I$45)),""))</f>
        <v/>
      </c>
      <c r="J101" s="36" t="str">
        <f>IF(OR($B101="",J$45=""),"",IFERROR(CHOOSE(MATCH(SelMeasure,MeasureList,0),AVERAGEIFS(INDEX(dData,0,MATCH($B101&amp;CHAR(10)&amp;"Raw Score",dHdr,0)),dClass,J$45)/$D101,AVERAGEIFS(INDEX(dData,0,MATCH($B101&amp;CHAR(10)&amp;"Stanine",dHdr,0)),dClass,J$45),(COUNTIFS(dClass,J$45,INDEX(dData,0,MATCH($B101&amp;CHAR(10)&amp;"Raw Score",dHdr,0)),"&gt;=0")+COUNTIFS(dClass,J$45,INDEX(dData,0,MATCH($B101&amp;CHAR(10)&amp;"Raw Score",dHdr,0)),"A"))/COUNTIF(dClass,J$45)),""))</f>
        <v/>
      </c>
      <c r="K101" s="36" t="str">
        <f>IF(OR($B101="",K$45=""),"",IFERROR(CHOOSE(MATCH(SelMeasure,MeasureList,0),AVERAGEIFS(INDEX(dData,0,MATCH($B101&amp;CHAR(10)&amp;"Raw Score",dHdr,0)),dClass,K$45)/$D101,AVERAGEIFS(INDEX(dData,0,MATCH($B101&amp;CHAR(10)&amp;"Stanine",dHdr,0)),dClass,K$45),(COUNTIFS(dClass,K$45,INDEX(dData,0,MATCH($B101&amp;CHAR(10)&amp;"Raw Score",dHdr,0)),"&gt;=0")+COUNTIFS(dClass,K$45,INDEX(dData,0,MATCH($B101&amp;CHAR(10)&amp;"Raw Score",dHdr,0)),"A"))/COUNTIF(dClass,K$45)),""))</f>
        <v/>
      </c>
      <c r="L101" s="36" t="str">
        <f>IF(OR($B101="",L$45=""),"",IFERROR(CHOOSE(MATCH(SelMeasure,MeasureList,0),AVERAGEIFS(INDEX(dData,0,MATCH($B101&amp;CHAR(10)&amp;"Raw Score",dHdr,0)),dClass,L$45)/$D101,AVERAGEIFS(INDEX(dData,0,MATCH($B101&amp;CHAR(10)&amp;"Stanine",dHdr,0)),dClass,L$45),(COUNTIFS(dClass,L$45,INDEX(dData,0,MATCH($B101&amp;CHAR(10)&amp;"Raw Score",dHdr,0)),"&gt;=0")+COUNTIFS(dClass,L$45,INDEX(dData,0,MATCH($B101&amp;CHAR(10)&amp;"Raw Score",dHdr,0)),"A"))/COUNTIF(dClass,L$45)),""))</f>
        <v/>
      </c>
      <c r="M101" s="36" t="str">
        <f>IF(OR($B101="",M$45=""),"",IFERROR(CHOOSE(MATCH(SelMeasure,MeasureList,0),AVERAGEIFS(INDEX(dData,0,MATCH($B101&amp;CHAR(10)&amp;"Raw Score",dHdr,0)),dClass,M$45)/$D101,AVERAGEIFS(INDEX(dData,0,MATCH($B101&amp;CHAR(10)&amp;"Stanine",dHdr,0)),dClass,M$45),(COUNTIFS(dClass,M$45,INDEX(dData,0,MATCH($B101&amp;CHAR(10)&amp;"Raw Score",dHdr,0)),"&gt;=0")+COUNTIFS(dClass,M$45,INDEX(dData,0,MATCH($B101&amp;CHAR(10)&amp;"Raw Score",dHdr,0)),"A"))/COUNTIF(dClass,M$45)),""))</f>
        <v/>
      </c>
      <c r="N101" s="36" t="str">
        <f>IF(OR($B101="",N$45=""),"",IFERROR(CHOOSE(MATCH(SelMeasure,MeasureList,0),AVERAGEIFS(INDEX(dData,0,MATCH($B101&amp;CHAR(10)&amp;"Raw Score",dHdr,0)),dClass,N$45)/$D101,AVERAGEIFS(INDEX(dData,0,MATCH($B101&amp;CHAR(10)&amp;"Stanine",dHdr,0)),dClass,N$45),(COUNTIFS(dClass,N$45,INDEX(dData,0,MATCH($B101&amp;CHAR(10)&amp;"Raw Score",dHdr,0)),"&gt;=0")+COUNTIFS(dClass,N$45,INDEX(dData,0,MATCH($B101&amp;CHAR(10)&amp;"Raw Score",dHdr,0)),"A"))/COUNTIF(dClass,N$45)),""))</f>
        <v/>
      </c>
      <c r="O101" s="36" t="str">
        <f>IF(OR($B101="",O$45=""),"",IFERROR(CHOOSE(MATCH(SelMeasure,MeasureList,0),AVERAGEIFS(INDEX(dData,0,MATCH($B101&amp;CHAR(10)&amp;"Raw Score",dHdr,0)),dClass,O$45)/$D101,AVERAGEIFS(INDEX(dData,0,MATCH($B101&amp;CHAR(10)&amp;"Stanine",dHdr,0)),dClass,O$45),(COUNTIFS(dClass,O$45,INDEX(dData,0,MATCH($B101&amp;CHAR(10)&amp;"Raw Score",dHdr,0)),"&gt;=0")+COUNTIFS(dClass,O$45,INDEX(dData,0,MATCH($B101&amp;CHAR(10)&amp;"Raw Score",dHdr,0)),"A"))/COUNTIF(dClass,O$45)),""))</f>
        <v/>
      </c>
    </row>
    <row r="102">
      <c r="B102" s="31" t="str">
        <f>Calc!AA59</f>
        <v/>
      </c>
      <c r="C102" s="57" t="str">
        <f>Calc!AC59</f>
        <v/>
      </c>
      <c r="D102" s="33" t="str">
        <f>Calc!AB59</f>
        <v/>
      </c>
      <c r="E102" s="33" t="str">
        <f>IF($B102="","",IFERROR(COUNT(INDEX(dData,0,MATCH($B102&amp;CHAR(10)&amp;"Raw Score",dHdr,0))),""))</f>
        <v/>
      </c>
      <c r="F102" s="36" t="str">
        <f>IF($B102="","",IFERROR(($E102+COUNTIF(INDEX(dData,0,MATCH($B102&amp;CHAR(10)&amp;"Raw Score",dHdr,0)),"A"))/COUNTA(dLast),""))</f>
        <v/>
      </c>
      <c r="G102" s="58" t="str">
        <f>IF($B102="","",IFERROR(CHOOSE(MATCH(SelMeasure,MeasureList,0),AVERAGE(INDEX(dData,0,MATCH($B102&amp;CHAR(10)&amp;"Raw Score",dHdr,0)))/$D102,AVERAGE(INDEX(dData,0,MATCH($B102&amp;CHAR(10)&amp;"Stanine",dHdr,0))),$F102),""))</f>
        <v/>
      </c>
      <c r="H102" s="36" t="str">
        <f>IF(OR($B102="",H$45=""),"",IFERROR(CHOOSE(MATCH(SelMeasure,MeasureList,0),AVERAGEIFS(INDEX(dData,0,MATCH($B102&amp;CHAR(10)&amp;"Raw Score",dHdr,0)),dClass,H$45)/$D102,AVERAGEIFS(INDEX(dData,0,MATCH($B102&amp;CHAR(10)&amp;"Stanine",dHdr,0)),dClass,H$45),(COUNTIFS(dClass,H$45,INDEX(dData,0,MATCH($B102&amp;CHAR(10)&amp;"Raw Score",dHdr,0)),"&gt;=0")+COUNTIFS(dClass,H$45,INDEX(dData,0,MATCH($B102&amp;CHAR(10)&amp;"Raw Score",dHdr,0)),"A"))/COUNTIF(dClass,H$45)),""))</f>
        <v/>
      </c>
      <c r="I102" s="36" t="str">
        <f>IF(OR($B102="",I$45=""),"",IFERROR(CHOOSE(MATCH(SelMeasure,MeasureList,0),AVERAGEIFS(INDEX(dData,0,MATCH($B102&amp;CHAR(10)&amp;"Raw Score",dHdr,0)),dClass,I$45)/$D102,AVERAGEIFS(INDEX(dData,0,MATCH($B102&amp;CHAR(10)&amp;"Stanine",dHdr,0)),dClass,I$45),(COUNTIFS(dClass,I$45,INDEX(dData,0,MATCH($B102&amp;CHAR(10)&amp;"Raw Score",dHdr,0)),"&gt;=0")+COUNTIFS(dClass,I$45,INDEX(dData,0,MATCH($B102&amp;CHAR(10)&amp;"Raw Score",dHdr,0)),"A"))/COUNTIF(dClass,I$45)),""))</f>
        <v/>
      </c>
      <c r="J102" s="36" t="str">
        <f>IF(OR($B102="",J$45=""),"",IFERROR(CHOOSE(MATCH(SelMeasure,MeasureList,0),AVERAGEIFS(INDEX(dData,0,MATCH($B102&amp;CHAR(10)&amp;"Raw Score",dHdr,0)),dClass,J$45)/$D102,AVERAGEIFS(INDEX(dData,0,MATCH($B102&amp;CHAR(10)&amp;"Stanine",dHdr,0)),dClass,J$45),(COUNTIFS(dClass,J$45,INDEX(dData,0,MATCH($B102&amp;CHAR(10)&amp;"Raw Score",dHdr,0)),"&gt;=0")+COUNTIFS(dClass,J$45,INDEX(dData,0,MATCH($B102&amp;CHAR(10)&amp;"Raw Score",dHdr,0)),"A"))/COUNTIF(dClass,J$45)),""))</f>
        <v/>
      </c>
      <c r="K102" s="36" t="str">
        <f>IF(OR($B102="",K$45=""),"",IFERROR(CHOOSE(MATCH(SelMeasure,MeasureList,0),AVERAGEIFS(INDEX(dData,0,MATCH($B102&amp;CHAR(10)&amp;"Raw Score",dHdr,0)),dClass,K$45)/$D102,AVERAGEIFS(INDEX(dData,0,MATCH($B102&amp;CHAR(10)&amp;"Stanine",dHdr,0)),dClass,K$45),(COUNTIFS(dClass,K$45,INDEX(dData,0,MATCH($B102&amp;CHAR(10)&amp;"Raw Score",dHdr,0)),"&gt;=0")+COUNTIFS(dClass,K$45,INDEX(dData,0,MATCH($B102&amp;CHAR(10)&amp;"Raw Score",dHdr,0)),"A"))/COUNTIF(dClass,K$45)),""))</f>
        <v/>
      </c>
      <c r="L102" s="36" t="str">
        <f>IF(OR($B102="",L$45=""),"",IFERROR(CHOOSE(MATCH(SelMeasure,MeasureList,0),AVERAGEIFS(INDEX(dData,0,MATCH($B102&amp;CHAR(10)&amp;"Raw Score",dHdr,0)),dClass,L$45)/$D102,AVERAGEIFS(INDEX(dData,0,MATCH($B102&amp;CHAR(10)&amp;"Stanine",dHdr,0)),dClass,L$45),(COUNTIFS(dClass,L$45,INDEX(dData,0,MATCH($B102&amp;CHAR(10)&amp;"Raw Score",dHdr,0)),"&gt;=0")+COUNTIFS(dClass,L$45,INDEX(dData,0,MATCH($B102&amp;CHAR(10)&amp;"Raw Score",dHdr,0)),"A"))/COUNTIF(dClass,L$45)),""))</f>
        <v/>
      </c>
      <c r="M102" s="36" t="str">
        <f>IF(OR($B102="",M$45=""),"",IFERROR(CHOOSE(MATCH(SelMeasure,MeasureList,0),AVERAGEIFS(INDEX(dData,0,MATCH($B102&amp;CHAR(10)&amp;"Raw Score",dHdr,0)),dClass,M$45)/$D102,AVERAGEIFS(INDEX(dData,0,MATCH($B102&amp;CHAR(10)&amp;"Stanine",dHdr,0)),dClass,M$45),(COUNTIFS(dClass,M$45,INDEX(dData,0,MATCH($B102&amp;CHAR(10)&amp;"Raw Score",dHdr,0)),"&gt;=0")+COUNTIFS(dClass,M$45,INDEX(dData,0,MATCH($B102&amp;CHAR(10)&amp;"Raw Score",dHdr,0)),"A"))/COUNTIF(dClass,M$45)),""))</f>
        <v/>
      </c>
      <c r="N102" s="36" t="str">
        <f>IF(OR($B102="",N$45=""),"",IFERROR(CHOOSE(MATCH(SelMeasure,MeasureList,0),AVERAGEIFS(INDEX(dData,0,MATCH($B102&amp;CHAR(10)&amp;"Raw Score",dHdr,0)),dClass,N$45)/$D102,AVERAGEIFS(INDEX(dData,0,MATCH($B102&amp;CHAR(10)&amp;"Stanine",dHdr,0)),dClass,N$45),(COUNTIFS(dClass,N$45,INDEX(dData,0,MATCH($B102&amp;CHAR(10)&amp;"Raw Score",dHdr,0)),"&gt;=0")+COUNTIFS(dClass,N$45,INDEX(dData,0,MATCH($B102&amp;CHAR(10)&amp;"Raw Score",dHdr,0)),"A"))/COUNTIF(dClass,N$45)),""))</f>
        <v/>
      </c>
      <c r="O102" s="36" t="str">
        <f>IF(OR($B102="",O$45=""),"",IFERROR(CHOOSE(MATCH(SelMeasure,MeasureList,0),AVERAGEIFS(INDEX(dData,0,MATCH($B102&amp;CHAR(10)&amp;"Raw Score",dHdr,0)),dClass,O$45)/$D102,AVERAGEIFS(INDEX(dData,0,MATCH($B102&amp;CHAR(10)&amp;"Stanine",dHdr,0)),dClass,O$45),(COUNTIFS(dClass,O$45,INDEX(dData,0,MATCH($B102&amp;CHAR(10)&amp;"Raw Score",dHdr,0)),"&gt;=0")+COUNTIFS(dClass,O$45,INDEX(dData,0,MATCH($B102&amp;CHAR(10)&amp;"Raw Score",dHdr,0)),"A"))/COUNTIF(dClass,O$45)),""))</f>
        <v/>
      </c>
    </row>
    <row r="103">
      <c r="B103" s="31" t="str">
        <f>Calc!AA60</f>
        <v/>
      </c>
      <c r="C103" s="57" t="str">
        <f>Calc!AC60</f>
        <v/>
      </c>
      <c r="D103" s="33" t="str">
        <f>Calc!AB60</f>
        <v/>
      </c>
      <c r="E103" s="33" t="str">
        <f>IF($B103="","",IFERROR(COUNT(INDEX(dData,0,MATCH($B103&amp;CHAR(10)&amp;"Raw Score",dHdr,0))),""))</f>
        <v/>
      </c>
      <c r="F103" s="36" t="str">
        <f>IF($B103="","",IFERROR(($E103+COUNTIF(INDEX(dData,0,MATCH($B103&amp;CHAR(10)&amp;"Raw Score",dHdr,0)),"A"))/COUNTA(dLast),""))</f>
        <v/>
      </c>
      <c r="G103" s="58" t="str">
        <f>IF($B103="","",IFERROR(CHOOSE(MATCH(SelMeasure,MeasureList,0),AVERAGE(INDEX(dData,0,MATCH($B103&amp;CHAR(10)&amp;"Raw Score",dHdr,0)))/$D103,AVERAGE(INDEX(dData,0,MATCH($B103&amp;CHAR(10)&amp;"Stanine",dHdr,0))),$F103),""))</f>
        <v/>
      </c>
      <c r="H103" s="36" t="str">
        <f>IF(OR($B103="",H$45=""),"",IFERROR(CHOOSE(MATCH(SelMeasure,MeasureList,0),AVERAGEIFS(INDEX(dData,0,MATCH($B103&amp;CHAR(10)&amp;"Raw Score",dHdr,0)),dClass,H$45)/$D103,AVERAGEIFS(INDEX(dData,0,MATCH($B103&amp;CHAR(10)&amp;"Stanine",dHdr,0)),dClass,H$45),(COUNTIFS(dClass,H$45,INDEX(dData,0,MATCH($B103&amp;CHAR(10)&amp;"Raw Score",dHdr,0)),"&gt;=0")+COUNTIFS(dClass,H$45,INDEX(dData,0,MATCH($B103&amp;CHAR(10)&amp;"Raw Score",dHdr,0)),"A"))/COUNTIF(dClass,H$45)),""))</f>
        <v/>
      </c>
      <c r="I103" s="36" t="str">
        <f>IF(OR($B103="",I$45=""),"",IFERROR(CHOOSE(MATCH(SelMeasure,MeasureList,0),AVERAGEIFS(INDEX(dData,0,MATCH($B103&amp;CHAR(10)&amp;"Raw Score",dHdr,0)),dClass,I$45)/$D103,AVERAGEIFS(INDEX(dData,0,MATCH($B103&amp;CHAR(10)&amp;"Stanine",dHdr,0)),dClass,I$45),(COUNTIFS(dClass,I$45,INDEX(dData,0,MATCH($B103&amp;CHAR(10)&amp;"Raw Score",dHdr,0)),"&gt;=0")+COUNTIFS(dClass,I$45,INDEX(dData,0,MATCH($B103&amp;CHAR(10)&amp;"Raw Score",dHdr,0)),"A"))/COUNTIF(dClass,I$45)),""))</f>
        <v/>
      </c>
      <c r="J103" s="36" t="str">
        <f>IF(OR($B103="",J$45=""),"",IFERROR(CHOOSE(MATCH(SelMeasure,MeasureList,0),AVERAGEIFS(INDEX(dData,0,MATCH($B103&amp;CHAR(10)&amp;"Raw Score",dHdr,0)),dClass,J$45)/$D103,AVERAGEIFS(INDEX(dData,0,MATCH($B103&amp;CHAR(10)&amp;"Stanine",dHdr,0)),dClass,J$45),(COUNTIFS(dClass,J$45,INDEX(dData,0,MATCH($B103&amp;CHAR(10)&amp;"Raw Score",dHdr,0)),"&gt;=0")+COUNTIFS(dClass,J$45,INDEX(dData,0,MATCH($B103&amp;CHAR(10)&amp;"Raw Score",dHdr,0)),"A"))/COUNTIF(dClass,J$45)),""))</f>
        <v/>
      </c>
      <c r="K103" s="36" t="str">
        <f>IF(OR($B103="",K$45=""),"",IFERROR(CHOOSE(MATCH(SelMeasure,MeasureList,0),AVERAGEIFS(INDEX(dData,0,MATCH($B103&amp;CHAR(10)&amp;"Raw Score",dHdr,0)),dClass,K$45)/$D103,AVERAGEIFS(INDEX(dData,0,MATCH($B103&amp;CHAR(10)&amp;"Stanine",dHdr,0)),dClass,K$45),(COUNTIFS(dClass,K$45,INDEX(dData,0,MATCH($B103&amp;CHAR(10)&amp;"Raw Score",dHdr,0)),"&gt;=0")+COUNTIFS(dClass,K$45,INDEX(dData,0,MATCH($B103&amp;CHAR(10)&amp;"Raw Score",dHdr,0)),"A"))/COUNTIF(dClass,K$45)),""))</f>
        <v/>
      </c>
      <c r="L103" s="36" t="str">
        <f>IF(OR($B103="",L$45=""),"",IFERROR(CHOOSE(MATCH(SelMeasure,MeasureList,0),AVERAGEIFS(INDEX(dData,0,MATCH($B103&amp;CHAR(10)&amp;"Raw Score",dHdr,0)),dClass,L$45)/$D103,AVERAGEIFS(INDEX(dData,0,MATCH($B103&amp;CHAR(10)&amp;"Stanine",dHdr,0)),dClass,L$45),(COUNTIFS(dClass,L$45,INDEX(dData,0,MATCH($B103&amp;CHAR(10)&amp;"Raw Score",dHdr,0)),"&gt;=0")+COUNTIFS(dClass,L$45,INDEX(dData,0,MATCH($B103&amp;CHAR(10)&amp;"Raw Score",dHdr,0)),"A"))/COUNTIF(dClass,L$45)),""))</f>
        <v/>
      </c>
      <c r="M103" s="36" t="str">
        <f>IF(OR($B103="",M$45=""),"",IFERROR(CHOOSE(MATCH(SelMeasure,MeasureList,0),AVERAGEIFS(INDEX(dData,0,MATCH($B103&amp;CHAR(10)&amp;"Raw Score",dHdr,0)),dClass,M$45)/$D103,AVERAGEIFS(INDEX(dData,0,MATCH($B103&amp;CHAR(10)&amp;"Stanine",dHdr,0)),dClass,M$45),(COUNTIFS(dClass,M$45,INDEX(dData,0,MATCH($B103&amp;CHAR(10)&amp;"Raw Score",dHdr,0)),"&gt;=0")+COUNTIFS(dClass,M$45,INDEX(dData,0,MATCH($B103&amp;CHAR(10)&amp;"Raw Score",dHdr,0)),"A"))/COUNTIF(dClass,M$45)),""))</f>
        <v/>
      </c>
      <c r="N103" s="36" t="str">
        <f>IF(OR($B103="",N$45=""),"",IFERROR(CHOOSE(MATCH(SelMeasure,MeasureList,0),AVERAGEIFS(INDEX(dData,0,MATCH($B103&amp;CHAR(10)&amp;"Raw Score",dHdr,0)),dClass,N$45)/$D103,AVERAGEIFS(INDEX(dData,0,MATCH($B103&amp;CHAR(10)&amp;"Stanine",dHdr,0)),dClass,N$45),(COUNTIFS(dClass,N$45,INDEX(dData,0,MATCH($B103&amp;CHAR(10)&amp;"Raw Score",dHdr,0)),"&gt;=0")+COUNTIFS(dClass,N$45,INDEX(dData,0,MATCH($B103&amp;CHAR(10)&amp;"Raw Score",dHdr,0)),"A"))/COUNTIF(dClass,N$45)),""))</f>
        <v/>
      </c>
      <c r="O103" s="36" t="str">
        <f>IF(OR($B103="",O$45=""),"",IFERROR(CHOOSE(MATCH(SelMeasure,MeasureList,0),AVERAGEIFS(INDEX(dData,0,MATCH($B103&amp;CHAR(10)&amp;"Raw Score",dHdr,0)),dClass,O$45)/$D103,AVERAGEIFS(INDEX(dData,0,MATCH($B103&amp;CHAR(10)&amp;"Stanine",dHdr,0)),dClass,O$45),(COUNTIFS(dClass,O$45,INDEX(dData,0,MATCH($B103&amp;CHAR(10)&amp;"Raw Score",dHdr,0)),"&gt;=0")+COUNTIFS(dClass,O$45,INDEX(dData,0,MATCH($B103&amp;CHAR(10)&amp;"Raw Score",dHdr,0)),"A"))/COUNTIF(dClass,O$45)),""))</f>
        <v/>
      </c>
    </row>
    <row r="104">
      <c r="B104" s="31" t="str">
        <f>Calc!AA61</f>
        <v/>
      </c>
      <c r="C104" s="57" t="str">
        <f>Calc!AC61</f>
        <v/>
      </c>
      <c r="D104" s="33" t="str">
        <f>Calc!AB61</f>
        <v/>
      </c>
      <c r="E104" s="33" t="str">
        <f>IF($B104="","",IFERROR(COUNT(INDEX(dData,0,MATCH($B104&amp;CHAR(10)&amp;"Raw Score",dHdr,0))),""))</f>
        <v/>
      </c>
      <c r="F104" s="36" t="str">
        <f>IF($B104="","",IFERROR(($E104+COUNTIF(INDEX(dData,0,MATCH($B104&amp;CHAR(10)&amp;"Raw Score",dHdr,0)),"A"))/COUNTA(dLast),""))</f>
        <v/>
      </c>
      <c r="G104" s="58" t="str">
        <f>IF($B104="","",IFERROR(CHOOSE(MATCH(SelMeasure,MeasureList,0),AVERAGE(INDEX(dData,0,MATCH($B104&amp;CHAR(10)&amp;"Raw Score",dHdr,0)))/$D104,AVERAGE(INDEX(dData,0,MATCH($B104&amp;CHAR(10)&amp;"Stanine",dHdr,0))),$F104),""))</f>
        <v/>
      </c>
      <c r="H104" s="36" t="str">
        <f>IF(OR($B104="",H$45=""),"",IFERROR(CHOOSE(MATCH(SelMeasure,MeasureList,0),AVERAGEIFS(INDEX(dData,0,MATCH($B104&amp;CHAR(10)&amp;"Raw Score",dHdr,0)),dClass,H$45)/$D104,AVERAGEIFS(INDEX(dData,0,MATCH($B104&amp;CHAR(10)&amp;"Stanine",dHdr,0)),dClass,H$45),(COUNTIFS(dClass,H$45,INDEX(dData,0,MATCH($B104&amp;CHAR(10)&amp;"Raw Score",dHdr,0)),"&gt;=0")+COUNTIFS(dClass,H$45,INDEX(dData,0,MATCH($B104&amp;CHAR(10)&amp;"Raw Score",dHdr,0)),"A"))/COUNTIF(dClass,H$45)),""))</f>
        <v/>
      </c>
      <c r="I104" s="36" t="str">
        <f>IF(OR($B104="",I$45=""),"",IFERROR(CHOOSE(MATCH(SelMeasure,MeasureList,0),AVERAGEIFS(INDEX(dData,0,MATCH($B104&amp;CHAR(10)&amp;"Raw Score",dHdr,0)),dClass,I$45)/$D104,AVERAGEIFS(INDEX(dData,0,MATCH($B104&amp;CHAR(10)&amp;"Stanine",dHdr,0)),dClass,I$45),(COUNTIFS(dClass,I$45,INDEX(dData,0,MATCH($B104&amp;CHAR(10)&amp;"Raw Score",dHdr,0)),"&gt;=0")+COUNTIFS(dClass,I$45,INDEX(dData,0,MATCH($B104&amp;CHAR(10)&amp;"Raw Score",dHdr,0)),"A"))/COUNTIF(dClass,I$45)),""))</f>
        <v/>
      </c>
      <c r="J104" s="36" t="str">
        <f>IF(OR($B104="",J$45=""),"",IFERROR(CHOOSE(MATCH(SelMeasure,MeasureList,0),AVERAGEIFS(INDEX(dData,0,MATCH($B104&amp;CHAR(10)&amp;"Raw Score",dHdr,0)),dClass,J$45)/$D104,AVERAGEIFS(INDEX(dData,0,MATCH($B104&amp;CHAR(10)&amp;"Stanine",dHdr,0)),dClass,J$45),(COUNTIFS(dClass,J$45,INDEX(dData,0,MATCH($B104&amp;CHAR(10)&amp;"Raw Score",dHdr,0)),"&gt;=0")+COUNTIFS(dClass,J$45,INDEX(dData,0,MATCH($B104&amp;CHAR(10)&amp;"Raw Score",dHdr,0)),"A"))/COUNTIF(dClass,J$45)),""))</f>
        <v/>
      </c>
      <c r="K104" s="36" t="str">
        <f>IF(OR($B104="",K$45=""),"",IFERROR(CHOOSE(MATCH(SelMeasure,MeasureList,0),AVERAGEIFS(INDEX(dData,0,MATCH($B104&amp;CHAR(10)&amp;"Raw Score",dHdr,0)),dClass,K$45)/$D104,AVERAGEIFS(INDEX(dData,0,MATCH($B104&amp;CHAR(10)&amp;"Stanine",dHdr,0)),dClass,K$45),(COUNTIFS(dClass,K$45,INDEX(dData,0,MATCH($B104&amp;CHAR(10)&amp;"Raw Score",dHdr,0)),"&gt;=0")+COUNTIFS(dClass,K$45,INDEX(dData,0,MATCH($B104&amp;CHAR(10)&amp;"Raw Score",dHdr,0)),"A"))/COUNTIF(dClass,K$45)),""))</f>
        <v/>
      </c>
      <c r="L104" s="36" t="str">
        <f>IF(OR($B104="",L$45=""),"",IFERROR(CHOOSE(MATCH(SelMeasure,MeasureList,0),AVERAGEIFS(INDEX(dData,0,MATCH($B104&amp;CHAR(10)&amp;"Raw Score",dHdr,0)),dClass,L$45)/$D104,AVERAGEIFS(INDEX(dData,0,MATCH($B104&amp;CHAR(10)&amp;"Stanine",dHdr,0)),dClass,L$45),(COUNTIFS(dClass,L$45,INDEX(dData,0,MATCH($B104&amp;CHAR(10)&amp;"Raw Score",dHdr,0)),"&gt;=0")+COUNTIFS(dClass,L$45,INDEX(dData,0,MATCH($B104&amp;CHAR(10)&amp;"Raw Score",dHdr,0)),"A"))/COUNTIF(dClass,L$45)),""))</f>
        <v/>
      </c>
      <c r="M104" s="36" t="str">
        <f>IF(OR($B104="",M$45=""),"",IFERROR(CHOOSE(MATCH(SelMeasure,MeasureList,0),AVERAGEIFS(INDEX(dData,0,MATCH($B104&amp;CHAR(10)&amp;"Raw Score",dHdr,0)),dClass,M$45)/$D104,AVERAGEIFS(INDEX(dData,0,MATCH($B104&amp;CHAR(10)&amp;"Stanine",dHdr,0)),dClass,M$45),(COUNTIFS(dClass,M$45,INDEX(dData,0,MATCH($B104&amp;CHAR(10)&amp;"Raw Score",dHdr,0)),"&gt;=0")+COUNTIFS(dClass,M$45,INDEX(dData,0,MATCH($B104&amp;CHAR(10)&amp;"Raw Score",dHdr,0)),"A"))/COUNTIF(dClass,M$45)),""))</f>
        <v/>
      </c>
      <c r="N104" s="36" t="str">
        <f>IF(OR($B104="",N$45=""),"",IFERROR(CHOOSE(MATCH(SelMeasure,MeasureList,0),AVERAGEIFS(INDEX(dData,0,MATCH($B104&amp;CHAR(10)&amp;"Raw Score",dHdr,0)),dClass,N$45)/$D104,AVERAGEIFS(INDEX(dData,0,MATCH($B104&amp;CHAR(10)&amp;"Stanine",dHdr,0)),dClass,N$45),(COUNTIFS(dClass,N$45,INDEX(dData,0,MATCH($B104&amp;CHAR(10)&amp;"Raw Score",dHdr,0)),"&gt;=0")+COUNTIFS(dClass,N$45,INDEX(dData,0,MATCH($B104&amp;CHAR(10)&amp;"Raw Score",dHdr,0)),"A"))/COUNTIF(dClass,N$45)),""))</f>
        <v/>
      </c>
      <c r="O104" s="36" t="str">
        <f>IF(OR($B104="",O$45=""),"",IFERROR(CHOOSE(MATCH(SelMeasure,MeasureList,0),AVERAGEIFS(INDEX(dData,0,MATCH($B104&amp;CHAR(10)&amp;"Raw Score",dHdr,0)),dClass,O$45)/$D104,AVERAGEIFS(INDEX(dData,0,MATCH($B104&amp;CHAR(10)&amp;"Stanine",dHdr,0)),dClass,O$45),(COUNTIFS(dClass,O$45,INDEX(dData,0,MATCH($B104&amp;CHAR(10)&amp;"Raw Score",dHdr,0)),"&gt;=0")+COUNTIFS(dClass,O$45,INDEX(dData,0,MATCH($B104&amp;CHAR(10)&amp;"Raw Score",dHdr,0)),"A"))/COUNTIF(dClass,O$45)),""))</f>
        <v/>
      </c>
    </row>
    <row r="105">
      <c r="B105" s="31" t="str">
        <f>Calc!AA62</f>
        <v/>
      </c>
      <c r="C105" s="57" t="str">
        <f>Calc!AC62</f>
        <v/>
      </c>
      <c r="D105" s="33" t="str">
        <f>Calc!AB62</f>
        <v/>
      </c>
      <c r="E105" s="33" t="str">
        <f>IF($B105="","",IFERROR(COUNT(INDEX(dData,0,MATCH($B105&amp;CHAR(10)&amp;"Raw Score",dHdr,0))),""))</f>
        <v/>
      </c>
      <c r="F105" s="36" t="str">
        <f>IF($B105="","",IFERROR(($E105+COUNTIF(INDEX(dData,0,MATCH($B105&amp;CHAR(10)&amp;"Raw Score",dHdr,0)),"A"))/COUNTA(dLast),""))</f>
        <v/>
      </c>
      <c r="G105" s="58" t="str">
        <f>IF($B105="","",IFERROR(CHOOSE(MATCH(SelMeasure,MeasureList,0),AVERAGE(INDEX(dData,0,MATCH($B105&amp;CHAR(10)&amp;"Raw Score",dHdr,0)))/$D105,AVERAGE(INDEX(dData,0,MATCH($B105&amp;CHAR(10)&amp;"Stanine",dHdr,0))),$F105),""))</f>
        <v/>
      </c>
      <c r="H105" s="36" t="str">
        <f>IF(OR($B105="",H$45=""),"",IFERROR(CHOOSE(MATCH(SelMeasure,MeasureList,0),AVERAGEIFS(INDEX(dData,0,MATCH($B105&amp;CHAR(10)&amp;"Raw Score",dHdr,0)),dClass,H$45)/$D105,AVERAGEIFS(INDEX(dData,0,MATCH($B105&amp;CHAR(10)&amp;"Stanine",dHdr,0)),dClass,H$45),(COUNTIFS(dClass,H$45,INDEX(dData,0,MATCH($B105&amp;CHAR(10)&amp;"Raw Score",dHdr,0)),"&gt;=0")+COUNTIFS(dClass,H$45,INDEX(dData,0,MATCH($B105&amp;CHAR(10)&amp;"Raw Score",dHdr,0)),"A"))/COUNTIF(dClass,H$45)),""))</f>
        <v/>
      </c>
      <c r="I105" s="36" t="str">
        <f>IF(OR($B105="",I$45=""),"",IFERROR(CHOOSE(MATCH(SelMeasure,MeasureList,0),AVERAGEIFS(INDEX(dData,0,MATCH($B105&amp;CHAR(10)&amp;"Raw Score",dHdr,0)),dClass,I$45)/$D105,AVERAGEIFS(INDEX(dData,0,MATCH($B105&amp;CHAR(10)&amp;"Stanine",dHdr,0)),dClass,I$45),(COUNTIFS(dClass,I$45,INDEX(dData,0,MATCH($B105&amp;CHAR(10)&amp;"Raw Score",dHdr,0)),"&gt;=0")+COUNTIFS(dClass,I$45,INDEX(dData,0,MATCH($B105&amp;CHAR(10)&amp;"Raw Score",dHdr,0)),"A"))/COUNTIF(dClass,I$45)),""))</f>
        <v/>
      </c>
      <c r="J105" s="36" t="str">
        <f>IF(OR($B105="",J$45=""),"",IFERROR(CHOOSE(MATCH(SelMeasure,MeasureList,0),AVERAGEIFS(INDEX(dData,0,MATCH($B105&amp;CHAR(10)&amp;"Raw Score",dHdr,0)),dClass,J$45)/$D105,AVERAGEIFS(INDEX(dData,0,MATCH($B105&amp;CHAR(10)&amp;"Stanine",dHdr,0)),dClass,J$45),(COUNTIFS(dClass,J$45,INDEX(dData,0,MATCH($B105&amp;CHAR(10)&amp;"Raw Score",dHdr,0)),"&gt;=0")+COUNTIFS(dClass,J$45,INDEX(dData,0,MATCH($B105&amp;CHAR(10)&amp;"Raw Score",dHdr,0)),"A"))/COUNTIF(dClass,J$45)),""))</f>
        <v/>
      </c>
      <c r="K105" s="36" t="str">
        <f>IF(OR($B105="",K$45=""),"",IFERROR(CHOOSE(MATCH(SelMeasure,MeasureList,0),AVERAGEIFS(INDEX(dData,0,MATCH($B105&amp;CHAR(10)&amp;"Raw Score",dHdr,0)),dClass,K$45)/$D105,AVERAGEIFS(INDEX(dData,0,MATCH($B105&amp;CHAR(10)&amp;"Stanine",dHdr,0)),dClass,K$45),(COUNTIFS(dClass,K$45,INDEX(dData,0,MATCH($B105&amp;CHAR(10)&amp;"Raw Score",dHdr,0)),"&gt;=0")+COUNTIFS(dClass,K$45,INDEX(dData,0,MATCH($B105&amp;CHAR(10)&amp;"Raw Score",dHdr,0)),"A"))/COUNTIF(dClass,K$45)),""))</f>
        <v/>
      </c>
      <c r="L105" s="36" t="str">
        <f>IF(OR($B105="",L$45=""),"",IFERROR(CHOOSE(MATCH(SelMeasure,MeasureList,0),AVERAGEIFS(INDEX(dData,0,MATCH($B105&amp;CHAR(10)&amp;"Raw Score",dHdr,0)),dClass,L$45)/$D105,AVERAGEIFS(INDEX(dData,0,MATCH($B105&amp;CHAR(10)&amp;"Stanine",dHdr,0)),dClass,L$45),(COUNTIFS(dClass,L$45,INDEX(dData,0,MATCH($B105&amp;CHAR(10)&amp;"Raw Score",dHdr,0)),"&gt;=0")+COUNTIFS(dClass,L$45,INDEX(dData,0,MATCH($B105&amp;CHAR(10)&amp;"Raw Score",dHdr,0)),"A"))/COUNTIF(dClass,L$45)),""))</f>
        <v/>
      </c>
      <c r="M105" s="36" t="str">
        <f>IF(OR($B105="",M$45=""),"",IFERROR(CHOOSE(MATCH(SelMeasure,MeasureList,0),AVERAGEIFS(INDEX(dData,0,MATCH($B105&amp;CHAR(10)&amp;"Raw Score",dHdr,0)),dClass,M$45)/$D105,AVERAGEIFS(INDEX(dData,0,MATCH($B105&amp;CHAR(10)&amp;"Stanine",dHdr,0)),dClass,M$45),(COUNTIFS(dClass,M$45,INDEX(dData,0,MATCH($B105&amp;CHAR(10)&amp;"Raw Score",dHdr,0)),"&gt;=0")+COUNTIFS(dClass,M$45,INDEX(dData,0,MATCH($B105&amp;CHAR(10)&amp;"Raw Score",dHdr,0)),"A"))/COUNTIF(dClass,M$45)),""))</f>
        <v/>
      </c>
      <c r="N105" s="36" t="str">
        <f>IF(OR($B105="",N$45=""),"",IFERROR(CHOOSE(MATCH(SelMeasure,MeasureList,0),AVERAGEIFS(INDEX(dData,0,MATCH($B105&amp;CHAR(10)&amp;"Raw Score",dHdr,0)),dClass,N$45)/$D105,AVERAGEIFS(INDEX(dData,0,MATCH($B105&amp;CHAR(10)&amp;"Stanine",dHdr,0)),dClass,N$45),(COUNTIFS(dClass,N$45,INDEX(dData,0,MATCH($B105&amp;CHAR(10)&amp;"Raw Score",dHdr,0)),"&gt;=0")+COUNTIFS(dClass,N$45,INDEX(dData,0,MATCH($B105&amp;CHAR(10)&amp;"Raw Score",dHdr,0)),"A"))/COUNTIF(dClass,N$45)),""))</f>
        <v/>
      </c>
      <c r="O105" s="36" t="str">
        <f>IF(OR($B105="",O$45=""),"",IFERROR(CHOOSE(MATCH(SelMeasure,MeasureList,0),AVERAGEIFS(INDEX(dData,0,MATCH($B105&amp;CHAR(10)&amp;"Raw Score",dHdr,0)),dClass,O$45)/$D105,AVERAGEIFS(INDEX(dData,0,MATCH($B105&amp;CHAR(10)&amp;"Stanine",dHdr,0)),dClass,O$45),(COUNTIFS(dClass,O$45,INDEX(dData,0,MATCH($B105&amp;CHAR(10)&amp;"Raw Score",dHdr,0)),"&gt;=0")+COUNTIFS(dClass,O$45,INDEX(dData,0,MATCH($B105&amp;CHAR(10)&amp;"Raw Score",dHdr,0)),"A"))/COUNTIF(dClass,O$45)),""))</f>
        <v/>
      </c>
    </row>
  </sheetData>
  <sheetProtection selectLockedCells="0" selectUnlockedCells="0" sheet="1" objects="0" insertRows="1" insertHyperlinks="1" autoFilter="1" scenarios="0" formatColumns="0" deleteColumns="1" insertColumns="1" pivotTables="1" deleteRows="1" formatCells="1" formatRows="0" sort="1"/>
  <mergeCells count="12">
    <mergeCell ref="I4:J4"/>
    <mergeCell ref="O5:Q7"/>
    <mergeCell ref="C6:G6"/>
    <mergeCell ref="K4:L4"/>
    <mergeCell ref="K5:L7"/>
    <mergeCell ref="O4:Q4"/>
    <mergeCell ref="C5:D5"/>
    <mergeCell ref="M5:N7"/>
    <mergeCell ref="C7:E7"/>
    <mergeCell ref="I5:J7"/>
    <mergeCell ref="M4:N4"/>
    <mergeCell ref="C4:D4"/>
  </mergeCells>
  <conditionalFormatting sqref="I13:I20">
    <cfRule type="expression" priority="1" dxfId="0">
      <formula>AND(ISNUMBER(I13),ISNUMBER($I$12),I13-$I$12&gt;=0.1)</formula>
    </cfRule>
    <cfRule type="expression" priority="2" dxfId="1">
      <formula>AND(ISNUMBER(I13),ISNUMBER($I$12),I13-$I$12&gt;=0.03)</formula>
    </cfRule>
    <cfRule type="expression" priority="3" dxfId="2">
      <formula>AND(ISNUMBER(I13),ISNUMBER($I$12),I13-$I$12&lt;=-0.1)</formula>
    </cfRule>
    <cfRule type="expression" priority="4" dxfId="3">
      <formula>AND(ISNUMBER(I13),ISNUMBER($I$12),I13-$I$12&lt;=-0.03)</formula>
    </cfRule>
  </conditionalFormatting>
  <conditionalFormatting sqref="J13:J20">
    <cfRule type="expression" priority="5" dxfId="0">
      <formula>AND(ISNUMBER(J13),ISNUMBER($J$12),J13-$J$12&gt;=1.0)</formula>
    </cfRule>
    <cfRule type="expression" priority="6" dxfId="1">
      <formula>AND(ISNUMBER(J13),ISNUMBER($J$12),J13-$J$12&gt;=0.4)</formula>
    </cfRule>
    <cfRule type="expression" priority="7" dxfId="2">
      <formula>AND(ISNUMBER(J13),ISNUMBER($J$12),J13-$J$12&lt;=-1.0)</formula>
    </cfRule>
    <cfRule type="expression" priority="8" dxfId="3">
      <formula>AND(ISNUMBER(J13),ISNUMBER($J$12),J13-$J$12&lt;=-0.4)</formula>
    </cfRule>
  </conditionalFormatting>
  <conditionalFormatting sqref="G12:G20">
    <cfRule type="expression" priority="9" dxfId="4">
      <formula>AND(ISNUMBER(G12),G12&gt;0)</formula>
    </cfRule>
  </conditionalFormatting>
  <conditionalFormatting sqref="G46:O105">
    <cfRule type="expression" priority="10" dxfId="5">
      <formula>SelMeasure="Mean stanine"</formula>
    </cfRule>
  </conditionalFormatting>
  <conditionalFormatting sqref="H46:O105">
    <cfRule type="expression" priority="11" dxfId="6">
      <formula>AND(SelMeasure&lt;&gt;"Completion %",H46&lt;&gt;"",N(Calc!BW3)&lt;0.5)</formula>
    </cfRule>
    <cfRule type="expression" priority="13" dxfId="0">
      <formula>AND(SelMeasure="Mean %",ISNUMBER(H46),ISNUMBER($G46),H46-$G46&gt;=0.1)</formula>
    </cfRule>
    <cfRule type="expression" priority="14" dxfId="1">
      <formula>AND(SelMeasure="Mean %",ISNUMBER(H46),ISNUMBER($G46),H46-$G46&gt;=0.03)</formula>
    </cfRule>
    <cfRule type="expression" priority="15" dxfId="2">
      <formula>AND(SelMeasure="Mean %",ISNUMBER(H46),ISNUMBER($G46),H46-$G46&lt;=-0.1)</formula>
    </cfRule>
    <cfRule type="expression" priority="16" dxfId="3">
      <formula>AND(SelMeasure="Mean %",ISNUMBER(H46),ISNUMBER($G46),H46-$G46&lt;=-0.03)</formula>
    </cfRule>
    <cfRule type="expression" priority="17" dxfId="0">
      <formula>AND(SelMeasure="Mean stanine",ISNUMBER(H46),ISNUMBER($G46),H46-$G46&gt;=1)</formula>
    </cfRule>
    <cfRule type="expression" priority="18" dxfId="1">
      <formula>AND(SelMeasure="Mean stanine",ISNUMBER(H46),ISNUMBER($G46),H46-$G46&gt;=0.4)</formula>
    </cfRule>
    <cfRule type="expression" priority="19" dxfId="2">
      <formula>AND(SelMeasure="Mean stanine",ISNUMBER(H46),ISNUMBER($G46),H46-$G46&lt;=-1)</formula>
    </cfRule>
    <cfRule type="expression" priority="20" dxfId="3">
      <formula>AND(SelMeasure="Mean stanine",ISNUMBER(H46),ISNUMBER($G46),H46-$G46&lt;=-0.4)</formula>
    </cfRule>
    <cfRule type="expression" priority="21" dxfId="2">
      <formula>AND(SelMeasure="Completion %",ISNUMBER(H46),H46=0)</formula>
    </cfRule>
    <cfRule type="expression" priority="22" dxfId="4">
      <formula>AND(SelMeasure="Completion %",ISNUMBER(H46),H46&lt;1)</formula>
    </cfRule>
  </conditionalFormatting>
  <conditionalFormatting sqref="H45:O45">
    <cfRule type="expression" priority="12" dxfId="7">
      <formula>H45=""</formula>
    </cfRule>
  </conditionalFormatting>
  <conditionalFormatting sqref="F46:F105">
    <cfRule type="expression" priority="23" dxfId="2">
      <formula>AND(ISNUMBER(F46),F46=0)</formula>
    </cfRule>
    <cfRule type="expression" priority="24" dxfId="4">
      <formula>AND(ISNUMBER(F46),F46&lt;1)</formula>
    </cfRule>
  </conditionalFormatting>
  <conditionalFormatting sqref="B46:O105">
    <cfRule type="expression" priority="25" dxfId="8">
      <formula>$B46&lt;&gt;""</formula>
    </cfRule>
  </conditionalFormatting>
  <dataValidations count="4">
    <dataValidation sqref="C4" showDropDown="0" showInputMessage="0" showErrorMessage="1" allowBlank="0" errorTitle="Pick from the list" error="Choose an option from the drop-down list." type="list">
      <formula1>YearNames</formula1>
    </dataValidation>
    <dataValidation sqref="C5" showDropDown="0" showInputMessage="0" showErrorMessage="1" allowBlank="0" errorTitle="Pick from the list" error="Choose an option from the drop-down list." type="list">
      <formula1>MeasureList</formula1>
    </dataValidation>
    <dataValidation sqref="C6" showDropDown="0" showInputMessage="0" showErrorMessage="1" allowBlank="0" errorTitle="Pick from the list" error="Choose an option from the drop-down list." type="list">
      <formula1>DashTests</formula1>
    </dataValidation>
    <dataValidation sqref="C7" showDropDown="0" showInputMessage="0" showErrorMessage="1" allowBlank="0" errorTitle="Pick from the list" error="Choose an option from the drop-down list." type="list">
      <formula1>DashClasses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4.xml><?xml version="1.0" encoding="utf-8"?>
<worksheet xmlns="http://schemas.openxmlformats.org/spreadsheetml/2006/main">
  <sheetPr codeName="shWatch">
    <tabColor rgb="002A78D6"/>
    <outlinePr summaryBelow="1" summaryRight="1"/>
    <pageSetUpPr fitToPage="1"/>
  </sheetPr>
  <dimension ref="A1:K58"/>
  <sheetViews>
    <sheetView showGridLines="0" workbookViewId="0">
      <pane ySplit="8" topLeftCell="A9" activePane="bottomLeft" state="frozen"/>
      <selection pane="bottomLeft" activeCell="A1" sqref="A1"/>
    </sheetView>
  </sheetViews>
  <sheetFormatPr baseColWidth="8" defaultRowHeight="15"/>
  <cols>
    <col width="2" customWidth="1" min="1" max="1"/>
    <col width="28" customWidth="1" min="2" max="2"/>
    <col width="16" customWidth="1" min="3" max="3"/>
    <col width="10" customWidth="1" min="4" max="4"/>
    <col width="9" customWidth="1" min="5" max="5"/>
    <col width="10" customWidth="1" min="6" max="6"/>
    <col width="10" customWidth="1" min="7" max="7"/>
    <col width="12" customWidth="1" min="8" max="8"/>
    <col width="30" customWidth="1" min="9" max="9"/>
    <col width="2" customWidth="1" min="10" max="10"/>
  </cols>
  <sheetData>
    <row r="1" ht="30" customHeight="1">
      <c r="A1" s="1" t="n"/>
      <c r="B1" s="2" t="inlineStr">
        <is>
          <t>Students to check</t>
        </is>
      </c>
      <c r="C1" s="1" t="n"/>
      <c r="D1" s="1" t="n"/>
      <c r="E1" s="1" t="n"/>
      <c r="F1" s="1" t="n"/>
      <c r="G1" s="1" t="n"/>
      <c r="H1" s="1" t="n"/>
      <c r="I1" s="1" t="n"/>
      <c r="J1" s="1" t="n"/>
      <c r="K1" s="1" t="n"/>
    </row>
    <row r="2">
      <c r="B2" s="17" t="inlineStr">
        <is>
          <t>Students whose results so far are well below what students with the same KS2 results achieve in their year group. Change the rules on the Settings sheet.</t>
        </is>
      </c>
    </row>
    <row r="4">
      <c r="B4" s="38" t="inlineStr">
        <is>
          <t>Year group</t>
        </is>
      </c>
      <c r="C4" s="39" t="inlineStr">
        <is>
          <t>Year 11</t>
        </is>
      </c>
      <c r="D4" s="40" t="n"/>
    </row>
    <row r="5">
      <c r="B5" s="56" t="str">
        <f>"Rule: mean stanine at least "&amp;TEXT(WlGap,"0.0")&amp;" below expected for the KS2 band after "&amp;WlMinTests&amp;" or more tests; or, with no KS2 data, a mean stanine of "&amp;TEXT(WlLowMean,"0.0")&amp;" or lower."</f>
        <v>Rule: mean stanine at least 1.5 below expected for the KS2 band after 2 or more tests; or, with no KS2 data, a mean stanine of 3.0 or lower.</v>
      </c>
    </row>
    <row r="6">
      <c r="B6" s="59" t="str">
        <f>IF(wlCount=0,"Nobody is flagged in "&amp;WlYear&amp;" at the moment.",wlCount&amp;" student"&amp;IF(wlCount=1,"","s")&amp;" flagged in "&amp;WlYear&amp;IF(wlCount&gt;50,", showing the first 50.","."))</f>
        <v>9 students flagged in Year 11.</v>
      </c>
    </row>
    <row r="8" ht="30" customHeight="1">
      <c r="B8" s="7" t="inlineStr">
        <is>
          <t>Student</t>
        </is>
      </c>
      <c r="C8" s="7" t="inlineStr">
        <is>
          <t>Class</t>
        </is>
      </c>
      <c r="D8" s="7" t="inlineStr">
        <is>
          <t>KS2 band</t>
        </is>
      </c>
      <c r="E8" s="7" t="inlineStr">
        <is>
          <t>Tests sat</t>
        </is>
      </c>
      <c r="F8" s="7" t="inlineStr">
        <is>
          <t>Mean
stanine</t>
        </is>
      </c>
      <c r="G8" s="7" t="inlineStr">
        <is>
          <t>vs
expected</t>
        </is>
      </c>
      <c r="H8" s="7" t="inlineStr">
        <is>
          <t>Latest test
stanine</t>
        </is>
      </c>
      <c r="I8" s="7" t="inlineStr">
        <is>
          <t>Reason</t>
        </is>
      </c>
    </row>
    <row r="9">
      <c r="B9" s="31" t="str">
        <f>IF(Calc!$BL$3="","",INDEX(Calc!$BA$70:$BA$669,Calc!$BL$3)&amp;", "&amp;INDEX(Calc!$BB$70:$BB$669,Calc!$BL$3))</f>
        <v>Price, Oliver</v>
      </c>
      <c r="C9" s="32" t="str">
        <f>IF(Calc!$BL$3="","",INDEX(Calc!$BC$70:$BC$669,Calc!$BL$3))</f>
        <v>11S/Sc2</v>
      </c>
      <c r="D9" s="33">
        <f>IF(Calc!$BL$3="","",INDEX(Calc!$BD$70:$BD$669,Calc!$BL$3))</f>
        <v>8</v>
      </c>
      <c r="E9" s="33">
        <f>IF(Calc!$BL$3="","",INDEX(Calc!$BE$70:$BE$669,Calc!$BL$3))</f>
        <v>6</v>
      </c>
      <c r="F9" s="34">
        <f>IF(Calc!$BL$3="","",INDEX(Calc!$BF$70:$BF$669,Calc!$BL$3))</f>
        <v>4.83333333333333</v>
      </c>
      <c r="G9" s="35">
        <f>IF(Calc!$BL$3="","",INDEX(Calc!$BG$70:$BG$669,Calc!$BL$3))</f>
        <v>-2.36595598845599</v>
      </c>
      <c r="H9" s="33">
        <f>IF(Calc!$BL$3="","",INDEX(Calc!$BH$70:$BH$669,Calc!$BL$3))</f>
        <v>6</v>
      </c>
      <c r="I9" s="32" t="str">
        <f>IF(Calc!$BL$3="","",INDEX(Calc!$BI$70:$BI$669,Calc!$BL$3))</f>
        <v>Below expected for KS2</v>
      </c>
    </row>
    <row r="10">
      <c r="B10" s="31" t="str">
        <f>IF(Calc!$BL$4="","",INDEX(Calc!$BA$70:$BA$669,Calc!$BL$4)&amp;", "&amp;INDEX(Calc!$BB$70:$BB$669,Calc!$BL$4))</f>
        <v>Morgan, Zofia</v>
      </c>
      <c r="C10" s="32" t="str">
        <f>IF(Calc!$BL$4="","",INDEX(Calc!$BC$70:$BC$669,Calc!$BL$4))</f>
        <v>11S/Sc5</v>
      </c>
      <c r="D10" s="33">
        <f>IF(Calc!$BL$4="","",INDEX(Calc!$BD$70:$BD$669,Calc!$BL$4))</f>
        <v>3</v>
      </c>
      <c r="E10" s="33">
        <f>IF(Calc!$BL$4="","",INDEX(Calc!$BE$70:$BE$669,Calc!$BL$4))</f>
        <v>5</v>
      </c>
      <c r="F10" s="34">
        <f>IF(Calc!$BL$4="","",INDEX(Calc!$BF$70:$BF$669,Calc!$BL$4))</f>
        <v>1.6</v>
      </c>
      <c r="G10" s="35">
        <f>IF(Calc!$BL$4="","",INDEX(Calc!$BG$70:$BG$669,Calc!$BL$4))</f>
        <v>-1.85497113997114</v>
      </c>
      <c r="H10" s="33">
        <f>IF(Calc!$BL$4="","",INDEX(Calc!$BH$70:$BH$669,Calc!$BL$4))</f>
        <v>1</v>
      </c>
      <c r="I10" s="32" t="str">
        <f>IF(Calc!$BL$4="","",INDEX(Calc!$BI$70:$BI$669,Calc!$BL$4))</f>
        <v>Below expected for KS2</v>
      </c>
    </row>
    <row r="11">
      <c r="B11" s="31" t="str">
        <f>IF(Calc!$BL$5="","",INDEX(Calc!$BA$70:$BA$669,Calc!$BL$5)&amp;", "&amp;INDEX(Calc!$BB$70:$BB$669,Calc!$BL$5))</f>
        <v>Murphy, Ella</v>
      </c>
      <c r="C11" s="32" t="str">
        <f>IF(Calc!$BL$5="","",INDEX(Calc!$BC$70:$BC$669,Calc!$BL$5))</f>
        <v>11S/Sc2</v>
      </c>
      <c r="D11" s="33">
        <f>IF(Calc!$BL$5="","",INDEX(Calc!$BD$70:$BD$669,Calc!$BL$5))</f>
        <v>6</v>
      </c>
      <c r="E11" s="33">
        <f>IF(Calc!$BL$5="","",INDEX(Calc!$BE$70:$BE$669,Calc!$BL$5))</f>
        <v>5</v>
      </c>
      <c r="F11" s="34">
        <f>IF(Calc!$BL$5="","",INDEX(Calc!$BF$70:$BF$669,Calc!$BL$5))</f>
        <v>4</v>
      </c>
      <c r="G11" s="35">
        <f>IF(Calc!$BL$5="","",INDEX(Calc!$BG$70:$BG$669,Calc!$BL$5))</f>
        <v>-1.70156204906205</v>
      </c>
      <c r="H11" s="33">
        <f>IF(Calc!$BL$5="","",INDEX(Calc!$BH$70:$BH$669,Calc!$BL$5))</f>
        <v>4</v>
      </c>
      <c r="I11" s="32" t="str">
        <f>IF(Calc!$BL$5="","",INDEX(Calc!$BI$70:$BI$669,Calc!$BL$5))</f>
        <v>Below expected for KS2</v>
      </c>
    </row>
    <row r="12">
      <c r="B12" s="31" t="str">
        <f>IF(Calc!$BL$6="","",INDEX(Calc!$BA$70:$BA$669,Calc!$BL$6)&amp;", "&amp;INDEX(Calc!$BB$70:$BB$669,Calc!$BL$6))</f>
        <v>Begum, Freya</v>
      </c>
      <c r="C12" s="32" t="str">
        <f>IF(Calc!$BL$6="","",INDEX(Calc!$BC$70:$BC$669,Calc!$BL$6))</f>
        <v>11S/Sc5</v>
      </c>
      <c r="D12" s="33">
        <f>IF(Calc!$BL$6="","",INDEX(Calc!$BD$70:$BD$669,Calc!$BL$6))</f>
        <v>3</v>
      </c>
      <c r="E12" s="33">
        <f>IF(Calc!$BL$6="","",INDEX(Calc!$BE$70:$BE$669,Calc!$BL$6))</f>
        <v>6</v>
      </c>
      <c r="F12" s="34">
        <f>IF(Calc!$BL$6="","",INDEX(Calc!$BF$70:$BF$669,Calc!$BL$6))</f>
        <v>1.83333333333333</v>
      </c>
      <c r="G12" s="35">
        <f>IF(Calc!$BL$6="","",INDEX(Calc!$BG$70:$BG$669,Calc!$BL$6))</f>
        <v>-1.62163780663781</v>
      </c>
      <c r="H12" s="33">
        <f>IF(Calc!$BL$6="","",INDEX(Calc!$BH$70:$BH$669,Calc!$BL$6))</f>
        <v>2</v>
      </c>
      <c r="I12" s="32" t="str">
        <f>IF(Calc!$BL$6="","",INDEX(Calc!$BI$70:$BI$669,Calc!$BL$6))</f>
        <v>Below expected for KS2</v>
      </c>
    </row>
    <row r="13">
      <c r="B13" s="31" t="str">
        <f>IF(Calc!$BL$7="","",INDEX(Calc!$BA$70:$BA$669,Calc!$BL$7)&amp;", "&amp;INDEX(Calc!$BB$70:$BB$669,Calc!$BL$7))</f>
        <v>Morgan, Amara</v>
      </c>
      <c r="C13" s="32" t="str">
        <f>IF(Calc!$BL$7="","",INDEX(Calc!$BC$70:$BC$669,Calc!$BL$7))</f>
        <v>11S/Sc4</v>
      </c>
      <c r="D13" s="33">
        <f>IF(Calc!$BL$7="","",INDEX(Calc!$BD$70:$BD$669,Calc!$BL$7))</f>
        <v>5</v>
      </c>
      <c r="E13" s="33">
        <f>IF(Calc!$BL$7="","",INDEX(Calc!$BE$70:$BE$669,Calc!$BL$7))</f>
        <v>6</v>
      </c>
      <c r="F13" s="34">
        <f>IF(Calc!$BL$7="","",INDEX(Calc!$BF$70:$BF$669,Calc!$BL$7))</f>
        <v>3.33333333333333</v>
      </c>
      <c r="G13" s="35">
        <f>IF(Calc!$BL$7="","",INDEX(Calc!$BG$70:$BG$669,Calc!$BL$7))</f>
        <v>-1.61936507936508</v>
      </c>
      <c r="H13" s="33">
        <f>IF(Calc!$BL$7="","",INDEX(Calc!$BH$70:$BH$669,Calc!$BL$7))</f>
        <v>4</v>
      </c>
      <c r="I13" s="32" t="str">
        <f>IF(Calc!$BL$7="","",INDEX(Calc!$BI$70:$BI$669,Calc!$BL$7))</f>
        <v>Below expected for KS2</v>
      </c>
    </row>
    <row r="14">
      <c r="B14" s="31" t="str">
        <f>IF(Calc!$BL$8="","",INDEX(Calc!$BA$70:$BA$669,Calc!$BL$8)&amp;", "&amp;INDEX(Calc!$BB$70:$BB$669,Calc!$BL$8))</f>
        <v>Kelly, Niamh</v>
      </c>
      <c r="C14" s="32" t="str">
        <f>IF(Calc!$BL$8="","",INDEX(Calc!$BC$70:$BC$669,Calc!$BL$8))</f>
        <v>11S/Sc3</v>
      </c>
      <c r="D14" s="33">
        <f>IF(Calc!$BL$8="","",INDEX(Calc!$BD$70:$BD$669,Calc!$BL$8))</f>
        <v>8</v>
      </c>
      <c r="E14" s="33">
        <f>IF(Calc!$BL$8="","",INDEX(Calc!$BE$70:$BE$669,Calc!$BL$8))</f>
        <v>5</v>
      </c>
      <c r="F14" s="34">
        <f>IF(Calc!$BL$8="","",INDEX(Calc!$BF$70:$BF$669,Calc!$BL$8))</f>
        <v>5.6</v>
      </c>
      <c r="G14" s="35">
        <f>IF(Calc!$BL$8="","",INDEX(Calc!$BG$70:$BG$669,Calc!$BL$8))</f>
        <v>-1.59928932178932</v>
      </c>
      <c r="H14" s="33" t="str">
        <f>IF(Calc!$BL$8="","",INDEX(Calc!$BH$70:$BH$669,Calc!$BL$8))</f>
        <v/>
      </c>
      <c r="I14" s="32" t="str">
        <f>IF(Calc!$BL$8="","",INDEX(Calc!$BI$70:$BI$669,Calc!$BL$8))</f>
        <v>Below expected for KS2</v>
      </c>
    </row>
    <row r="15">
      <c r="B15" s="31" t="str">
        <f>IF(Calc!$BL$9="","",INDEX(Calc!$BA$70:$BA$669,Calc!$BL$9)&amp;", "&amp;INDEX(Calc!$BB$70:$BB$669,Calc!$BL$9))</f>
        <v>Williams, Amelia</v>
      </c>
      <c r="C15" s="32" t="str">
        <f>IF(Calc!$BL$9="","",INDEX(Calc!$BC$70:$BC$669,Calc!$BL$9))</f>
        <v>11S/Sc5</v>
      </c>
      <c r="D15" s="33">
        <f>IF(Calc!$BL$9="","",INDEX(Calc!$BD$70:$BD$669,Calc!$BL$9))</f>
        <v>4</v>
      </c>
      <c r="E15" s="33">
        <f>IF(Calc!$BL$9="","",INDEX(Calc!$BE$70:$BE$669,Calc!$BL$9))</f>
        <v>6</v>
      </c>
      <c r="F15" s="34">
        <f>IF(Calc!$BL$9="","",INDEX(Calc!$BF$70:$BF$669,Calc!$BL$9))</f>
        <v>2.66666666666667</v>
      </c>
      <c r="G15" s="35">
        <f>IF(Calc!$BL$9="","",INDEX(Calc!$BG$70:$BG$669,Calc!$BL$9))</f>
        <v>-1.53716810966811</v>
      </c>
      <c r="H15" s="33">
        <f>IF(Calc!$BL$9="","",INDEX(Calc!$BH$70:$BH$669,Calc!$BL$9))</f>
        <v>3</v>
      </c>
      <c r="I15" s="32" t="str">
        <f>IF(Calc!$BL$9="","",INDEX(Calc!$BI$70:$BI$669,Calc!$BL$9))</f>
        <v>Below expected for KS2</v>
      </c>
    </row>
    <row r="16">
      <c r="B16" s="31" t="str">
        <f>IF(Calc!$BL$10="","",INDEX(Calc!$BA$70:$BA$669,Calc!$BL$10)&amp;", "&amp;INDEX(Calc!$BB$70:$BB$669,Calc!$BL$10))</f>
        <v>Kelly, Jacob</v>
      </c>
      <c r="C16" s="32" t="str">
        <f>IF(Calc!$BL$10="","",INDEX(Calc!$BC$70:$BC$669,Calc!$BL$10))</f>
        <v>11S/Sc2</v>
      </c>
      <c r="D16" s="33">
        <f>IF(Calc!$BL$10="","",INDEX(Calc!$BD$70:$BD$669,Calc!$BL$10))</f>
        <v>6</v>
      </c>
      <c r="E16" s="33">
        <f>IF(Calc!$BL$10="","",INDEX(Calc!$BE$70:$BE$669,Calc!$BL$10))</f>
        <v>6</v>
      </c>
      <c r="F16" s="34">
        <f>IF(Calc!$BL$10="","",INDEX(Calc!$BF$70:$BF$669,Calc!$BL$10))</f>
        <v>4.16666666666667</v>
      </c>
      <c r="G16" s="35">
        <f>IF(Calc!$BL$10="","",INDEX(Calc!$BG$70:$BG$669,Calc!$BL$10))</f>
        <v>-1.53489538239538</v>
      </c>
      <c r="H16" s="33">
        <f>IF(Calc!$BL$10="","",INDEX(Calc!$BH$70:$BH$669,Calc!$BL$10))</f>
        <v>5</v>
      </c>
      <c r="I16" s="32" t="str">
        <f>IF(Calc!$BL$10="","",INDEX(Calc!$BI$70:$BI$669,Calc!$BL$10))</f>
        <v>Below expected for KS2</v>
      </c>
    </row>
    <row r="17">
      <c r="B17" s="31" t="str">
        <f>IF(Calc!$BL$11="","",INDEX(Calc!$BA$70:$BA$669,Calc!$BL$11)&amp;", "&amp;INDEX(Calc!$BB$70:$BB$669,Calc!$BL$11))</f>
        <v>Williams, Sophie</v>
      </c>
      <c r="C17" s="32" t="str">
        <f>IF(Calc!$BL$11="","",INDEX(Calc!$BC$70:$BC$669,Calc!$BL$11))</f>
        <v>11S/Sc2</v>
      </c>
      <c r="D17" s="33">
        <f>IF(Calc!$BL$11="","",INDEX(Calc!$BD$70:$BD$669,Calc!$BL$11))</f>
        <v>8</v>
      </c>
      <c r="E17" s="33">
        <f>IF(Calc!$BL$11="","",INDEX(Calc!$BE$70:$BE$669,Calc!$BL$11))</f>
        <v>6</v>
      </c>
      <c r="F17" s="34">
        <f>IF(Calc!$BL$11="","",INDEX(Calc!$BF$70:$BF$669,Calc!$BL$11))</f>
        <v>5.66666666666667</v>
      </c>
      <c r="G17" s="35">
        <f>IF(Calc!$BL$11="","",INDEX(Calc!$BG$70:$BG$669,Calc!$BL$11))</f>
        <v>-1.53262265512265</v>
      </c>
      <c r="H17" s="33">
        <f>IF(Calc!$BL$11="","",INDEX(Calc!$BH$70:$BH$669,Calc!$BL$11))</f>
        <v>4</v>
      </c>
      <c r="I17" s="32" t="str">
        <f>IF(Calc!$BL$11="","",INDEX(Calc!$BI$70:$BI$669,Calc!$BL$11))</f>
        <v>Below expected for KS2</v>
      </c>
    </row>
    <row r="18">
      <c r="B18" s="31" t="str">
        <f>IF(Calc!$BL$12="","",INDEX(Calc!$BA$70:$BA$669,Calc!$BL$12)&amp;", "&amp;INDEX(Calc!$BB$70:$BB$669,Calc!$BL$12))</f>
        <v/>
      </c>
      <c r="C18" s="32" t="str">
        <f>IF(Calc!$BL$12="","",INDEX(Calc!$BC$70:$BC$669,Calc!$BL$12))</f>
        <v/>
      </c>
      <c r="D18" s="33" t="str">
        <f>IF(Calc!$BL$12="","",INDEX(Calc!$BD$70:$BD$669,Calc!$BL$12))</f>
        <v/>
      </c>
      <c r="E18" s="33" t="str">
        <f>IF(Calc!$BL$12="","",INDEX(Calc!$BE$70:$BE$669,Calc!$BL$12))</f>
        <v/>
      </c>
      <c r="F18" s="34" t="str">
        <f>IF(Calc!$BL$12="","",INDEX(Calc!$BF$70:$BF$669,Calc!$BL$12))</f>
        <v/>
      </c>
      <c r="G18" s="35" t="str">
        <f>IF(Calc!$BL$12="","",INDEX(Calc!$BG$70:$BG$669,Calc!$BL$12))</f>
        <v/>
      </c>
      <c r="H18" s="33" t="str">
        <f>IF(Calc!$BL$12="","",INDEX(Calc!$BH$70:$BH$669,Calc!$BL$12))</f>
        <v/>
      </c>
      <c r="I18" s="32" t="str">
        <f>IF(Calc!$BL$12="","",INDEX(Calc!$BI$70:$BI$669,Calc!$BL$12))</f>
        <v/>
      </c>
    </row>
    <row r="19">
      <c r="B19" s="31" t="str">
        <f>IF(Calc!$BL$13="","",INDEX(Calc!$BA$70:$BA$669,Calc!$BL$13)&amp;", "&amp;INDEX(Calc!$BB$70:$BB$669,Calc!$BL$13))</f>
        <v/>
      </c>
      <c r="C19" s="32" t="str">
        <f>IF(Calc!$BL$13="","",INDEX(Calc!$BC$70:$BC$669,Calc!$BL$13))</f>
        <v/>
      </c>
      <c r="D19" s="33" t="str">
        <f>IF(Calc!$BL$13="","",INDEX(Calc!$BD$70:$BD$669,Calc!$BL$13))</f>
        <v/>
      </c>
      <c r="E19" s="33" t="str">
        <f>IF(Calc!$BL$13="","",INDEX(Calc!$BE$70:$BE$669,Calc!$BL$13))</f>
        <v/>
      </c>
      <c r="F19" s="34" t="str">
        <f>IF(Calc!$BL$13="","",INDEX(Calc!$BF$70:$BF$669,Calc!$BL$13))</f>
        <v/>
      </c>
      <c r="G19" s="35" t="str">
        <f>IF(Calc!$BL$13="","",INDEX(Calc!$BG$70:$BG$669,Calc!$BL$13))</f>
        <v/>
      </c>
      <c r="H19" s="33" t="str">
        <f>IF(Calc!$BL$13="","",INDEX(Calc!$BH$70:$BH$669,Calc!$BL$13))</f>
        <v/>
      </c>
      <c r="I19" s="32" t="str">
        <f>IF(Calc!$BL$13="","",INDEX(Calc!$BI$70:$BI$669,Calc!$BL$13))</f>
        <v/>
      </c>
    </row>
    <row r="20">
      <c r="B20" s="31" t="str">
        <f>IF(Calc!$BL$14="","",INDEX(Calc!$BA$70:$BA$669,Calc!$BL$14)&amp;", "&amp;INDEX(Calc!$BB$70:$BB$669,Calc!$BL$14))</f>
        <v/>
      </c>
      <c r="C20" s="32" t="str">
        <f>IF(Calc!$BL$14="","",INDEX(Calc!$BC$70:$BC$669,Calc!$BL$14))</f>
        <v/>
      </c>
      <c r="D20" s="33" t="str">
        <f>IF(Calc!$BL$14="","",INDEX(Calc!$BD$70:$BD$669,Calc!$BL$14))</f>
        <v/>
      </c>
      <c r="E20" s="33" t="str">
        <f>IF(Calc!$BL$14="","",INDEX(Calc!$BE$70:$BE$669,Calc!$BL$14))</f>
        <v/>
      </c>
      <c r="F20" s="34" t="str">
        <f>IF(Calc!$BL$14="","",INDEX(Calc!$BF$70:$BF$669,Calc!$BL$14))</f>
        <v/>
      </c>
      <c r="G20" s="35" t="str">
        <f>IF(Calc!$BL$14="","",INDEX(Calc!$BG$70:$BG$669,Calc!$BL$14))</f>
        <v/>
      </c>
      <c r="H20" s="33" t="str">
        <f>IF(Calc!$BL$14="","",INDEX(Calc!$BH$70:$BH$669,Calc!$BL$14))</f>
        <v/>
      </c>
      <c r="I20" s="32" t="str">
        <f>IF(Calc!$BL$14="","",INDEX(Calc!$BI$70:$BI$669,Calc!$BL$14))</f>
        <v/>
      </c>
    </row>
    <row r="21">
      <c r="B21" s="31" t="str">
        <f>IF(Calc!$BL$15="","",INDEX(Calc!$BA$70:$BA$669,Calc!$BL$15)&amp;", "&amp;INDEX(Calc!$BB$70:$BB$669,Calc!$BL$15))</f>
        <v/>
      </c>
      <c r="C21" s="32" t="str">
        <f>IF(Calc!$BL$15="","",INDEX(Calc!$BC$70:$BC$669,Calc!$BL$15))</f>
        <v/>
      </c>
      <c r="D21" s="33" t="str">
        <f>IF(Calc!$BL$15="","",INDEX(Calc!$BD$70:$BD$669,Calc!$BL$15))</f>
        <v/>
      </c>
      <c r="E21" s="33" t="str">
        <f>IF(Calc!$BL$15="","",INDEX(Calc!$BE$70:$BE$669,Calc!$BL$15))</f>
        <v/>
      </c>
      <c r="F21" s="34" t="str">
        <f>IF(Calc!$BL$15="","",INDEX(Calc!$BF$70:$BF$669,Calc!$BL$15))</f>
        <v/>
      </c>
      <c r="G21" s="35" t="str">
        <f>IF(Calc!$BL$15="","",INDEX(Calc!$BG$70:$BG$669,Calc!$BL$15))</f>
        <v/>
      </c>
      <c r="H21" s="33" t="str">
        <f>IF(Calc!$BL$15="","",INDEX(Calc!$BH$70:$BH$669,Calc!$BL$15))</f>
        <v/>
      </c>
      <c r="I21" s="32" t="str">
        <f>IF(Calc!$BL$15="","",INDEX(Calc!$BI$70:$BI$669,Calc!$BL$15))</f>
        <v/>
      </c>
    </row>
    <row r="22">
      <c r="B22" s="31" t="str">
        <f>IF(Calc!$BL$16="","",INDEX(Calc!$BA$70:$BA$669,Calc!$BL$16)&amp;", "&amp;INDEX(Calc!$BB$70:$BB$669,Calc!$BL$16))</f>
        <v/>
      </c>
      <c r="C22" s="32" t="str">
        <f>IF(Calc!$BL$16="","",INDEX(Calc!$BC$70:$BC$669,Calc!$BL$16))</f>
        <v/>
      </c>
      <c r="D22" s="33" t="str">
        <f>IF(Calc!$BL$16="","",INDEX(Calc!$BD$70:$BD$669,Calc!$BL$16))</f>
        <v/>
      </c>
      <c r="E22" s="33" t="str">
        <f>IF(Calc!$BL$16="","",INDEX(Calc!$BE$70:$BE$669,Calc!$BL$16))</f>
        <v/>
      </c>
      <c r="F22" s="34" t="str">
        <f>IF(Calc!$BL$16="","",INDEX(Calc!$BF$70:$BF$669,Calc!$BL$16))</f>
        <v/>
      </c>
      <c r="G22" s="35" t="str">
        <f>IF(Calc!$BL$16="","",INDEX(Calc!$BG$70:$BG$669,Calc!$BL$16))</f>
        <v/>
      </c>
      <c r="H22" s="33" t="str">
        <f>IF(Calc!$BL$16="","",INDEX(Calc!$BH$70:$BH$669,Calc!$BL$16))</f>
        <v/>
      </c>
      <c r="I22" s="32" t="str">
        <f>IF(Calc!$BL$16="","",INDEX(Calc!$BI$70:$BI$669,Calc!$BL$16))</f>
        <v/>
      </c>
    </row>
    <row r="23">
      <c r="B23" s="31" t="str">
        <f>IF(Calc!$BL$17="","",INDEX(Calc!$BA$70:$BA$669,Calc!$BL$17)&amp;", "&amp;INDEX(Calc!$BB$70:$BB$669,Calc!$BL$17))</f>
        <v/>
      </c>
      <c r="C23" s="32" t="str">
        <f>IF(Calc!$BL$17="","",INDEX(Calc!$BC$70:$BC$669,Calc!$BL$17))</f>
        <v/>
      </c>
      <c r="D23" s="33" t="str">
        <f>IF(Calc!$BL$17="","",INDEX(Calc!$BD$70:$BD$669,Calc!$BL$17))</f>
        <v/>
      </c>
      <c r="E23" s="33" t="str">
        <f>IF(Calc!$BL$17="","",INDEX(Calc!$BE$70:$BE$669,Calc!$BL$17))</f>
        <v/>
      </c>
      <c r="F23" s="34" t="str">
        <f>IF(Calc!$BL$17="","",INDEX(Calc!$BF$70:$BF$669,Calc!$BL$17))</f>
        <v/>
      </c>
      <c r="G23" s="35" t="str">
        <f>IF(Calc!$BL$17="","",INDEX(Calc!$BG$70:$BG$669,Calc!$BL$17))</f>
        <v/>
      </c>
      <c r="H23" s="33" t="str">
        <f>IF(Calc!$BL$17="","",INDEX(Calc!$BH$70:$BH$669,Calc!$BL$17))</f>
        <v/>
      </c>
      <c r="I23" s="32" t="str">
        <f>IF(Calc!$BL$17="","",INDEX(Calc!$BI$70:$BI$669,Calc!$BL$17))</f>
        <v/>
      </c>
    </row>
    <row r="24">
      <c r="B24" s="31" t="str">
        <f>IF(Calc!$BL$18="","",INDEX(Calc!$BA$70:$BA$669,Calc!$BL$18)&amp;", "&amp;INDEX(Calc!$BB$70:$BB$669,Calc!$BL$18))</f>
        <v/>
      </c>
      <c r="C24" s="32" t="str">
        <f>IF(Calc!$BL$18="","",INDEX(Calc!$BC$70:$BC$669,Calc!$BL$18))</f>
        <v/>
      </c>
      <c r="D24" s="33" t="str">
        <f>IF(Calc!$BL$18="","",INDEX(Calc!$BD$70:$BD$669,Calc!$BL$18))</f>
        <v/>
      </c>
      <c r="E24" s="33" t="str">
        <f>IF(Calc!$BL$18="","",INDEX(Calc!$BE$70:$BE$669,Calc!$BL$18))</f>
        <v/>
      </c>
      <c r="F24" s="34" t="str">
        <f>IF(Calc!$BL$18="","",INDEX(Calc!$BF$70:$BF$669,Calc!$BL$18))</f>
        <v/>
      </c>
      <c r="G24" s="35" t="str">
        <f>IF(Calc!$BL$18="","",INDEX(Calc!$BG$70:$BG$669,Calc!$BL$18))</f>
        <v/>
      </c>
      <c r="H24" s="33" t="str">
        <f>IF(Calc!$BL$18="","",INDEX(Calc!$BH$70:$BH$669,Calc!$BL$18))</f>
        <v/>
      </c>
      <c r="I24" s="32" t="str">
        <f>IF(Calc!$BL$18="","",INDEX(Calc!$BI$70:$BI$669,Calc!$BL$18))</f>
        <v/>
      </c>
    </row>
    <row r="25">
      <c r="B25" s="31" t="str">
        <f>IF(Calc!$BL$19="","",INDEX(Calc!$BA$70:$BA$669,Calc!$BL$19)&amp;", "&amp;INDEX(Calc!$BB$70:$BB$669,Calc!$BL$19))</f>
        <v/>
      </c>
      <c r="C25" s="32" t="str">
        <f>IF(Calc!$BL$19="","",INDEX(Calc!$BC$70:$BC$669,Calc!$BL$19))</f>
        <v/>
      </c>
      <c r="D25" s="33" t="str">
        <f>IF(Calc!$BL$19="","",INDEX(Calc!$BD$70:$BD$669,Calc!$BL$19))</f>
        <v/>
      </c>
      <c r="E25" s="33" t="str">
        <f>IF(Calc!$BL$19="","",INDEX(Calc!$BE$70:$BE$669,Calc!$BL$19))</f>
        <v/>
      </c>
      <c r="F25" s="34" t="str">
        <f>IF(Calc!$BL$19="","",INDEX(Calc!$BF$70:$BF$669,Calc!$BL$19))</f>
        <v/>
      </c>
      <c r="G25" s="35" t="str">
        <f>IF(Calc!$BL$19="","",INDEX(Calc!$BG$70:$BG$669,Calc!$BL$19))</f>
        <v/>
      </c>
      <c r="H25" s="33" t="str">
        <f>IF(Calc!$BL$19="","",INDEX(Calc!$BH$70:$BH$669,Calc!$BL$19))</f>
        <v/>
      </c>
      <c r="I25" s="32" t="str">
        <f>IF(Calc!$BL$19="","",INDEX(Calc!$BI$70:$BI$669,Calc!$BL$19))</f>
        <v/>
      </c>
    </row>
    <row r="26">
      <c r="B26" s="31" t="str">
        <f>IF(Calc!$BL$20="","",INDEX(Calc!$BA$70:$BA$669,Calc!$BL$20)&amp;", "&amp;INDEX(Calc!$BB$70:$BB$669,Calc!$BL$20))</f>
        <v/>
      </c>
      <c r="C26" s="32" t="str">
        <f>IF(Calc!$BL$20="","",INDEX(Calc!$BC$70:$BC$669,Calc!$BL$20))</f>
        <v/>
      </c>
      <c r="D26" s="33" t="str">
        <f>IF(Calc!$BL$20="","",INDEX(Calc!$BD$70:$BD$669,Calc!$BL$20))</f>
        <v/>
      </c>
      <c r="E26" s="33" t="str">
        <f>IF(Calc!$BL$20="","",INDEX(Calc!$BE$70:$BE$669,Calc!$BL$20))</f>
        <v/>
      </c>
      <c r="F26" s="34" t="str">
        <f>IF(Calc!$BL$20="","",INDEX(Calc!$BF$70:$BF$669,Calc!$BL$20))</f>
        <v/>
      </c>
      <c r="G26" s="35" t="str">
        <f>IF(Calc!$BL$20="","",INDEX(Calc!$BG$70:$BG$669,Calc!$BL$20))</f>
        <v/>
      </c>
      <c r="H26" s="33" t="str">
        <f>IF(Calc!$BL$20="","",INDEX(Calc!$BH$70:$BH$669,Calc!$BL$20))</f>
        <v/>
      </c>
      <c r="I26" s="32" t="str">
        <f>IF(Calc!$BL$20="","",INDEX(Calc!$BI$70:$BI$669,Calc!$BL$20))</f>
        <v/>
      </c>
    </row>
    <row r="27">
      <c r="B27" s="31" t="str">
        <f>IF(Calc!$BL$21="","",INDEX(Calc!$BA$70:$BA$669,Calc!$BL$21)&amp;", "&amp;INDEX(Calc!$BB$70:$BB$669,Calc!$BL$21))</f>
        <v/>
      </c>
      <c r="C27" s="32" t="str">
        <f>IF(Calc!$BL$21="","",INDEX(Calc!$BC$70:$BC$669,Calc!$BL$21))</f>
        <v/>
      </c>
      <c r="D27" s="33" t="str">
        <f>IF(Calc!$BL$21="","",INDEX(Calc!$BD$70:$BD$669,Calc!$BL$21))</f>
        <v/>
      </c>
      <c r="E27" s="33" t="str">
        <f>IF(Calc!$BL$21="","",INDEX(Calc!$BE$70:$BE$669,Calc!$BL$21))</f>
        <v/>
      </c>
      <c r="F27" s="34" t="str">
        <f>IF(Calc!$BL$21="","",INDEX(Calc!$BF$70:$BF$669,Calc!$BL$21))</f>
        <v/>
      </c>
      <c r="G27" s="35" t="str">
        <f>IF(Calc!$BL$21="","",INDEX(Calc!$BG$70:$BG$669,Calc!$BL$21))</f>
        <v/>
      </c>
      <c r="H27" s="33" t="str">
        <f>IF(Calc!$BL$21="","",INDEX(Calc!$BH$70:$BH$669,Calc!$BL$21))</f>
        <v/>
      </c>
      <c r="I27" s="32" t="str">
        <f>IF(Calc!$BL$21="","",INDEX(Calc!$BI$70:$BI$669,Calc!$BL$21))</f>
        <v/>
      </c>
    </row>
    <row r="28">
      <c r="B28" s="31" t="str">
        <f>IF(Calc!$BL$22="","",INDEX(Calc!$BA$70:$BA$669,Calc!$BL$22)&amp;", "&amp;INDEX(Calc!$BB$70:$BB$669,Calc!$BL$22))</f>
        <v/>
      </c>
      <c r="C28" s="32" t="str">
        <f>IF(Calc!$BL$22="","",INDEX(Calc!$BC$70:$BC$669,Calc!$BL$22))</f>
        <v/>
      </c>
      <c r="D28" s="33" t="str">
        <f>IF(Calc!$BL$22="","",INDEX(Calc!$BD$70:$BD$669,Calc!$BL$22))</f>
        <v/>
      </c>
      <c r="E28" s="33" t="str">
        <f>IF(Calc!$BL$22="","",INDEX(Calc!$BE$70:$BE$669,Calc!$BL$22))</f>
        <v/>
      </c>
      <c r="F28" s="34" t="str">
        <f>IF(Calc!$BL$22="","",INDEX(Calc!$BF$70:$BF$669,Calc!$BL$22))</f>
        <v/>
      </c>
      <c r="G28" s="35" t="str">
        <f>IF(Calc!$BL$22="","",INDEX(Calc!$BG$70:$BG$669,Calc!$BL$22))</f>
        <v/>
      </c>
      <c r="H28" s="33" t="str">
        <f>IF(Calc!$BL$22="","",INDEX(Calc!$BH$70:$BH$669,Calc!$BL$22))</f>
        <v/>
      </c>
      <c r="I28" s="32" t="str">
        <f>IF(Calc!$BL$22="","",INDEX(Calc!$BI$70:$BI$669,Calc!$BL$22))</f>
        <v/>
      </c>
    </row>
    <row r="29">
      <c r="B29" s="31" t="str">
        <f>IF(Calc!$BL$23="","",INDEX(Calc!$BA$70:$BA$669,Calc!$BL$23)&amp;", "&amp;INDEX(Calc!$BB$70:$BB$669,Calc!$BL$23))</f>
        <v/>
      </c>
      <c r="C29" s="32" t="str">
        <f>IF(Calc!$BL$23="","",INDEX(Calc!$BC$70:$BC$669,Calc!$BL$23))</f>
        <v/>
      </c>
      <c r="D29" s="33" t="str">
        <f>IF(Calc!$BL$23="","",INDEX(Calc!$BD$70:$BD$669,Calc!$BL$23))</f>
        <v/>
      </c>
      <c r="E29" s="33" t="str">
        <f>IF(Calc!$BL$23="","",INDEX(Calc!$BE$70:$BE$669,Calc!$BL$23))</f>
        <v/>
      </c>
      <c r="F29" s="34" t="str">
        <f>IF(Calc!$BL$23="","",INDEX(Calc!$BF$70:$BF$669,Calc!$BL$23))</f>
        <v/>
      </c>
      <c r="G29" s="35" t="str">
        <f>IF(Calc!$BL$23="","",INDEX(Calc!$BG$70:$BG$669,Calc!$BL$23))</f>
        <v/>
      </c>
      <c r="H29" s="33" t="str">
        <f>IF(Calc!$BL$23="","",INDEX(Calc!$BH$70:$BH$669,Calc!$BL$23))</f>
        <v/>
      </c>
      <c r="I29" s="32" t="str">
        <f>IF(Calc!$BL$23="","",INDEX(Calc!$BI$70:$BI$669,Calc!$BL$23))</f>
        <v/>
      </c>
    </row>
    <row r="30">
      <c r="B30" s="31" t="str">
        <f>IF(Calc!$BL$24="","",INDEX(Calc!$BA$70:$BA$669,Calc!$BL$24)&amp;", "&amp;INDEX(Calc!$BB$70:$BB$669,Calc!$BL$24))</f>
        <v/>
      </c>
      <c r="C30" s="32" t="str">
        <f>IF(Calc!$BL$24="","",INDEX(Calc!$BC$70:$BC$669,Calc!$BL$24))</f>
        <v/>
      </c>
      <c r="D30" s="33" t="str">
        <f>IF(Calc!$BL$24="","",INDEX(Calc!$BD$70:$BD$669,Calc!$BL$24))</f>
        <v/>
      </c>
      <c r="E30" s="33" t="str">
        <f>IF(Calc!$BL$24="","",INDEX(Calc!$BE$70:$BE$669,Calc!$BL$24))</f>
        <v/>
      </c>
      <c r="F30" s="34" t="str">
        <f>IF(Calc!$BL$24="","",INDEX(Calc!$BF$70:$BF$669,Calc!$BL$24))</f>
        <v/>
      </c>
      <c r="G30" s="35" t="str">
        <f>IF(Calc!$BL$24="","",INDEX(Calc!$BG$70:$BG$669,Calc!$BL$24))</f>
        <v/>
      </c>
      <c r="H30" s="33" t="str">
        <f>IF(Calc!$BL$24="","",INDEX(Calc!$BH$70:$BH$669,Calc!$BL$24))</f>
        <v/>
      </c>
      <c r="I30" s="32" t="str">
        <f>IF(Calc!$BL$24="","",INDEX(Calc!$BI$70:$BI$669,Calc!$BL$24))</f>
        <v/>
      </c>
    </row>
    <row r="31">
      <c r="B31" s="31" t="str">
        <f>IF(Calc!$BL$25="","",INDEX(Calc!$BA$70:$BA$669,Calc!$BL$25)&amp;", "&amp;INDEX(Calc!$BB$70:$BB$669,Calc!$BL$25))</f>
        <v/>
      </c>
      <c r="C31" s="32" t="str">
        <f>IF(Calc!$BL$25="","",INDEX(Calc!$BC$70:$BC$669,Calc!$BL$25))</f>
        <v/>
      </c>
      <c r="D31" s="33" t="str">
        <f>IF(Calc!$BL$25="","",INDEX(Calc!$BD$70:$BD$669,Calc!$BL$25))</f>
        <v/>
      </c>
      <c r="E31" s="33" t="str">
        <f>IF(Calc!$BL$25="","",INDEX(Calc!$BE$70:$BE$669,Calc!$BL$25))</f>
        <v/>
      </c>
      <c r="F31" s="34" t="str">
        <f>IF(Calc!$BL$25="","",INDEX(Calc!$BF$70:$BF$669,Calc!$BL$25))</f>
        <v/>
      </c>
      <c r="G31" s="35" t="str">
        <f>IF(Calc!$BL$25="","",INDEX(Calc!$BG$70:$BG$669,Calc!$BL$25))</f>
        <v/>
      </c>
      <c r="H31" s="33" t="str">
        <f>IF(Calc!$BL$25="","",INDEX(Calc!$BH$70:$BH$669,Calc!$BL$25))</f>
        <v/>
      </c>
      <c r="I31" s="32" t="str">
        <f>IF(Calc!$BL$25="","",INDEX(Calc!$BI$70:$BI$669,Calc!$BL$25))</f>
        <v/>
      </c>
    </row>
    <row r="32">
      <c r="B32" s="31" t="str">
        <f>IF(Calc!$BL$26="","",INDEX(Calc!$BA$70:$BA$669,Calc!$BL$26)&amp;", "&amp;INDEX(Calc!$BB$70:$BB$669,Calc!$BL$26))</f>
        <v/>
      </c>
      <c r="C32" s="32" t="str">
        <f>IF(Calc!$BL$26="","",INDEX(Calc!$BC$70:$BC$669,Calc!$BL$26))</f>
        <v/>
      </c>
      <c r="D32" s="33" t="str">
        <f>IF(Calc!$BL$26="","",INDEX(Calc!$BD$70:$BD$669,Calc!$BL$26))</f>
        <v/>
      </c>
      <c r="E32" s="33" t="str">
        <f>IF(Calc!$BL$26="","",INDEX(Calc!$BE$70:$BE$669,Calc!$BL$26))</f>
        <v/>
      </c>
      <c r="F32" s="34" t="str">
        <f>IF(Calc!$BL$26="","",INDEX(Calc!$BF$70:$BF$669,Calc!$BL$26))</f>
        <v/>
      </c>
      <c r="G32" s="35" t="str">
        <f>IF(Calc!$BL$26="","",INDEX(Calc!$BG$70:$BG$669,Calc!$BL$26))</f>
        <v/>
      </c>
      <c r="H32" s="33" t="str">
        <f>IF(Calc!$BL$26="","",INDEX(Calc!$BH$70:$BH$669,Calc!$BL$26))</f>
        <v/>
      </c>
      <c r="I32" s="32" t="str">
        <f>IF(Calc!$BL$26="","",INDEX(Calc!$BI$70:$BI$669,Calc!$BL$26))</f>
        <v/>
      </c>
    </row>
    <row r="33">
      <c r="B33" s="31" t="str">
        <f>IF(Calc!$BL$27="","",INDEX(Calc!$BA$70:$BA$669,Calc!$BL$27)&amp;", "&amp;INDEX(Calc!$BB$70:$BB$669,Calc!$BL$27))</f>
        <v/>
      </c>
      <c r="C33" s="32" t="str">
        <f>IF(Calc!$BL$27="","",INDEX(Calc!$BC$70:$BC$669,Calc!$BL$27))</f>
        <v/>
      </c>
      <c r="D33" s="33" t="str">
        <f>IF(Calc!$BL$27="","",INDEX(Calc!$BD$70:$BD$669,Calc!$BL$27))</f>
        <v/>
      </c>
      <c r="E33" s="33" t="str">
        <f>IF(Calc!$BL$27="","",INDEX(Calc!$BE$70:$BE$669,Calc!$BL$27))</f>
        <v/>
      </c>
      <c r="F33" s="34" t="str">
        <f>IF(Calc!$BL$27="","",INDEX(Calc!$BF$70:$BF$669,Calc!$BL$27))</f>
        <v/>
      </c>
      <c r="G33" s="35" t="str">
        <f>IF(Calc!$BL$27="","",INDEX(Calc!$BG$70:$BG$669,Calc!$BL$27))</f>
        <v/>
      </c>
      <c r="H33" s="33" t="str">
        <f>IF(Calc!$BL$27="","",INDEX(Calc!$BH$70:$BH$669,Calc!$BL$27))</f>
        <v/>
      </c>
      <c r="I33" s="32" t="str">
        <f>IF(Calc!$BL$27="","",INDEX(Calc!$BI$70:$BI$669,Calc!$BL$27))</f>
        <v/>
      </c>
    </row>
    <row r="34">
      <c r="B34" s="31" t="str">
        <f>IF(Calc!$BL$28="","",INDEX(Calc!$BA$70:$BA$669,Calc!$BL$28)&amp;", "&amp;INDEX(Calc!$BB$70:$BB$669,Calc!$BL$28))</f>
        <v/>
      </c>
      <c r="C34" s="32" t="str">
        <f>IF(Calc!$BL$28="","",INDEX(Calc!$BC$70:$BC$669,Calc!$BL$28))</f>
        <v/>
      </c>
      <c r="D34" s="33" t="str">
        <f>IF(Calc!$BL$28="","",INDEX(Calc!$BD$70:$BD$669,Calc!$BL$28))</f>
        <v/>
      </c>
      <c r="E34" s="33" t="str">
        <f>IF(Calc!$BL$28="","",INDEX(Calc!$BE$70:$BE$669,Calc!$BL$28))</f>
        <v/>
      </c>
      <c r="F34" s="34" t="str">
        <f>IF(Calc!$BL$28="","",INDEX(Calc!$BF$70:$BF$669,Calc!$BL$28))</f>
        <v/>
      </c>
      <c r="G34" s="35" t="str">
        <f>IF(Calc!$BL$28="","",INDEX(Calc!$BG$70:$BG$669,Calc!$BL$28))</f>
        <v/>
      </c>
      <c r="H34" s="33" t="str">
        <f>IF(Calc!$BL$28="","",INDEX(Calc!$BH$70:$BH$669,Calc!$BL$28))</f>
        <v/>
      </c>
      <c r="I34" s="32" t="str">
        <f>IF(Calc!$BL$28="","",INDEX(Calc!$BI$70:$BI$669,Calc!$BL$28))</f>
        <v/>
      </c>
    </row>
    <row r="35">
      <c r="B35" s="31" t="str">
        <f>IF(Calc!$BL$29="","",INDEX(Calc!$BA$70:$BA$669,Calc!$BL$29)&amp;", "&amp;INDEX(Calc!$BB$70:$BB$669,Calc!$BL$29))</f>
        <v/>
      </c>
      <c r="C35" s="32" t="str">
        <f>IF(Calc!$BL$29="","",INDEX(Calc!$BC$70:$BC$669,Calc!$BL$29))</f>
        <v/>
      </c>
      <c r="D35" s="33" t="str">
        <f>IF(Calc!$BL$29="","",INDEX(Calc!$BD$70:$BD$669,Calc!$BL$29))</f>
        <v/>
      </c>
      <c r="E35" s="33" t="str">
        <f>IF(Calc!$BL$29="","",INDEX(Calc!$BE$70:$BE$669,Calc!$BL$29))</f>
        <v/>
      </c>
      <c r="F35" s="34" t="str">
        <f>IF(Calc!$BL$29="","",INDEX(Calc!$BF$70:$BF$669,Calc!$BL$29))</f>
        <v/>
      </c>
      <c r="G35" s="35" t="str">
        <f>IF(Calc!$BL$29="","",INDEX(Calc!$BG$70:$BG$669,Calc!$BL$29))</f>
        <v/>
      </c>
      <c r="H35" s="33" t="str">
        <f>IF(Calc!$BL$29="","",INDEX(Calc!$BH$70:$BH$669,Calc!$BL$29))</f>
        <v/>
      </c>
      <c r="I35" s="32" t="str">
        <f>IF(Calc!$BL$29="","",INDEX(Calc!$BI$70:$BI$669,Calc!$BL$29))</f>
        <v/>
      </c>
    </row>
    <row r="36">
      <c r="B36" s="31" t="str">
        <f>IF(Calc!$BL$30="","",INDEX(Calc!$BA$70:$BA$669,Calc!$BL$30)&amp;", "&amp;INDEX(Calc!$BB$70:$BB$669,Calc!$BL$30))</f>
        <v/>
      </c>
      <c r="C36" s="32" t="str">
        <f>IF(Calc!$BL$30="","",INDEX(Calc!$BC$70:$BC$669,Calc!$BL$30))</f>
        <v/>
      </c>
      <c r="D36" s="33" t="str">
        <f>IF(Calc!$BL$30="","",INDEX(Calc!$BD$70:$BD$669,Calc!$BL$30))</f>
        <v/>
      </c>
      <c r="E36" s="33" t="str">
        <f>IF(Calc!$BL$30="","",INDEX(Calc!$BE$70:$BE$669,Calc!$BL$30))</f>
        <v/>
      </c>
      <c r="F36" s="34" t="str">
        <f>IF(Calc!$BL$30="","",INDEX(Calc!$BF$70:$BF$669,Calc!$BL$30))</f>
        <v/>
      </c>
      <c r="G36" s="35" t="str">
        <f>IF(Calc!$BL$30="","",INDEX(Calc!$BG$70:$BG$669,Calc!$BL$30))</f>
        <v/>
      </c>
      <c r="H36" s="33" t="str">
        <f>IF(Calc!$BL$30="","",INDEX(Calc!$BH$70:$BH$669,Calc!$BL$30))</f>
        <v/>
      </c>
      <c r="I36" s="32" t="str">
        <f>IF(Calc!$BL$30="","",INDEX(Calc!$BI$70:$BI$669,Calc!$BL$30))</f>
        <v/>
      </c>
    </row>
    <row r="37">
      <c r="B37" s="31" t="str">
        <f>IF(Calc!$BL$31="","",INDEX(Calc!$BA$70:$BA$669,Calc!$BL$31)&amp;", "&amp;INDEX(Calc!$BB$70:$BB$669,Calc!$BL$31))</f>
        <v/>
      </c>
      <c r="C37" s="32" t="str">
        <f>IF(Calc!$BL$31="","",INDEX(Calc!$BC$70:$BC$669,Calc!$BL$31))</f>
        <v/>
      </c>
      <c r="D37" s="33" t="str">
        <f>IF(Calc!$BL$31="","",INDEX(Calc!$BD$70:$BD$669,Calc!$BL$31))</f>
        <v/>
      </c>
      <c r="E37" s="33" t="str">
        <f>IF(Calc!$BL$31="","",INDEX(Calc!$BE$70:$BE$669,Calc!$BL$31))</f>
        <v/>
      </c>
      <c r="F37" s="34" t="str">
        <f>IF(Calc!$BL$31="","",INDEX(Calc!$BF$70:$BF$669,Calc!$BL$31))</f>
        <v/>
      </c>
      <c r="G37" s="35" t="str">
        <f>IF(Calc!$BL$31="","",INDEX(Calc!$BG$70:$BG$669,Calc!$BL$31))</f>
        <v/>
      </c>
      <c r="H37" s="33" t="str">
        <f>IF(Calc!$BL$31="","",INDEX(Calc!$BH$70:$BH$669,Calc!$BL$31))</f>
        <v/>
      </c>
      <c r="I37" s="32" t="str">
        <f>IF(Calc!$BL$31="","",INDEX(Calc!$BI$70:$BI$669,Calc!$BL$31))</f>
        <v/>
      </c>
    </row>
    <row r="38">
      <c r="B38" s="31" t="str">
        <f>IF(Calc!$BL$32="","",INDEX(Calc!$BA$70:$BA$669,Calc!$BL$32)&amp;", "&amp;INDEX(Calc!$BB$70:$BB$669,Calc!$BL$32))</f>
        <v/>
      </c>
      <c r="C38" s="32" t="str">
        <f>IF(Calc!$BL$32="","",INDEX(Calc!$BC$70:$BC$669,Calc!$BL$32))</f>
        <v/>
      </c>
      <c r="D38" s="33" t="str">
        <f>IF(Calc!$BL$32="","",INDEX(Calc!$BD$70:$BD$669,Calc!$BL$32))</f>
        <v/>
      </c>
      <c r="E38" s="33" t="str">
        <f>IF(Calc!$BL$32="","",INDEX(Calc!$BE$70:$BE$669,Calc!$BL$32))</f>
        <v/>
      </c>
      <c r="F38" s="34" t="str">
        <f>IF(Calc!$BL$32="","",INDEX(Calc!$BF$70:$BF$669,Calc!$BL$32))</f>
        <v/>
      </c>
      <c r="G38" s="35" t="str">
        <f>IF(Calc!$BL$32="","",INDEX(Calc!$BG$70:$BG$669,Calc!$BL$32))</f>
        <v/>
      </c>
      <c r="H38" s="33" t="str">
        <f>IF(Calc!$BL$32="","",INDEX(Calc!$BH$70:$BH$669,Calc!$BL$32))</f>
        <v/>
      </c>
      <c r="I38" s="32" t="str">
        <f>IF(Calc!$BL$32="","",INDEX(Calc!$BI$70:$BI$669,Calc!$BL$32))</f>
        <v/>
      </c>
    </row>
    <row r="39">
      <c r="B39" s="31" t="str">
        <f>IF(Calc!$BL$33="","",INDEX(Calc!$BA$70:$BA$669,Calc!$BL$33)&amp;", "&amp;INDEX(Calc!$BB$70:$BB$669,Calc!$BL$33))</f>
        <v/>
      </c>
      <c r="C39" s="32" t="str">
        <f>IF(Calc!$BL$33="","",INDEX(Calc!$BC$70:$BC$669,Calc!$BL$33))</f>
        <v/>
      </c>
      <c r="D39" s="33" t="str">
        <f>IF(Calc!$BL$33="","",INDEX(Calc!$BD$70:$BD$669,Calc!$BL$33))</f>
        <v/>
      </c>
      <c r="E39" s="33" t="str">
        <f>IF(Calc!$BL$33="","",INDEX(Calc!$BE$70:$BE$669,Calc!$BL$33))</f>
        <v/>
      </c>
      <c r="F39" s="34" t="str">
        <f>IF(Calc!$BL$33="","",INDEX(Calc!$BF$70:$BF$669,Calc!$BL$33))</f>
        <v/>
      </c>
      <c r="G39" s="35" t="str">
        <f>IF(Calc!$BL$33="","",INDEX(Calc!$BG$70:$BG$669,Calc!$BL$33))</f>
        <v/>
      </c>
      <c r="H39" s="33" t="str">
        <f>IF(Calc!$BL$33="","",INDEX(Calc!$BH$70:$BH$669,Calc!$BL$33))</f>
        <v/>
      </c>
      <c r="I39" s="32" t="str">
        <f>IF(Calc!$BL$33="","",INDEX(Calc!$BI$70:$BI$669,Calc!$BL$33))</f>
        <v/>
      </c>
    </row>
    <row r="40">
      <c r="B40" s="31" t="str">
        <f>IF(Calc!$BL$34="","",INDEX(Calc!$BA$70:$BA$669,Calc!$BL$34)&amp;", "&amp;INDEX(Calc!$BB$70:$BB$669,Calc!$BL$34))</f>
        <v/>
      </c>
      <c r="C40" s="32" t="str">
        <f>IF(Calc!$BL$34="","",INDEX(Calc!$BC$70:$BC$669,Calc!$BL$34))</f>
        <v/>
      </c>
      <c r="D40" s="33" t="str">
        <f>IF(Calc!$BL$34="","",INDEX(Calc!$BD$70:$BD$669,Calc!$BL$34))</f>
        <v/>
      </c>
      <c r="E40" s="33" t="str">
        <f>IF(Calc!$BL$34="","",INDEX(Calc!$BE$70:$BE$669,Calc!$BL$34))</f>
        <v/>
      </c>
      <c r="F40" s="34" t="str">
        <f>IF(Calc!$BL$34="","",INDEX(Calc!$BF$70:$BF$669,Calc!$BL$34))</f>
        <v/>
      </c>
      <c r="G40" s="35" t="str">
        <f>IF(Calc!$BL$34="","",INDEX(Calc!$BG$70:$BG$669,Calc!$BL$34))</f>
        <v/>
      </c>
      <c r="H40" s="33" t="str">
        <f>IF(Calc!$BL$34="","",INDEX(Calc!$BH$70:$BH$669,Calc!$BL$34))</f>
        <v/>
      </c>
      <c r="I40" s="32" t="str">
        <f>IF(Calc!$BL$34="","",INDEX(Calc!$BI$70:$BI$669,Calc!$BL$34))</f>
        <v/>
      </c>
    </row>
    <row r="41">
      <c r="B41" s="31" t="str">
        <f>IF(Calc!$BL$35="","",INDEX(Calc!$BA$70:$BA$669,Calc!$BL$35)&amp;", "&amp;INDEX(Calc!$BB$70:$BB$669,Calc!$BL$35))</f>
        <v/>
      </c>
      <c r="C41" s="32" t="str">
        <f>IF(Calc!$BL$35="","",INDEX(Calc!$BC$70:$BC$669,Calc!$BL$35))</f>
        <v/>
      </c>
      <c r="D41" s="33" t="str">
        <f>IF(Calc!$BL$35="","",INDEX(Calc!$BD$70:$BD$669,Calc!$BL$35))</f>
        <v/>
      </c>
      <c r="E41" s="33" t="str">
        <f>IF(Calc!$BL$35="","",INDEX(Calc!$BE$70:$BE$669,Calc!$BL$35))</f>
        <v/>
      </c>
      <c r="F41" s="34" t="str">
        <f>IF(Calc!$BL$35="","",INDEX(Calc!$BF$70:$BF$669,Calc!$BL$35))</f>
        <v/>
      </c>
      <c r="G41" s="35" t="str">
        <f>IF(Calc!$BL$35="","",INDEX(Calc!$BG$70:$BG$669,Calc!$BL$35))</f>
        <v/>
      </c>
      <c r="H41" s="33" t="str">
        <f>IF(Calc!$BL$35="","",INDEX(Calc!$BH$70:$BH$669,Calc!$BL$35))</f>
        <v/>
      </c>
      <c r="I41" s="32" t="str">
        <f>IF(Calc!$BL$35="","",INDEX(Calc!$BI$70:$BI$669,Calc!$BL$35))</f>
        <v/>
      </c>
    </row>
    <row r="42">
      <c r="B42" s="31" t="str">
        <f>IF(Calc!$BL$36="","",INDEX(Calc!$BA$70:$BA$669,Calc!$BL$36)&amp;", "&amp;INDEX(Calc!$BB$70:$BB$669,Calc!$BL$36))</f>
        <v/>
      </c>
      <c r="C42" s="32" t="str">
        <f>IF(Calc!$BL$36="","",INDEX(Calc!$BC$70:$BC$669,Calc!$BL$36))</f>
        <v/>
      </c>
      <c r="D42" s="33" t="str">
        <f>IF(Calc!$BL$36="","",INDEX(Calc!$BD$70:$BD$669,Calc!$BL$36))</f>
        <v/>
      </c>
      <c r="E42" s="33" t="str">
        <f>IF(Calc!$BL$36="","",INDEX(Calc!$BE$70:$BE$669,Calc!$BL$36))</f>
        <v/>
      </c>
      <c r="F42" s="34" t="str">
        <f>IF(Calc!$BL$36="","",INDEX(Calc!$BF$70:$BF$669,Calc!$BL$36))</f>
        <v/>
      </c>
      <c r="G42" s="35" t="str">
        <f>IF(Calc!$BL$36="","",INDEX(Calc!$BG$70:$BG$669,Calc!$BL$36))</f>
        <v/>
      </c>
      <c r="H42" s="33" t="str">
        <f>IF(Calc!$BL$36="","",INDEX(Calc!$BH$70:$BH$669,Calc!$BL$36))</f>
        <v/>
      </c>
      <c r="I42" s="32" t="str">
        <f>IF(Calc!$BL$36="","",INDEX(Calc!$BI$70:$BI$669,Calc!$BL$36))</f>
        <v/>
      </c>
    </row>
    <row r="43">
      <c r="B43" s="31" t="str">
        <f>IF(Calc!$BL$37="","",INDEX(Calc!$BA$70:$BA$669,Calc!$BL$37)&amp;", "&amp;INDEX(Calc!$BB$70:$BB$669,Calc!$BL$37))</f>
        <v/>
      </c>
      <c r="C43" s="32" t="str">
        <f>IF(Calc!$BL$37="","",INDEX(Calc!$BC$70:$BC$669,Calc!$BL$37))</f>
        <v/>
      </c>
      <c r="D43" s="33" t="str">
        <f>IF(Calc!$BL$37="","",INDEX(Calc!$BD$70:$BD$669,Calc!$BL$37))</f>
        <v/>
      </c>
      <c r="E43" s="33" t="str">
        <f>IF(Calc!$BL$37="","",INDEX(Calc!$BE$70:$BE$669,Calc!$BL$37))</f>
        <v/>
      </c>
      <c r="F43" s="34" t="str">
        <f>IF(Calc!$BL$37="","",INDEX(Calc!$BF$70:$BF$669,Calc!$BL$37))</f>
        <v/>
      </c>
      <c r="G43" s="35" t="str">
        <f>IF(Calc!$BL$37="","",INDEX(Calc!$BG$70:$BG$669,Calc!$BL$37))</f>
        <v/>
      </c>
      <c r="H43" s="33" t="str">
        <f>IF(Calc!$BL$37="","",INDEX(Calc!$BH$70:$BH$669,Calc!$BL$37))</f>
        <v/>
      </c>
      <c r="I43" s="32" t="str">
        <f>IF(Calc!$BL$37="","",INDEX(Calc!$BI$70:$BI$669,Calc!$BL$37))</f>
        <v/>
      </c>
    </row>
    <row r="44">
      <c r="B44" s="31" t="str">
        <f>IF(Calc!$BL$38="","",INDEX(Calc!$BA$70:$BA$669,Calc!$BL$38)&amp;", "&amp;INDEX(Calc!$BB$70:$BB$669,Calc!$BL$38))</f>
        <v/>
      </c>
      <c r="C44" s="32" t="str">
        <f>IF(Calc!$BL$38="","",INDEX(Calc!$BC$70:$BC$669,Calc!$BL$38))</f>
        <v/>
      </c>
      <c r="D44" s="33" t="str">
        <f>IF(Calc!$BL$38="","",INDEX(Calc!$BD$70:$BD$669,Calc!$BL$38))</f>
        <v/>
      </c>
      <c r="E44" s="33" t="str">
        <f>IF(Calc!$BL$38="","",INDEX(Calc!$BE$70:$BE$669,Calc!$BL$38))</f>
        <v/>
      </c>
      <c r="F44" s="34" t="str">
        <f>IF(Calc!$BL$38="","",INDEX(Calc!$BF$70:$BF$669,Calc!$BL$38))</f>
        <v/>
      </c>
      <c r="G44" s="35" t="str">
        <f>IF(Calc!$BL$38="","",INDEX(Calc!$BG$70:$BG$669,Calc!$BL$38))</f>
        <v/>
      </c>
      <c r="H44" s="33" t="str">
        <f>IF(Calc!$BL$38="","",INDEX(Calc!$BH$70:$BH$669,Calc!$BL$38))</f>
        <v/>
      </c>
      <c r="I44" s="32" t="str">
        <f>IF(Calc!$BL$38="","",INDEX(Calc!$BI$70:$BI$669,Calc!$BL$38))</f>
        <v/>
      </c>
    </row>
    <row r="45">
      <c r="B45" s="31" t="str">
        <f>IF(Calc!$BL$39="","",INDEX(Calc!$BA$70:$BA$669,Calc!$BL$39)&amp;", "&amp;INDEX(Calc!$BB$70:$BB$669,Calc!$BL$39))</f>
        <v/>
      </c>
      <c r="C45" s="32" t="str">
        <f>IF(Calc!$BL$39="","",INDEX(Calc!$BC$70:$BC$669,Calc!$BL$39))</f>
        <v/>
      </c>
      <c r="D45" s="33" t="str">
        <f>IF(Calc!$BL$39="","",INDEX(Calc!$BD$70:$BD$669,Calc!$BL$39))</f>
        <v/>
      </c>
      <c r="E45" s="33" t="str">
        <f>IF(Calc!$BL$39="","",INDEX(Calc!$BE$70:$BE$669,Calc!$BL$39))</f>
        <v/>
      </c>
      <c r="F45" s="34" t="str">
        <f>IF(Calc!$BL$39="","",INDEX(Calc!$BF$70:$BF$669,Calc!$BL$39))</f>
        <v/>
      </c>
      <c r="G45" s="35" t="str">
        <f>IF(Calc!$BL$39="","",INDEX(Calc!$BG$70:$BG$669,Calc!$BL$39))</f>
        <v/>
      </c>
      <c r="H45" s="33" t="str">
        <f>IF(Calc!$BL$39="","",INDEX(Calc!$BH$70:$BH$669,Calc!$BL$39))</f>
        <v/>
      </c>
      <c r="I45" s="32" t="str">
        <f>IF(Calc!$BL$39="","",INDEX(Calc!$BI$70:$BI$669,Calc!$BL$39))</f>
        <v/>
      </c>
    </row>
    <row r="46">
      <c r="B46" s="31" t="str">
        <f>IF(Calc!$BL$40="","",INDEX(Calc!$BA$70:$BA$669,Calc!$BL$40)&amp;", "&amp;INDEX(Calc!$BB$70:$BB$669,Calc!$BL$40))</f>
        <v/>
      </c>
      <c r="C46" s="32" t="str">
        <f>IF(Calc!$BL$40="","",INDEX(Calc!$BC$70:$BC$669,Calc!$BL$40))</f>
        <v/>
      </c>
      <c r="D46" s="33" t="str">
        <f>IF(Calc!$BL$40="","",INDEX(Calc!$BD$70:$BD$669,Calc!$BL$40))</f>
        <v/>
      </c>
      <c r="E46" s="33" t="str">
        <f>IF(Calc!$BL$40="","",INDEX(Calc!$BE$70:$BE$669,Calc!$BL$40))</f>
        <v/>
      </c>
      <c r="F46" s="34" t="str">
        <f>IF(Calc!$BL$40="","",INDEX(Calc!$BF$70:$BF$669,Calc!$BL$40))</f>
        <v/>
      </c>
      <c r="G46" s="35" t="str">
        <f>IF(Calc!$BL$40="","",INDEX(Calc!$BG$70:$BG$669,Calc!$BL$40))</f>
        <v/>
      </c>
      <c r="H46" s="33" t="str">
        <f>IF(Calc!$BL$40="","",INDEX(Calc!$BH$70:$BH$669,Calc!$BL$40))</f>
        <v/>
      </c>
      <c r="I46" s="32" t="str">
        <f>IF(Calc!$BL$40="","",INDEX(Calc!$BI$70:$BI$669,Calc!$BL$40))</f>
        <v/>
      </c>
    </row>
    <row r="47">
      <c r="B47" s="31" t="str">
        <f>IF(Calc!$BL$41="","",INDEX(Calc!$BA$70:$BA$669,Calc!$BL$41)&amp;", "&amp;INDEX(Calc!$BB$70:$BB$669,Calc!$BL$41))</f>
        <v/>
      </c>
      <c r="C47" s="32" t="str">
        <f>IF(Calc!$BL$41="","",INDEX(Calc!$BC$70:$BC$669,Calc!$BL$41))</f>
        <v/>
      </c>
      <c r="D47" s="33" t="str">
        <f>IF(Calc!$BL$41="","",INDEX(Calc!$BD$70:$BD$669,Calc!$BL$41))</f>
        <v/>
      </c>
      <c r="E47" s="33" t="str">
        <f>IF(Calc!$BL$41="","",INDEX(Calc!$BE$70:$BE$669,Calc!$BL$41))</f>
        <v/>
      </c>
      <c r="F47" s="34" t="str">
        <f>IF(Calc!$BL$41="","",INDEX(Calc!$BF$70:$BF$669,Calc!$BL$41))</f>
        <v/>
      </c>
      <c r="G47" s="35" t="str">
        <f>IF(Calc!$BL$41="","",INDEX(Calc!$BG$70:$BG$669,Calc!$BL$41))</f>
        <v/>
      </c>
      <c r="H47" s="33" t="str">
        <f>IF(Calc!$BL$41="","",INDEX(Calc!$BH$70:$BH$669,Calc!$BL$41))</f>
        <v/>
      </c>
      <c r="I47" s="32" t="str">
        <f>IF(Calc!$BL$41="","",INDEX(Calc!$BI$70:$BI$669,Calc!$BL$41))</f>
        <v/>
      </c>
    </row>
    <row r="48">
      <c r="B48" s="31" t="str">
        <f>IF(Calc!$BL$42="","",INDEX(Calc!$BA$70:$BA$669,Calc!$BL$42)&amp;", "&amp;INDEX(Calc!$BB$70:$BB$669,Calc!$BL$42))</f>
        <v/>
      </c>
      <c r="C48" s="32" t="str">
        <f>IF(Calc!$BL$42="","",INDEX(Calc!$BC$70:$BC$669,Calc!$BL$42))</f>
        <v/>
      </c>
      <c r="D48" s="33" t="str">
        <f>IF(Calc!$BL$42="","",INDEX(Calc!$BD$70:$BD$669,Calc!$BL$42))</f>
        <v/>
      </c>
      <c r="E48" s="33" t="str">
        <f>IF(Calc!$BL$42="","",INDEX(Calc!$BE$70:$BE$669,Calc!$BL$42))</f>
        <v/>
      </c>
      <c r="F48" s="34" t="str">
        <f>IF(Calc!$BL$42="","",INDEX(Calc!$BF$70:$BF$669,Calc!$BL$42))</f>
        <v/>
      </c>
      <c r="G48" s="35" t="str">
        <f>IF(Calc!$BL$42="","",INDEX(Calc!$BG$70:$BG$669,Calc!$BL$42))</f>
        <v/>
      </c>
      <c r="H48" s="33" t="str">
        <f>IF(Calc!$BL$42="","",INDEX(Calc!$BH$70:$BH$669,Calc!$BL$42))</f>
        <v/>
      </c>
      <c r="I48" s="32" t="str">
        <f>IF(Calc!$BL$42="","",INDEX(Calc!$BI$70:$BI$669,Calc!$BL$42))</f>
        <v/>
      </c>
    </row>
    <row r="49">
      <c r="B49" s="31" t="str">
        <f>IF(Calc!$BL$43="","",INDEX(Calc!$BA$70:$BA$669,Calc!$BL$43)&amp;", "&amp;INDEX(Calc!$BB$70:$BB$669,Calc!$BL$43))</f>
        <v/>
      </c>
      <c r="C49" s="32" t="str">
        <f>IF(Calc!$BL$43="","",INDEX(Calc!$BC$70:$BC$669,Calc!$BL$43))</f>
        <v/>
      </c>
      <c r="D49" s="33" t="str">
        <f>IF(Calc!$BL$43="","",INDEX(Calc!$BD$70:$BD$669,Calc!$BL$43))</f>
        <v/>
      </c>
      <c r="E49" s="33" t="str">
        <f>IF(Calc!$BL$43="","",INDEX(Calc!$BE$70:$BE$669,Calc!$BL$43))</f>
        <v/>
      </c>
      <c r="F49" s="34" t="str">
        <f>IF(Calc!$BL$43="","",INDEX(Calc!$BF$70:$BF$669,Calc!$BL$43))</f>
        <v/>
      </c>
      <c r="G49" s="35" t="str">
        <f>IF(Calc!$BL$43="","",INDEX(Calc!$BG$70:$BG$669,Calc!$BL$43))</f>
        <v/>
      </c>
      <c r="H49" s="33" t="str">
        <f>IF(Calc!$BL$43="","",INDEX(Calc!$BH$70:$BH$669,Calc!$BL$43))</f>
        <v/>
      </c>
      <c r="I49" s="32" t="str">
        <f>IF(Calc!$BL$43="","",INDEX(Calc!$BI$70:$BI$669,Calc!$BL$43))</f>
        <v/>
      </c>
    </row>
    <row r="50">
      <c r="B50" s="31" t="str">
        <f>IF(Calc!$BL$44="","",INDEX(Calc!$BA$70:$BA$669,Calc!$BL$44)&amp;", "&amp;INDEX(Calc!$BB$70:$BB$669,Calc!$BL$44))</f>
        <v/>
      </c>
      <c r="C50" s="32" t="str">
        <f>IF(Calc!$BL$44="","",INDEX(Calc!$BC$70:$BC$669,Calc!$BL$44))</f>
        <v/>
      </c>
      <c r="D50" s="33" t="str">
        <f>IF(Calc!$BL$44="","",INDEX(Calc!$BD$70:$BD$669,Calc!$BL$44))</f>
        <v/>
      </c>
      <c r="E50" s="33" t="str">
        <f>IF(Calc!$BL$44="","",INDEX(Calc!$BE$70:$BE$669,Calc!$BL$44))</f>
        <v/>
      </c>
      <c r="F50" s="34" t="str">
        <f>IF(Calc!$BL$44="","",INDEX(Calc!$BF$70:$BF$669,Calc!$BL$44))</f>
        <v/>
      </c>
      <c r="G50" s="35" t="str">
        <f>IF(Calc!$BL$44="","",INDEX(Calc!$BG$70:$BG$669,Calc!$BL$44))</f>
        <v/>
      </c>
      <c r="H50" s="33" t="str">
        <f>IF(Calc!$BL$44="","",INDEX(Calc!$BH$70:$BH$669,Calc!$BL$44))</f>
        <v/>
      </c>
      <c r="I50" s="32" t="str">
        <f>IF(Calc!$BL$44="","",INDEX(Calc!$BI$70:$BI$669,Calc!$BL$44))</f>
        <v/>
      </c>
    </row>
    <row r="51">
      <c r="B51" s="31" t="str">
        <f>IF(Calc!$BL$45="","",INDEX(Calc!$BA$70:$BA$669,Calc!$BL$45)&amp;", "&amp;INDEX(Calc!$BB$70:$BB$669,Calc!$BL$45))</f>
        <v/>
      </c>
      <c r="C51" s="32" t="str">
        <f>IF(Calc!$BL$45="","",INDEX(Calc!$BC$70:$BC$669,Calc!$BL$45))</f>
        <v/>
      </c>
      <c r="D51" s="33" t="str">
        <f>IF(Calc!$BL$45="","",INDEX(Calc!$BD$70:$BD$669,Calc!$BL$45))</f>
        <v/>
      </c>
      <c r="E51" s="33" t="str">
        <f>IF(Calc!$BL$45="","",INDEX(Calc!$BE$70:$BE$669,Calc!$BL$45))</f>
        <v/>
      </c>
      <c r="F51" s="34" t="str">
        <f>IF(Calc!$BL$45="","",INDEX(Calc!$BF$70:$BF$669,Calc!$BL$45))</f>
        <v/>
      </c>
      <c r="G51" s="35" t="str">
        <f>IF(Calc!$BL$45="","",INDEX(Calc!$BG$70:$BG$669,Calc!$BL$45))</f>
        <v/>
      </c>
      <c r="H51" s="33" t="str">
        <f>IF(Calc!$BL$45="","",INDEX(Calc!$BH$70:$BH$669,Calc!$BL$45))</f>
        <v/>
      </c>
      <c r="I51" s="32" t="str">
        <f>IF(Calc!$BL$45="","",INDEX(Calc!$BI$70:$BI$669,Calc!$BL$45))</f>
        <v/>
      </c>
    </row>
    <row r="52">
      <c r="B52" s="31" t="str">
        <f>IF(Calc!$BL$46="","",INDEX(Calc!$BA$70:$BA$669,Calc!$BL$46)&amp;", "&amp;INDEX(Calc!$BB$70:$BB$669,Calc!$BL$46))</f>
        <v/>
      </c>
      <c r="C52" s="32" t="str">
        <f>IF(Calc!$BL$46="","",INDEX(Calc!$BC$70:$BC$669,Calc!$BL$46))</f>
        <v/>
      </c>
      <c r="D52" s="33" t="str">
        <f>IF(Calc!$BL$46="","",INDEX(Calc!$BD$70:$BD$669,Calc!$BL$46))</f>
        <v/>
      </c>
      <c r="E52" s="33" t="str">
        <f>IF(Calc!$BL$46="","",INDEX(Calc!$BE$70:$BE$669,Calc!$BL$46))</f>
        <v/>
      </c>
      <c r="F52" s="34" t="str">
        <f>IF(Calc!$BL$46="","",INDEX(Calc!$BF$70:$BF$669,Calc!$BL$46))</f>
        <v/>
      </c>
      <c r="G52" s="35" t="str">
        <f>IF(Calc!$BL$46="","",INDEX(Calc!$BG$70:$BG$669,Calc!$BL$46))</f>
        <v/>
      </c>
      <c r="H52" s="33" t="str">
        <f>IF(Calc!$BL$46="","",INDEX(Calc!$BH$70:$BH$669,Calc!$BL$46))</f>
        <v/>
      </c>
      <c r="I52" s="32" t="str">
        <f>IF(Calc!$BL$46="","",INDEX(Calc!$BI$70:$BI$669,Calc!$BL$46))</f>
        <v/>
      </c>
    </row>
    <row r="53">
      <c r="B53" s="31" t="str">
        <f>IF(Calc!$BL$47="","",INDEX(Calc!$BA$70:$BA$669,Calc!$BL$47)&amp;", "&amp;INDEX(Calc!$BB$70:$BB$669,Calc!$BL$47))</f>
        <v/>
      </c>
      <c r="C53" s="32" t="str">
        <f>IF(Calc!$BL$47="","",INDEX(Calc!$BC$70:$BC$669,Calc!$BL$47))</f>
        <v/>
      </c>
      <c r="D53" s="33" t="str">
        <f>IF(Calc!$BL$47="","",INDEX(Calc!$BD$70:$BD$669,Calc!$BL$47))</f>
        <v/>
      </c>
      <c r="E53" s="33" t="str">
        <f>IF(Calc!$BL$47="","",INDEX(Calc!$BE$70:$BE$669,Calc!$BL$47))</f>
        <v/>
      </c>
      <c r="F53" s="34" t="str">
        <f>IF(Calc!$BL$47="","",INDEX(Calc!$BF$70:$BF$669,Calc!$BL$47))</f>
        <v/>
      </c>
      <c r="G53" s="35" t="str">
        <f>IF(Calc!$BL$47="","",INDEX(Calc!$BG$70:$BG$669,Calc!$BL$47))</f>
        <v/>
      </c>
      <c r="H53" s="33" t="str">
        <f>IF(Calc!$BL$47="","",INDEX(Calc!$BH$70:$BH$669,Calc!$BL$47))</f>
        <v/>
      </c>
      <c r="I53" s="32" t="str">
        <f>IF(Calc!$BL$47="","",INDEX(Calc!$BI$70:$BI$669,Calc!$BL$47))</f>
        <v/>
      </c>
    </row>
    <row r="54">
      <c r="B54" s="31" t="str">
        <f>IF(Calc!$BL$48="","",INDEX(Calc!$BA$70:$BA$669,Calc!$BL$48)&amp;", "&amp;INDEX(Calc!$BB$70:$BB$669,Calc!$BL$48))</f>
        <v/>
      </c>
      <c r="C54" s="32" t="str">
        <f>IF(Calc!$BL$48="","",INDEX(Calc!$BC$70:$BC$669,Calc!$BL$48))</f>
        <v/>
      </c>
      <c r="D54" s="33" t="str">
        <f>IF(Calc!$BL$48="","",INDEX(Calc!$BD$70:$BD$669,Calc!$BL$48))</f>
        <v/>
      </c>
      <c r="E54" s="33" t="str">
        <f>IF(Calc!$BL$48="","",INDEX(Calc!$BE$70:$BE$669,Calc!$BL$48))</f>
        <v/>
      </c>
      <c r="F54" s="34" t="str">
        <f>IF(Calc!$BL$48="","",INDEX(Calc!$BF$70:$BF$669,Calc!$BL$48))</f>
        <v/>
      </c>
      <c r="G54" s="35" t="str">
        <f>IF(Calc!$BL$48="","",INDEX(Calc!$BG$70:$BG$669,Calc!$BL$48))</f>
        <v/>
      </c>
      <c r="H54" s="33" t="str">
        <f>IF(Calc!$BL$48="","",INDEX(Calc!$BH$70:$BH$669,Calc!$BL$48))</f>
        <v/>
      </c>
      <c r="I54" s="32" t="str">
        <f>IF(Calc!$BL$48="","",INDEX(Calc!$BI$70:$BI$669,Calc!$BL$48))</f>
        <v/>
      </c>
    </row>
    <row r="55">
      <c r="B55" s="31" t="str">
        <f>IF(Calc!$BL$49="","",INDEX(Calc!$BA$70:$BA$669,Calc!$BL$49)&amp;", "&amp;INDEX(Calc!$BB$70:$BB$669,Calc!$BL$49))</f>
        <v/>
      </c>
      <c r="C55" s="32" t="str">
        <f>IF(Calc!$BL$49="","",INDEX(Calc!$BC$70:$BC$669,Calc!$BL$49))</f>
        <v/>
      </c>
      <c r="D55" s="33" t="str">
        <f>IF(Calc!$BL$49="","",INDEX(Calc!$BD$70:$BD$669,Calc!$BL$49))</f>
        <v/>
      </c>
      <c r="E55" s="33" t="str">
        <f>IF(Calc!$BL$49="","",INDEX(Calc!$BE$70:$BE$669,Calc!$BL$49))</f>
        <v/>
      </c>
      <c r="F55" s="34" t="str">
        <f>IF(Calc!$BL$49="","",INDEX(Calc!$BF$70:$BF$669,Calc!$BL$49))</f>
        <v/>
      </c>
      <c r="G55" s="35" t="str">
        <f>IF(Calc!$BL$49="","",INDEX(Calc!$BG$70:$BG$669,Calc!$BL$49))</f>
        <v/>
      </c>
      <c r="H55" s="33" t="str">
        <f>IF(Calc!$BL$49="","",INDEX(Calc!$BH$70:$BH$669,Calc!$BL$49))</f>
        <v/>
      </c>
      <c r="I55" s="32" t="str">
        <f>IF(Calc!$BL$49="","",INDEX(Calc!$BI$70:$BI$669,Calc!$BL$49))</f>
        <v/>
      </c>
    </row>
    <row r="56">
      <c r="B56" s="31" t="str">
        <f>IF(Calc!$BL$50="","",INDEX(Calc!$BA$70:$BA$669,Calc!$BL$50)&amp;", "&amp;INDEX(Calc!$BB$70:$BB$669,Calc!$BL$50))</f>
        <v/>
      </c>
      <c r="C56" s="32" t="str">
        <f>IF(Calc!$BL$50="","",INDEX(Calc!$BC$70:$BC$669,Calc!$BL$50))</f>
        <v/>
      </c>
      <c r="D56" s="33" t="str">
        <f>IF(Calc!$BL$50="","",INDEX(Calc!$BD$70:$BD$669,Calc!$BL$50))</f>
        <v/>
      </c>
      <c r="E56" s="33" t="str">
        <f>IF(Calc!$BL$50="","",INDEX(Calc!$BE$70:$BE$669,Calc!$BL$50))</f>
        <v/>
      </c>
      <c r="F56" s="34" t="str">
        <f>IF(Calc!$BL$50="","",INDEX(Calc!$BF$70:$BF$669,Calc!$BL$50))</f>
        <v/>
      </c>
      <c r="G56" s="35" t="str">
        <f>IF(Calc!$BL$50="","",INDEX(Calc!$BG$70:$BG$669,Calc!$BL$50))</f>
        <v/>
      </c>
      <c r="H56" s="33" t="str">
        <f>IF(Calc!$BL$50="","",INDEX(Calc!$BH$70:$BH$669,Calc!$BL$50))</f>
        <v/>
      </c>
      <c r="I56" s="32" t="str">
        <f>IF(Calc!$BL$50="","",INDEX(Calc!$BI$70:$BI$669,Calc!$BL$50))</f>
        <v/>
      </c>
    </row>
    <row r="57">
      <c r="B57" s="31" t="str">
        <f>IF(Calc!$BL$51="","",INDEX(Calc!$BA$70:$BA$669,Calc!$BL$51)&amp;", "&amp;INDEX(Calc!$BB$70:$BB$669,Calc!$BL$51))</f>
        <v/>
      </c>
      <c r="C57" s="32" t="str">
        <f>IF(Calc!$BL$51="","",INDEX(Calc!$BC$70:$BC$669,Calc!$BL$51))</f>
        <v/>
      </c>
      <c r="D57" s="33" t="str">
        <f>IF(Calc!$BL$51="","",INDEX(Calc!$BD$70:$BD$669,Calc!$BL$51))</f>
        <v/>
      </c>
      <c r="E57" s="33" t="str">
        <f>IF(Calc!$BL$51="","",INDEX(Calc!$BE$70:$BE$669,Calc!$BL$51))</f>
        <v/>
      </c>
      <c r="F57" s="34" t="str">
        <f>IF(Calc!$BL$51="","",INDEX(Calc!$BF$70:$BF$669,Calc!$BL$51))</f>
        <v/>
      </c>
      <c r="G57" s="35" t="str">
        <f>IF(Calc!$BL$51="","",INDEX(Calc!$BG$70:$BG$669,Calc!$BL$51))</f>
        <v/>
      </c>
      <c r="H57" s="33" t="str">
        <f>IF(Calc!$BL$51="","",INDEX(Calc!$BH$70:$BH$669,Calc!$BL$51))</f>
        <v/>
      </c>
      <c r="I57" s="32" t="str">
        <f>IF(Calc!$BL$51="","",INDEX(Calc!$BI$70:$BI$669,Calc!$BL$51))</f>
        <v/>
      </c>
    </row>
    <row r="58">
      <c r="B58" s="31" t="str">
        <f>IF(Calc!$BL$52="","",INDEX(Calc!$BA$70:$BA$669,Calc!$BL$52)&amp;", "&amp;INDEX(Calc!$BB$70:$BB$669,Calc!$BL$52))</f>
        <v/>
      </c>
      <c r="C58" s="32" t="str">
        <f>IF(Calc!$BL$52="","",INDEX(Calc!$BC$70:$BC$669,Calc!$BL$52))</f>
        <v/>
      </c>
      <c r="D58" s="33" t="str">
        <f>IF(Calc!$BL$52="","",INDEX(Calc!$BD$70:$BD$669,Calc!$BL$52))</f>
        <v/>
      </c>
      <c r="E58" s="33" t="str">
        <f>IF(Calc!$BL$52="","",INDEX(Calc!$BE$70:$BE$669,Calc!$BL$52))</f>
        <v/>
      </c>
      <c r="F58" s="34" t="str">
        <f>IF(Calc!$BL$52="","",INDEX(Calc!$BF$70:$BF$669,Calc!$BL$52))</f>
        <v/>
      </c>
      <c r="G58" s="35" t="str">
        <f>IF(Calc!$BL$52="","",INDEX(Calc!$BG$70:$BG$669,Calc!$BL$52))</f>
        <v/>
      </c>
      <c r="H58" s="33" t="str">
        <f>IF(Calc!$BL$52="","",INDEX(Calc!$BH$70:$BH$669,Calc!$BL$52))</f>
        <v/>
      </c>
      <c r="I58" s="32" t="str">
        <f>IF(Calc!$BL$52="","",INDEX(Calc!$BI$70:$BI$669,Calc!$BL$52))</f>
        <v/>
      </c>
    </row>
  </sheetData>
  <sheetProtection selectLockedCells="0" selectUnlockedCells="0" sheet="1" objects="0" insertRows="1" insertHyperlinks="1" autoFilter="1" scenarios="0" formatColumns="0" deleteColumns="1" insertColumns="1" pivotTables="1" deleteRows="1" formatCells="1" formatRows="0" sort="1"/>
  <mergeCells count="1">
    <mergeCell ref="C4:D4"/>
  </mergeCells>
  <conditionalFormatting sqref="G9:G58">
    <cfRule type="expression" priority="1" dxfId="9">
      <formula>AND(ISNUMBER(G9),G9&lt;=-1)</formula>
    </cfRule>
  </conditionalFormatting>
  <conditionalFormatting sqref="H9:H58">
    <cfRule type="iconSet" priority="2">
      <iconSet iconSet="3TrafficLights1">
        <cfvo type="percent" val="0"/>
        <cfvo type="num" val="4"/>
        <cfvo type="num" val="7"/>
      </iconSet>
    </cfRule>
  </conditionalFormatting>
  <conditionalFormatting sqref="B9:I58">
    <cfRule type="expression" priority="3" dxfId="8">
      <formula>$B9&lt;&gt;""</formula>
    </cfRule>
  </conditionalFormatting>
  <dataValidations count="1">
    <dataValidation sqref="C4" showDropDown="0" showInputMessage="0" showErrorMessage="1" allowBlank="0" errorTitle="Pick from the list" error="Choose an option from the drop-down list." type="list">
      <formula1>YearNames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5.xml><?xml version="1.0" encoding="utf-8"?>
<worksheet xmlns="http://schemas.openxmlformats.org/spreadsheetml/2006/main">
  <sheetPr codeName="shY7">
    <outlinePr summaryBelow="1" summaryRight="1"/>
    <pageSetUpPr/>
  </sheetPr>
  <dimension ref="A1:U13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7B01 - Cells
Raw Score</t>
        </is>
      </c>
      <c r="O1" s="63" t="inlineStr">
        <is>
          <t>7B01 - Cells
Stanine</t>
        </is>
      </c>
      <c r="P1" s="64" t="inlineStr">
        <is>
          <t>7C01 - Particles
Raw Score</t>
        </is>
      </c>
      <c r="Q1" s="64" t="inlineStr">
        <is>
          <t>7C01 - Particles
Stanine</t>
        </is>
      </c>
      <c r="R1" s="63" t="inlineStr">
        <is>
          <t>7P01 - Forces
Raw Score</t>
        </is>
      </c>
      <c r="S1" s="63" t="inlineStr">
        <is>
          <t>7P01 - Forces
Stanine</t>
        </is>
      </c>
      <c r="T1" s="64" t="inlineStr">
        <is>
          <t>7B02 - Organ Systems
Raw Score</t>
        </is>
      </c>
      <c r="U1" s="64" t="inlineStr">
        <is>
          <t>7B02 - Organ Systems
Stanine</t>
        </is>
      </c>
    </row>
    <row r="2">
      <c r="A2" s="65" t="inlineStr">
        <is>
          <t>X909153552369</t>
        </is>
      </c>
      <c r="B2" s="65" t="inlineStr">
        <is>
          <t>Begum</t>
        </is>
      </c>
      <c r="C2" s="65" t="inlineStr">
        <is>
          <t>Zara</t>
        </is>
      </c>
      <c r="D2" s="66" t="inlineStr">
        <is>
          <t>M</t>
        </is>
      </c>
      <c r="E2" s="66" t="inlineStr">
        <is>
          <t>E</t>
        </is>
      </c>
      <c r="F2" s="66" t="inlineStr">
        <is>
          <t>N</t>
        </is>
      </c>
      <c r="G2" s="34" t="n">
        <v>92.09999999999999</v>
      </c>
      <c r="H2" s="34" t="n">
        <v>107.5</v>
      </c>
      <c r="I2" s="67">
        <f>IF(ISNUMBER(tblY7[[#This Row],[Avg KS2]]),IFERROR(VLOOKUP(ROUND(STANDARDIZE(tblY7[[#This Row],[Avg KS2]],AVERAGE(tblY7[[Avg KS2]]),_xlfn.STDEV.P(tblY7[[Avg KS2]])),9),_Stanine,2),5),"")</f>
        <v>5</v>
      </c>
      <c r="J2" s="66" t="inlineStr">
        <is>
          <t>7A/Sc1</t>
        </is>
      </c>
      <c r="K2" s="67">
        <f>IF(tblY7[[#This Row],[Preferred Last name]]="","",COUNTIFS($N$1:$ZZ$1,"*"&amp;CHAR(10)&amp;"Stanine",$N2:$ZZ2,"&gt;=1"))</f>
        <v>4</v>
      </c>
      <c r="L2" s="68">
        <f>IFERROR(AVERAGEIF($N$1:$ZZ$1,"*"&amp;CHAR(10)&amp;"Stanine",$N2:$ZZ2),"")</f>
        <v>2</v>
      </c>
      <c r="M2" s="69">
        <f>IF(AND(ISNUMBER(tblY7[[#This Row],[Mean Stanine]]),ISNUMBER(tblY7[[#This Row],[Avg KS2 Band]]),ISNUMBER(SlopeY7)),tblY7[[#This Row],[Mean Stanine]]-(InterceptY7+SlopeY7*tblY7[[#This Row],[Avg KS2 Band]]),"")</f>
        <v>-3.00769230769231</v>
      </c>
      <c r="N2" s="66" t="n">
        <v>9</v>
      </c>
      <c r="O2" s="67">
        <f>IF(ISNUMBER(tblY7[[#This Row],[7B01 - Cells
Raw Score]]),IFERROR(VLOOKUP(ROUND(STANDARDIZE(tblY7[[#This Row],[7B01 - Cells
Raw Score]],AVERAGE(tblY7[[7B01 - Cells
Raw Score]]),_xlfn.STDEV.P(tblY7[[7B01 - Cells
Raw Score]])),9),_Stanine,2),5),"")</f>
        <v>2</v>
      </c>
      <c r="P2" s="66" t="n">
        <v>11</v>
      </c>
      <c r="Q2" s="67">
        <f>IF(ISNUMBER(tblY7[[#This Row],[7C01 - Particles
Raw Score]]),IFERROR(VLOOKUP(ROUND(STANDARDIZE(tblY7[[#This Row],[7C01 - Particles
Raw Score]],AVERAGE(tblY7[[7C01 - Particles
Raw Score]]),_xlfn.STDEV.P(tblY7[[7C01 - Particles
Raw Score]])),9),_Stanine,2),5),"")</f>
        <v>1</v>
      </c>
      <c r="R2" s="66" t="n">
        <v>17</v>
      </c>
      <c r="S2" s="67">
        <f>IF(ISNUMBER(tblY7[[#This Row],[7P01 - Forces
Raw Score]]),IFERROR(VLOOKUP(ROUND(STANDARDIZE(tblY7[[#This Row],[7P01 - Forces
Raw Score]],AVERAGE(tblY7[[7P01 - Forces
Raw Score]]),_xlfn.STDEV.P(tblY7[[7P01 - Forces
Raw Score]])),9),_Stanine,2),5),"")</f>
        <v>3</v>
      </c>
      <c r="T2" s="66" t="n">
        <v>9</v>
      </c>
      <c r="U2" s="67">
        <f>IF(ISNUMBER(tblY7[[#This Row],[7B02 - Organ Systems
Raw Score]]),IFERROR(VLOOKUP(ROUND(STANDARDIZE(tblY7[[#This Row],[7B02 - Organ Systems
Raw Score]],AVERAGE(tblY7[[7B02 - Organ Systems
Raw Score]]),_xlfn.STDEV.P(tblY7[[7B02 - Organ Systems
Raw Score]])),9),_Stanine,2),5),"")</f>
        <v>2</v>
      </c>
    </row>
    <row r="3">
      <c r="A3" s="65" t="inlineStr">
        <is>
          <t>X901724974218</t>
        </is>
      </c>
      <c r="B3" s="65" t="inlineStr">
        <is>
          <t>Brown</t>
        </is>
      </c>
      <c r="C3" s="65" t="inlineStr">
        <is>
          <t>Sophie</t>
        </is>
      </c>
      <c r="D3" s="66" t="inlineStr">
        <is>
          <t>F</t>
        </is>
      </c>
      <c r="E3" s="66" t="n"/>
      <c r="F3" s="66" t="inlineStr">
        <is>
          <t>Y</t>
        </is>
      </c>
      <c r="G3" s="34" t="n">
        <v>90.40000000000001</v>
      </c>
      <c r="H3" s="34" t="n">
        <v>111.5</v>
      </c>
      <c r="I3" s="67">
        <f>IF(ISNUMBER(tblY7[[#This Row],[Avg KS2]]),IFERROR(VLOOKUP(ROUND(STANDARDIZE(tblY7[[#This Row],[Avg KS2]],AVERAGE(tblY7[[Avg KS2]]),_xlfn.STDEV.P(tblY7[[Avg KS2]])),9),_Stanine,2),5),"")</f>
        <v>7</v>
      </c>
      <c r="J3" s="66" t="inlineStr">
        <is>
          <t>7A/Sc1</t>
        </is>
      </c>
      <c r="K3" s="67">
        <f>IF(tblY7[[#This Row],[Preferred Last name]]="","",COUNTIFS($N$1:$ZZ$1,"*"&amp;CHAR(10)&amp;"Stanine",$N3:$ZZ3,"&gt;=1"))</f>
        <v>4</v>
      </c>
      <c r="L3" s="68">
        <f>IFERROR(AVERAGEIF($N$1:$ZZ$1,"*"&amp;CHAR(10)&amp;"Stanine",$N3:$ZZ3),"")</f>
        <v>7.5</v>
      </c>
      <c r="M3" s="69">
        <f>IF(AND(ISNUMBER(tblY7[[#This Row],[Mean Stanine]]),ISNUMBER(tblY7[[#This Row],[Avg KS2 Band]]),ISNUMBER(SlopeY7)),tblY7[[#This Row],[Mean Stanine]]-(InterceptY7+SlopeY7*tblY7[[#This Row],[Avg KS2 Band]]),"")</f>
        <v>1.10374180083482</v>
      </c>
      <c r="N3" s="66" t="n">
        <v>24</v>
      </c>
      <c r="O3" s="67">
        <f>IF(ISNUMBER(tblY7[[#This Row],[7B01 - Cells
Raw Score]]),IFERROR(VLOOKUP(ROUND(STANDARDIZE(tblY7[[#This Row],[7B01 - Cells
Raw Score]],AVERAGE(tblY7[[7B01 - Cells
Raw Score]]),_xlfn.STDEV.P(tblY7[[7B01 - Cells
Raw Score]])),9),_Stanine,2),5),"")</f>
        <v>7</v>
      </c>
      <c r="P3" s="66" t="n">
        <v>23</v>
      </c>
      <c r="Q3" s="67">
        <f>IF(ISNUMBER(tblY7[[#This Row],[7C01 - Particles
Raw Score]]),IFERROR(VLOOKUP(ROUND(STANDARDIZE(tblY7[[#This Row],[7C01 - Particles
Raw Score]],AVERAGE(tblY7[[7C01 - Particles
Raw Score]]),_xlfn.STDEV.P(tblY7[[7C01 - Particles
Raw Score]])),9),_Stanine,2),5),"")</f>
        <v>7</v>
      </c>
      <c r="R3" s="66" t="n">
        <v>28</v>
      </c>
      <c r="S3" s="67">
        <f>IF(ISNUMBER(tblY7[[#This Row],[7P01 - Forces
Raw Score]]),IFERROR(VLOOKUP(ROUND(STANDARDIZE(tblY7[[#This Row],[7P01 - Forces
Raw Score]],AVERAGE(tblY7[[7P01 - Forces
Raw Score]]),_xlfn.STDEV.P(tblY7[[7P01 - Forces
Raw Score]])),9),_Stanine,2),5),"")</f>
        <v>8</v>
      </c>
      <c r="T3" s="66" t="n">
        <v>25</v>
      </c>
      <c r="U3" s="67">
        <f>IF(ISNUMBER(tblY7[[#This Row],[7B02 - Organ Systems
Raw Score]]),IFERROR(VLOOKUP(ROUND(STANDARDIZE(tblY7[[#This Row],[7B02 - Organ Systems
Raw Score]],AVERAGE(tblY7[[7B02 - Organ Systems
Raw Score]]),_xlfn.STDEV.P(tblY7[[7B02 - Organ Systems
Raw Score]])),9),_Stanine,2),5),"")</f>
        <v>8</v>
      </c>
    </row>
    <row r="4">
      <c r="A4" s="65" t="inlineStr">
        <is>
          <t>X909067792654</t>
        </is>
      </c>
      <c r="B4" s="65" t="inlineStr">
        <is>
          <t>Clarke</t>
        </is>
      </c>
      <c r="C4" s="65" t="inlineStr">
        <is>
          <t>Oscar</t>
        </is>
      </c>
      <c r="D4" s="66" t="inlineStr">
        <is>
          <t>F</t>
        </is>
      </c>
      <c r="E4" s="66" t="inlineStr">
        <is>
          <t>N</t>
        </is>
      </c>
      <c r="F4" s="66" t="inlineStr">
        <is>
          <t>N</t>
        </is>
      </c>
      <c r="G4" s="34" t="n">
        <v>96</v>
      </c>
      <c r="H4" s="34" t="n">
        <v>103</v>
      </c>
      <c r="I4" s="67">
        <f>IF(ISNUMBER(tblY7[[#This Row],[Avg KS2]]),IFERROR(VLOOKUP(ROUND(STANDARDIZE(tblY7[[#This Row],[Avg KS2]],AVERAGE(tblY7[[Avg KS2]]),_xlfn.STDEV.P(tblY7[[Avg KS2]])),9),_Stanine,2),5),"")</f>
        <v>3</v>
      </c>
      <c r="J4" s="66" t="inlineStr">
        <is>
          <t>7A/Sc1</t>
        </is>
      </c>
      <c r="K4" s="67">
        <f>IF(tblY7[[#This Row],[Preferred Last name]]="","",COUNTIFS($N$1:$ZZ$1,"*"&amp;CHAR(10)&amp;"Stanine",$N4:$ZZ4,"&gt;=1"))</f>
        <v>4</v>
      </c>
      <c r="L4" s="68">
        <f>IFERROR(AVERAGEIF($N$1:$ZZ$1,"*"&amp;CHAR(10)&amp;"Stanine",$N4:$ZZ4),"")</f>
        <v>2</v>
      </c>
      <c r="M4" s="69">
        <f>IF(AND(ISNUMBER(tblY7[[#This Row],[Mean Stanine]]),ISNUMBER(tblY7[[#This Row],[Avg KS2 Band]]),ISNUMBER(SlopeY7)),tblY7[[#This Row],[Mean Stanine]]-(InterceptY7+SlopeY7*tblY7[[#This Row],[Avg KS2 Band]]),"")</f>
        <v>-1.61912641621944</v>
      </c>
      <c r="N4" s="66" t="n">
        <v>10</v>
      </c>
      <c r="O4" s="67">
        <f>IF(ISNUMBER(tblY7[[#This Row],[7B01 - Cells
Raw Score]]),IFERROR(VLOOKUP(ROUND(STANDARDIZE(tblY7[[#This Row],[7B01 - Cells
Raw Score]],AVERAGE(tblY7[[7B01 - Cells
Raw Score]]),_xlfn.STDEV.P(tblY7[[7B01 - Cells
Raw Score]])),9),_Stanine,2),5),"")</f>
        <v>3</v>
      </c>
      <c r="P4" s="66" t="n">
        <v>11</v>
      </c>
      <c r="Q4" s="67">
        <f>IF(ISNUMBER(tblY7[[#This Row],[7C01 - Particles
Raw Score]]),IFERROR(VLOOKUP(ROUND(STANDARDIZE(tblY7[[#This Row],[7C01 - Particles
Raw Score]],AVERAGE(tblY7[[7C01 - Particles
Raw Score]]),_xlfn.STDEV.P(tblY7[[7C01 - Particles
Raw Score]])),9),_Stanine,2),5),"")</f>
        <v>1</v>
      </c>
      <c r="R4" s="66" t="n">
        <v>11</v>
      </c>
      <c r="S4" s="67">
        <f>IF(ISNUMBER(tblY7[[#This Row],[7P01 - Forces
Raw Score]]),IFERROR(VLOOKUP(ROUND(STANDARDIZE(tblY7[[#This Row],[7P01 - Forces
Raw Score]],AVERAGE(tblY7[[7P01 - Forces
Raw Score]]),_xlfn.STDEV.P(tblY7[[7P01 - Forces
Raw Score]])),9),_Stanine,2),5),"")</f>
        <v>1</v>
      </c>
      <c r="T4" s="66" t="n">
        <v>11</v>
      </c>
      <c r="U4" s="67">
        <f>IF(ISNUMBER(tblY7[[#This Row],[7B02 - Organ Systems
Raw Score]]),IFERROR(VLOOKUP(ROUND(STANDARDIZE(tblY7[[#This Row],[7B02 - Organ Systems
Raw Score]],AVERAGE(tblY7[[7B02 - Organ Systems
Raw Score]]),_xlfn.STDEV.P(tblY7[[7B02 - Organ Systems
Raw Score]])),9),_Stanine,2),5),"")</f>
        <v>3</v>
      </c>
    </row>
    <row r="5">
      <c r="A5" s="65" t="inlineStr">
        <is>
          <t>X903096124638</t>
        </is>
      </c>
      <c r="B5" s="65" t="inlineStr">
        <is>
          <t>Cooper</t>
        </is>
      </c>
      <c r="C5" s="65" t="inlineStr">
        <is>
          <t>Leo</t>
        </is>
      </c>
      <c r="D5" s="66" t="inlineStr">
        <is>
          <t>F</t>
        </is>
      </c>
      <c r="E5" s="66" t="inlineStr">
        <is>
          <t>N</t>
        </is>
      </c>
      <c r="F5" s="66" t="inlineStr">
        <is>
          <t>Y</t>
        </is>
      </c>
      <c r="G5" s="34" t="n">
        <v>89.59999999999999</v>
      </c>
      <c r="H5" s="34" t="n">
        <v>115.5</v>
      </c>
      <c r="I5" s="67">
        <f>IF(ISNUMBER(tblY7[[#This Row],[Avg KS2]]),IFERROR(VLOOKUP(ROUND(STANDARDIZE(tblY7[[#This Row],[Avg KS2]],AVERAGE(tblY7[[Avg KS2]]),_xlfn.STDEV.P(tblY7[[Avg KS2]])),9),_Stanine,2),5),"")</f>
        <v>8</v>
      </c>
      <c r="J5" s="66" t="inlineStr">
        <is>
          <t>7A/Sc1</t>
        </is>
      </c>
      <c r="K5" s="67">
        <f>IF(tblY7[[#This Row],[Preferred Last name]]="","",COUNTIFS($N$1:$ZZ$1,"*"&amp;CHAR(10)&amp;"Stanine",$N5:$ZZ5,"&gt;=1"))</f>
        <v>3</v>
      </c>
      <c r="L5" s="68">
        <f>IFERROR(AVERAGEIF($N$1:$ZZ$1,"*"&amp;CHAR(10)&amp;"Stanine",$N5:$ZZ5),"")</f>
        <v>6.66666666666667</v>
      </c>
      <c r="M5" s="69">
        <f>IF(AND(ISNUMBER(tblY7[[#This Row],[Mean Stanine]]),ISNUMBER(tblY7[[#This Row],[Avg KS2 Band]]),ISNUMBER(SlopeY7)),tblY7[[#This Row],[Mean Stanine]]-(InterceptY7+SlopeY7*tblY7[[#This Row],[Avg KS2 Band]]),"")</f>
        <v>-0.423874478234943</v>
      </c>
      <c r="N5" s="66" t="n">
        <v>21</v>
      </c>
      <c r="O5" s="67">
        <f>IF(ISNUMBER(tblY7[[#This Row],[7B01 - Cells
Raw Score]]),IFERROR(VLOOKUP(ROUND(STANDARDIZE(tblY7[[#This Row],[7B01 - Cells
Raw Score]],AVERAGE(tblY7[[7B01 - Cells
Raw Score]]),_xlfn.STDEV.P(tblY7[[7B01 - Cells
Raw Score]])),9),_Stanine,2),5),"")</f>
        <v>6</v>
      </c>
      <c r="P5" s="66" t="inlineStr">
        <is>
          <t>A</t>
        </is>
      </c>
      <c r="Q5" s="67" t="str">
        <f>IF(ISNUMBER(tblY7[[#This Row],[7C01 - Particles
Raw Score]]),IFERROR(VLOOKUP(ROUND(STANDARDIZE(tblY7[[#This Row],[7C01 - Particles
Raw Score]],AVERAGE(tblY7[[7C01 - Particles
Raw Score]]),_xlfn.STDEV.P(tblY7[[7C01 - Particles
Raw Score]])),9),_Stanine,2),5),"")</f>
        <v/>
      </c>
      <c r="R5" s="66" t="n">
        <v>26</v>
      </c>
      <c r="S5" s="67">
        <f>IF(ISNUMBER(tblY7[[#This Row],[7P01 - Forces
Raw Score]]),IFERROR(VLOOKUP(ROUND(STANDARDIZE(tblY7[[#This Row],[7P01 - Forces
Raw Score]],AVERAGE(tblY7[[7P01 - Forces
Raw Score]]),_xlfn.STDEV.P(tblY7[[7P01 - Forces
Raw Score]])),9),_Stanine,2),5),"")</f>
        <v>7</v>
      </c>
      <c r="T5" s="66" t="n">
        <v>22</v>
      </c>
      <c r="U5" s="67">
        <f>IF(ISNUMBER(tblY7[[#This Row],[7B02 - Organ Systems
Raw Score]]),IFERROR(VLOOKUP(ROUND(STANDARDIZE(tblY7[[#This Row],[7B02 - Organ Systems
Raw Score]],AVERAGE(tblY7[[7B02 - Organ Systems
Raw Score]]),_xlfn.STDEV.P(tblY7[[7B02 - Organ Systems
Raw Score]])),9),_Stanine,2),5),"")</f>
        <v>7</v>
      </c>
    </row>
    <row r="6">
      <c r="A6" s="65" t="inlineStr">
        <is>
          <t>X909793743969</t>
        </is>
      </c>
      <c r="B6" s="65" t="inlineStr">
        <is>
          <t>Davies</t>
        </is>
      </c>
      <c r="C6" s="65" t="inlineStr">
        <is>
          <t>Charlie</t>
        </is>
      </c>
      <c r="D6" s="66" t="inlineStr">
        <is>
          <t>M</t>
        </is>
      </c>
      <c r="E6" s="66" t="inlineStr">
        <is>
          <t>N</t>
        </is>
      </c>
      <c r="F6" s="66" t="inlineStr">
        <is>
          <t>N</t>
        </is>
      </c>
      <c r="G6" s="34" t="n">
        <v>92</v>
      </c>
      <c r="H6" s="34" t="n">
        <v>113</v>
      </c>
      <c r="I6" s="67">
        <f>IF(ISNUMBER(tblY7[[#This Row],[Avg KS2]]),IFERROR(VLOOKUP(ROUND(STANDARDIZE(tblY7[[#This Row],[Avg KS2]],AVERAGE(tblY7[[Avg KS2]]),_xlfn.STDEV.P(tblY7[[Avg KS2]])),9),_Stanine,2),5),"")</f>
        <v>7</v>
      </c>
      <c r="J6" s="66" t="inlineStr">
        <is>
          <t>7A/Sc1</t>
        </is>
      </c>
      <c r="K6" s="67">
        <f>IF(tblY7[[#This Row],[Preferred Last name]]="","",COUNTIFS($N$1:$ZZ$1,"*"&amp;CHAR(10)&amp;"Stanine",$N6:$ZZ6,"&gt;=1"))</f>
        <v>4</v>
      </c>
      <c r="L6" s="68">
        <f>IFERROR(AVERAGEIF($N$1:$ZZ$1,"*"&amp;CHAR(10)&amp;"Stanine",$N6:$ZZ6),"")</f>
        <v>5.75</v>
      </c>
      <c r="M6" s="69">
        <f>IF(AND(ISNUMBER(tblY7[[#This Row],[Mean Stanine]]),ISNUMBER(tblY7[[#This Row],[Avg KS2 Band]]),ISNUMBER(SlopeY7)),tblY7[[#This Row],[Mean Stanine]]-(InterceptY7+SlopeY7*tblY7[[#This Row],[Avg KS2 Band]]),"")</f>
        <v>-0.646258199165176</v>
      </c>
      <c r="N6" s="66" t="n">
        <v>21</v>
      </c>
      <c r="O6" s="67">
        <f>IF(ISNUMBER(tblY7[[#This Row],[7B01 - Cells
Raw Score]]),IFERROR(VLOOKUP(ROUND(STANDARDIZE(tblY7[[#This Row],[7B01 - Cells
Raw Score]],AVERAGE(tblY7[[7B01 - Cells
Raw Score]]),_xlfn.STDEV.P(tblY7[[7B01 - Cells
Raw Score]])),9),_Stanine,2),5),"")</f>
        <v>6</v>
      </c>
      <c r="P6" s="66" t="n">
        <v>22</v>
      </c>
      <c r="Q6" s="67">
        <f>IF(ISNUMBER(tblY7[[#This Row],[7C01 - Particles
Raw Score]]),IFERROR(VLOOKUP(ROUND(STANDARDIZE(tblY7[[#This Row],[7C01 - Particles
Raw Score]],AVERAGE(tblY7[[7C01 - Particles
Raw Score]]),_xlfn.STDEV.P(tblY7[[7C01 - Particles
Raw Score]])),9),_Stanine,2),5),"")</f>
        <v>7</v>
      </c>
      <c r="R6" s="66" t="n">
        <v>21</v>
      </c>
      <c r="S6" s="67">
        <f>IF(ISNUMBER(tblY7[[#This Row],[7P01 - Forces
Raw Score]]),IFERROR(VLOOKUP(ROUND(STANDARDIZE(tblY7[[#This Row],[7P01 - Forces
Raw Score]],AVERAGE(tblY7[[7P01 - Forces
Raw Score]]),_xlfn.STDEV.P(tblY7[[7P01 - Forces
Raw Score]])),9),_Stanine,2),5),"")</f>
        <v>5</v>
      </c>
      <c r="T6" s="66" t="n">
        <v>17</v>
      </c>
      <c r="U6" s="67">
        <f>IF(ISNUMBER(tblY7[[#This Row],[7B02 - Organ Systems
Raw Score]]),IFERROR(VLOOKUP(ROUND(STANDARDIZE(tblY7[[#This Row],[7B02 - Organ Systems
Raw Score]],AVERAGE(tblY7[[7B02 - Organ Systems
Raw Score]]),_xlfn.STDEV.P(tblY7[[7B02 - Organ Systems
Raw Score]])),9),_Stanine,2),5),"")</f>
        <v>5</v>
      </c>
    </row>
    <row r="7">
      <c r="A7" s="65" t="inlineStr">
        <is>
          <t>X909870355598</t>
        </is>
      </c>
      <c r="B7" s="65" t="inlineStr">
        <is>
          <t>Evans</t>
        </is>
      </c>
      <c r="C7" s="65" t="inlineStr">
        <is>
          <t>Noah</t>
        </is>
      </c>
      <c r="D7" s="66" t="inlineStr">
        <is>
          <t>M</t>
        </is>
      </c>
      <c r="E7" s="66" t="inlineStr">
        <is>
          <t>K</t>
        </is>
      </c>
      <c r="F7" s="66" t="inlineStr">
        <is>
          <t>N</t>
        </is>
      </c>
      <c r="G7" s="34" t="n">
        <v>86.40000000000001</v>
      </c>
      <c r="H7" s="34" t="n">
        <v>109</v>
      </c>
      <c r="I7" s="67">
        <f>IF(ISNUMBER(tblY7[[#This Row],[Avg KS2]]),IFERROR(VLOOKUP(ROUND(STANDARDIZE(tblY7[[#This Row],[Avg KS2]],AVERAGE(tblY7[[Avg KS2]]),_xlfn.STDEV.P(tblY7[[Avg KS2]])),9),_Stanine,2),5),"")</f>
        <v>6</v>
      </c>
      <c r="J7" s="66" t="inlineStr">
        <is>
          <t>7A/Sc1</t>
        </is>
      </c>
      <c r="K7" s="67">
        <f>IF(tblY7[[#This Row],[Preferred Last name]]="","",COUNTIFS($N$1:$ZZ$1,"*"&amp;CHAR(10)&amp;"Stanine",$N7:$ZZ7,"&gt;=1"))</f>
        <v>4</v>
      </c>
      <c r="L7" s="68">
        <f>IFERROR(AVERAGEIF($N$1:$ZZ$1,"*"&amp;CHAR(10)&amp;"Stanine",$N7:$ZZ7),"")</f>
        <v>6.25</v>
      </c>
      <c r="M7" s="69">
        <f>IF(AND(ISNUMBER(tblY7[[#This Row],[Mean Stanine]]),ISNUMBER(tblY7[[#This Row],[Avg KS2 Band]]),ISNUMBER(SlopeY7)),tblY7[[#This Row],[Mean Stanine]]-(InterceptY7+SlopeY7*tblY7[[#This Row],[Avg KS2 Band]]),"")</f>
        <v>0.548024746571259</v>
      </c>
      <c r="N7" s="66" t="n">
        <v>25</v>
      </c>
      <c r="O7" s="67">
        <f>IF(ISNUMBER(tblY7[[#This Row],[7B01 - Cells
Raw Score]]),IFERROR(VLOOKUP(ROUND(STANDARDIZE(tblY7[[#This Row],[7B01 - Cells
Raw Score]],AVERAGE(tblY7[[7B01 - Cells
Raw Score]]),_xlfn.STDEV.P(tblY7[[7B01 - Cells
Raw Score]])),9),_Stanine,2),5),"")</f>
        <v>7</v>
      </c>
      <c r="P7" s="66" t="n">
        <v>19</v>
      </c>
      <c r="Q7" s="67">
        <f>IF(ISNUMBER(tblY7[[#This Row],[7C01 - Particles
Raw Score]]),IFERROR(VLOOKUP(ROUND(STANDARDIZE(tblY7[[#This Row],[7C01 - Particles
Raw Score]],AVERAGE(tblY7[[7C01 - Particles
Raw Score]]),_xlfn.STDEV.P(tblY7[[7C01 - Particles
Raw Score]])),9),_Stanine,2),5),"")</f>
        <v>5</v>
      </c>
      <c r="R7" s="66" t="n">
        <v>23</v>
      </c>
      <c r="S7" s="67">
        <f>IF(ISNUMBER(tblY7[[#This Row],[7P01 - Forces
Raw Score]]),IFERROR(VLOOKUP(ROUND(STANDARDIZE(tblY7[[#This Row],[7P01 - Forces
Raw Score]],AVERAGE(tblY7[[7P01 - Forces
Raw Score]]),_xlfn.STDEV.P(tblY7[[7P01 - Forces
Raw Score]])),9),_Stanine,2),5),"")</f>
        <v>6</v>
      </c>
      <c r="T7" s="66" t="n">
        <v>23</v>
      </c>
      <c r="U7" s="67">
        <f>IF(ISNUMBER(tblY7[[#This Row],[7B02 - Organ Systems
Raw Score]]),IFERROR(VLOOKUP(ROUND(STANDARDIZE(tblY7[[#This Row],[7B02 - Organ Systems
Raw Score]],AVERAGE(tblY7[[7B02 - Organ Systems
Raw Score]]),_xlfn.STDEV.P(tblY7[[7B02 - Organ Systems
Raw Score]])),9),_Stanine,2),5),"")</f>
        <v>7</v>
      </c>
    </row>
    <row r="8">
      <c r="A8" s="65" t="inlineStr">
        <is>
          <t>X909617365300</t>
        </is>
      </c>
      <c r="B8" s="65" t="inlineStr">
        <is>
          <t>Griffiths</t>
        </is>
      </c>
      <c r="C8" s="65" t="inlineStr">
        <is>
          <t>Amara</t>
        </is>
      </c>
      <c r="D8" s="66" t="inlineStr">
        <is>
          <t>F</t>
        </is>
      </c>
      <c r="E8" s="66" t="inlineStr">
        <is>
          <t>K</t>
        </is>
      </c>
      <c r="F8" s="66" t="inlineStr">
        <is>
          <t>Y</t>
        </is>
      </c>
      <c r="G8" s="34" t="n">
        <v>83.8</v>
      </c>
      <c r="H8" s="34" t="n">
        <v>108.5</v>
      </c>
      <c r="I8" s="67">
        <f>IF(ISNUMBER(tblY7[[#This Row],[Avg KS2]]),IFERROR(VLOOKUP(ROUND(STANDARDIZE(tblY7[[#This Row],[Avg KS2]],AVERAGE(tblY7[[Avg KS2]]),_xlfn.STDEV.P(tblY7[[Avg KS2]])),9),_Stanine,2),5),"")</f>
        <v>6</v>
      </c>
      <c r="J8" s="66" t="inlineStr">
        <is>
          <t>7A/Sc1</t>
        </is>
      </c>
      <c r="K8" s="67">
        <f>IF(tblY7[[#This Row],[Preferred Last name]]="","",COUNTIFS($N$1:$ZZ$1,"*"&amp;CHAR(10)&amp;"Stanine",$N8:$ZZ8,"&gt;=1"))</f>
        <v>4</v>
      </c>
      <c r="L8" s="68">
        <f>IFERROR(AVERAGEIF($N$1:$ZZ$1,"*"&amp;CHAR(10)&amp;"Stanine",$N8:$ZZ8),"")</f>
        <v>6</v>
      </c>
      <c r="M8" s="69">
        <f>IF(AND(ISNUMBER(tblY7[[#This Row],[Mean Stanine]]),ISNUMBER(tblY7[[#This Row],[Avg KS2 Band]]),ISNUMBER(SlopeY7)),tblY7[[#This Row],[Mean Stanine]]-(InterceptY7+SlopeY7*tblY7[[#This Row],[Avg KS2 Band]]),"")</f>
        <v>0.298024746571259</v>
      </c>
      <c r="N8" s="66" t="n">
        <v>19</v>
      </c>
      <c r="O8" s="67">
        <f>IF(ISNUMBER(tblY7[[#This Row],[7B01 - Cells
Raw Score]]),IFERROR(VLOOKUP(ROUND(STANDARDIZE(tblY7[[#This Row],[7B01 - Cells
Raw Score]],AVERAGE(tblY7[[7B01 - Cells
Raw Score]]),_xlfn.STDEV.P(tblY7[[7B01 - Cells
Raw Score]])),9),_Stanine,2),5),"")</f>
        <v>5</v>
      </c>
      <c r="P8" s="66" t="n">
        <v>21</v>
      </c>
      <c r="Q8" s="67">
        <f>IF(ISNUMBER(tblY7[[#This Row],[7C01 - Particles
Raw Score]]),IFERROR(VLOOKUP(ROUND(STANDARDIZE(tblY7[[#This Row],[7C01 - Particles
Raw Score]],AVERAGE(tblY7[[7C01 - Particles
Raw Score]]),_xlfn.STDEV.P(tblY7[[7C01 - Particles
Raw Score]])),9),_Stanine,2),5),"")</f>
        <v>6</v>
      </c>
      <c r="R8" s="66" t="n">
        <v>23</v>
      </c>
      <c r="S8" s="67">
        <f>IF(ISNUMBER(tblY7[[#This Row],[7P01 - Forces
Raw Score]]),IFERROR(VLOOKUP(ROUND(STANDARDIZE(tblY7[[#This Row],[7P01 - Forces
Raw Score]],AVERAGE(tblY7[[7P01 - Forces
Raw Score]]),_xlfn.STDEV.P(tblY7[[7P01 - Forces
Raw Score]])),9),_Stanine,2),5),"")</f>
        <v>6</v>
      </c>
      <c r="T8" s="66" t="n">
        <v>23</v>
      </c>
      <c r="U8" s="67">
        <f>IF(ISNUMBER(tblY7[[#This Row],[7B02 - Organ Systems
Raw Score]]),IFERROR(VLOOKUP(ROUND(STANDARDIZE(tblY7[[#This Row],[7B02 - Organ Systems
Raw Score]],AVERAGE(tblY7[[7B02 - Organ Systems
Raw Score]]),_xlfn.STDEV.P(tblY7[[7B02 - Organ Systems
Raw Score]])),9),_Stanine,2),5),"")</f>
        <v>7</v>
      </c>
    </row>
    <row r="9">
      <c r="A9" s="65" t="inlineStr">
        <is>
          <t>X904161387011</t>
        </is>
      </c>
      <c r="B9" s="65" t="inlineStr">
        <is>
          <t>Hall</t>
        </is>
      </c>
      <c r="C9" s="65" t="inlineStr">
        <is>
          <t>Harry</t>
        </is>
      </c>
      <c r="D9" s="66" t="inlineStr">
        <is>
          <t>M</t>
        </is>
      </c>
      <c r="E9" s="66" t="inlineStr">
        <is>
          <t>N</t>
        </is>
      </c>
      <c r="F9" s="66" t="inlineStr">
        <is>
          <t>N</t>
        </is>
      </c>
      <c r="G9" s="34" t="n">
        <v>100</v>
      </c>
      <c r="H9" s="34" t="n">
        <v>100</v>
      </c>
      <c r="I9" s="67">
        <f>IF(ISNUMBER(tblY7[[#This Row],[Avg KS2]]),IFERROR(VLOOKUP(ROUND(STANDARDIZE(tblY7[[#This Row],[Avg KS2]],AVERAGE(tblY7[[Avg KS2]]),_xlfn.STDEV.P(tblY7[[Avg KS2]])),9),_Stanine,2),5),"")</f>
        <v>2</v>
      </c>
      <c r="J9" s="66" t="inlineStr">
        <is>
          <t>7A/Sc1</t>
        </is>
      </c>
      <c r="K9" s="67">
        <f>IF(tblY7[[#This Row],[Preferred Last name]]="","",COUNTIFS($N$1:$ZZ$1,"*"&amp;CHAR(10)&amp;"Stanine",$N9:$ZZ9,"&gt;=1"))</f>
        <v>4</v>
      </c>
      <c r="L9" s="68">
        <f>IFERROR(AVERAGEIF($N$1:$ZZ$1,"*"&amp;CHAR(10)&amp;"Stanine",$N9:$ZZ9),"")</f>
        <v>3</v>
      </c>
      <c r="M9" s="69">
        <f>IF(AND(ISNUMBER(tblY7[[#This Row],[Mean Stanine]]),ISNUMBER(tblY7[[#This Row],[Avg KS2 Band]]),ISNUMBER(SlopeY7)),tblY7[[#This Row],[Mean Stanine]]-(InterceptY7+SlopeY7*tblY7[[#This Row],[Avg KS2 Band]]),"")</f>
        <v>0.0751565295169945</v>
      </c>
      <c r="N9" s="66" t="n">
        <v>7</v>
      </c>
      <c r="O9" s="67">
        <f>IF(ISNUMBER(tblY7[[#This Row],[7B01 - Cells
Raw Score]]),IFERROR(VLOOKUP(ROUND(STANDARDIZE(tblY7[[#This Row],[7B01 - Cells
Raw Score]],AVERAGE(tblY7[[7B01 - Cells
Raw Score]]),_xlfn.STDEV.P(tblY7[[7B01 - Cells
Raw Score]])),9),_Stanine,2),5),"")</f>
        <v>2</v>
      </c>
      <c r="P9" s="66" t="n">
        <v>17</v>
      </c>
      <c r="Q9" s="67">
        <f>IF(ISNUMBER(tblY7[[#This Row],[7C01 - Particles
Raw Score]]),IFERROR(VLOOKUP(ROUND(STANDARDIZE(tblY7[[#This Row],[7C01 - Particles
Raw Score]],AVERAGE(tblY7[[7C01 - Particles
Raw Score]]),_xlfn.STDEV.P(tblY7[[7C01 - Particles
Raw Score]])),9),_Stanine,2),5),"")</f>
        <v>4</v>
      </c>
      <c r="R9" s="66" t="n">
        <v>15</v>
      </c>
      <c r="S9" s="67">
        <f>IF(ISNUMBER(tblY7[[#This Row],[7P01 - Forces
Raw Score]]),IFERROR(VLOOKUP(ROUND(STANDARDIZE(tblY7[[#This Row],[7P01 - Forces
Raw Score]],AVERAGE(tblY7[[7P01 - Forces
Raw Score]]),_xlfn.STDEV.P(tblY7[[7P01 - Forces
Raw Score]])),9),_Stanine,2),5),"")</f>
        <v>2</v>
      </c>
      <c r="T9" s="66" t="n">
        <v>14</v>
      </c>
      <c r="U9" s="67">
        <f>IF(ISNUMBER(tblY7[[#This Row],[7B02 - Organ Systems
Raw Score]]),IFERROR(VLOOKUP(ROUND(STANDARDIZE(tblY7[[#This Row],[7B02 - Organ Systems
Raw Score]],AVERAGE(tblY7[[7B02 - Organ Systems
Raw Score]]),_xlfn.STDEV.P(tblY7[[7B02 - Organ Systems
Raw Score]])),9),_Stanine,2),5),"")</f>
        <v>4</v>
      </c>
    </row>
    <row r="10">
      <c r="A10" s="65" t="inlineStr">
        <is>
          <t>X909017258344</t>
        </is>
      </c>
      <c r="B10" s="65" t="inlineStr">
        <is>
          <t>Hughes</t>
        </is>
      </c>
      <c r="C10" s="65" t="inlineStr">
        <is>
          <t>Keira</t>
        </is>
      </c>
      <c r="D10" s="66" t="inlineStr">
        <is>
          <t>F</t>
        </is>
      </c>
      <c r="E10" s="66" t="n"/>
      <c r="F10" s="66" t="inlineStr">
        <is>
          <t>Y</t>
        </is>
      </c>
      <c r="G10" s="34" t="n">
        <v>99.3</v>
      </c>
      <c r="H10" s="34" t="n">
        <v>117.5</v>
      </c>
      <c r="I10" s="67">
        <f>IF(ISNUMBER(tblY7[[#This Row],[Avg KS2]]),IFERROR(VLOOKUP(ROUND(STANDARDIZE(tblY7[[#This Row],[Avg KS2]],AVERAGE(tblY7[[Avg KS2]]),_xlfn.STDEV.P(tblY7[[Avg KS2]])),9),_Stanine,2),5),"")</f>
        <v>9</v>
      </c>
      <c r="J10" s="66" t="inlineStr">
        <is>
          <t>7A/Sc1</t>
        </is>
      </c>
      <c r="K10" s="67">
        <f>IF(tblY7[[#This Row],[Preferred Last name]]="","",COUNTIFS($N$1:$ZZ$1,"*"&amp;CHAR(10)&amp;"Stanine",$N10:$ZZ10,"&gt;=1"))</f>
        <v>4</v>
      </c>
      <c r="L10" s="68">
        <f>IFERROR(AVERAGEIF($N$1:$ZZ$1,"*"&amp;CHAR(10)&amp;"Stanine",$N10:$ZZ10),"")</f>
        <v>8</v>
      </c>
      <c r="M10" s="69">
        <f>IF(AND(ISNUMBER(tblY7[[#This Row],[Mean Stanine]]),ISNUMBER(tblY7[[#This Row],[Avg KS2 Band]]),ISNUMBER(SlopeY7)),tblY7[[#This Row],[Mean Stanine]]-(InterceptY7+SlopeY7*tblY7[[#This Row],[Avg KS2 Band]]),"")</f>
        <v>0.215175909361956</v>
      </c>
      <c r="N10" s="66" t="n">
        <v>26</v>
      </c>
      <c r="O10" s="67">
        <f>IF(ISNUMBER(tblY7[[#This Row],[7B01 - Cells
Raw Score]]),IFERROR(VLOOKUP(ROUND(STANDARDIZE(tblY7[[#This Row],[7B01 - Cells
Raw Score]],AVERAGE(tblY7[[7B01 - Cells
Raw Score]]),_xlfn.STDEV.P(tblY7[[7B01 - Cells
Raw Score]])),9),_Stanine,2),5),"")</f>
        <v>8</v>
      </c>
      <c r="P10" s="66" t="n">
        <v>24</v>
      </c>
      <c r="Q10" s="67">
        <f>IF(ISNUMBER(tblY7[[#This Row],[7C01 - Particles
Raw Score]]),IFERROR(VLOOKUP(ROUND(STANDARDIZE(tblY7[[#This Row],[7C01 - Particles
Raw Score]],AVERAGE(tblY7[[7C01 - Particles
Raw Score]]),_xlfn.STDEV.P(tblY7[[7C01 - Particles
Raw Score]])),9),_Stanine,2),5),"")</f>
        <v>8</v>
      </c>
      <c r="R10" s="66" t="n">
        <v>29</v>
      </c>
      <c r="S10" s="67">
        <f>IF(ISNUMBER(tblY7[[#This Row],[7P01 - Forces
Raw Score]]),IFERROR(VLOOKUP(ROUND(STANDARDIZE(tblY7[[#This Row],[7P01 - Forces
Raw Score]],AVERAGE(tblY7[[7P01 - Forces
Raw Score]]),_xlfn.STDEV.P(tblY7[[7P01 - Forces
Raw Score]])),9),_Stanine,2),5),"")</f>
        <v>8</v>
      </c>
      <c r="T10" s="66" t="n">
        <v>26</v>
      </c>
      <c r="U10" s="67">
        <f>IF(ISNUMBER(tblY7[[#This Row],[7B02 - Organ Systems
Raw Score]]),IFERROR(VLOOKUP(ROUND(STANDARDIZE(tblY7[[#This Row],[7B02 - Organ Systems
Raw Score]],AVERAGE(tblY7[[7B02 - Organ Systems
Raw Score]]),_xlfn.STDEV.P(tblY7[[7B02 - Organ Systems
Raw Score]])),9),_Stanine,2),5),"")</f>
        <v>8</v>
      </c>
    </row>
    <row r="11">
      <c r="A11" s="65" t="inlineStr">
        <is>
          <t>X906815773115</t>
        </is>
      </c>
      <c r="B11" s="65" t="inlineStr">
        <is>
          <t>Hussain</t>
        </is>
      </c>
      <c r="C11" s="65" t="inlineStr">
        <is>
          <t>Chidi</t>
        </is>
      </c>
      <c r="D11" s="66" t="inlineStr">
        <is>
          <t>F</t>
        </is>
      </c>
      <c r="E11" s="66" t="n"/>
      <c r="F11" s="66" t="inlineStr">
        <is>
          <t>N</t>
        </is>
      </c>
      <c r="G11" s="34" t="n">
        <v>86.3</v>
      </c>
      <c r="H11" s="34" t="n">
        <v>114.5</v>
      </c>
      <c r="I11" s="67">
        <f>IF(ISNUMBER(tblY7[[#This Row],[Avg KS2]]),IFERROR(VLOOKUP(ROUND(STANDARDIZE(tblY7[[#This Row],[Avg KS2]],AVERAGE(tblY7[[Avg KS2]]),_xlfn.STDEV.P(tblY7[[Avg KS2]])),9),_Stanine,2),5),"")</f>
        <v>8</v>
      </c>
      <c r="J11" s="66" t="inlineStr">
        <is>
          <t>7A/Sc1</t>
        </is>
      </c>
      <c r="K11" s="67">
        <f>IF(tblY7[[#This Row],[Preferred Last name]]="","",COUNTIFS($N$1:$ZZ$1,"*"&amp;CHAR(10)&amp;"Stanine",$N11:$ZZ11,"&gt;=1"))</f>
        <v>4</v>
      </c>
      <c r="L11" s="68">
        <f>IFERROR(AVERAGEIF($N$1:$ZZ$1,"*"&amp;CHAR(10)&amp;"Stanine",$N11:$ZZ11),"")</f>
        <v>7.75</v>
      </c>
      <c r="M11" s="69">
        <f>IF(AND(ISNUMBER(tblY7[[#This Row],[Mean Stanine]]),ISNUMBER(tblY7[[#This Row],[Avg KS2 Band]]),ISNUMBER(SlopeY7)),tblY7[[#This Row],[Mean Stanine]]-(InterceptY7+SlopeY7*tblY7[[#This Row],[Avg KS2 Band]]),"")</f>
        <v>0.65945885509839</v>
      </c>
      <c r="N11" s="66" t="n">
        <v>27</v>
      </c>
      <c r="O11" s="67">
        <f>IF(ISNUMBER(tblY7[[#This Row],[7B01 - Cells
Raw Score]]),IFERROR(VLOOKUP(ROUND(STANDARDIZE(tblY7[[#This Row],[7B01 - Cells
Raw Score]],AVERAGE(tblY7[[7B01 - Cells
Raw Score]]),_xlfn.STDEV.P(tblY7[[7B01 - Cells
Raw Score]])),9),_Stanine,2),5),"")</f>
        <v>8</v>
      </c>
      <c r="P11" s="66" t="n">
        <v>22</v>
      </c>
      <c r="Q11" s="67">
        <f>IF(ISNUMBER(tblY7[[#This Row],[7C01 - Particles
Raw Score]]),IFERROR(VLOOKUP(ROUND(STANDARDIZE(tblY7[[#This Row],[7C01 - Particles
Raw Score]],AVERAGE(tblY7[[7C01 - Particles
Raw Score]]),_xlfn.STDEV.P(tblY7[[7C01 - Particles
Raw Score]])),9),_Stanine,2),5),"")</f>
        <v>7</v>
      </c>
      <c r="R11" s="66" t="n">
        <v>29</v>
      </c>
      <c r="S11" s="67">
        <f>IF(ISNUMBER(tblY7[[#This Row],[7P01 - Forces
Raw Score]]),IFERROR(VLOOKUP(ROUND(STANDARDIZE(tblY7[[#This Row],[7P01 - Forces
Raw Score]],AVERAGE(tblY7[[7P01 - Forces
Raw Score]]),_xlfn.STDEV.P(tblY7[[7P01 - Forces
Raw Score]])),9),_Stanine,2),5),"")</f>
        <v>8</v>
      </c>
      <c r="T11" s="66" t="n">
        <v>26</v>
      </c>
      <c r="U11" s="67">
        <f>IF(ISNUMBER(tblY7[[#This Row],[7B02 - Organ Systems
Raw Score]]),IFERROR(VLOOKUP(ROUND(STANDARDIZE(tblY7[[#This Row],[7B02 - Organ Systems
Raw Score]],AVERAGE(tblY7[[7B02 - Organ Systems
Raw Score]]),_xlfn.STDEV.P(tblY7[[7B02 - Organ Systems
Raw Score]])),9),_Stanine,2),5),"")</f>
        <v>8</v>
      </c>
    </row>
    <row r="12">
      <c r="A12" s="65" t="inlineStr">
        <is>
          <t>X906720035327</t>
        </is>
      </c>
      <c r="B12" s="65" t="inlineStr">
        <is>
          <t>Jackson</t>
        </is>
      </c>
      <c r="C12" s="65" t="inlineStr">
        <is>
          <t>Arthur</t>
        </is>
      </c>
      <c r="D12" s="66" t="inlineStr">
        <is>
          <t>M</t>
        </is>
      </c>
      <c r="E12" s="66" t="inlineStr">
        <is>
          <t>N</t>
        </is>
      </c>
      <c r="F12" s="66" t="inlineStr">
        <is>
          <t>N</t>
        </is>
      </c>
      <c r="G12" s="34" t="n">
        <v>95.5</v>
      </c>
      <c r="H12" s="34" t="n">
        <v>111.5</v>
      </c>
      <c r="I12" s="67">
        <f>IF(ISNUMBER(tblY7[[#This Row],[Avg KS2]]),IFERROR(VLOOKUP(ROUND(STANDARDIZE(tblY7[[#This Row],[Avg KS2]],AVERAGE(tblY7[[Avg KS2]]),_xlfn.STDEV.P(tblY7[[Avg KS2]])),9),_Stanine,2),5),"")</f>
        <v>7</v>
      </c>
      <c r="J12" s="66" t="inlineStr">
        <is>
          <t>7A/Sc1</t>
        </is>
      </c>
      <c r="K12" s="67">
        <f>IF(tblY7[[#This Row],[Preferred Last name]]="","",COUNTIFS($N$1:$ZZ$1,"*"&amp;CHAR(10)&amp;"Stanine",$N12:$ZZ12,"&gt;=1"))</f>
        <v>4</v>
      </c>
      <c r="L12" s="68">
        <f>IFERROR(AVERAGEIF($N$1:$ZZ$1,"*"&amp;CHAR(10)&amp;"Stanine",$N12:$ZZ12),"")</f>
        <v>5.5</v>
      </c>
      <c r="M12" s="69">
        <f>IF(AND(ISNUMBER(tblY7[[#This Row],[Mean Stanine]]),ISNUMBER(tblY7[[#This Row],[Avg KS2 Band]]),ISNUMBER(SlopeY7)),tblY7[[#This Row],[Mean Stanine]]-(InterceptY7+SlopeY7*tblY7[[#This Row],[Avg KS2 Band]]),"")</f>
        <v>-0.896258199165176</v>
      </c>
      <c r="N12" s="66" t="n">
        <v>21</v>
      </c>
      <c r="O12" s="67">
        <f>IF(ISNUMBER(tblY7[[#This Row],[7B01 - Cells
Raw Score]]),IFERROR(VLOOKUP(ROUND(STANDARDIZE(tblY7[[#This Row],[7B01 - Cells
Raw Score]],AVERAGE(tblY7[[7B01 - Cells
Raw Score]]),_xlfn.STDEV.P(tblY7[[7B01 - Cells
Raw Score]])),9),_Stanine,2),5),"")</f>
        <v>6</v>
      </c>
      <c r="P12" s="66" t="n">
        <v>20</v>
      </c>
      <c r="Q12" s="67">
        <f>IF(ISNUMBER(tblY7[[#This Row],[7C01 - Particles
Raw Score]]),IFERROR(VLOOKUP(ROUND(STANDARDIZE(tblY7[[#This Row],[7C01 - Particles
Raw Score]],AVERAGE(tblY7[[7C01 - Particles
Raw Score]]),_xlfn.STDEV.P(tblY7[[7C01 - Particles
Raw Score]])),9),_Stanine,2),5),"")</f>
        <v>6</v>
      </c>
      <c r="R12" s="66" t="n">
        <v>24</v>
      </c>
      <c r="S12" s="67">
        <f>IF(ISNUMBER(tblY7[[#This Row],[7P01 - Forces
Raw Score]]),IFERROR(VLOOKUP(ROUND(STANDARDIZE(tblY7[[#This Row],[7P01 - Forces
Raw Score]],AVERAGE(tblY7[[7P01 - Forces
Raw Score]]),_xlfn.STDEV.P(tblY7[[7P01 - Forces
Raw Score]])),9),_Stanine,2),5),"")</f>
        <v>6</v>
      </c>
      <c r="T12" s="66" t="n">
        <v>16</v>
      </c>
      <c r="U12" s="67">
        <f>IF(ISNUMBER(tblY7[[#This Row],[7B02 - Organ Systems
Raw Score]]),IFERROR(VLOOKUP(ROUND(STANDARDIZE(tblY7[[#This Row],[7B02 - Organ Systems
Raw Score]],AVERAGE(tblY7[[7B02 - Organ Systems
Raw Score]]),_xlfn.STDEV.P(tblY7[[7B02 - Organ Systems
Raw Score]])),9),_Stanine,2),5),"")</f>
        <v>4</v>
      </c>
    </row>
    <row r="13">
      <c r="A13" s="65" t="inlineStr">
        <is>
          <t>X909842702228</t>
        </is>
      </c>
      <c r="B13" s="65" t="inlineStr">
        <is>
          <t>Kelly</t>
        </is>
      </c>
      <c r="C13" s="65" t="inlineStr">
        <is>
          <t>Maisie</t>
        </is>
      </c>
      <c r="D13" s="66" t="inlineStr">
        <is>
          <t>M</t>
        </is>
      </c>
      <c r="E13" s="66" t="inlineStr">
        <is>
          <t>N</t>
        </is>
      </c>
      <c r="F13" s="66" t="inlineStr">
        <is>
          <t>N</t>
        </is>
      </c>
      <c r="G13" s="34" t="n">
        <v>100</v>
      </c>
      <c r="H13" s="34" t="n">
        <v>108.5</v>
      </c>
      <c r="I13" s="67">
        <f>IF(ISNUMBER(tblY7[[#This Row],[Avg KS2]]),IFERROR(VLOOKUP(ROUND(STANDARDIZE(tblY7[[#This Row],[Avg KS2]],AVERAGE(tblY7[[Avg KS2]]),_xlfn.STDEV.P(tblY7[[Avg KS2]])),9),_Stanine,2),5),"")</f>
        <v>6</v>
      </c>
      <c r="J13" s="66" t="inlineStr">
        <is>
          <t>7A/Sc1</t>
        </is>
      </c>
      <c r="K13" s="67">
        <f>IF(tblY7[[#This Row],[Preferred Last name]]="","",COUNTIFS($N$1:$ZZ$1,"*"&amp;CHAR(10)&amp;"Stanine",$N13:$ZZ13,"&gt;=1"))</f>
        <v>4</v>
      </c>
      <c r="L13" s="68">
        <f>IFERROR(AVERAGEIF($N$1:$ZZ$1,"*"&amp;CHAR(10)&amp;"Stanine",$N13:$ZZ13),"")</f>
        <v>5.5</v>
      </c>
      <c r="M13" s="69">
        <f>IF(AND(ISNUMBER(tblY7[[#This Row],[Mean Stanine]]),ISNUMBER(tblY7[[#This Row],[Avg KS2 Band]]),ISNUMBER(SlopeY7)),tblY7[[#This Row],[Mean Stanine]]-(InterceptY7+SlopeY7*tblY7[[#This Row],[Avg KS2 Band]]),"")</f>
        <v>-0.201975253428741</v>
      </c>
      <c r="N13" s="66" t="n">
        <v>16</v>
      </c>
      <c r="O13" s="67">
        <f>IF(ISNUMBER(tblY7[[#This Row],[7B01 - Cells
Raw Score]]),IFERROR(VLOOKUP(ROUND(STANDARDIZE(tblY7[[#This Row],[7B01 - Cells
Raw Score]],AVERAGE(tblY7[[7B01 - Cells
Raw Score]]),_xlfn.STDEV.P(tblY7[[7B01 - Cells
Raw Score]])),9),_Stanine,2),5),"")</f>
        <v>5</v>
      </c>
      <c r="P13" s="66" t="n">
        <v>21</v>
      </c>
      <c r="Q13" s="67">
        <f>IF(ISNUMBER(tblY7[[#This Row],[7C01 - Particles
Raw Score]]),IFERROR(VLOOKUP(ROUND(STANDARDIZE(tblY7[[#This Row],[7C01 - Particles
Raw Score]],AVERAGE(tblY7[[7C01 - Particles
Raw Score]]),_xlfn.STDEV.P(tblY7[[7C01 - Particles
Raw Score]])),9),_Stanine,2),5),"")</f>
        <v>6</v>
      </c>
      <c r="R13" s="66" t="n">
        <v>22</v>
      </c>
      <c r="S13" s="67">
        <f>IF(ISNUMBER(tblY7[[#This Row],[7P01 - Forces
Raw Score]]),IFERROR(VLOOKUP(ROUND(STANDARDIZE(tblY7[[#This Row],[7P01 - Forces
Raw Score]],AVERAGE(tblY7[[7P01 - Forces
Raw Score]]),_xlfn.STDEV.P(tblY7[[7P01 - Forces
Raw Score]])),9),_Stanine,2),5),"")</f>
        <v>5</v>
      </c>
      <c r="T13" s="66" t="n">
        <v>20</v>
      </c>
      <c r="U13" s="67">
        <f>IF(ISNUMBER(tblY7[[#This Row],[7B02 - Organ Systems
Raw Score]]),IFERROR(VLOOKUP(ROUND(STANDARDIZE(tblY7[[#This Row],[7B02 - Organ Systems
Raw Score]],AVERAGE(tblY7[[7B02 - Organ Systems
Raw Score]]),_xlfn.STDEV.P(tblY7[[7B02 - Organ Systems
Raw Score]])),9),_Stanine,2),5),"")</f>
        <v>6</v>
      </c>
    </row>
    <row r="14">
      <c r="A14" s="65" t="inlineStr">
        <is>
          <t>X906841008529</t>
        </is>
      </c>
      <c r="B14" s="65" t="inlineStr">
        <is>
          <t>Mistry</t>
        </is>
      </c>
      <c r="C14" s="65" t="inlineStr">
        <is>
          <t>Niamh</t>
        </is>
      </c>
      <c r="D14" s="66" t="inlineStr">
        <is>
          <t>F</t>
        </is>
      </c>
      <c r="E14" s="66" t="n"/>
      <c r="F14" s="66" t="inlineStr">
        <is>
          <t>N</t>
        </is>
      </c>
      <c r="G14" s="34" t="n">
        <v>100</v>
      </c>
      <c r="H14" s="34" t="n">
        <v>108</v>
      </c>
      <c r="I14" s="67">
        <f>IF(ISNUMBER(tblY7[[#This Row],[Avg KS2]]),IFERROR(VLOOKUP(ROUND(STANDARDIZE(tblY7[[#This Row],[Avg KS2]],AVERAGE(tblY7[[Avg KS2]]),_xlfn.STDEV.P(tblY7[[Avg KS2]])),9),_Stanine,2),5),"")</f>
        <v>5</v>
      </c>
      <c r="J14" s="66" t="inlineStr">
        <is>
          <t>7A/Sc1</t>
        </is>
      </c>
      <c r="K14" s="67">
        <f>IF(tblY7[[#This Row],[Preferred Last name]]="","",COUNTIFS($N$1:$ZZ$1,"*"&amp;CHAR(10)&amp;"Stanine",$N14:$ZZ14,"&gt;=1"))</f>
        <v>4</v>
      </c>
      <c r="L14" s="68">
        <f>IFERROR(AVERAGEIF($N$1:$ZZ$1,"*"&amp;CHAR(10)&amp;"Stanine",$N14:$ZZ14),"")</f>
        <v>6.5</v>
      </c>
      <c r="M14" s="69">
        <f>IF(AND(ISNUMBER(tblY7[[#This Row],[Mean Stanine]]),ISNUMBER(tblY7[[#This Row],[Avg KS2 Band]]),ISNUMBER(SlopeY7)),tblY7[[#This Row],[Mean Stanine]]-(InterceptY7+SlopeY7*tblY7[[#This Row],[Avg KS2 Band]]),"")</f>
        <v>1.49230769230769</v>
      </c>
      <c r="N14" s="66" t="n">
        <v>25</v>
      </c>
      <c r="O14" s="67">
        <f>IF(ISNUMBER(tblY7[[#This Row],[7B01 - Cells
Raw Score]]),IFERROR(VLOOKUP(ROUND(STANDARDIZE(tblY7[[#This Row],[7B01 - Cells
Raw Score]],AVERAGE(tblY7[[7B01 - Cells
Raw Score]]),_xlfn.STDEV.P(tblY7[[7B01 - Cells
Raw Score]])),9),_Stanine,2),5),"")</f>
        <v>7</v>
      </c>
      <c r="P14" s="66" t="n">
        <v>19</v>
      </c>
      <c r="Q14" s="67">
        <f>IF(ISNUMBER(tblY7[[#This Row],[7C01 - Particles
Raw Score]]),IFERROR(VLOOKUP(ROUND(STANDARDIZE(tblY7[[#This Row],[7C01 - Particles
Raw Score]],AVERAGE(tblY7[[7C01 - Particles
Raw Score]]),_xlfn.STDEV.P(tblY7[[7C01 - Particles
Raw Score]])),9),_Stanine,2),5),"")</f>
        <v>5</v>
      </c>
      <c r="R14" s="66" t="n">
        <v>27</v>
      </c>
      <c r="S14" s="67">
        <f>IF(ISNUMBER(tblY7[[#This Row],[7P01 - Forces
Raw Score]]),IFERROR(VLOOKUP(ROUND(STANDARDIZE(tblY7[[#This Row],[7P01 - Forces
Raw Score]],AVERAGE(tblY7[[7P01 - Forces
Raw Score]]),_xlfn.STDEV.P(tblY7[[7P01 - Forces
Raw Score]])),9),_Stanine,2),5),"")</f>
        <v>7</v>
      </c>
      <c r="T14" s="66" t="n">
        <v>23</v>
      </c>
      <c r="U14" s="67">
        <f>IF(ISNUMBER(tblY7[[#This Row],[7B02 - Organ Systems
Raw Score]]),IFERROR(VLOOKUP(ROUND(STANDARDIZE(tblY7[[#This Row],[7B02 - Organ Systems
Raw Score]],AVERAGE(tblY7[[7B02 - Organ Systems
Raw Score]]),_xlfn.STDEV.P(tblY7[[7B02 - Organ Systems
Raw Score]])),9),_Stanine,2),5),"")</f>
        <v>7</v>
      </c>
    </row>
    <row r="15">
      <c r="A15" s="65" t="inlineStr">
        <is>
          <t>X908121334328</t>
        </is>
      </c>
      <c r="B15" s="65" t="inlineStr">
        <is>
          <t>Morgan</t>
        </is>
      </c>
      <c r="C15" s="65" t="inlineStr">
        <is>
          <t>Charlie</t>
        </is>
      </c>
      <c r="D15" s="66" t="inlineStr">
        <is>
          <t>F</t>
        </is>
      </c>
      <c r="E15" s="66" t="inlineStr">
        <is>
          <t>N</t>
        </is>
      </c>
      <c r="F15" s="66" t="inlineStr">
        <is>
          <t>N</t>
        </is>
      </c>
      <c r="G15" s="34" t="n">
        <v>92</v>
      </c>
      <c r="H15" s="34" t="n">
        <v>103</v>
      </c>
      <c r="I15" s="67">
        <f>IF(ISNUMBER(tblY7[[#This Row],[Avg KS2]]),IFERROR(VLOOKUP(ROUND(STANDARDIZE(tblY7[[#This Row],[Avg KS2]],AVERAGE(tblY7[[Avg KS2]]),_xlfn.STDEV.P(tblY7[[Avg KS2]])),9),_Stanine,2),5),"")</f>
        <v>3</v>
      </c>
      <c r="J15" s="66" t="inlineStr">
        <is>
          <t>7A/Sc1</t>
        </is>
      </c>
      <c r="K15" s="67">
        <f>IF(tblY7[[#This Row],[Preferred Last name]]="","",COUNTIFS($N$1:$ZZ$1,"*"&amp;CHAR(10)&amp;"Stanine",$N15:$ZZ15,"&gt;=1"))</f>
        <v>4</v>
      </c>
      <c r="L15" s="68">
        <f>IFERROR(AVERAGEIF($N$1:$ZZ$1,"*"&amp;CHAR(10)&amp;"Stanine",$N15:$ZZ15),"")</f>
        <v>4</v>
      </c>
      <c r="M15" s="69">
        <f>IF(AND(ISNUMBER(tblY7[[#This Row],[Mean Stanine]]),ISNUMBER(tblY7[[#This Row],[Avg KS2 Band]]),ISNUMBER(SlopeY7)),tblY7[[#This Row],[Mean Stanine]]-(InterceptY7+SlopeY7*tblY7[[#This Row],[Avg KS2 Band]]),"")</f>
        <v>0.380873583780561</v>
      </c>
      <c r="N15" s="66" t="n">
        <v>12</v>
      </c>
      <c r="O15" s="67">
        <f>IF(ISNUMBER(tblY7[[#This Row],[7B01 - Cells
Raw Score]]),IFERROR(VLOOKUP(ROUND(STANDARDIZE(tblY7[[#This Row],[7B01 - Cells
Raw Score]],AVERAGE(tblY7[[7B01 - Cells
Raw Score]]),_xlfn.STDEV.P(tblY7[[7B01 - Cells
Raw Score]])),9),_Stanine,2),5),"")</f>
        <v>3</v>
      </c>
      <c r="P15" s="66" t="n">
        <v>18</v>
      </c>
      <c r="Q15" s="67">
        <f>IF(ISNUMBER(tblY7[[#This Row],[7C01 - Particles
Raw Score]]),IFERROR(VLOOKUP(ROUND(STANDARDIZE(tblY7[[#This Row],[7C01 - Particles
Raw Score]],AVERAGE(tblY7[[7C01 - Particles
Raw Score]]),_xlfn.STDEV.P(tblY7[[7C01 - Particles
Raw Score]])),9),_Stanine,2),5),"")</f>
        <v>5</v>
      </c>
      <c r="R15" s="66" t="n">
        <v>16</v>
      </c>
      <c r="S15" s="67">
        <f>IF(ISNUMBER(tblY7[[#This Row],[7P01 - Forces
Raw Score]]),IFERROR(VLOOKUP(ROUND(STANDARDIZE(tblY7[[#This Row],[7P01 - Forces
Raw Score]],AVERAGE(tblY7[[7P01 - Forces
Raw Score]]),_xlfn.STDEV.P(tblY7[[7P01 - Forces
Raw Score]])),9),_Stanine,2),5),"")</f>
        <v>3</v>
      </c>
      <c r="T15" s="66" t="n">
        <v>19</v>
      </c>
      <c r="U15" s="67">
        <f>IF(ISNUMBER(tblY7[[#This Row],[7B02 - Organ Systems
Raw Score]]),IFERROR(VLOOKUP(ROUND(STANDARDIZE(tblY7[[#This Row],[7B02 - Organ Systems
Raw Score]],AVERAGE(tblY7[[7B02 - Organ Systems
Raw Score]]),_xlfn.STDEV.P(tblY7[[7B02 - Organ Systems
Raw Score]])),9),_Stanine,2),5),"")</f>
        <v>5</v>
      </c>
    </row>
    <row r="16">
      <c r="A16" s="65" t="inlineStr">
        <is>
          <t>X906077963536</t>
        </is>
      </c>
      <c r="B16" s="65" t="inlineStr">
        <is>
          <t>Morgan</t>
        </is>
      </c>
      <c r="C16" s="65" t="inlineStr">
        <is>
          <t>George</t>
        </is>
      </c>
      <c r="D16" s="66" t="inlineStr">
        <is>
          <t>F</t>
        </is>
      </c>
      <c r="E16" s="66" t="inlineStr">
        <is>
          <t>N</t>
        </is>
      </c>
      <c r="F16" s="66" t="inlineStr">
        <is>
          <t>Y</t>
        </is>
      </c>
      <c r="G16" s="34" t="n">
        <v>83.5</v>
      </c>
      <c r="H16" s="34" t="n">
        <v>109</v>
      </c>
      <c r="I16" s="67">
        <f>IF(ISNUMBER(tblY7[[#This Row],[Avg KS2]]),IFERROR(VLOOKUP(ROUND(STANDARDIZE(tblY7[[#This Row],[Avg KS2]],AVERAGE(tblY7[[Avg KS2]]),_xlfn.STDEV.P(tblY7[[Avg KS2]])),9),_Stanine,2),5),"")</f>
        <v>6</v>
      </c>
      <c r="J16" s="66" t="inlineStr">
        <is>
          <t>7A/Sc1</t>
        </is>
      </c>
      <c r="K16" s="67">
        <f>IF(tblY7[[#This Row],[Preferred Last name]]="","",COUNTIFS($N$1:$ZZ$1,"*"&amp;CHAR(10)&amp;"Stanine",$N16:$ZZ16,"&gt;=1"))</f>
        <v>4</v>
      </c>
      <c r="L16" s="68">
        <f>IFERROR(AVERAGEIF($N$1:$ZZ$1,"*"&amp;CHAR(10)&amp;"Stanine",$N16:$ZZ16),"")</f>
        <v>6.75</v>
      </c>
      <c r="M16" s="69">
        <f>IF(AND(ISNUMBER(tblY7[[#This Row],[Mean Stanine]]),ISNUMBER(tblY7[[#This Row],[Avg KS2 Band]]),ISNUMBER(SlopeY7)),tblY7[[#This Row],[Mean Stanine]]-(InterceptY7+SlopeY7*tblY7[[#This Row],[Avg KS2 Band]]),"")</f>
        <v>1.04802474657126</v>
      </c>
      <c r="N16" s="66" t="n">
        <v>24</v>
      </c>
      <c r="O16" s="67">
        <f>IF(ISNUMBER(tblY7[[#This Row],[7B01 - Cells
Raw Score]]),IFERROR(VLOOKUP(ROUND(STANDARDIZE(tblY7[[#This Row],[7B01 - Cells
Raw Score]],AVERAGE(tblY7[[7B01 - Cells
Raw Score]]),_xlfn.STDEV.P(tblY7[[7B01 - Cells
Raw Score]])),9),_Stanine,2),5),"")</f>
        <v>7</v>
      </c>
      <c r="P16" s="66" t="n">
        <v>22</v>
      </c>
      <c r="Q16" s="67">
        <f>IF(ISNUMBER(tblY7[[#This Row],[7C01 - Particles
Raw Score]]),IFERROR(VLOOKUP(ROUND(STANDARDIZE(tblY7[[#This Row],[7C01 - Particles
Raw Score]],AVERAGE(tblY7[[7C01 - Particles
Raw Score]]),_xlfn.STDEV.P(tblY7[[7C01 - Particles
Raw Score]])),9),_Stanine,2),5),"")</f>
        <v>7</v>
      </c>
      <c r="R16" s="66" t="n">
        <v>24</v>
      </c>
      <c r="S16" s="67">
        <f>IF(ISNUMBER(tblY7[[#This Row],[7P01 - Forces
Raw Score]]),IFERROR(VLOOKUP(ROUND(STANDARDIZE(tblY7[[#This Row],[7P01 - Forces
Raw Score]],AVERAGE(tblY7[[7P01 - Forces
Raw Score]]),_xlfn.STDEV.P(tblY7[[7P01 - Forces
Raw Score]])),9),_Stanine,2),5),"")</f>
        <v>6</v>
      </c>
      <c r="T16" s="66" t="n">
        <v>22</v>
      </c>
      <c r="U16" s="67">
        <f>IF(ISNUMBER(tblY7[[#This Row],[7B02 - Organ Systems
Raw Score]]),IFERROR(VLOOKUP(ROUND(STANDARDIZE(tblY7[[#This Row],[7B02 - Organ Systems
Raw Score]],AVERAGE(tblY7[[7B02 - Organ Systems
Raw Score]]),_xlfn.STDEV.P(tblY7[[7B02 - Organ Systems
Raw Score]])),9),_Stanine,2),5),"")</f>
        <v>7</v>
      </c>
    </row>
    <row r="17">
      <c r="A17" s="65" t="inlineStr">
        <is>
          <t>X909507757224</t>
        </is>
      </c>
      <c r="B17" s="65" t="inlineStr">
        <is>
          <t>Murphy</t>
        </is>
      </c>
      <c r="C17" s="65" t="inlineStr">
        <is>
          <t>Hollie</t>
        </is>
      </c>
      <c r="D17" s="66" t="inlineStr">
        <is>
          <t>F</t>
        </is>
      </c>
      <c r="E17" s="66" t="inlineStr">
        <is>
          <t>N</t>
        </is>
      </c>
      <c r="F17" s="66" t="inlineStr">
        <is>
          <t>Y</t>
        </is>
      </c>
      <c r="G17" s="34" t="n">
        <v>86.90000000000001</v>
      </c>
      <c r="H17" s="34" t="n">
        <v>101.5</v>
      </c>
      <c r="I17" s="67">
        <f>IF(ISNUMBER(tblY7[[#This Row],[Avg KS2]]),IFERROR(VLOOKUP(ROUND(STANDARDIZE(tblY7[[#This Row],[Avg KS2]],AVERAGE(tblY7[[Avg KS2]]),_xlfn.STDEV.P(tblY7[[Avg KS2]])),9),_Stanine,2),5),"")</f>
        <v>3</v>
      </c>
      <c r="J17" s="66" t="inlineStr">
        <is>
          <t>7A/Sc1</t>
        </is>
      </c>
      <c r="K17" s="67">
        <f>IF(tblY7[[#This Row],[Preferred Last name]]="","",COUNTIFS($N$1:$ZZ$1,"*"&amp;CHAR(10)&amp;"Stanine",$N17:$ZZ17,"&gt;=1"))</f>
        <v>4</v>
      </c>
      <c r="L17" s="68">
        <f>IFERROR(AVERAGEIF($N$1:$ZZ$1,"*"&amp;CHAR(10)&amp;"Stanine",$N17:$ZZ17),"")</f>
        <v>3.5</v>
      </c>
      <c r="M17" s="69">
        <f>IF(AND(ISNUMBER(tblY7[[#This Row],[Mean Stanine]]),ISNUMBER(tblY7[[#This Row],[Avg KS2 Band]]),ISNUMBER(SlopeY7)),tblY7[[#This Row],[Mean Stanine]]-(InterceptY7+SlopeY7*tblY7[[#This Row],[Avg KS2 Band]]),"")</f>
        <v>-0.119126416219439</v>
      </c>
      <c r="N17" s="66" t="n">
        <v>17</v>
      </c>
      <c r="O17" s="67">
        <f>IF(ISNUMBER(tblY7[[#This Row],[7B01 - Cells
Raw Score]]),IFERROR(VLOOKUP(ROUND(STANDARDIZE(tblY7[[#This Row],[7B01 - Cells
Raw Score]],AVERAGE(tblY7[[7B01 - Cells
Raw Score]]),_xlfn.STDEV.P(tblY7[[7B01 - Cells
Raw Score]])),9),_Stanine,2),5),"")</f>
        <v>5</v>
      </c>
      <c r="P17" s="66" t="n">
        <v>16</v>
      </c>
      <c r="Q17" s="67">
        <f>IF(ISNUMBER(tblY7[[#This Row],[7C01 - Particles
Raw Score]]),IFERROR(VLOOKUP(ROUND(STANDARDIZE(tblY7[[#This Row],[7C01 - Particles
Raw Score]],AVERAGE(tblY7[[7C01 - Particles
Raw Score]]),_xlfn.STDEV.P(tblY7[[7C01 - Particles
Raw Score]])),9),_Stanine,2),5),"")</f>
        <v>4</v>
      </c>
      <c r="R17" s="66" t="n">
        <v>13</v>
      </c>
      <c r="S17" s="67">
        <f>IF(ISNUMBER(tblY7[[#This Row],[7P01 - Forces
Raw Score]]),IFERROR(VLOOKUP(ROUND(STANDARDIZE(tblY7[[#This Row],[7P01 - Forces
Raw Score]],AVERAGE(tblY7[[7P01 - Forces
Raw Score]]),_xlfn.STDEV.P(tblY7[[7P01 - Forces
Raw Score]])),9),_Stanine,2),5),"")</f>
        <v>2</v>
      </c>
      <c r="T17" s="66" t="n">
        <v>11</v>
      </c>
      <c r="U17" s="67">
        <f>IF(ISNUMBER(tblY7[[#This Row],[7B02 - Organ Systems
Raw Score]]),IFERROR(VLOOKUP(ROUND(STANDARDIZE(tblY7[[#This Row],[7B02 - Organ Systems
Raw Score]],AVERAGE(tblY7[[7B02 - Organ Systems
Raw Score]]),_xlfn.STDEV.P(tblY7[[7B02 - Organ Systems
Raw Score]])),9),_Stanine,2),5),"")</f>
        <v>3</v>
      </c>
    </row>
    <row r="18">
      <c r="A18" s="65" t="inlineStr">
        <is>
          <t>X902295557652</t>
        </is>
      </c>
      <c r="B18" s="65" t="inlineStr">
        <is>
          <t>Nowak</t>
        </is>
      </c>
      <c r="C18" s="65" t="inlineStr">
        <is>
          <t>Seren</t>
        </is>
      </c>
      <c r="D18" s="66" t="inlineStr">
        <is>
          <t>M</t>
        </is>
      </c>
      <c r="E18" s="66" t="n"/>
      <c r="F18" s="66" t="inlineStr">
        <is>
          <t>Y</t>
        </is>
      </c>
      <c r="G18" s="34" t="n">
        <v>100</v>
      </c>
      <c r="H18" s="34" t="n">
        <v>110.5</v>
      </c>
      <c r="I18" s="67">
        <f>IF(ISNUMBER(tblY7[[#This Row],[Avg KS2]]),IFERROR(VLOOKUP(ROUND(STANDARDIZE(tblY7[[#This Row],[Avg KS2]],AVERAGE(tblY7[[Avg KS2]]),_xlfn.STDEV.P(tblY7[[Avg KS2]])),9),_Stanine,2),5),"")</f>
        <v>6</v>
      </c>
      <c r="J18" s="66" t="inlineStr">
        <is>
          <t>7A/Sc1</t>
        </is>
      </c>
      <c r="K18" s="67">
        <f>IF(tblY7[[#This Row],[Preferred Last name]]="","",COUNTIFS($N$1:$ZZ$1,"*"&amp;CHAR(10)&amp;"Stanine",$N18:$ZZ18,"&gt;=1"))</f>
        <v>4</v>
      </c>
      <c r="L18" s="68">
        <f>IFERROR(AVERAGEIF($N$1:$ZZ$1,"*"&amp;CHAR(10)&amp;"Stanine",$N18:$ZZ18),"")</f>
        <v>5.5</v>
      </c>
      <c r="M18" s="69">
        <f>IF(AND(ISNUMBER(tblY7[[#This Row],[Mean Stanine]]),ISNUMBER(tblY7[[#This Row],[Avg KS2 Band]]),ISNUMBER(SlopeY7)),tblY7[[#This Row],[Mean Stanine]]-(InterceptY7+SlopeY7*tblY7[[#This Row],[Avg KS2 Band]]),"")</f>
        <v>-0.201975253428741</v>
      </c>
      <c r="N18" s="66" t="n">
        <v>20</v>
      </c>
      <c r="O18" s="67">
        <f>IF(ISNUMBER(tblY7[[#This Row],[7B01 - Cells
Raw Score]]),IFERROR(VLOOKUP(ROUND(STANDARDIZE(tblY7[[#This Row],[7B01 - Cells
Raw Score]],AVERAGE(tblY7[[7B01 - Cells
Raw Score]]),_xlfn.STDEV.P(tblY7[[7B01 - Cells
Raw Score]])),9),_Stanine,2),5),"")</f>
        <v>6</v>
      </c>
      <c r="P18" s="66" t="n">
        <v>19</v>
      </c>
      <c r="Q18" s="67">
        <f>IF(ISNUMBER(tblY7[[#This Row],[7C01 - Particles
Raw Score]]),IFERROR(VLOOKUP(ROUND(STANDARDIZE(tblY7[[#This Row],[7C01 - Particles
Raw Score]],AVERAGE(tblY7[[7C01 - Particles
Raw Score]]),_xlfn.STDEV.P(tblY7[[7C01 - Particles
Raw Score]])),9),_Stanine,2),5),"")</f>
        <v>5</v>
      </c>
      <c r="R18" s="66" t="n">
        <v>25</v>
      </c>
      <c r="S18" s="67">
        <f>IF(ISNUMBER(tblY7[[#This Row],[7P01 - Forces
Raw Score]]),IFERROR(VLOOKUP(ROUND(STANDARDIZE(tblY7[[#This Row],[7P01 - Forces
Raw Score]],AVERAGE(tblY7[[7P01 - Forces
Raw Score]]),_xlfn.STDEV.P(tblY7[[7P01 - Forces
Raw Score]])),9),_Stanine,2),5),"")</f>
        <v>6</v>
      </c>
      <c r="T18" s="66" t="n">
        <v>19</v>
      </c>
      <c r="U18" s="67">
        <f>IF(ISNUMBER(tblY7[[#This Row],[7B02 - Organ Systems
Raw Score]]),IFERROR(VLOOKUP(ROUND(STANDARDIZE(tblY7[[#This Row],[7B02 - Organ Systems
Raw Score]],AVERAGE(tblY7[[7B02 - Organ Systems
Raw Score]]),_xlfn.STDEV.P(tblY7[[7B02 - Organ Systems
Raw Score]])),9),_Stanine,2),5),"")</f>
        <v>5</v>
      </c>
    </row>
    <row r="19">
      <c r="A19" s="65" t="inlineStr">
        <is>
          <t>X900502714124</t>
        </is>
      </c>
      <c r="B19" s="65" t="inlineStr">
        <is>
          <t>Pearson</t>
        </is>
      </c>
      <c r="C19" s="65" t="inlineStr">
        <is>
          <t>Dylan</t>
        </is>
      </c>
      <c r="D19" s="66" t="inlineStr">
        <is>
          <t>M</t>
        </is>
      </c>
      <c r="E19" s="66" t="inlineStr">
        <is>
          <t>K</t>
        </is>
      </c>
      <c r="F19" s="66" t="inlineStr">
        <is>
          <t>N</t>
        </is>
      </c>
      <c r="G19" s="34" t="n">
        <v>85</v>
      </c>
      <c r="H19" s="34" t="n">
        <v>108.5</v>
      </c>
      <c r="I19" s="67">
        <f>IF(ISNUMBER(tblY7[[#This Row],[Avg KS2]]),IFERROR(VLOOKUP(ROUND(STANDARDIZE(tblY7[[#This Row],[Avg KS2]],AVERAGE(tblY7[[Avg KS2]]),_xlfn.STDEV.P(tblY7[[Avg KS2]])),9),_Stanine,2),5),"")</f>
        <v>6</v>
      </c>
      <c r="J19" s="66" t="inlineStr">
        <is>
          <t>7A/Sc1</t>
        </is>
      </c>
      <c r="K19" s="67">
        <f>IF(tblY7[[#This Row],[Preferred Last name]]="","",COUNTIFS($N$1:$ZZ$1,"*"&amp;CHAR(10)&amp;"Stanine",$N19:$ZZ19,"&gt;=1"))</f>
        <v>3</v>
      </c>
      <c r="L19" s="68">
        <f>IFERROR(AVERAGEIF($N$1:$ZZ$1,"*"&amp;CHAR(10)&amp;"Stanine",$N19:$ZZ19),"")</f>
        <v>6.66666666666667</v>
      </c>
      <c r="M19" s="69">
        <f>IF(AND(ISNUMBER(tblY7[[#This Row],[Mean Stanine]]),ISNUMBER(tblY7[[#This Row],[Avg KS2 Band]]),ISNUMBER(SlopeY7)),tblY7[[#This Row],[Mean Stanine]]-(InterceptY7+SlopeY7*tblY7[[#This Row],[Avg KS2 Band]]),"")</f>
        <v>0.964691413237926</v>
      </c>
      <c r="N19" s="66" t="inlineStr">
        <is>
          <t>A</t>
        </is>
      </c>
      <c r="O19" s="67" t="str">
        <f>IF(ISNUMBER(tblY7[[#This Row],[7B01 - Cells
Raw Score]]),IFERROR(VLOOKUP(ROUND(STANDARDIZE(tblY7[[#This Row],[7B01 - Cells
Raw Score]],AVERAGE(tblY7[[7B01 - Cells
Raw Score]]),_xlfn.STDEV.P(tblY7[[7B01 - Cells
Raw Score]])),9),_Stanine,2),5),"")</f>
        <v/>
      </c>
      <c r="P19" s="66" t="n">
        <v>22</v>
      </c>
      <c r="Q19" s="67">
        <f>IF(ISNUMBER(tblY7[[#This Row],[7C01 - Particles
Raw Score]]),IFERROR(VLOOKUP(ROUND(STANDARDIZE(tblY7[[#This Row],[7C01 - Particles
Raw Score]],AVERAGE(tblY7[[7C01 - Particles
Raw Score]]),_xlfn.STDEV.P(tblY7[[7C01 - Particles
Raw Score]])),9),_Stanine,2),5),"")</f>
        <v>7</v>
      </c>
      <c r="R19" s="66" t="n">
        <v>26</v>
      </c>
      <c r="S19" s="67">
        <f>IF(ISNUMBER(tblY7[[#This Row],[7P01 - Forces
Raw Score]]),IFERROR(VLOOKUP(ROUND(STANDARDIZE(tblY7[[#This Row],[7P01 - Forces
Raw Score]],AVERAGE(tblY7[[7P01 - Forces
Raw Score]]),_xlfn.STDEV.P(tblY7[[7P01 - Forces
Raw Score]])),9),_Stanine,2),5),"")</f>
        <v>7</v>
      </c>
      <c r="T19" s="66" t="n">
        <v>20</v>
      </c>
      <c r="U19" s="67">
        <f>IF(ISNUMBER(tblY7[[#This Row],[7B02 - Organ Systems
Raw Score]]),IFERROR(VLOOKUP(ROUND(STANDARDIZE(tblY7[[#This Row],[7B02 - Organ Systems
Raw Score]],AVERAGE(tblY7[[7B02 - Organ Systems
Raw Score]]),_xlfn.STDEV.P(tblY7[[7B02 - Organ Systems
Raw Score]])),9),_Stanine,2),5),"")</f>
        <v>6</v>
      </c>
    </row>
    <row r="20">
      <c r="A20" s="65" t="inlineStr">
        <is>
          <t>X908557917671</t>
        </is>
      </c>
      <c r="B20" s="65" t="inlineStr">
        <is>
          <t>Robinson</t>
        </is>
      </c>
      <c r="C20" s="65" t="inlineStr">
        <is>
          <t>Chidi</t>
        </is>
      </c>
      <c r="D20" s="66" t="inlineStr">
        <is>
          <t>M</t>
        </is>
      </c>
      <c r="E20" s="66" t="inlineStr">
        <is>
          <t>N</t>
        </is>
      </c>
      <c r="F20" s="66" t="inlineStr">
        <is>
          <t>Y</t>
        </is>
      </c>
      <c r="G20" s="34" t="n">
        <v>87.40000000000001</v>
      </c>
      <c r="H20" s="34" t="n">
        <v>113</v>
      </c>
      <c r="I20" s="67">
        <f>IF(ISNUMBER(tblY7[[#This Row],[Avg KS2]]),IFERROR(VLOOKUP(ROUND(STANDARDIZE(tblY7[[#This Row],[Avg KS2]],AVERAGE(tblY7[[Avg KS2]]),_xlfn.STDEV.P(tblY7[[Avg KS2]])),9),_Stanine,2),5),"")</f>
        <v>7</v>
      </c>
      <c r="J20" s="66" t="inlineStr">
        <is>
          <t>7A/Sc1</t>
        </is>
      </c>
      <c r="K20" s="67">
        <f>IF(tblY7[[#This Row],[Preferred Last name]]="","",COUNTIFS($N$1:$ZZ$1,"*"&amp;CHAR(10)&amp;"Stanine",$N20:$ZZ20,"&gt;=1"))</f>
        <v>4</v>
      </c>
      <c r="L20" s="68">
        <f>IFERROR(AVERAGEIF($N$1:$ZZ$1,"*"&amp;CHAR(10)&amp;"Stanine",$N20:$ZZ20),"")</f>
        <v>5.5</v>
      </c>
      <c r="M20" s="69">
        <f>IF(AND(ISNUMBER(tblY7[[#This Row],[Mean Stanine]]),ISNUMBER(tblY7[[#This Row],[Avg KS2 Band]]),ISNUMBER(SlopeY7)),tblY7[[#This Row],[Mean Stanine]]-(InterceptY7+SlopeY7*tblY7[[#This Row],[Avg KS2 Band]]),"")</f>
        <v>-0.896258199165176</v>
      </c>
      <c r="N20" s="66" t="n">
        <v>19</v>
      </c>
      <c r="O20" s="67">
        <f>IF(ISNUMBER(tblY7[[#This Row],[7B01 - Cells
Raw Score]]),IFERROR(VLOOKUP(ROUND(STANDARDIZE(tblY7[[#This Row],[7B01 - Cells
Raw Score]],AVERAGE(tblY7[[7B01 - Cells
Raw Score]]),_xlfn.STDEV.P(tblY7[[7B01 - Cells
Raw Score]])),9),_Stanine,2),5),"")</f>
        <v>5</v>
      </c>
      <c r="P20" s="66" t="n">
        <v>19</v>
      </c>
      <c r="Q20" s="67">
        <f>IF(ISNUMBER(tblY7[[#This Row],[7C01 - Particles
Raw Score]]),IFERROR(VLOOKUP(ROUND(STANDARDIZE(tblY7[[#This Row],[7C01 - Particles
Raw Score]],AVERAGE(tblY7[[7C01 - Particles
Raw Score]]),_xlfn.STDEV.P(tblY7[[7C01 - Particles
Raw Score]])),9),_Stanine,2),5),"")</f>
        <v>5</v>
      </c>
      <c r="R20" s="66" t="n">
        <v>25</v>
      </c>
      <c r="S20" s="67">
        <f>IF(ISNUMBER(tblY7[[#This Row],[7P01 - Forces
Raw Score]]),IFERROR(VLOOKUP(ROUND(STANDARDIZE(tblY7[[#This Row],[7P01 - Forces
Raw Score]],AVERAGE(tblY7[[7P01 - Forces
Raw Score]]),_xlfn.STDEV.P(tblY7[[7P01 - Forces
Raw Score]])),9),_Stanine,2),5),"")</f>
        <v>6</v>
      </c>
      <c r="T20" s="66" t="n">
        <v>21</v>
      </c>
      <c r="U20" s="67">
        <f>IF(ISNUMBER(tblY7[[#This Row],[7B02 - Organ Systems
Raw Score]]),IFERROR(VLOOKUP(ROUND(STANDARDIZE(tblY7[[#This Row],[7B02 - Organ Systems
Raw Score]],AVERAGE(tblY7[[7B02 - Organ Systems
Raw Score]]),_xlfn.STDEV.P(tblY7[[7B02 - Organ Systems
Raw Score]])),9),_Stanine,2),5),"")</f>
        <v>6</v>
      </c>
    </row>
    <row r="21">
      <c r="A21" s="65" t="inlineStr">
        <is>
          <t>X906543943903</t>
        </is>
      </c>
      <c r="B21" s="65" t="inlineStr">
        <is>
          <t>Robinson</t>
        </is>
      </c>
      <c r="C21" s="65" t="inlineStr">
        <is>
          <t>Oscar</t>
        </is>
      </c>
      <c r="D21" s="66" t="inlineStr">
        <is>
          <t>F</t>
        </is>
      </c>
      <c r="E21" s="66" t="inlineStr">
        <is>
          <t>N</t>
        </is>
      </c>
      <c r="F21" s="66" t="inlineStr">
        <is>
          <t>Y</t>
        </is>
      </c>
      <c r="G21" s="34" t="n">
        <v>93.59999999999999</v>
      </c>
      <c r="H21" s="34" t="n">
        <v>101</v>
      </c>
      <c r="I21" s="67">
        <f>IF(ISNUMBER(tblY7[[#This Row],[Avg KS2]]),IFERROR(VLOOKUP(ROUND(STANDARDIZE(tblY7[[#This Row],[Avg KS2]],AVERAGE(tblY7[[Avg KS2]]),_xlfn.STDEV.P(tblY7[[Avg KS2]])),9),_Stanine,2),5),"")</f>
        <v>3</v>
      </c>
      <c r="J21" s="66" t="inlineStr">
        <is>
          <t>7A/Sc1</t>
        </is>
      </c>
      <c r="K21" s="67">
        <f>IF(tblY7[[#This Row],[Preferred Last name]]="","",COUNTIFS($N$1:$ZZ$1,"*"&amp;CHAR(10)&amp;"Stanine",$N21:$ZZ21,"&gt;=1"))</f>
        <v>4</v>
      </c>
      <c r="L21" s="68">
        <f>IFERROR(AVERAGEIF($N$1:$ZZ$1,"*"&amp;CHAR(10)&amp;"Stanine",$N21:$ZZ21),"")</f>
        <v>3.25</v>
      </c>
      <c r="M21" s="69">
        <f>IF(AND(ISNUMBER(tblY7[[#This Row],[Mean Stanine]]),ISNUMBER(tblY7[[#This Row],[Avg KS2 Band]]),ISNUMBER(SlopeY7)),tblY7[[#This Row],[Mean Stanine]]-(InterceptY7+SlopeY7*tblY7[[#This Row],[Avg KS2 Band]]),"")</f>
        <v>-0.369126416219439</v>
      </c>
      <c r="N21" s="66" t="n">
        <v>12</v>
      </c>
      <c r="O21" s="67">
        <f>IF(ISNUMBER(tblY7[[#This Row],[7B01 - Cells
Raw Score]]),IFERROR(VLOOKUP(ROUND(STANDARDIZE(tblY7[[#This Row],[7B01 - Cells
Raw Score]],AVERAGE(tblY7[[7B01 - Cells
Raw Score]]),_xlfn.STDEV.P(tblY7[[7B01 - Cells
Raw Score]])),9),_Stanine,2),5),"")</f>
        <v>3</v>
      </c>
      <c r="P21" s="66" t="n">
        <v>13</v>
      </c>
      <c r="Q21" s="67">
        <f>IF(ISNUMBER(tblY7[[#This Row],[7C01 - Particles
Raw Score]]),IFERROR(VLOOKUP(ROUND(STANDARDIZE(tblY7[[#This Row],[7C01 - Particles
Raw Score]],AVERAGE(tblY7[[7C01 - Particles
Raw Score]]),_xlfn.STDEV.P(tblY7[[7C01 - Particles
Raw Score]])),9),_Stanine,2),5),"")</f>
        <v>2</v>
      </c>
      <c r="R21" s="66" t="n">
        <v>21</v>
      </c>
      <c r="S21" s="67">
        <f>IF(ISNUMBER(tblY7[[#This Row],[7P01 - Forces
Raw Score]]),IFERROR(VLOOKUP(ROUND(STANDARDIZE(tblY7[[#This Row],[7P01 - Forces
Raw Score]],AVERAGE(tblY7[[7P01 - Forces
Raw Score]]),_xlfn.STDEV.P(tblY7[[7P01 - Forces
Raw Score]])),9),_Stanine,2),5),"")</f>
        <v>5</v>
      </c>
      <c r="T21" s="66" t="n">
        <v>12</v>
      </c>
      <c r="U21" s="67">
        <f>IF(ISNUMBER(tblY7[[#This Row],[7B02 - Organ Systems
Raw Score]]),IFERROR(VLOOKUP(ROUND(STANDARDIZE(tblY7[[#This Row],[7B02 - Organ Systems
Raw Score]],AVERAGE(tblY7[[7B02 - Organ Systems
Raw Score]]),_xlfn.STDEV.P(tblY7[[7B02 - Organ Systems
Raw Score]])),9),_Stanine,2),5),"")</f>
        <v>3</v>
      </c>
    </row>
    <row r="22">
      <c r="A22" s="65" t="inlineStr">
        <is>
          <t>X902759059148</t>
        </is>
      </c>
      <c r="B22" s="65" t="inlineStr">
        <is>
          <t>Taylor</t>
        </is>
      </c>
      <c r="C22" s="65" t="inlineStr">
        <is>
          <t>Jack</t>
        </is>
      </c>
      <c r="D22" s="66" t="inlineStr">
        <is>
          <t>M</t>
        </is>
      </c>
      <c r="E22" s="66" t="inlineStr">
        <is>
          <t>K</t>
        </is>
      </c>
      <c r="F22" s="66" t="inlineStr">
        <is>
          <t>N</t>
        </is>
      </c>
      <c r="G22" s="34" t="n">
        <v>96.09999999999999</v>
      </c>
      <c r="H22" s="34" t="n">
        <v>101</v>
      </c>
      <c r="I22" s="67">
        <f>IF(ISNUMBER(tblY7[[#This Row],[Avg KS2]]),IFERROR(VLOOKUP(ROUND(STANDARDIZE(tblY7[[#This Row],[Avg KS2]],AVERAGE(tblY7[[Avg KS2]]),_xlfn.STDEV.P(tblY7[[Avg KS2]])),9),_Stanine,2),5),"")</f>
        <v>3</v>
      </c>
      <c r="J22" s="66" t="inlineStr">
        <is>
          <t>7A/Sc1</t>
        </is>
      </c>
      <c r="K22" s="67">
        <f>IF(tblY7[[#This Row],[Preferred Last name]]="","",COUNTIFS($N$1:$ZZ$1,"*"&amp;CHAR(10)&amp;"Stanine",$N22:$ZZ22,"&gt;=1"))</f>
        <v>4</v>
      </c>
      <c r="L22" s="68">
        <f>IFERROR(AVERAGEIF($N$1:$ZZ$1,"*"&amp;CHAR(10)&amp;"Stanine",$N22:$ZZ22),"")</f>
        <v>1.75</v>
      </c>
      <c r="M22" s="69">
        <f>IF(AND(ISNUMBER(tblY7[[#This Row],[Mean Stanine]]),ISNUMBER(tblY7[[#This Row],[Avg KS2 Band]]),ISNUMBER(SlopeY7)),tblY7[[#This Row],[Mean Stanine]]-(InterceptY7+SlopeY7*tblY7[[#This Row],[Avg KS2 Band]]),"")</f>
        <v>-1.86912641621944</v>
      </c>
      <c r="N22" s="66" t="n">
        <v>9</v>
      </c>
      <c r="O22" s="67">
        <f>IF(ISNUMBER(tblY7[[#This Row],[7B01 - Cells
Raw Score]]),IFERROR(VLOOKUP(ROUND(STANDARDIZE(tblY7[[#This Row],[7B01 - Cells
Raw Score]],AVERAGE(tblY7[[7B01 - Cells
Raw Score]]),_xlfn.STDEV.P(tblY7[[7B01 - Cells
Raw Score]])),9),_Stanine,2),5),"")</f>
        <v>2</v>
      </c>
      <c r="P22" s="66" t="n">
        <v>12</v>
      </c>
      <c r="Q22" s="67">
        <f>IF(ISNUMBER(tblY7[[#This Row],[7C01 - Particles
Raw Score]]),IFERROR(VLOOKUP(ROUND(STANDARDIZE(tblY7[[#This Row],[7C01 - Particles
Raw Score]],AVERAGE(tblY7[[7C01 - Particles
Raw Score]]),_xlfn.STDEV.P(tblY7[[7C01 - Particles
Raw Score]])),9),_Stanine,2),5),"")</f>
        <v>2</v>
      </c>
      <c r="R22" s="66" t="n">
        <v>14</v>
      </c>
      <c r="S22" s="67">
        <f>IF(ISNUMBER(tblY7[[#This Row],[7P01 - Forces
Raw Score]]),IFERROR(VLOOKUP(ROUND(STANDARDIZE(tblY7[[#This Row],[7P01 - Forces
Raw Score]],AVERAGE(tblY7[[7P01 - Forces
Raw Score]]),_xlfn.STDEV.P(tblY7[[7P01 - Forces
Raw Score]])),9),_Stanine,2),5),"")</f>
        <v>2</v>
      </c>
      <c r="T22" s="66" t="n">
        <v>7</v>
      </c>
      <c r="U22" s="67">
        <f>IF(ISNUMBER(tblY7[[#This Row],[7B02 - Organ Systems
Raw Score]]),IFERROR(VLOOKUP(ROUND(STANDARDIZE(tblY7[[#This Row],[7B02 - Organ Systems
Raw Score]],AVERAGE(tblY7[[7B02 - Organ Systems
Raw Score]]),_xlfn.STDEV.P(tblY7[[7B02 - Organ Systems
Raw Score]])),9),_Stanine,2),5),"")</f>
        <v>1</v>
      </c>
    </row>
    <row r="23">
      <c r="A23" s="65" t="inlineStr">
        <is>
          <t>X905673909754</t>
        </is>
      </c>
      <c r="B23" s="65" t="inlineStr">
        <is>
          <t>Turner</t>
        </is>
      </c>
      <c r="C23" s="65" t="inlineStr">
        <is>
          <t>Zofia</t>
        </is>
      </c>
      <c r="D23" s="66" t="inlineStr">
        <is>
          <t>F</t>
        </is>
      </c>
      <c r="E23" s="66" t="inlineStr">
        <is>
          <t>K</t>
        </is>
      </c>
      <c r="F23" s="66" t="inlineStr">
        <is>
          <t>Y</t>
        </is>
      </c>
      <c r="G23" s="34" t="n">
        <v>96.7</v>
      </c>
      <c r="H23" s="34" t="n">
        <v>110.5</v>
      </c>
      <c r="I23" s="67">
        <f>IF(ISNUMBER(tblY7[[#This Row],[Avg KS2]]),IFERROR(VLOOKUP(ROUND(STANDARDIZE(tblY7[[#This Row],[Avg KS2]],AVERAGE(tblY7[[Avg KS2]]),_xlfn.STDEV.P(tblY7[[Avg KS2]])),9),_Stanine,2),5),"")</f>
        <v>6</v>
      </c>
      <c r="J23" s="66" t="inlineStr">
        <is>
          <t>7A/Sc1</t>
        </is>
      </c>
      <c r="K23" s="67">
        <f>IF(tblY7[[#This Row],[Preferred Last name]]="","",COUNTIFS($N$1:$ZZ$1,"*"&amp;CHAR(10)&amp;"Stanine",$N23:$ZZ23,"&gt;=1"))</f>
        <v>4</v>
      </c>
      <c r="L23" s="68">
        <f>IFERROR(AVERAGEIF($N$1:$ZZ$1,"*"&amp;CHAR(10)&amp;"Stanine",$N23:$ZZ23),"")</f>
        <v>5.75</v>
      </c>
      <c r="M23" s="69">
        <f>IF(AND(ISNUMBER(tblY7[[#This Row],[Mean Stanine]]),ISNUMBER(tblY7[[#This Row],[Avg KS2 Band]]),ISNUMBER(SlopeY7)),tblY7[[#This Row],[Mean Stanine]]-(InterceptY7+SlopeY7*tblY7[[#This Row],[Avg KS2 Band]]),"")</f>
        <v>0.0480247465712589</v>
      </c>
      <c r="N23" s="66" t="n">
        <v>17</v>
      </c>
      <c r="O23" s="67">
        <f>IF(ISNUMBER(tblY7[[#This Row],[7B01 - Cells
Raw Score]]),IFERROR(VLOOKUP(ROUND(STANDARDIZE(tblY7[[#This Row],[7B01 - Cells
Raw Score]],AVERAGE(tblY7[[7B01 - Cells
Raw Score]]),_xlfn.STDEV.P(tblY7[[7B01 - Cells
Raw Score]])),9),_Stanine,2),5),"")</f>
        <v>5</v>
      </c>
      <c r="P23" s="66" t="n">
        <v>20</v>
      </c>
      <c r="Q23" s="67">
        <f>IF(ISNUMBER(tblY7[[#This Row],[7C01 - Particles
Raw Score]]),IFERROR(VLOOKUP(ROUND(STANDARDIZE(tblY7[[#This Row],[7C01 - Particles
Raw Score]],AVERAGE(tblY7[[7C01 - Particles
Raw Score]]),_xlfn.STDEV.P(tblY7[[7C01 - Particles
Raw Score]])),9),_Stanine,2),5),"")</f>
        <v>6</v>
      </c>
      <c r="R23" s="66" t="n">
        <v>24</v>
      </c>
      <c r="S23" s="67">
        <f>IF(ISNUMBER(tblY7[[#This Row],[7P01 - Forces
Raw Score]]),IFERROR(VLOOKUP(ROUND(STANDARDIZE(tblY7[[#This Row],[7P01 - Forces
Raw Score]],AVERAGE(tblY7[[7P01 - Forces
Raw Score]]),_xlfn.STDEV.P(tblY7[[7P01 - Forces
Raw Score]])),9),_Stanine,2),5),"")</f>
        <v>6</v>
      </c>
      <c r="T23" s="66" t="n">
        <v>20</v>
      </c>
      <c r="U23" s="67">
        <f>IF(ISNUMBER(tblY7[[#This Row],[7B02 - Organ Systems
Raw Score]]),IFERROR(VLOOKUP(ROUND(STANDARDIZE(tblY7[[#This Row],[7B02 - Organ Systems
Raw Score]],AVERAGE(tblY7[[7B02 - Organ Systems
Raw Score]]),_xlfn.STDEV.P(tblY7[[7B02 - Organ Systems
Raw Score]])),9),_Stanine,2),5),"")</f>
        <v>6</v>
      </c>
    </row>
    <row r="24">
      <c r="A24" s="65" t="inlineStr">
        <is>
          <t>X905114487626</t>
        </is>
      </c>
      <c r="B24" s="65" t="inlineStr">
        <is>
          <t>Walker</t>
        </is>
      </c>
      <c r="C24" s="65" t="inlineStr">
        <is>
          <t>Arthur</t>
        </is>
      </c>
      <c r="D24" s="66" t="inlineStr">
        <is>
          <t>M</t>
        </is>
      </c>
      <c r="E24" s="66" t="inlineStr">
        <is>
          <t>N</t>
        </is>
      </c>
      <c r="F24" s="66" t="inlineStr">
        <is>
          <t>Y</t>
        </is>
      </c>
      <c r="G24" s="34" t="n">
        <v>95.5</v>
      </c>
      <c r="H24" s="34" t="n">
        <v>108.5</v>
      </c>
      <c r="I24" s="67">
        <f>IF(ISNUMBER(tblY7[[#This Row],[Avg KS2]]),IFERROR(VLOOKUP(ROUND(STANDARDIZE(tblY7[[#This Row],[Avg KS2]],AVERAGE(tblY7[[Avg KS2]]),_xlfn.STDEV.P(tblY7[[Avg KS2]])),9),_Stanine,2),5),"")</f>
        <v>6</v>
      </c>
      <c r="J24" s="66" t="inlineStr">
        <is>
          <t>7A/Sc1</t>
        </is>
      </c>
      <c r="K24" s="67">
        <f>IF(tblY7[[#This Row],[Preferred Last name]]="","",COUNTIFS($N$1:$ZZ$1,"*"&amp;CHAR(10)&amp;"Stanine",$N24:$ZZ24,"&gt;=1"))</f>
        <v>4</v>
      </c>
      <c r="L24" s="68">
        <f>IFERROR(AVERAGEIF($N$1:$ZZ$1,"*"&amp;CHAR(10)&amp;"Stanine",$N24:$ZZ24),"")</f>
        <v>4.75</v>
      </c>
      <c r="M24" s="69">
        <f>IF(AND(ISNUMBER(tblY7[[#This Row],[Mean Stanine]]),ISNUMBER(tblY7[[#This Row],[Avg KS2 Band]]),ISNUMBER(SlopeY7)),tblY7[[#This Row],[Mean Stanine]]-(InterceptY7+SlopeY7*tblY7[[#This Row],[Avg KS2 Band]]),"")</f>
        <v>-0.951975253428741</v>
      </c>
      <c r="N24" s="66" t="n">
        <v>17</v>
      </c>
      <c r="O24" s="67">
        <f>IF(ISNUMBER(tblY7[[#This Row],[7B01 - Cells
Raw Score]]),IFERROR(VLOOKUP(ROUND(STANDARDIZE(tblY7[[#This Row],[7B01 - Cells
Raw Score]],AVERAGE(tblY7[[7B01 - Cells
Raw Score]]),_xlfn.STDEV.P(tblY7[[7B01 - Cells
Raw Score]])),9),_Stanine,2),5),"")</f>
        <v>5</v>
      </c>
      <c r="P24" s="66" t="n">
        <v>20</v>
      </c>
      <c r="Q24" s="67">
        <f>IF(ISNUMBER(tblY7[[#This Row],[7C01 - Particles
Raw Score]]),IFERROR(VLOOKUP(ROUND(STANDARDIZE(tblY7[[#This Row],[7C01 - Particles
Raw Score]],AVERAGE(tblY7[[7C01 - Particles
Raw Score]]),_xlfn.STDEV.P(tblY7[[7C01 - Particles
Raw Score]])),9),_Stanine,2),5),"")</f>
        <v>6</v>
      </c>
      <c r="R24" s="66" t="n">
        <v>22</v>
      </c>
      <c r="S24" s="67">
        <f>IF(ISNUMBER(tblY7[[#This Row],[7P01 - Forces
Raw Score]]),IFERROR(VLOOKUP(ROUND(STANDARDIZE(tblY7[[#This Row],[7P01 - Forces
Raw Score]],AVERAGE(tblY7[[7P01 - Forces
Raw Score]]),_xlfn.STDEV.P(tblY7[[7P01 - Forces
Raw Score]])),9),_Stanine,2),5),"")</f>
        <v>5</v>
      </c>
      <c r="T24" s="66" t="n">
        <v>12</v>
      </c>
      <c r="U24" s="67">
        <f>IF(ISNUMBER(tblY7[[#This Row],[7B02 - Organ Systems
Raw Score]]),IFERROR(VLOOKUP(ROUND(STANDARDIZE(tblY7[[#This Row],[7B02 - Organ Systems
Raw Score]],AVERAGE(tblY7[[7B02 - Organ Systems
Raw Score]]),_xlfn.STDEV.P(tblY7[[7B02 - Organ Systems
Raw Score]])),9),_Stanine,2),5),"")</f>
        <v>3</v>
      </c>
    </row>
    <row r="25">
      <c r="A25" s="65" t="inlineStr">
        <is>
          <t>X901679015038</t>
        </is>
      </c>
      <c r="B25" s="65" t="inlineStr">
        <is>
          <t>Walker</t>
        </is>
      </c>
      <c r="C25" s="65" t="inlineStr">
        <is>
          <t>Rhys</t>
        </is>
      </c>
      <c r="D25" s="66" t="inlineStr">
        <is>
          <t>M</t>
        </is>
      </c>
      <c r="E25" s="66" t="inlineStr">
        <is>
          <t>N</t>
        </is>
      </c>
      <c r="F25" s="66" t="inlineStr">
        <is>
          <t>N</t>
        </is>
      </c>
      <c r="G25" s="34" t="n">
        <v>94.59999999999999</v>
      </c>
      <c r="H25" s="34" t="n">
        <v>116</v>
      </c>
      <c r="I25" s="67">
        <f>IF(ISNUMBER(tblY7[[#This Row],[Avg KS2]]),IFERROR(VLOOKUP(ROUND(STANDARDIZE(tblY7[[#This Row],[Avg KS2]],AVERAGE(tblY7[[Avg KS2]]),_xlfn.STDEV.P(tblY7[[Avg KS2]])),9),_Stanine,2),5),"")</f>
        <v>9</v>
      </c>
      <c r="J25" s="66" t="inlineStr">
        <is>
          <t>7A/Sc1</t>
        </is>
      </c>
      <c r="K25" s="67">
        <f>IF(tblY7[[#This Row],[Preferred Last name]]="","",COUNTIFS($N$1:$ZZ$1,"*"&amp;CHAR(10)&amp;"Stanine",$N25:$ZZ25,"&gt;=1"))</f>
        <v>4</v>
      </c>
      <c r="L25" s="68">
        <f>IFERROR(AVERAGEIF($N$1:$ZZ$1,"*"&amp;CHAR(10)&amp;"Stanine",$N25:$ZZ25),"")</f>
        <v>8</v>
      </c>
      <c r="M25" s="69">
        <f>IF(AND(ISNUMBER(tblY7[[#This Row],[Mean Stanine]]),ISNUMBER(tblY7[[#This Row],[Avg KS2 Band]]),ISNUMBER(SlopeY7)),tblY7[[#This Row],[Mean Stanine]]-(InterceptY7+SlopeY7*tblY7[[#This Row],[Avg KS2 Band]]),"")</f>
        <v>0.215175909361956</v>
      </c>
      <c r="N25" s="66" t="n">
        <v>28</v>
      </c>
      <c r="O25" s="67">
        <f>IF(ISNUMBER(tblY7[[#This Row],[7B01 - Cells
Raw Score]]),IFERROR(VLOOKUP(ROUND(STANDARDIZE(tblY7[[#This Row],[7B01 - Cells
Raw Score]],AVERAGE(tblY7[[7B01 - Cells
Raw Score]]),_xlfn.STDEV.P(tblY7[[7B01 - Cells
Raw Score]])),9),_Stanine,2),5),"")</f>
        <v>8</v>
      </c>
      <c r="P25" s="66" t="n">
        <v>24</v>
      </c>
      <c r="Q25" s="67">
        <f>IF(ISNUMBER(tblY7[[#This Row],[7C01 - Particles
Raw Score]]),IFERROR(VLOOKUP(ROUND(STANDARDIZE(tblY7[[#This Row],[7C01 - Particles
Raw Score]],AVERAGE(tblY7[[7C01 - Particles
Raw Score]]),_xlfn.STDEV.P(tblY7[[7C01 - Particles
Raw Score]])),9),_Stanine,2),5),"")</f>
        <v>8</v>
      </c>
      <c r="R25" s="66" t="n">
        <v>28</v>
      </c>
      <c r="S25" s="67">
        <f>IF(ISNUMBER(tblY7[[#This Row],[7P01 - Forces
Raw Score]]),IFERROR(VLOOKUP(ROUND(STANDARDIZE(tblY7[[#This Row],[7P01 - Forces
Raw Score]],AVERAGE(tblY7[[7P01 - Forces
Raw Score]]),_xlfn.STDEV.P(tblY7[[7P01 - Forces
Raw Score]])),9),_Stanine,2),5),"")</f>
        <v>8</v>
      </c>
      <c r="T25" s="66" t="n">
        <v>26</v>
      </c>
      <c r="U25" s="67">
        <f>IF(ISNUMBER(tblY7[[#This Row],[7B02 - Organ Systems
Raw Score]]),IFERROR(VLOOKUP(ROUND(STANDARDIZE(tblY7[[#This Row],[7B02 - Organ Systems
Raw Score]],AVERAGE(tblY7[[7B02 - Organ Systems
Raw Score]]),_xlfn.STDEV.P(tblY7[[7B02 - Organ Systems
Raw Score]])),9),_Stanine,2),5),"")</f>
        <v>8</v>
      </c>
    </row>
    <row r="26">
      <c r="A26" s="65" t="inlineStr">
        <is>
          <t>X902197938117</t>
        </is>
      </c>
      <c r="B26" s="65" t="inlineStr">
        <is>
          <t>Ward</t>
        </is>
      </c>
      <c r="C26" s="65" t="inlineStr">
        <is>
          <t>Megan</t>
        </is>
      </c>
      <c r="D26" s="66" t="inlineStr">
        <is>
          <t>F</t>
        </is>
      </c>
      <c r="E26" s="66" t="n"/>
      <c r="F26" s="66" t="inlineStr">
        <is>
          <t>N</t>
        </is>
      </c>
      <c r="G26" s="34" t="n">
        <v>96.3</v>
      </c>
      <c r="H26" s="34" t="n">
        <v>109.5</v>
      </c>
      <c r="I26" s="67">
        <f>IF(ISNUMBER(tblY7[[#This Row],[Avg KS2]]),IFERROR(VLOOKUP(ROUND(STANDARDIZE(tblY7[[#This Row],[Avg KS2]],AVERAGE(tblY7[[Avg KS2]]),_xlfn.STDEV.P(tblY7[[Avg KS2]])),9),_Stanine,2),5),"")</f>
        <v>6</v>
      </c>
      <c r="J26" s="66" t="inlineStr">
        <is>
          <t>7A/Sc1</t>
        </is>
      </c>
      <c r="K26" s="67">
        <f>IF(tblY7[[#This Row],[Preferred Last name]]="","",COUNTIFS($N$1:$ZZ$1,"*"&amp;CHAR(10)&amp;"Stanine",$N26:$ZZ26,"&gt;=1"))</f>
        <v>3</v>
      </c>
      <c r="L26" s="68">
        <f>IFERROR(AVERAGEIF($N$1:$ZZ$1,"*"&amp;CHAR(10)&amp;"Stanine",$N26:$ZZ26),"")</f>
        <v>4.66666666666667</v>
      </c>
      <c r="M26" s="69">
        <f>IF(AND(ISNUMBER(tblY7[[#This Row],[Mean Stanine]]),ISNUMBER(tblY7[[#This Row],[Avg KS2 Band]]),ISNUMBER(SlopeY7)),tblY7[[#This Row],[Mean Stanine]]-(InterceptY7+SlopeY7*tblY7[[#This Row],[Avg KS2 Band]]),"")</f>
        <v>-1.03530858676207</v>
      </c>
      <c r="N26" s="66" t="n">
        <v>15</v>
      </c>
      <c r="O26" s="67">
        <f>IF(ISNUMBER(tblY7[[#This Row],[7B01 - Cells
Raw Score]]),IFERROR(VLOOKUP(ROUND(STANDARDIZE(tblY7[[#This Row],[7B01 - Cells
Raw Score]],AVERAGE(tblY7[[7B01 - Cells
Raw Score]]),_xlfn.STDEV.P(tblY7[[7B01 - Cells
Raw Score]])),9),_Stanine,2),5),"")</f>
        <v>4</v>
      </c>
      <c r="P26" s="66" t="inlineStr">
        <is>
          <t>A</t>
        </is>
      </c>
      <c r="Q26" s="67" t="str">
        <f>IF(ISNUMBER(tblY7[[#This Row],[7C01 - Particles
Raw Score]]),IFERROR(VLOOKUP(ROUND(STANDARDIZE(tblY7[[#This Row],[7C01 - Particles
Raw Score]],AVERAGE(tblY7[[7C01 - Particles
Raw Score]]),_xlfn.STDEV.P(tblY7[[7C01 - Particles
Raw Score]])),9),_Stanine,2),5),"")</f>
        <v/>
      </c>
      <c r="R26" s="66" t="n">
        <v>21</v>
      </c>
      <c r="S26" s="67">
        <f>IF(ISNUMBER(tblY7[[#This Row],[7P01 - Forces
Raw Score]]),IFERROR(VLOOKUP(ROUND(STANDARDIZE(tblY7[[#This Row],[7P01 - Forces
Raw Score]],AVERAGE(tblY7[[7P01 - Forces
Raw Score]]),_xlfn.STDEV.P(tblY7[[7P01 - Forces
Raw Score]])),9),_Stanine,2),5),"")</f>
        <v>5</v>
      </c>
      <c r="T26" s="66" t="n">
        <v>17</v>
      </c>
      <c r="U26" s="67">
        <f>IF(ISNUMBER(tblY7[[#This Row],[7B02 - Organ Systems
Raw Score]]),IFERROR(VLOOKUP(ROUND(STANDARDIZE(tblY7[[#This Row],[7B02 - Organ Systems
Raw Score]],AVERAGE(tblY7[[7B02 - Organ Systems
Raw Score]]),_xlfn.STDEV.P(tblY7[[7B02 - Organ Systems
Raw Score]])),9),_Stanine,2),5),"")</f>
        <v>5</v>
      </c>
    </row>
    <row r="27">
      <c r="A27" s="65" t="inlineStr">
        <is>
          <t>X907996499947</t>
        </is>
      </c>
      <c r="B27" s="65" t="inlineStr">
        <is>
          <t>White</t>
        </is>
      </c>
      <c r="C27" s="65" t="inlineStr">
        <is>
          <t>George</t>
        </is>
      </c>
      <c r="D27" s="66" t="inlineStr">
        <is>
          <t>M</t>
        </is>
      </c>
      <c r="E27" s="66" t="inlineStr">
        <is>
          <t>N</t>
        </is>
      </c>
      <c r="F27" s="66" t="inlineStr">
        <is>
          <t>N</t>
        </is>
      </c>
      <c r="G27" s="34" t="n">
        <v>95.3</v>
      </c>
      <c r="H27" s="34" t="n">
        <v>110.5</v>
      </c>
      <c r="I27" s="67">
        <f>IF(ISNUMBER(tblY7[[#This Row],[Avg KS2]]),IFERROR(VLOOKUP(ROUND(STANDARDIZE(tblY7[[#This Row],[Avg KS2]],AVERAGE(tblY7[[Avg KS2]]),_xlfn.STDEV.P(tblY7[[Avg KS2]])),9),_Stanine,2),5),"")</f>
        <v>6</v>
      </c>
      <c r="J27" s="66" t="inlineStr">
        <is>
          <t>7A/Sc1</t>
        </is>
      </c>
      <c r="K27" s="67">
        <f>IF(tblY7[[#This Row],[Preferred Last name]]="","",COUNTIFS($N$1:$ZZ$1,"*"&amp;CHAR(10)&amp;"Stanine",$N27:$ZZ27,"&gt;=1"))</f>
        <v>3</v>
      </c>
      <c r="L27" s="68">
        <f>IFERROR(AVERAGEIF($N$1:$ZZ$1,"*"&amp;CHAR(10)&amp;"Stanine",$N27:$ZZ27),"")</f>
        <v>6.33333333333333</v>
      </c>
      <c r="M27" s="69">
        <f>IF(AND(ISNUMBER(tblY7[[#This Row],[Mean Stanine]]),ISNUMBER(tblY7[[#This Row],[Avg KS2 Band]]),ISNUMBER(SlopeY7)),tblY7[[#This Row],[Mean Stanine]]-(InterceptY7+SlopeY7*tblY7[[#This Row],[Avg KS2 Band]]),"")</f>
        <v>0.631358079904592</v>
      </c>
      <c r="N27" s="66" t="n">
        <v>24</v>
      </c>
      <c r="O27" s="67">
        <f>IF(ISNUMBER(tblY7[[#This Row],[7B01 - Cells
Raw Score]]),IFERROR(VLOOKUP(ROUND(STANDARDIZE(tblY7[[#This Row],[7B01 - Cells
Raw Score]],AVERAGE(tblY7[[7B01 - Cells
Raw Score]]),_xlfn.STDEV.P(tblY7[[7B01 - Cells
Raw Score]])),9),_Stanine,2),5),"")</f>
        <v>7</v>
      </c>
      <c r="P27" s="66" t="n">
        <v>21</v>
      </c>
      <c r="Q27" s="67">
        <f>IF(ISNUMBER(tblY7[[#This Row],[7C01 - Particles
Raw Score]]),IFERROR(VLOOKUP(ROUND(STANDARDIZE(tblY7[[#This Row],[7C01 - Particles
Raw Score]],AVERAGE(tblY7[[7C01 - Particles
Raw Score]]),_xlfn.STDEV.P(tblY7[[7C01 - Particles
Raw Score]])),9),_Stanine,2),5),"")</f>
        <v>6</v>
      </c>
      <c r="R27" s="66" t="n">
        <v>24</v>
      </c>
      <c r="S27" s="67">
        <f>IF(ISNUMBER(tblY7[[#This Row],[7P01 - Forces
Raw Score]]),IFERROR(VLOOKUP(ROUND(STANDARDIZE(tblY7[[#This Row],[7P01 - Forces
Raw Score]],AVERAGE(tblY7[[7P01 - Forces
Raw Score]]),_xlfn.STDEV.P(tblY7[[7P01 - Forces
Raw Score]])),9),_Stanine,2),5),"")</f>
        <v>6</v>
      </c>
      <c r="T27" s="66" t="inlineStr">
        <is>
          <t>A</t>
        </is>
      </c>
      <c r="U27" s="67" t="str">
        <f>IF(ISNUMBER(tblY7[[#This Row],[7B02 - Organ Systems
Raw Score]]),IFERROR(VLOOKUP(ROUND(STANDARDIZE(tblY7[[#This Row],[7B02 - Organ Systems
Raw Score]],AVERAGE(tblY7[[7B02 - Organ Systems
Raw Score]]),_xlfn.STDEV.P(tblY7[[7B02 - Organ Systems
Raw Score]])),9),_Stanine,2),5),"")</f>
        <v/>
      </c>
    </row>
    <row r="28">
      <c r="A28" s="65" t="inlineStr">
        <is>
          <t>X904822886562</t>
        </is>
      </c>
      <c r="B28" s="65" t="inlineStr">
        <is>
          <t>Wilson</t>
        </is>
      </c>
      <c r="C28" s="65" t="inlineStr">
        <is>
          <t>Oscar</t>
        </is>
      </c>
      <c r="D28" s="66" t="inlineStr">
        <is>
          <t>F</t>
        </is>
      </c>
      <c r="E28" s="66" t="inlineStr">
        <is>
          <t>N</t>
        </is>
      </c>
      <c r="F28" s="66" t="inlineStr">
        <is>
          <t>Y</t>
        </is>
      </c>
      <c r="G28" s="34" t="n">
        <v>87.90000000000001</v>
      </c>
      <c r="H28" s="34" t="n">
        <v>108.5</v>
      </c>
      <c r="I28" s="67">
        <f>IF(ISNUMBER(tblY7[[#This Row],[Avg KS2]]),IFERROR(VLOOKUP(ROUND(STANDARDIZE(tblY7[[#This Row],[Avg KS2]],AVERAGE(tblY7[[Avg KS2]]),_xlfn.STDEV.P(tblY7[[Avg KS2]])),9),_Stanine,2),5),"")</f>
        <v>6</v>
      </c>
      <c r="J28" s="66" t="inlineStr">
        <is>
          <t>7A/Sc1</t>
        </is>
      </c>
      <c r="K28" s="67">
        <f>IF(tblY7[[#This Row],[Preferred Last name]]="","",COUNTIFS($N$1:$ZZ$1,"*"&amp;CHAR(10)&amp;"Stanine",$N28:$ZZ28,"&gt;=1"))</f>
        <v>2</v>
      </c>
      <c r="L28" s="68">
        <f>IFERROR(AVERAGEIF($N$1:$ZZ$1,"*"&amp;CHAR(10)&amp;"Stanine",$N28:$ZZ28),"")</f>
        <v>4.5</v>
      </c>
      <c r="M28" s="69">
        <f>IF(AND(ISNUMBER(tblY7[[#This Row],[Mean Stanine]]),ISNUMBER(tblY7[[#This Row],[Avg KS2 Band]]),ISNUMBER(SlopeY7)),tblY7[[#This Row],[Mean Stanine]]-(InterceptY7+SlopeY7*tblY7[[#This Row],[Avg KS2 Band]]),"")</f>
        <v>-1.20197525342874</v>
      </c>
      <c r="N28" s="66" t="n">
        <v>16</v>
      </c>
      <c r="O28" s="67">
        <f>IF(ISNUMBER(tblY7[[#This Row],[7B01 - Cells
Raw Score]]),IFERROR(VLOOKUP(ROUND(STANDARDIZE(tblY7[[#This Row],[7B01 - Cells
Raw Score]],AVERAGE(tblY7[[7B01 - Cells
Raw Score]]),_xlfn.STDEV.P(tblY7[[7B01 - Cells
Raw Score]])),9),_Stanine,2),5),"")</f>
        <v>5</v>
      </c>
      <c r="P28" s="66" t="inlineStr">
        <is>
          <t>A</t>
        </is>
      </c>
      <c r="Q28" s="67" t="str">
        <f>IF(ISNUMBER(tblY7[[#This Row],[7C01 - Particles
Raw Score]]),IFERROR(VLOOKUP(ROUND(STANDARDIZE(tblY7[[#This Row],[7C01 - Particles
Raw Score]],AVERAGE(tblY7[[7C01 - Particles
Raw Score]]),_xlfn.STDEV.P(tblY7[[7C01 - Particles
Raw Score]])),9),_Stanine,2),5),"")</f>
        <v/>
      </c>
      <c r="R28" s="66" t="n">
        <v>19</v>
      </c>
      <c r="S28" s="67">
        <f>IF(ISNUMBER(tblY7[[#This Row],[7P01 - Forces
Raw Score]]),IFERROR(VLOOKUP(ROUND(STANDARDIZE(tblY7[[#This Row],[7P01 - Forces
Raw Score]],AVERAGE(tblY7[[7P01 - Forces
Raw Score]]),_xlfn.STDEV.P(tblY7[[7P01 - Forces
Raw Score]])),9),_Stanine,2),5),"")</f>
        <v>4</v>
      </c>
      <c r="T28" s="66" t="inlineStr">
        <is>
          <t>A</t>
        </is>
      </c>
      <c r="U28" s="67" t="str">
        <f>IF(ISNUMBER(tblY7[[#This Row],[7B02 - Organ Systems
Raw Score]]),IFERROR(VLOOKUP(ROUND(STANDARDIZE(tblY7[[#This Row],[7B02 - Organ Systems
Raw Score]],AVERAGE(tblY7[[7B02 - Organ Systems
Raw Score]]),_xlfn.STDEV.P(tblY7[[7B02 - Organ Systems
Raw Score]])),9),_Stanine,2),5),"")</f>
        <v/>
      </c>
    </row>
    <row r="29">
      <c r="A29" s="65" t="inlineStr">
        <is>
          <t>X903688581269</t>
        </is>
      </c>
      <c r="B29" s="65" t="inlineStr">
        <is>
          <t>Wood</t>
        </is>
      </c>
      <c r="C29" s="65" t="inlineStr">
        <is>
          <t>Ibrahim</t>
        </is>
      </c>
      <c r="D29" s="66" t="inlineStr">
        <is>
          <t>M</t>
        </is>
      </c>
      <c r="E29" s="66" t="inlineStr">
        <is>
          <t>N</t>
        </is>
      </c>
      <c r="F29" s="66" t="inlineStr">
        <is>
          <t>N</t>
        </is>
      </c>
      <c r="G29" s="34" t="n">
        <v>91.40000000000001</v>
      </c>
      <c r="H29" s="34" t="n">
        <v>107.5</v>
      </c>
      <c r="I29" s="67">
        <f>IF(ISNUMBER(tblY7[[#This Row],[Avg KS2]]),IFERROR(VLOOKUP(ROUND(STANDARDIZE(tblY7[[#This Row],[Avg KS2]],AVERAGE(tblY7[[Avg KS2]]),_xlfn.STDEV.P(tblY7[[Avg KS2]])),9),_Stanine,2),5),"")</f>
        <v>5</v>
      </c>
      <c r="J29" s="66" t="inlineStr">
        <is>
          <t>7A/Sc1</t>
        </is>
      </c>
      <c r="K29" s="67">
        <f>IF(tblY7[[#This Row],[Preferred Last name]]="","",COUNTIFS($N$1:$ZZ$1,"*"&amp;CHAR(10)&amp;"Stanine",$N29:$ZZ29,"&gt;=1"))</f>
        <v>4</v>
      </c>
      <c r="L29" s="68">
        <f>IFERROR(AVERAGEIF($N$1:$ZZ$1,"*"&amp;CHAR(10)&amp;"Stanine",$N29:$ZZ29),"")</f>
        <v>6.25</v>
      </c>
      <c r="M29" s="69">
        <f>IF(AND(ISNUMBER(tblY7[[#This Row],[Mean Stanine]]),ISNUMBER(tblY7[[#This Row],[Avg KS2 Band]]),ISNUMBER(SlopeY7)),tblY7[[#This Row],[Mean Stanine]]-(InterceptY7+SlopeY7*tblY7[[#This Row],[Avg KS2 Band]]),"")</f>
        <v>1.24230769230769</v>
      </c>
      <c r="N29" s="66" t="n">
        <v>20</v>
      </c>
      <c r="O29" s="67">
        <f>IF(ISNUMBER(tblY7[[#This Row],[7B01 - Cells
Raw Score]]),IFERROR(VLOOKUP(ROUND(STANDARDIZE(tblY7[[#This Row],[7B01 - Cells
Raw Score]],AVERAGE(tblY7[[7B01 - Cells
Raw Score]]),_xlfn.STDEV.P(tblY7[[7B01 - Cells
Raw Score]])),9),_Stanine,2),5),"")</f>
        <v>6</v>
      </c>
      <c r="P29" s="66" t="n">
        <v>21</v>
      </c>
      <c r="Q29" s="67">
        <f>IF(ISNUMBER(tblY7[[#This Row],[7C01 - Particles
Raw Score]]),IFERROR(VLOOKUP(ROUND(STANDARDIZE(tblY7[[#This Row],[7C01 - Particles
Raw Score]],AVERAGE(tblY7[[7C01 - Particles
Raw Score]]),_xlfn.STDEV.P(tblY7[[7C01 - Particles
Raw Score]])),9),_Stanine,2),5),"")</f>
        <v>6</v>
      </c>
      <c r="R29" s="66" t="n">
        <v>26</v>
      </c>
      <c r="S29" s="67">
        <f>IF(ISNUMBER(tblY7[[#This Row],[7P01 - Forces
Raw Score]]),IFERROR(VLOOKUP(ROUND(STANDARDIZE(tblY7[[#This Row],[7P01 - Forces
Raw Score]],AVERAGE(tblY7[[7P01 - Forces
Raw Score]]),_xlfn.STDEV.P(tblY7[[7P01 - Forces
Raw Score]])),9),_Stanine,2),5),"")</f>
        <v>7</v>
      </c>
      <c r="T29" s="66" t="n">
        <v>21</v>
      </c>
      <c r="U29" s="67">
        <f>IF(ISNUMBER(tblY7[[#This Row],[7B02 - Organ Systems
Raw Score]]),IFERROR(VLOOKUP(ROUND(STANDARDIZE(tblY7[[#This Row],[7B02 - Organ Systems
Raw Score]],AVERAGE(tblY7[[7B02 - Organ Systems
Raw Score]]),_xlfn.STDEV.P(tblY7[[7B02 - Organ Systems
Raw Score]])),9),_Stanine,2),5),"")</f>
        <v>6</v>
      </c>
    </row>
    <row r="30">
      <c r="A30" s="65" t="inlineStr">
        <is>
          <t>X905245517083</t>
        </is>
      </c>
      <c r="B30" s="65" t="inlineStr">
        <is>
          <t>Wood</t>
        </is>
      </c>
      <c r="C30" s="65" t="inlineStr">
        <is>
          <t>Muhammad</t>
        </is>
      </c>
      <c r="D30" s="66" t="inlineStr">
        <is>
          <t>M</t>
        </is>
      </c>
      <c r="E30" s="66" t="n"/>
      <c r="F30" s="66" t="inlineStr">
        <is>
          <t>Y</t>
        </is>
      </c>
      <c r="G30" s="34" t="n">
        <v>96.8</v>
      </c>
      <c r="H30" s="34" t="n">
        <v>103.5</v>
      </c>
      <c r="I30" s="67">
        <f>IF(ISNUMBER(tblY7[[#This Row],[Avg KS2]]),IFERROR(VLOOKUP(ROUND(STANDARDIZE(tblY7[[#This Row],[Avg KS2]],AVERAGE(tblY7[[Avg KS2]]),_xlfn.STDEV.P(tblY7[[Avg KS2]])),9),_Stanine,2),5),"")</f>
        <v>4</v>
      </c>
      <c r="J30" s="66" t="inlineStr">
        <is>
          <t>7A/Sc1</t>
        </is>
      </c>
      <c r="K30" s="67">
        <f>IF(tblY7[[#This Row],[Preferred Last name]]="","",COUNTIFS($N$1:$ZZ$1,"*"&amp;CHAR(10)&amp;"Stanine",$N30:$ZZ30,"&gt;=1"))</f>
        <v>4</v>
      </c>
      <c r="L30" s="68">
        <f>IFERROR(AVERAGEIF($N$1:$ZZ$1,"*"&amp;CHAR(10)&amp;"Stanine",$N30:$ZZ30),"")</f>
        <v>4.25</v>
      </c>
      <c r="M30" s="69">
        <f>IF(AND(ISNUMBER(tblY7[[#This Row],[Mean Stanine]]),ISNUMBER(tblY7[[#This Row],[Avg KS2 Band]]),ISNUMBER(SlopeY7)),tblY7[[#This Row],[Mean Stanine]]-(InterceptY7+SlopeY7*tblY7[[#This Row],[Avg KS2 Band]]),"")</f>
        <v>-0.0634093619558733</v>
      </c>
      <c r="N30" s="66" t="n">
        <v>15</v>
      </c>
      <c r="O30" s="67">
        <f>IF(ISNUMBER(tblY7[[#This Row],[7B01 - Cells
Raw Score]]),IFERROR(VLOOKUP(ROUND(STANDARDIZE(tblY7[[#This Row],[7B01 - Cells
Raw Score]],AVERAGE(tblY7[[7B01 - Cells
Raw Score]]),_xlfn.STDEV.P(tblY7[[7B01 - Cells
Raw Score]])),9),_Stanine,2),5),"")</f>
        <v>4</v>
      </c>
      <c r="P30" s="66" t="n">
        <v>18</v>
      </c>
      <c r="Q30" s="67">
        <f>IF(ISNUMBER(tblY7[[#This Row],[7C01 - Particles
Raw Score]]),IFERROR(VLOOKUP(ROUND(STANDARDIZE(tblY7[[#This Row],[7C01 - Particles
Raw Score]],AVERAGE(tblY7[[7C01 - Particles
Raw Score]]),_xlfn.STDEV.P(tblY7[[7C01 - Particles
Raw Score]])),9),_Stanine,2),5),"")</f>
        <v>5</v>
      </c>
      <c r="R30" s="66" t="n">
        <v>20</v>
      </c>
      <c r="S30" s="67">
        <f>IF(ISNUMBER(tblY7[[#This Row],[7P01 - Forces
Raw Score]]),IFERROR(VLOOKUP(ROUND(STANDARDIZE(tblY7[[#This Row],[7P01 - Forces
Raw Score]],AVERAGE(tblY7[[7P01 - Forces
Raw Score]]),_xlfn.STDEV.P(tblY7[[7P01 - Forces
Raw Score]])),9),_Stanine,2),5),"")</f>
        <v>4</v>
      </c>
      <c r="T30" s="66" t="n">
        <v>16</v>
      </c>
      <c r="U30" s="67">
        <f>IF(ISNUMBER(tblY7[[#This Row],[7B02 - Organ Systems
Raw Score]]),IFERROR(VLOOKUP(ROUND(STANDARDIZE(tblY7[[#This Row],[7B02 - Organ Systems
Raw Score]],AVERAGE(tblY7[[7B02 - Organ Systems
Raw Score]]),_xlfn.STDEV.P(tblY7[[7B02 - Organ Systems
Raw Score]])),9),_Stanine,2),5),"")</f>
        <v>4</v>
      </c>
    </row>
    <row r="31">
      <c r="A31" s="65" t="inlineStr">
        <is>
          <t>X905909909383</t>
        </is>
      </c>
      <c r="B31" s="65" t="inlineStr">
        <is>
          <t>Wright</t>
        </is>
      </c>
      <c r="C31" s="65" t="inlineStr">
        <is>
          <t>Jacob</t>
        </is>
      </c>
      <c r="D31" s="66" t="inlineStr">
        <is>
          <t>M</t>
        </is>
      </c>
      <c r="E31" s="66" t="n"/>
      <c r="F31" s="66" t="inlineStr">
        <is>
          <t>N</t>
        </is>
      </c>
      <c r="G31" s="34" t="n">
        <v>99.7</v>
      </c>
      <c r="H31" s="34" t="n">
        <v>109</v>
      </c>
      <c r="I31" s="67">
        <f>IF(ISNUMBER(tblY7[[#This Row],[Avg KS2]]),IFERROR(VLOOKUP(ROUND(STANDARDIZE(tblY7[[#This Row],[Avg KS2]],AVERAGE(tblY7[[Avg KS2]]),_xlfn.STDEV.P(tblY7[[Avg KS2]])),9),_Stanine,2),5),"")</f>
        <v>6</v>
      </c>
      <c r="J31" s="66" t="inlineStr">
        <is>
          <t>7A/Sc1</t>
        </is>
      </c>
      <c r="K31" s="67">
        <f>IF(tblY7[[#This Row],[Preferred Last name]]="","",COUNTIFS($N$1:$ZZ$1,"*"&amp;CHAR(10)&amp;"Stanine",$N31:$ZZ31,"&gt;=1"))</f>
        <v>4</v>
      </c>
      <c r="L31" s="68">
        <f>IFERROR(AVERAGEIF($N$1:$ZZ$1,"*"&amp;CHAR(10)&amp;"Stanine",$N31:$ZZ31),"")</f>
        <v>6.5</v>
      </c>
      <c r="M31" s="69">
        <f>IF(AND(ISNUMBER(tblY7[[#This Row],[Mean Stanine]]),ISNUMBER(tblY7[[#This Row],[Avg KS2 Band]]),ISNUMBER(SlopeY7)),tblY7[[#This Row],[Mean Stanine]]-(InterceptY7+SlopeY7*tblY7[[#This Row],[Avg KS2 Band]]),"")</f>
        <v>0.798024746571259</v>
      </c>
      <c r="N31" s="66" t="n">
        <v>20</v>
      </c>
      <c r="O31" s="67">
        <f>IF(ISNUMBER(tblY7[[#This Row],[7B01 - Cells
Raw Score]]),IFERROR(VLOOKUP(ROUND(STANDARDIZE(tblY7[[#This Row],[7B01 - Cells
Raw Score]],AVERAGE(tblY7[[7B01 - Cells
Raw Score]]),_xlfn.STDEV.P(tblY7[[7B01 - Cells
Raw Score]])),9),_Stanine,2),5),"")</f>
        <v>6</v>
      </c>
      <c r="P31" s="66" t="n">
        <v>22</v>
      </c>
      <c r="Q31" s="67">
        <f>IF(ISNUMBER(tblY7[[#This Row],[7C01 - Particles
Raw Score]]),IFERROR(VLOOKUP(ROUND(STANDARDIZE(tblY7[[#This Row],[7C01 - Particles
Raw Score]],AVERAGE(tblY7[[7C01 - Particles
Raw Score]]),_xlfn.STDEV.P(tblY7[[7C01 - Particles
Raw Score]])),9),_Stanine,2),5),"")</f>
        <v>7</v>
      </c>
      <c r="R31" s="66" t="n">
        <v>24</v>
      </c>
      <c r="S31" s="67">
        <f>IF(ISNUMBER(tblY7[[#This Row],[7P01 - Forces
Raw Score]]),IFERROR(VLOOKUP(ROUND(STANDARDIZE(tblY7[[#This Row],[7P01 - Forces
Raw Score]],AVERAGE(tblY7[[7P01 - Forces
Raw Score]]),_xlfn.STDEV.P(tblY7[[7P01 - Forces
Raw Score]])),9),_Stanine,2),5),"")</f>
        <v>6</v>
      </c>
      <c r="T31" s="66" t="n">
        <v>22</v>
      </c>
      <c r="U31" s="67">
        <f>IF(ISNUMBER(tblY7[[#This Row],[7B02 - Organ Systems
Raw Score]]),IFERROR(VLOOKUP(ROUND(STANDARDIZE(tblY7[[#This Row],[7B02 - Organ Systems
Raw Score]],AVERAGE(tblY7[[7B02 - Organ Systems
Raw Score]]),_xlfn.STDEV.P(tblY7[[7B02 - Organ Systems
Raw Score]])),9),_Stanine,2),5),"")</f>
        <v>7</v>
      </c>
    </row>
    <row r="32">
      <c r="A32" s="65" t="inlineStr">
        <is>
          <t>X904346917903</t>
        </is>
      </c>
      <c r="B32" s="65" t="inlineStr">
        <is>
          <t>Ahmed</t>
        </is>
      </c>
      <c r="C32" s="65" t="inlineStr">
        <is>
          <t>Mia</t>
        </is>
      </c>
      <c r="D32" s="66" t="inlineStr">
        <is>
          <t>F</t>
        </is>
      </c>
      <c r="E32" s="66" t="inlineStr">
        <is>
          <t>K</t>
        </is>
      </c>
      <c r="F32" s="66" t="inlineStr">
        <is>
          <t>Y</t>
        </is>
      </c>
      <c r="G32" s="34" t="n">
        <v>86.3</v>
      </c>
      <c r="H32" s="34" t="n">
        <v>103.5</v>
      </c>
      <c r="I32" s="67">
        <f>IF(ISNUMBER(tblY7[[#This Row],[Avg KS2]]),IFERROR(VLOOKUP(ROUND(STANDARDIZE(tblY7[[#This Row],[Avg KS2]],AVERAGE(tblY7[[Avg KS2]]),_xlfn.STDEV.P(tblY7[[Avg KS2]])),9),_Stanine,2),5),"")</f>
        <v>4</v>
      </c>
      <c r="J32" s="66" t="inlineStr">
        <is>
          <t>7A/Sc2</t>
        </is>
      </c>
      <c r="K32" s="67">
        <f>IF(tblY7[[#This Row],[Preferred Last name]]="","",COUNTIFS($N$1:$ZZ$1,"*"&amp;CHAR(10)&amp;"Stanine",$N32:$ZZ32,"&gt;=1"))</f>
        <v>4</v>
      </c>
      <c r="L32" s="68">
        <f>IFERROR(AVERAGEIF($N$1:$ZZ$1,"*"&amp;CHAR(10)&amp;"Stanine",$N32:$ZZ32),"")</f>
        <v>3.25</v>
      </c>
      <c r="M32" s="69">
        <f>IF(AND(ISNUMBER(tblY7[[#This Row],[Mean Stanine]]),ISNUMBER(tblY7[[#This Row],[Avg KS2 Band]]),ISNUMBER(SlopeY7)),tblY7[[#This Row],[Mean Stanine]]-(InterceptY7+SlopeY7*tblY7[[#This Row],[Avg KS2 Band]]),"")</f>
        <v>-1.06340936195587</v>
      </c>
      <c r="N32" s="66" t="n">
        <v>10</v>
      </c>
      <c r="O32" s="67">
        <f>IF(ISNUMBER(tblY7[[#This Row],[7B01 - Cells
Raw Score]]),IFERROR(VLOOKUP(ROUND(STANDARDIZE(tblY7[[#This Row],[7B01 - Cells
Raw Score]],AVERAGE(tblY7[[7B01 - Cells
Raw Score]]),_xlfn.STDEV.P(tblY7[[7B01 - Cells
Raw Score]])),9),_Stanine,2),5),"")</f>
        <v>3</v>
      </c>
      <c r="P32" s="66" t="n">
        <v>18</v>
      </c>
      <c r="Q32" s="67">
        <f>IF(ISNUMBER(tblY7[[#This Row],[7C01 - Particles
Raw Score]]),IFERROR(VLOOKUP(ROUND(STANDARDIZE(tblY7[[#This Row],[7C01 - Particles
Raw Score]],AVERAGE(tblY7[[7C01 - Particles
Raw Score]]),_xlfn.STDEV.P(tblY7[[7C01 - Particles
Raw Score]])),9),_Stanine,2),5),"")</f>
        <v>5</v>
      </c>
      <c r="R32" s="66" t="n">
        <v>14</v>
      </c>
      <c r="S32" s="67">
        <f>IF(ISNUMBER(tblY7[[#This Row],[7P01 - Forces
Raw Score]]),IFERROR(VLOOKUP(ROUND(STANDARDIZE(tblY7[[#This Row],[7P01 - Forces
Raw Score]],AVERAGE(tblY7[[7P01 - Forces
Raw Score]]),_xlfn.STDEV.P(tblY7[[7P01 - Forces
Raw Score]])),9),_Stanine,2),5),"")</f>
        <v>2</v>
      </c>
      <c r="T32" s="66" t="n">
        <v>12</v>
      </c>
      <c r="U32" s="67">
        <f>IF(ISNUMBER(tblY7[[#This Row],[7B02 - Organ Systems
Raw Score]]),IFERROR(VLOOKUP(ROUND(STANDARDIZE(tblY7[[#This Row],[7B02 - Organ Systems
Raw Score]],AVERAGE(tblY7[[7B02 - Organ Systems
Raw Score]]),_xlfn.STDEV.P(tblY7[[7B02 - Organ Systems
Raw Score]])),9),_Stanine,2),5),"")</f>
        <v>3</v>
      </c>
    </row>
    <row r="33">
      <c r="A33" s="65" t="inlineStr">
        <is>
          <t>X904862967913</t>
        </is>
      </c>
      <c r="B33" s="65" t="inlineStr">
        <is>
          <t>Cooper</t>
        </is>
      </c>
      <c r="C33" s="65" t="inlineStr">
        <is>
          <t>Amelia</t>
        </is>
      </c>
      <c r="D33" s="66" t="inlineStr">
        <is>
          <t>M</t>
        </is>
      </c>
      <c r="E33" s="66" t="inlineStr">
        <is>
          <t>K</t>
        </is>
      </c>
      <c r="F33" s="66" t="inlineStr">
        <is>
          <t>Y</t>
        </is>
      </c>
      <c r="G33" s="34" t="n">
        <v>100</v>
      </c>
      <c r="H33" s="34" t="n">
        <v>114</v>
      </c>
      <c r="I33" s="67">
        <f>IF(ISNUMBER(tblY7[[#This Row],[Avg KS2]]),IFERROR(VLOOKUP(ROUND(STANDARDIZE(tblY7[[#This Row],[Avg KS2]],AVERAGE(tblY7[[Avg KS2]]),_xlfn.STDEV.P(tblY7[[Avg KS2]])),9),_Stanine,2),5),"")</f>
        <v>8</v>
      </c>
      <c r="J33" s="66" t="inlineStr">
        <is>
          <t>7A/Sc2</t>
        </is>
      </c>
      <c r="K33" s="67">
        <f>IF(tblY7[[#This Row],[Preferred Last name]]="","",COUNTIFS($N$1:$ZZ$1,"*"&amp;CHAR(10)&amp;"Stanine",$N33:$ZZ33,"&gt;=1"))</f>
        <v>4</v>
      </c>
      <c r="L33" s="68">
        <f>IFERROR(AVERAGEIF($N$1:$ZZ$1,"*"&amp;CHAR(10)&amp;"Stanine",$N33:$ZZ33),"")</f>
        <v>6.5</v>
      </c>
      <c r="M33" s="69">
        <f>IF(AND(ISNUMBER(tblY7[[#This Row],[Mean Stanine]]),ISNUMBER(tblY7[[#This Row],[Avg KS2 Band]]),ISNUMBER(SlopeY7)),tblY7[[#This Row],[Mean Stanine]]-(InterceptY7+SlopeY7*tblY7[[#This Row],[Avg KS2 Band]]),"")</f>
        <v>-0.59054114490161</v>
      </c>
      <c r="N33" s="66" t="n">
        <v>24</v>
      </c>
      <c r="O33" s="67">
        <f>IF(ISNUMBER(tblY7[[#This Row],[7B01 - Cells
Raw Score]]),IFERROR(VLOOKUP(ROUND(STANDARDIZE(tblY7[[#This Row],[7B01 - Cells
Raw Score]],AVERAGE(tblY7[[7B01 - Cells
Raw Score]]),_xlfn.STDEV.P(tblY7[[7B01 - Cells
Raw Score]])),9),_Stanine,2),5),"")</f>
        <v>7</v>
      </c>
      <c r="P33" s="66" t="n">
        <v>23</v>
      </c>
      <c r="Q33" s="67">
        <f>IF(ISNUMBER(tblY7[[#This Row],[7C01 - Particles
Raw Score]]),IFERROR(VLOOKUP(ROUND(STANDARDIZE(tblY7[[#This Row],[7C01 - Particles
Raw Score]],AVERAGE(tblY7[[7C01 - Particles
Raw Score]]),_xlfn.STDEV.P(tblY7[[7C01 - Particles
Raw Score]])),9),_Stanine,2),5),"")</f>
        <v>7</v>
      </c>
      <c r="R33" s="66" t="n">
        <v>22</v>
      </c>
      <c r="S33" s="67">
        <f>IF(ISNUMBER(tblY7[[#This Row],[7P01 - Forces
Raw Score]]),IFERROR(VLOOKUP(ROUND(STANDARDIZE(tblY7[[#This Row],[7P01 - Forces
Raw Score]],AVERAGE(tblY7[[7P01 - Forces
Raw Score]]),_xlfn.STDEV.P(tblY7[[7P01 - Forces
Raw Score]])),9),_Stanine,2),5),"")</f>
        <v>5</v>
      </c>
      <c r="T33" s="66" t="n">
        <v>24</v>
      </c>
      <c r="U33" s="67">
        <f>IF(ISNUMBER(tblY7[[#This Row],[7B02 - Organ Systems
Raw Score]]),IFERROR(VLOOKUP(ROUND(STANDARDIZE(tblY7[[#This Row],[7B02 - Organ Systems
Raw Score]],AVERAGE(tblY7[[7B02 - Organ Systems
Raw Score]]),_xlfn.STDEV.P(tblY7[[7B02 - Organ Systems
Raw Score]])),9),_Stanine,2),5),"")</f>
        <v>7</v>
      </c>
    </row>
    <row r="34">
      <c r="A34" s="65" t="inlineStr">
        <is>
          <t>X907556373304</t>
        </is>
      </c>
      <c r="B34" s="65" t="inlineStr">
        <is>
          <t>Cooper</t>
        </is>
      </c>
      <c r="C34" s="65" t="inlineStr">
        <is>
          <t>Layla</t>
        </is>
      </c>
      <c r="D34" s="66" t="inlineStr">
        <is>
          <t>M</t>
        </is>
      </c>
      <c r="E34" s="66" t="inlineStr">
        <is>
          <t>N</t>
        </is>
      </c>
      <c r="F34" s="66" t="inlineStr">
        <is>
          <t>Y</t>
        </is>
      </c>
      <c r="G34" s="34" t="n">
        <v>96.59999999999999</v>
      </c>
      <c r="H34" s="34" t="inlineStr">
        <is>
          <t>No Data</t>
        </is>
      </c>
      <c r="I34" s="67" t="str">
        <f>IF(ISNUMBER(tblY7[[#This Row],[Avg KS2]]),IFERROR(VLOOKUP(ROUND(STANDARDIZE(tblY7[[#This Row],[Avg KS2]],AVERAGE(tblY7[[Avg KS2]]),_xlfn.STDEV.P(tblY7[[Avg KS2]])),9),_Stanine,2),5),"")</f>
        <v/>
      </c>
      <c r="J34" s="66" t="inlineStr">
        <is>
          <t>7A/Sc2</t>
        </is>
      </c>
      <c r="K34" s="67">
        <f>IF(tblY7[[#This Row],[Preferred Last name]]="","",COUNTIFS($N$1:$ZZ$1,"*"&amp;CHAR(10)&amp;"Stanine",$N34:$ZZ34,"&gt;=1"))</f>
        <v>3</v>
      </c>
      <c r="L34" s="68">
        <f>IFERROR(AVERAGEIF($N$1:$ZZ$1,"*"&amp;CHAR(10)&amp;"Stanine",$N34:$ZZ34),"")</f>
        <v>6.66666666666667</v>
      </c>
      <c r="M34" s="69" t="str">
        <f>IF(AND(ISNUMBER(tblY7[[#This Row],[Mean Stanine]]),ISNUMBER(tblY7[[#This Row],[Avg KS2 Band]]),ISNUMBER(SlopeY7)),tblY7[[#This Row],[Mean Stanine]]-(InterceptY7+SlopeY7*tblY7[[#This Row],[Avg KS2 Band]]),"")</f>
        <v/>
      </c>
      <c r="N34" s="66" t="n">
        <v>25</v>
      </c>
      <c r="O34" s="67">
        <f>IF(ISNUMBER(tblY7[[#This Row],[7B01 - Cells
Raw Score]]),IFERROR(VLOOKUP(ROUND(STANDARDIZE(tblY7[[#This Row],[7B01 - Cells
Raw Score]],AVERAGE(tblY7[[7B01 - Cells
Raw Score]]),_xlfn.STDEV.P(tblY7[[7B01 - Cells
Raw Score]])),9),_Stanine,2),5),"")</f>
        <v>7</v>
      </c>
      <c r="P34" s="66" t="n">
        <v>21</v>
      </c>
      <c r="Q34" s="67">
        <f>IF(ISNUMBER(tblY7[[#This Row],[7C01 - Particles
Raw Score]]),IFERROR(VLOOKUP(ROUND(STANDARDIZE(tblY7[[#This Row],[7C01 - Particles
Raw Score]],AVERAGE(tblY7[[7C01 - Particles
Raw Score]]),_xlfn.STDEV.P(tblY7[[7C01 - Particles
Raw Score]])),9),_Stanine,2),5),"")</f>
        <v>6</v>
      </c>
      <c r="R34" s="66" t="n">
        <v>27</v>
      </c>
      <c r="S34" s="67">
        <f>IF(ISNUMBER(tblY7[[#This Row],[7P01 - Forces
Raw Score]]),IFERROR(VLOOKUP(ROUND(STANDARDIZE(tblY7[[#This Row],[7P01 - Forces
Raw Score]],AVERAGE(tblY7[[7P01 - Forces
Raw Score]]),_xlfn.STDEV.P(tblY7[[7P01 - Forces
Raw Score]])),9),_Stanine,2),5),"")</f>
        <v>7</v>
      </c>
      <c r="T34" s="66" t="inlineStr">
        <is>
          <t>A</t>
        </is>
      </c>
      <c r="U34" s="67" t="str">
        <f>IF(ISNUMBER(tblY7[[#This Row],[7B02 - Organ Systems
Raw Score]]),IFERROR(VLOOKUP(ROUND(STANDARDIZE(tblY7[[#This Row],[7B02 - Organ Systems
Raw Score]],AVERAGE(tblY7[[7B02 - Organ Systems
Raw Score]]),_xlfn.STDEV.P(tblY7[[7B02 - Organ Systems
Raw Score]])),9),_Stanine,2),5),"")</f>
        <v/>
      </c>
    </row>
    <row r="35">
      <c r="A35" s="65" t="inlineStr">
        <is>
          <t>X907599356631</t>
        </is>
      </c>
      <c r="B35" s="65" t="inlineStr">
        <is>
          <t>Fletcher</t>
        </is>
      </c>
      <c r="C35" s="65" t="inlineStr">
        <is>
          <t>George</t>
        </is>
      </c>
      <c r="D35" s="66" t="inlineStr">
        <is>
          <t>M</t>
        </is>
      </c>
      <c r="E35" s="66" t="inlineStr">
        <is>
          <t>E</t>
        </is>
      </c>
      <c r="F35" s="66" t="inlineStr">
        <is>
          <t>Y</t>
        </is>
      </c>
      <c r="G35" s="34" t="n">
        <v>100</v>
      </c>
      <c r="H35" s="34" t="n">
        <v>101.5</v>
      </c>
      <c r="I35" s="67">
        <f>IF(ISNUMBER(tblY7[[#This Row],[Avg KS2]]),IFERROR(VLOOKUP(ROUND(STANDARDIZE(tblY7[[#This Row],[Avg KS2]],AVERAGE(tblY7[[Avg KS2]]),_xlfn.STDEV.P(tblY7[[Avg KS2]])),9),_Stanine,2),5),"")</f>
        <v>3</v>
      </c>
      <c r="J35" s="66" t="inlineStr">
        <is>
          <t>7A/Sc2</t>
        </is>
      </c>
      <c r="K35" s="67">
        <f>IF(tblY7[[#This Row],[Preferred Last name]]="","",COUNTIFS($N$1:$ZZ$1,"*"&amp;CHAR(10)&amp;"Stanine",$N35:$ZZ35,"&gt;=1"))</f>
        <v>4</v>
      </c>
      <c r="L35" s="68">
        <f>IFERROR(AVERAGEIF($N$1:$ZZ$1,"*"&amp;CHAR(10)&amp;"Stanine",$N35:$ZZ35),"")</f>
        <v>4.75</v>
      </c>
      <c r="M35" s="69">
        <f>IF(AND(ISNUMBER(tblY7[[#This Row],[Mean Stanine]]),ISNUMBER(tblY7[[#This Row],[Avg KS2 Band]]),ISNUMBER(SlopeY7)),tblY7[[#This Row],[Mean Stanine]]-(InterceptY7+SlopeY7*tblY7[[#This Row],[Avg KS2 Band]]),"")</f>
        <v>1.13087358378056</v>
      </c>
      <c r="N35" s="66" t="n">
        <v>15</v>
      </c>
      <c r="O35" s="67">
        <f>IF(ISNUMBER(tblY7[[#This Row],[7B01 - Cells
Raw Score]]),IFERROR(VLOOKUP(ROUND(STANDARDIZE(tblY7[[#This Row],[7B01 - Cells
Raw Score]],AVERAGE(tblY7[[7B01 - Cells
Raw Score]]),_xlfn.STDEV.P(tblY7[[7B01 - Cells
Raw Score]])),9),_Stanine,2),5),"")</f>
        <v>4</v>
      </c>
      <c r="P35" s="66" t="n">
        <v>19</v>
      </c>
      <c r="Q35" s="67">
        <f>IF(ISNUMBER(tblY7[[#This Row],[7C01 - Particles
Raw Score]]),IFERROR(VLOOKUP(ROUND(STANDARDIZE(tblY7[[#This Row],[7C01 - Particles
Raw Score]],AVERAGE(tblY7[[7C01 - Particles
Raw Score]]),_xlfn.STDEV.P(tblY7[[7C01 - Particles
Raw Score]])),9),_Stanine,2),5),"")</f>
        <v>5</v>
      </c>
      <c r="R35" s="66" t="n">
        <v>22</v>
      </c>
      <c r="S35" s="67">
        <f>IF(ISNUMBER(tblY7[[#This Row],[7P01 - Forces
Raw Score]]),IFERROR(VLOOKUP(ROUND(STANDARDIZE(tblY7[[#This Row],[7P01 - Forces
Raw Score]],AVERAGE(tblY7[[7P01 - Forces
Raw Score]]),_xlfn.STDEV.P(tblY7[[7P01 - Forces
Raw Score]])),9),_Stanine,2),5),"")</f>
        <v>5</v>
      </c>
      <c r="T35" s="66" t="n">
        <v>19</v>
      </c>
      <c r="U35" s="67">
        <f>IF(ISNUMBER(tblY7[[#This Row],[7B02 - Organ Systems
Raw Score]]),IFERROR(VLOOKUP(ROUND(STANDARDIZE(tblY7[[#This Row],[7B02 - Organ Systems
Raw Score]],AVERAGE(tblY7[[7B02 - Organ Systems
Raw Score]]),_xlfn.STDEV.P(tblY7[[7B02 - Organ Systems
Raw Score]])),9),_Stanine,2),5),"")</f>
        <v>5</v>
      </c>
    </row>
    <row r="36">
      <c r="A36" s="65" t="inlineStr">
        <is>
          <t>X900357631744</t>
        </is>
      </c>
      <c r="B36" s="65" t="inlineStr">
        <is>
          <t>Green</t>
        </is>
      </c>
      <c r="C36" s="65" t="inlineStr">
        <is>
          <t>Arthur</t>
        </is>
      </c>
      <c r="D36" s="66" t="inlineStr">
        <is>
          <t>M</t>
        </is>
      </c>
      <c r="E36" s="66" t="inlineStr">
        <is>
          <t>N</t>
        </is>
      </c>
      <c r="F36" s="66" t="inlineStr">
        <is>
          <t>N</t>
        </is>
      </c>
      <c r="G36" s="34" t="n">
        <v>90.09999999999999</v>
      </c>
      <c r="H36" s="34" t="n">
        <v>104.5</v>
      </c>
      <c r="I36" s="67">
        <f>IF(ISNUMBER(tblY7[[#This Row],[Avg KS2]]),IFERROR(VLOOKUP(ROUND(STANDARDIZE(tblY7[[#This Row],[Avg KS2]],AVERAGE(tblY7[[Avg KS2]]),_xlfn.STDEV.P(tblY7[[Avg KS2]])),9),_Stanine,2),5),"")</f>
        <v>4</v>
      </c>
      <c r="J36" s="66" t="inlineStr">
        <is>
          <t>7A/Sc2</t>
        </is>
      </c>
      <c r="K36" s="67">
        <f>IF(tblY7[[#This Row],[Preferred Last name]]="","",COUNTIFS($N$1:$ZZ$1,"*"&amp;CHAR(10)&amp;"Stanine",$N36:$ZZ36,"&gt;=1"))</f>
        <v>4</v>
      </c>
      <c r="L36" s="68">
        <f>IFERROR(AVERAGEIF($N$1:$ZZ$1,"*"&amp;CHAR(10)&amp;"Stanine",$N36:$ZZ36),"")</f>
        <v>2</v>
      </c>
      <c r="M36" s="69">
        <f>IF(AND(ISNUMBER(tblY7[[#This Row],[Mean Stanine]]),ISNUMBER(tblY7[[#This Row],[Avg KS2 Band]]),ISNUMBER(SlopeY7)),tblY7[[#This Row],[Mean Stanine]]-(InterceptY7+SlopeY7*tblY7[[#This Row],[Avg KS2 Band]]),"")</f>
        <v>-2.31340936195587</v>
      </c>
      <c r="N36" s="66" t="n">
        <v>11</v>
      </c>
      <c r="O36" s="67">
        <f>IF(ISNUMBER(tblY7[[#This Row],[7B01 - Cells
Raw Score]]),IFERROR(VLOOKUP(ROUND(STANDARDIZE(tblY7[[#This Row],[7B01 - Cells
Raw Score]],AVERAGE(tblY7[[7B01 - Cells
Raw Score]]),_xlfn.STDEV.P(tblY7[[7B01 - Cells
Raw Score]])),9),_Stanine,2),5),"")</f>
        <v>3</v>
      </c>
      <c r="P36" s="66" t="n">
        <v>11</v>
      </c>
      <c r="Q36" s="67">
        <f>IF(ISNUMBER(tblY7[[#This Row],[7C01 - Particles
Raw Score]]),IFERROR(VLOOKUP(ROUND(STANDARDIZE(tblY7[[#This Row],[7C01 - Particles
Raw Score]],AVERAGE(tblY7[[7C01 - Particles
Raw Score]]),_xlfn.STDEV.P(tblY7[[7C01 - Particles
Raw Score]])),9),_Stanine,2),5),"")</f>
        <v>1</v>
      </c>
      <c r="R36" s="66" t="n">
        <v>11</v>
      </c>
      <c r="S36" s="67">
        <f>IF(ISNUMBER(tblY7[[#This Row],[7P01 - Forces
Raw Score]]),IFERROR(VLOOKUP(ROUND(STANDARDIZE(tblY7[[#This Row],[7P01 - Forces
Raw Score]],AVERAGE(tblY7[[7P01 - Forces
Raw Score]]),_xlfn.STDEV.P(tblY7[[7P01 - Forces
Raw Score]])),9),_Stanine,2),5),"")</f>
        <v>1</v>
      </c>
      <c r="T36" s="66" t="n">
        <v>12</v>
      </c>
      <c r="U36" s="67">
        <f>IF(ISNUMBER(tblY7[[#This Row],[7B02 - Organ Systems
Raw Score]]),IFERROR(VLOOKUP(ROUND(STANDARDIZE(tblY7[[#This Row],[7B02 - Organ Systems
Raw Score]],AVERAGE(tblY7[[7B02 - Organ Systems
Raw Score]]),_xlfn.STDEV.P(tblY7[[7B02 - Organ Systems
Raw Score]])),9),_Stanine,2),5),"")</f>
        <v>3</v>
      </c>
    </row>
    <row r="37">
      <c r="A37" s="65" t="inlineStr">
        <is>
          <t>X903861534777</t>
        </is>
      </c>
      <c r="B37" s="65" t="inlineStr">
        <is>
          <t>Green</t>
        </is>
      </c>
      <c r="C37" s="65" t="inlineStr">
        <is>
          <t>Harry</t>
        </is>
      </c>
      <c r="D37" s="66" t="inlineStr">
        <is>
          <t>M</t>
        </is>
      </c>
      <c r="E37" s="66" t="n"/>
      <c r="F37" s="66" t="inlineStr">
        <is>
          <t>Y</t>
        </is>
      </c>
      <c r="G37" s="34" t="n">
        <v>96.40000000000001</v>
      </c>
      <c r="H37" s="34" t="n">
        <v>102</v>
      </c>
      <c r="I37" s="67">
        <f>IF(ISNUMBER(tblY7[[#This Row],[Avg KS2]]),IFERROR(VLOOKUP(ROUND(STANDARDIZE(tblY7[[#This Row],[Avg KS2]],AVERAGE(tblY7[[Avg KS2]]),_xlfn.STDEV.P(tblY7[[Avg KS2]])),9),_Stanine,2),5),"")</f>
        <v>3</v>
      </c>
      <c r="J37" s="66" t="inlineStr">
        <is>
          <t>7A/Sc2</t>
        </is>
      </c>
      <c r="K37" s="67">
        <f>IF(tblY7[[#This Row],[Preferred Last name]]="","",COUNTIFS($N$1:$ZZ$1,"*"&amp;CHAR(10)&amp;"Stanine",$N37:$ZZ37,"&gt;=1"))</f>
        <v>4</v>
      </c>
      <c r="L37" s="68">
        <f>IFERROR(AVERAGEIF($N$1:$ZZ$1,"*"&amp;CHAR(10)&amp;"Stanine",$N37:$ZZ37),"")</f>
        <v>1.75</v>
      </c>
      <c r="M37" s="69">
        <f>IF(AND(ISNUMBER(tblY7[[#This Row],[Mean Stanine]]),ISNUMBER(tblY7[[#This Row],[Avg KS2 Band]]),ISNUMBER(SlopeY7)),tblY7[[#This Row],[Mean Stanine]]-(InterceptY7+SlopeY7*tblY7[[#This Row],[Avg KS2 Band]]),"")</f>
        <v>-1.86912641621944</v>
      </c>
      <c r="N37" s="66" t="n">
        <v>8</v>
      </c>
      <c r="O37" s="67">
        <f>IF(ISNUMBER(tblY7[[#This Row],[7B01 - Cells
Raw Score]]),IFERROR(VLOOKUP(ROUND(STANDARDIZE(tblY7[[#This Row],[7B01 - Cells
Raw Score]],AVERAGE(tblY7[[7B01 - Cells
Raw Score]]),_xlfn.STDEV.P(tblY7[[7B01 - Cells
Raw Score]])),9),_Stanine,2),5),"")</f>
        <v>2</v>
      </c>
      <c r="P37" s="66" t="n">
        <v>13</v>
      </c>
      <c r="Q37" s="67">
        <f>IF(ISNUMBER(tblY7[[#This Row],[7C01 - Particles
Raw Score]]),IFERROR(VLOOKUP(ROUND(STANDARDIZE(tblY7[[#This Row],[7C01 - Particles
Raw Score]],AVERAGE(tblY7[[7C01 - Particles
Raw Score]]),_xlfn.STDEV.P(tblY7[[7C01 - Particles
Raw Score]])),9),_Stanine,2),5),"")</f>
        <v>2</v>
      </c>
      <c r="R37" s="66" t="n">
        <v>13</v>
      </c>
      <c r="S37" s="67">
        <f>IF(ISNUMBER(tblY7[[#This Row],[7P01 - Forces
Raw Score]]),IFERROR(VLOOKUP(ROUND(STANDARDIZE(tblY7[[#This Row],[7P01 - Forces
Raw Score]],AVERAGE(tblY7[[7P01 - Forces
Raw Score]]),_xlfn.STDEV.P(tblY7[[7P01 - Forces
Raw Score]])),9),_Stanine,2),5),"")</f>
        <v>2</v>
      </c>
      <c r="T37" s="66" t="n">
        <v>7</v>
      </c>
      <c r="U37" s="67">
        <f>IF(ISNUMBER(tblY7[[#This Row],[7B02 - Organ Systems
Raw Score]]),IFERROR(VLOOKUP(ROUND(STANDARDIZE(tblY7[[#This Row],[7B02 - Organ Systems
Raw Score]],AVERAGE(tblY7[[7B02 - Organ Systems
Raw Score]]),_xlfn.STDEV.P(tblY7[[7B02 - Organ Systems
Raw Score]])),9),_Stanine,2),5),"")</f>
        <v>1</v>
      </c>
    </row>
    <row r="38">
      <c r="A38" s="65" t="inlineStr">
        <is>
          <t>X904858479261</t>
        </is>
      </c>
      <c r="B38" s="65" t="inlineStr">
        <is>
          <t>Griffiths</t>
        </is>
      </c>
      <c r="C38" s="65" t="inlineStr">
        <is>
          <t>Amelia</t>
        </is>
      </c>
      <c r="D38" s="66" t="inlineStr">
        <is>
          <t>M</t>
        </is>
      </c>
      <c r="E38" s="66" t="inlineStr">
        <is>
          <t>N</t>
        </is>
      </c>
      <c r="F38" s="66" t="inlineStr">
        <is>
          <t>N</t>
        </is>
      </c>
      <c r="G38" s="34" t="n">
        <v>91.5</v>
      </c>
      <c r="H38" s="34" t="n">
        <v>112</v>
      </c>
      <c r="I38" s="67">
        <f>IF(ISNUMBER(tblY7[[#This Row],[Avg KS2]]),IFERROR(VLOOKUP(ROUND(STANDARDIZE(tblY7[[#This Row],[Avg KS2]],AVERAGE(tblY7[[Avg KS2]]),_xlfn.STDEV.P(tblY7[[Avg KS2]])),9),_Stanine,2),5),"")</f>
        <v>7</v>
      </c>
      <c r="J38" s="66" t="inlineStr">
        <is>
          <t>7A/Sc2</t>
        </is>
      </c>
      <c r="K38" s="67">
        <f>IF(tblY7[[#This Row],[Preferred Last name]]="","",COUNTIFS($N$1:$ZZ$1,"*"&amp;CHAR(10)&amp;"Stanine",$N38:$ZZ38,"&gt;=1"))</f>
        <v>4</v>
      </c>
      <c r="L38" s="68">
        <f>IFERROR(AVERAGEIF($N$1:$ZZ$1,"*"&amp;CHAR(10)&amp;"Stanine",$N38:$ZZ38),"")</f>
        <v>6.5</v>
      </c>
      <c r="M38" s="69">
        <f>IF(AND(ISNUMBER(tblY7[[#This Row],[Mean Stanine]]),ISNUMBER(tblY7[[#This Row],[Avg KS2 Band]]),ISNUMBER(SlopeY7)),tblY7[[#This Row],[Mean Stanine]]-(InterceptY7+SlopeY7*tblY7[[#This Row],[Avg KS2 Band]]),"")</f>
        <v>0.103741800834825</v>
      </c>
      <c r="N38" s="66" t="n">
        <v>21</v>
      </c>
      <c r="O38" s="67">
        <f>IF(ISNUMBER(tblY7[[#This Row],[7B01 - Cells
Raw Score]]),IFERROR(VLOOKUP(ROUND(STANDARDIZE(tblY7[[#This Row],[7B01 - Cells
Raw Score]],AVERAGE(tblY7[[7B01 - Cells
Raw Score]]),_xlfn.STDEV.P(tblY7[[7B01 - Cells
Raw Score]])),9),_Stanine,2),5),"")</f>
        <v>6</v>
      </c>
      <c r="P38" s="66" t="n">
        <v>22</v>
      </c>
      <c r="Q38" s="67">
        <f>IF(ISNUMBER(tblY7[[#This Row],[7C01 - Particles
Raw Score]]),IFERROR(VLOOKUP(ROUND(STANDARDIZE(tblY7[[#This Row],[7C01 - Particles
Raw Score]],AVERAGE(tblY7[[7C01 - Particles
Raw Score]]),_xlfn.STDEV.P(tblY7[[7C01 - Particles
Raw Score]])),9),_Stanine,2),5),"")</f>
        <v>7</v>
      </c>
      <c r="R38" s="66" t="n">
        <v>23</v>
      </c>
      <c r="S38" s="67">
        <f>IF(ISNUMBER(tblY7[[#This Row],[7P01 - Forces
Raw Score]]),IFERROR(VLOOKUP(ROUND(STANDARDIZE(tblY7[[#This Row],[7P01 - Forces
Raw Score]],AVERAGE(tblY7[[7P01 - Forces
Raw Score]]),_xlfn.STDEV.P(tblY7[[7P01 - Forces
Raw Score]])),9),_Stanine,2),5),"")</f>
        <v>6</v>
      </c>
      <c r="T38" s="66" t="n">
        <v>22</v>
      </c>
      <c r="U38" s="67">
        <f>IF(ISNUMBER(tblY7[[#This Row],[7B02 - Organ Systems
Raw Score]]),IFERROR(VLOOKUP(ROUND(STANDARDIZE(tblY7[[#This Row],[7B02 - Organ Systems
Raw Score]],AVERAGE(tblY7[[7B02 - Organ Systems
Raw Score]]),_xlfn.STDEV.P(tblY7[[7B02 - Organ Systems
Raw Score]])),9),_Stanine,2),5),"")</f>
        <v>7</v>
      </c>
    </row>
    <row r="39">
      <c r="A39" s="65" t="inlineStr">
        <is>
          <t>X908756074582</t>
        </is>
      </c>
      <c r="B39" s="65" t="inlineStr">
        <is>
          <t>Hall</t>
        </is>
      </c>
      <c r="C39" s="65" t="inlineStr">
        <is>
          <t>Maisie</t>
        </is>
      </c>
      <c r="D39" s="66" t="inlineStr">
        <is>
          <t>M</t>
        </is>
      </c>
      <c r="E39" s="66" t="inlineStr">
        <is>
          <t>N</t>
        </is>
      </c>
      <c r="F39" s="66" t="inlineStr">
        <is>
          <t>N</t>
        </is>
      </c>
      <c r="G39" s="34" t="n">
        <v>94.59999999999999</v>
      </c>
      <c r="H39" s="34" t="n">
        <v>105.5</v>
      </c>
      <c r="I39" s="67">
        <f>IF(ISNUMBER(tblY7[[#This Row],[Avg KS2]]),IFERROR(VLOOKUP(ROUND(STANDARDIZE(tblY7[[#This Row],[Avg KS2]],AVERAGE(tblY7[[Avg KS2]]),_xlfn.STDEV.P(tblY7[[Avg KS2]])),9),_Stanine,2),5),"")</f>
        <v>4</v>
      </c>
      <c r="J39" s="66" t="inlineStr">
        <is>
          <t>7A/Sc2</t>
        </is>
      </c>
      <c r="K39" s="67">
        <f>IF(tblY7[[#This Row],[Preferred Last name]]="","",COUNTIFS($N$1:$ZZ$1,"*"&amp;CHAR(10)&amp;"Stanine",$N39:$ZZ39,"&gt;=1"))</f>
        <v>4</v>
      </c>
      <c r="L39" s="68">
        <f>IFERROR(AVERAGEIF($N$1:$ZZ$1,"*"&amp;CHAR(10)&amp;"Stanine",$N39:$ZZ39),"")</f>
        <v>4.25</v>
      </c>
      <c r="M39" s="69">
        <f>IF(AND(ISNUMBER(tblY7[[#This Row],[Mean Stanine]]),ISNUMBER(tblY7[[#This Row],[Avg KS2 Band]]),ISNUMBER(SlopeY7)),tblY7[[#This Row],[Mean Stanine]]-(InterceptY7+SlopeY7*tblY7[[#This Row],[Avg KS2 Band]]),"")</f>
        <v>-0.0634093619558733</v>
      </c>
      <c r="N39" s="66" t="n">
        <v>15</v>
      </c>
      <c r="O39" s="67">
        <f>IF(ISNUMBER(tblY7[[#This Row],[7B01 - Cells
Raw Score]]),IFERROR(VLOOKUP(ROUND(STANDARDIZE(tblY7[[#This Row],[7B01 - Cells
Raw Score]],AVERAGE(tblY7[[7B01 - Cells
Raw Score]]),_xlfn.STDEV.P(tblY7[[7B01 - Cells
Raw Score]])),9),_Stanine,2),5),"")</f>
        <v>4</v>
      </c>
      <c r="P39" s="66" t="n">
        <v>16</v>
      </c>
      <c r="Q39" s="67">
        <f>IF(ISNUMBER(tblY7[[#This Row],[7C01 - Particles
Raw Score]]),IFERROR(VLOOKUP(ROUND(STANDARDIZE(tblY7[[#This Row],[7C01 - Particles
Raw Score]],AVERAGE(tblY7[[7C01 - Particles
Raw Score]]),_xlfn.STDEV.P(tblY7[[7C01 - Particles
Raw Score]])),9),_Stanine,2),5),"")</f>
        <v>4</v>
      </c>
      <c r="R39" s="66" t="n">
        <v>21</v>
      </c>
      <c r="S39" s="67">
        <f>IF(ISNUMBER(tblY7[[#This Row],[7P01 - Forces
Raw Score]]),IFERROR(VLOOKUP(ROUND(STANDARDIZE(tblY7[[#This Row],[7P01 - Forces
Raw Score]],AVERAGE(tblY7[[7P01 - Forces
Raw Score]]),_xlfn.STDEV.P(tblY7[[7P01 - Forces
Raw Score]])),9),_Stanine,2),5),"")</f>
        <v>5</v>
      </c>
      <c r="T39" s="66" t="n">
        <v>16</v>
      </c>
      <c r="U39" s="67">
        <f>IF(ISNUMBER(tblY7[[#This Row],[7B02 - Organ Systems
Raw Score]]),IFERROR(VLOOKUP(ROUND(STANDARDIZE(tblY7[[#This Row],[7B02 - Organ Systems
Raw Score]],AVERAGE(tblY7[[7B02 - Organ Systems
Raw Score]]),_xlfn.STDEV.P(tblY7[[7B02 - Organ Systems
Raw Score]])),9),_Stanine,2),5),"")</f>
        <v>4</v>
      </c>
    </row>
    <row r="40">
      <c r="A40" s="65" t="inlineStr">
        <is>
          <t>X902484502618</t>
        </is>
      </c>
      <c r="B40" s="65" t="inlineStr">
        <is>
          <t>Hughes</t>
        </is>
      </c>
      <c r="C40" s="65" t="inlineStr">
        <is>
          <t>Sami</t>
        </is>
      </c>
      <c r="D40" s="66" t="inlineStr">
        <is>
          <t>F</t>
        </is>
      </c>
      <c r="E40" s="66" t="inlineStr">
        <is>
          <t>N</t>
        </is>
      </c>
      <c r="F40" s="66" t="inlineStr">
        <is>
          <t>N</t>
        </is>
      </c>
      <c r="G40" s="34" t="n">
        <v>94.59999999999999</v>
      </c>
      <c r="H40" s="34" t="n">
        <v>110.5</v>
      </c>
      <c r="I40" s="67">
        <f>IF(ISNUMBER(tblY7[[#This Row],[Avg KS2]]),IFERROR(VLOOKUP(ROUND(STANDARDIZE(tblY7[[#This Row],[Avg KS2]],AVERAGE(tblY7[[Avg KS2]]),_xlfn.STDEV.P(tblY7[[Avg KS2]])),9),_Stanine,2),5),"")</f>
        <v>6</v>
      </c>
      <c r="J40" s="66" t="inlineStr">
        <is>
          <t>7A/Sc2</t>
        </is>
      </c>
      <c r="K40" s="67">
        <f>IF(tblY7[[#This Row],[Preferred Last name]]="","",COUNTIFS($N$1:$ZZ$1,"*"&amp;CHAR(10)&amp;"Stanine",$N40:$ZZ40,"&gt;=1"))</f>
        <v>4</v>
      </c>
      <c r="L40" s="68">
        <f>IFERROR(AVERAGEIF($N$1:$ZZ$1,"*"&amp;CHAR(10)&amp;"Stanine",$N40:$ZZ40),"")</f>
        <v>4.5</v>
      </c>
      <c r="M40" s="69">
        <f>IF(AND(ISNUMBER(tblY7[[#This Row],[Mean Stanine]]),ISNUMBER(tblY7[[#This Row],[Avg KS2 Band]]),ISNUMBER(SlopeY7)),tblY7[[#This Row],[Mean Stanine]]-(InterceptY7+SlopeY7*tblY7[[#This Row],[Avg KS2 Band]]),"")</f>
        <v>-1.20197525342874</v>
      </c>
      <c r="N40" s="66" t="n">
        <v>15</v>
      </c>
      <c r="O40" s="67">
        <f>IF(ISNUMBER(tblY7[[#This Row],[7B01 - Cells
Raw Score]]),IFERROR(VLOOKUP(ROUND(STANDARDIZE(tblY7[[#This Row],[7B01 - Cells
Raw Score]],AVERAGE(tblY7[[7B01 - Cells
Raw Score]]),_xlfn.STDEV.P(tblY7[[7B01 - Cells
Raw Score]])),9),_Stanine,2),5),"")</f>
        <v>4</v>
      </c>
      <c r="P40" s="66" t="n">
        <v>19</v>
      </c>
      <c r="Q40" s="67">
        <f>IF(ISNUMBER(tblY7[[#This Row],[7C01 - Particles
Raw Score]]),IFERROR(VLOOKUP(ROUND(STANDARDIZE(tblY7[[#This Row],[7C01 - Particles
Raw Score]],AVERAGE(tblY7[[7C01 - Particles
Raw Score]]),_xlfn.STDEV.P(tblY7[[7C01 - Particles
Raw Score]])),9),_Stanine,2),5),"")</f>
        <v>5</v>
      </c>
      <c r="R40" s="66" t="n">
        <v>19</v>
      </c>
      <c r="S40" s="67">
        <f>IF(ISNUMBER(tblY7[[#This Row],[7P01 - Forces
Raw Score]]),IFERROR(VLOOKUP(ROUND(STANDARDIZE(tblY7[[#This Row],[7P01 - Forces
Raw Score]],AVERAGE(tblY7[[7P01 - Forces
Raw Score]]),_xlfn.STDEV.P(tblY7[[7P01 - Forces
Raw Score]])),9),_Stanine,2),5),"")</f>
        <v>4</v>
      </c>
      <c r="T40" s="66" t="n">
        <v>19</v>
      </c>
      <c r="U40" s="67">
        <f>IF(ISNUMBER(tblY7[[#This Row],[7B02 - Organ Systems
Raw Score]]),IFERROR(VLOOKUP(ROUND(STANDARDIZE(tblY7[[#This Row],[7B02 - Organ Systems
Raw Score]],AVERAGE(tblY7[[7B02 - Organ Systems
Raw Score]]),_xlfn.STDEV.P(tblY7[[7B02 - Organ Systems
Raw Score]])),9),_Stanine,2),5),"")</f>
        <v>5</v>
      </c>
    </row>
    <row r="41">
      <c r="A41" s="65" t="inlineStr">
        <is>
          <t>X907775485765</t>
        </is>
      </c>
      <c r="B41" s="65" t="inlineStr">
        <is>
          <t>Hussain</t>
        </is>
      </c>
      <c r="C41" s="65" t="inlineStr">
        <is>
          <t>Finley</t>
        </is>
      </c>
      <c r="D41" s="66" t="inlineStr">
        <is>
          <t>M</t>
        </is>
      </c>
      <c r="E41" s="66" t="n"/>
      <c r="F41" s="66" t="inlineStr">
        <is>
          <t>N</t>
        </is>
      </c>
      <c r="G41" s="34" t="n">
        <v>92</v>
      </c>
      <c r="H41" s="34" t="n">
        <v>110.5</v>
      </c>
      <c r="I41" s="67">
        <f>IF(ISNUMBER(tblY7[[#This Row],[Avg KS2]]),IFERROR(VLOOKUP(ROUND(STANDARDIZE(tblY7[[#This Row],[Avg KS2]],AVERAGE(tblY7[[Avg KS2]]),_xlfn.STDEV.P(tblY7[[Avg KS2]])),9),_Stanine,2),5),"")</f>
        <v>6</v>
      </c>
      <c r="J41" s="66" t="inlineStr">
        <is>
          <t>7A/Sc2</t>
        </is>
      </c>
      <c r="K41" s="67">
        <f>IF(tblY7[[#This Row],[Preferred Last name]]="","",COUNTIFS($N$1:$ZZ$1,"*"&amp;CHAR(10)&amp;"Stanine",$N41:$ZZ41,"&gt;=1"))</f>
        <v>4</v>
      </c>
      <c r="L41" s="68">
        <f>IFERROR(AVERAGEIF($N$1:$ZZ$1,"*"&amp;CHAR(10)&amp;"Stanine",$N41:$ZZ41),"")</f>
        <v>6.25</v>
      </c>
      <c r="M41" s="69">
        <f>IF(AND(ISNUMBER(tblY7[[#This Row],[Mean Stanine]]),ISNUMBER(tblY7[[#This Row],[Avg KS2 Band]]),ISNUMBER(SlopeY7)),tblY7[[#This Row],[Mean Stanine]]-(InterceptY7+SlopeY7*tblY7[[#This Row],[Avg KS2 Band]]),"")</f>
        <v>0.548024746571259</v>
      </c>
      <c r="N41" s="66" t="n">
        <v>22</v>
      </c>
      <c r="O41" s="67">
        <f>IF(ISNUMBER(tblY7[[#This Row],[7B01 - Cells
Raw Score]]),IFERROR(VLOOKUP(ROUND(STANDARDIZE(tblY7[[#This Row],[7B01 - Cells
Raw Score]],AVERAGE(tblY7[[7B01 - Cells
Raw Score]]),_xlfn.STDEV.P(tblY7[[7B01 - Cells
Raw Score]])),9),_Stanine,2),5),"")</f>
        <v>6</v>
      </c>
      <c r="P41" s="66" t="n">
        <v>21</v>
      </c>
      <c r="Q41" s="67">
        <f>IF(ISNUMBER(tblY7[[#This Row],[7C01 - Particles
Raw Score]]),IFERROR(VLOOKUP(ROUND(STANDARDIZE(tblY7[[#This Row],[7C01 - Particles
Raw Score]],AVERAGE(tblY7[[7C01 - Particles
Raw Score]]),_xlfn.STDEV.P(tblY7[[7C01 - Particles
Raw Score]])),9),_Stanine,2),5),"")</f>
        <v>6</v>
      </c>
      <c r="R41" s="66" t="n">
        <v>26</v>
      </c>
      <c r="S41" s="67">
        <f>IF(ISNUMBER(tblY7[[#This Row],[7P01 - Forces
Raw Score]]),IFERROR(VLOOKUP(ROUND(STANDARDIZE(tblY7[[#This Row],[7P01 - Forces
Raw Score]],AVERAGE(tblY7[[7P01 - Forces
Raw Score]]),_xlfn.STDEV.P(tblY7[[7P01 - Forces
Raw Score]])),9),_Stanine,2),5),"")</f>
        <v>7</v>
      </c>
      <c r="T41" s="66" t="n">
        <v>21</v>
      </c>
      <c r="U41" s="67">
        <f>IF(ISNUMBER(tblY7[[#This Row],[7B02 - Organ Systems
Raw Score]]),IFERROR(VLOOKUP(ROUND(STANDARDIZE(tblY7[[#This Row],[7B02 - Organ Systems
Raw Score]],AVERAGE(tblY7[[7B02 - Organ Systems
Raw Score]]),_xlfn.STDEV.P(tblY7[[7B02 - Organ Systems
Raw Score]])),9),_Stanine,2),5),"")</f>
        <v>6</v>
      </c>
    </row>
    <row r="42">
      <c r="A42" s="65" t="inlineStr">
        <is>
          <t>X907945939499</t>
        </is>
      </c>
      <c r="B42" s="65" t="inlineStr">
        <is>
          <t>Hussain</t>
        </is>
      </c>
      <c r="C42" s="65" t="inlineStr">
        <is>
          <t>Isla</t>
        </is>
      </c>
      <c r="D42" s="66" t="inlineStr">
        <is>
          <t>M</t>
        </is>
      </c>
      <c r="E42" s="66" t="inlineStr">
        <is>
          <t>N</t>
        </is>
      </c>
      <c r="F42" s="66" t="inlineStr">
        <is>
          <t>Y</t>
        </is>
      </c>
      <c r="G42" s="34" t="n">
        <v>83</v>
      </c>
      <c r="H42" s="34" t="n">
        <v>104</v>
      </c>
      <c r="I42" s="67">
        <f>IF(ISNUMBER(tblY7[[#This Row],[Avg KS2]]),IFERROR(VLOOKUP(ROUND(STANDARDIZE(tblY7[[#This Row],[Avg KS2]],AVERAGE(tblY7[[Avg KS2]]),_xlfn.STDEV.P(tblY7[[Avg KS2]])),9),_Stanine,2),5),"")</f>
        <v>4</v>
      </c>
      <c r="J42" s="66" t="inlineStr">
        <is>
          <t>7A/Sc2</t>
        </is>
      </c>
      <c r="K42" s="67">
        <f>IF(tblY7[[#This Row],[Preferred Last name]]="","",COUNTIFS($N$1:$ZZ$1,"*"&amp;CHAR(10)&amp;"Stanine",$N42:$ZZ42,"&gt;=1"))</f>
        <v>4</v>
      </c>
      <c r="L42" s="68">
        <f>IFERROR(AVERAGEIF($N$1:$ZZ$1,"*"&amp;CHAR(10)&amp;"Stanine",$N42:$ZZ42),"")</f>
        <v>6</v>
      </c>
      <c r="M42" s="69">
        <f>IF(AND(ISNUMBER(tblY7[[#This Row],[Mean Stanine]]),ISNUMBER(tblY7[[#This Row],[Avg KS2 Band]]),ISNUMBER(SlopeY7)),tblY7[[#This Row],[Mean Stanine]]-(InterceptY7+SlopeY7*tblY7[[#This Row],[Avg KS2 Band]]),"")</f>
        <v>1.68659063804413</v>
      </c>
      <c r="N42" s="66" t="n">
        <v>20</v>
      </c>
      <c r="O42" s="67">
        <f>IF(ISNUMBER(tblY7[[#This Row],[7B01 - Cells
Raw Score]]),IFERROR(VLOOKUP(ROUND(STANDARDIZE(tblY7[[#This Row],[7B01 - Cells
Raw Score]],AVERAGE(tblY7[[7B01 - Cells
Raw Score]]),_xlfn.STDEV.P(tblY7[[7B01 - Cells
Raw Score]])),9),_Stanine,2),5),"")</f>
        <v>6</v>
      </c>
      <c r="P42" s="66" t="n">
        <v>21</v>
      </c>
      <c r="Q42" s="67">
        <f>IF(ISNUMBER(tblY7[[#This Row],[7C01 - Particles
Raw Score]]),IFERROR(VLOOKUP(ROUND(STANDARDIZE(tblY7[[#This Row],[7C01 - Particles
Raw Score]],AVERAGE(tblY7[[7C01 - Particles
Raw Score]]),_xlfn.STDEV.P(tblY7[[7C01 - Particles
Raw Score]])),9),_Stanine,2),5),"")</f>
        <v>6</v>
      </c>
      <c r="R42" s="66" t="n">
        <v>23</v>
      </c>
      <c r="S42" s="67">
        <f>IF(ISNUMBER(tblY7[[#This Row],[7P01 - Forces
Raw Score]]),IFERROR(VLOOKUP(ROUND(STANDARDIZE(tblY7[[#This Row],[7P01 - Forces
Raw Score]],AVERAGE(tblY7[[7P01 - Forces
Raw Score]]),_xlfn.STDEV.P(tblY7[[7P01 - Forces
Raw Score]])),9),_Stanine,2),5),"")</f>
        <v>6</v>
      </c>
      <c r="T42" s="66" t="n">
        <v>21</v>
      </c>
      <c r="U42" s="67">
        <f>IF(ISNUMBER(tblY7[[#This Row],[7B02 - Organ Systems
Raw Score]]),IFERROR(VLOOKUP(ROUND(STANDARDIZE(tblY7[[#This Row],[7B02 - Organ Systems
Raw Score]],AVERAGE(tblY7[[7B02 - Organ Systems
Raw Score]]),_xlfn.STDEV.P(tblY7[[7B02 - Organ Systems
Raw Score]])),9),_Stanine,2),5),"")</f>
        <v>6</v>
      </c>
    </row>
    <row r="43">
      <c r="A43" s="65" t="inlineStr">
        <is>
          <t>X906673147413</t>
        </is>
      </c>
      <c r="B43" s="65" t="inlineStr">
        <is>
          <t>Johnson</t>
        </is>
      </c>
      <c r="C43" s="65" t="inlineStr">
        <is>
          <t>Arthur</t>
        </is>
      </c>
      <c r="D43" s="66" t="inlineStr">
        <is>
          <t>F</t>
        </is>
      </c>
      <c r="E43" s="66" t="inlineStr">
        <is>
          <t>N</t>
        </is>
      </c>
      <c r="F43" s="66" t="inlineStr">
        <is>
          <t>Y</t>
        </is>
      </c>
      <c r="G43" s="34" t="n">
        <v>98.5</v>
      </c>
      <c r="H43" s="34" t="n">
        <v>99</v>
      </c>
      <c r="I43" s="67">
        <f>IF(ISNUMBER(tblY7[[#This Row],[Avg KS2]]),IFERROR(VLOOKUP(ROUND(STANDARDIZE(tblY7[[#This Row],[Avg KS2]],AVERAGE(tblY7[[Avg KS2]]),_xlfn.STDEV.P(tblY7[[Avg KS2]])),9),_Stanine,2),5),"")</f>
        <v>2</v>
      </c>
      <c r="J43" s="66" t="inlineStr">
        <is>
          <t>7A/Sc2</t>
        </is>
      </c>
      <c r="K43" s="67">
        <f>IF(tblY7[[#This Row],[Preferred Last name]]="","",COUNTIFS($N$1:$ZZ$1,"*"&amp;CHAR(10)&amp;"Stanine",$N43:$ZZ43,"&gt;=1"))</f>
        <v>4</v>
      </c>
      <c r="L43" s="68">
        <f>IFERROR(AVERAGEIF($N$1:$ZZ$1,"*"&amp;CHAR(10)&amp;"Stanine",$N43:$ZZ43),"")</f>
        <v>4.25</v>
      </c>
      <c r="M43" s="69">
        <f>IF(AND(ISNUMBER(tblY7[[#This Row],[Mean Stanine]]),ISNUMBER(tblY7[[#This Row],[Avg KS2 Band]]),ISNUMBER(SlopeY7)),tblY7[[#This Row],[Mean Stanine]]-(InterceptY7+SlopeY7*tblY7[[#This Row],[Avg KS2 Band]]),"")</f>
        <v>1.32515652951699</v>
      </c>
      <c r="N43" s="66" t="n">
        <v>12</v>
      </c>
      <c r="O43" s="67">
        <f>IF(ISNUMBER(tblY7[[#This Row],[7B01 - Cells
Raw Score]]),IFERROR(VLOOKUP(ROUND(STANDARDIZE(tblY7[[#This Row],[7B01 - Cells
Raw Score]],AVERAGE(tblY7[[7B01 - Cells
Raw Score]]),_xlfn.STDEV.P(tblY7[[7B01 - Cells
Raw Score]])),9),_Stanine,2),5),"")</f>
        <v>3</v>
      </c>
      <c r="P43" s="66" t="n">
        <v>17</v>
      </c>
      <c r="Q43" s="67">
        <f>IF(ISNUMBER(tblY7[[#This Row],[7C01 - Particles
Raw Score]]),IFERROR(VLOOKUP(ROUND(STANDARDIZE(tblY7[[#This Row],[7C01 - Particles
Raw Score]],AVERAGE(tblY7[[7C01 - Particles
Raw Score]]),_xlfn.STDEV.P(tblY7[[7C01 - Particles
Raw Score]])),9),_Stanine,2),5),"")</f>
        <v>4</v>
      </c>
      <c r="R43" s="66" t="n">
        <v>23</v>
      </c>
      <c r="S43" s="67">
        <f>IF(ISNUMBER(tblY7[[#This Row],[7P01 - Forces
Raw Score]]),IFERROR(VLOOKUP(ROUND(STANDARDIZE(tblY7[[#This Row],[7P01 - Forces
Raw Score]],AVERAGE(tblY7[[7P01 - Forces
Raw Score]]),_xlfn.STDEV.P(tblY7[[7P01 - Forces
Raw Score]])),9),_Stanine,2),5),"")</f>
        <v>6</v>
      </c>
      <c r="T43" s="66" t="n">
        <v>15</v>
      </c>
      <c r="U43" s="67">
        <f>IF(ISNUMBER(tblY7[[#This Row],[7B02 - Organ Systems
Raw Score]]),IFERROR(VLOOKUP(ROUND(STANDARDIZE(tblY7[[#This Row],[7B02 - Organ Systems
Raw Score]],AVERAGE(tblY7[[7B02 - Organ Systems
Raw Score]]),_xlfn.STDEV.P(tblY7[[7B02 - Organ Systems
Raw Score]])),9),_Stanine,2),5),"")</f>
        <v>4</v>
      </c>
    </row>
    <row r="44">
      <c r="A44" s="65" t="inlineStr">
        <is>
          <t>X900421847914</t>
        </is>
      </c>
      <c r="B44" s="65" t="inlineStr">
        <is>
          <t>Jones</t>
        </is>
      </c>
      <c r="C44" s="65" t="inlineStr">
        <is>
          <t>Dylan</t>
        </is>
      </c>
      <c r="D44" s="66" t="inlineStr">
        <is>
          <t>F</t>
        </is>
      </c>
      <c r="E44" s="66" t="inlineStr">
        <is>
          <t>N</t>
        </is>
      </c>
      <c r="F44" s="66" t="inlineStr">
        <is>
          <t>N</t>
        </is>
      </c>
      <c r="G44" s="34" t="n">
        <v>95.09999999999999</v>
      </c>
      <c r="H44" s="34" t="n">
        <v>107.5</v>
      </c>
      <c r="I44" s="67">
        <f>IF(ISNUMBER(tblY7[[#This Row],[Avg KS2]]),IFERROR(VLOOKUP(ROUND(STANDARDIZE(tblY7[[#This Row],[Avg KS2]],AVERAGE(tblY7[[Avg KS2]]),_xlfn.STDEV.P(tblY7[[Avg KS2]])),9),_Stanine,2),5),"")</f>
        <v>5</v>
      </c>
      <c r="J44" s="66" t="inlineStr">
        <is>
          <t>7A/Sc2</t>
        </is>
      </c>
      <c r="K44" s="67">
        <f>IF(tblY7[[#This Row],[Preferred Last name]]="","",COUNTIFS($N$1:$ZZ$1,"*"&amp;CHAR(10)&amp;"Stanine",$N44:$ZZ44,"&gt;=1"))</f>
        <v>3</v>
      </c>
      <c r="L44" s="68">
        <f>IFERROR(AVERAGEIF($N$1:$ZZ$1,"*"&amp;CHAR(10)&amp;"Stanine",$N44:$ZZ44),"")</f>
        <v>6</v>
      </c>
      <c r="M44" s="69">
        <f>IF(AND(ISNUMBER(tblY7[[#This Row],[Mean Stanine]]),ISNUMBER(tblY7[[#This Row],[Avg KS2 Band]]),ISNUMBER(SlopeY7)),tblY7[[#This Row],[Mean Stanine]]-(InterceptY7+SlopeY7*tblY7[[#This Row],[Avg KS2 Band]]),"")</f>
        <v>0.992307692307692</v>
      </c>
      <c r="N44" s="66" t="n">
        <v>22</v>
      </c>
      <c r="O44" s="67">
        <f>IF(ISNUMBER(tblY7[[#This Row],[7B01 - Cells
Raw Score]]),IFERROR(VLOOKUP(ROUND(STANDARDIZE(tblY7[[#This Row],[7B01 - Cells
Raw Score]],AVERAGE(tblY7[[7B01 - Cells
Raw Score]]),_xlfn.STDEV.P(tblY7[[7B01 - Cells
Raw Score]])),9),_Stanine,2),5),"")</f>
        <v>6</v>
      </c>
      <c r="P44" s="66" t="n">
        <v>21</v>
      </c>
      <c r="Q44" s="67">
        <f>IF(ISNUMBER(tblY7[[#This Row],[7C01 - Particles
Raw Score]]),IFERROR(VLOOKUP(ROUND(STANDARDIZE(tblY7[[#This Row],[7C01 - Particles
Raw Score]],AVERAGE(tblY7[[7C01 - Particles
Raw Score]]),_xlfn.STDEV.P(tblY7[[7C01 - Particles
Raw Score]])),9),_Stanine,2),5),"")</f>
        <v>6</v>
      </c>
      <c r="R44" s="66" t="n">
        <v>24</v>
      </c>
      <c r="S44" s="67">
        <f>IF(ISNUMBER(tblY7[[#This Row],[7P01 - Forces
Raw Score]]),IFERROR(VLOOKUP(ROUND(STANDARDIZE(tblY7[[#This Row],[7P01 - Forces
Raw Score]],AVERAGE(tblY7[[7P01 - Forces
Raw Score]]),_xlfn.STDEV.P(tblY7[[7P01 - Forces
Raw Score]])),9),_Stanine,2),5),"")</f>
        <v>6</v>
      </c>
      <c r="T44" s="66" t="inlineStr">
        <is>
          <t>A</t>
        </is>
      </c>
      <c r="U44" s="67" t="str">
        <f>IF(ISNUMBER(tblY7[[#This Row],[7B02 - Organ Systems
Raw Score]]),IFERROR(VLOOKUP(ROUND(STANDARDIZE(tblY7[[#This Row],[7B02 - Organ Systems
Raw Score]],AVERAGE(tblY7[[7B02 - Organ Systems
Raw Score]]),_xlfn.STDEV.P(tblY7[[7B02 - Organ Systems
Raw Score]])),9),_Stanine,2),5),"")</f>
        <v/>
      </c>
    </row>
    <row r="45">
      <c r="A45" s="65" t="inlineStr">
        <is>
          <t>X906580237629</t>
        </is>
      </c>
      <c r="B45" s="65" t="inlineStr">
        <is>
          <t>Kowalski</t>
        </is>
      </c>
      <c r="C45" s="65" t="inlineStr">
        <is>
          <t>Amara</t>
        </is>
      </c>
      <c r="D45" s="66" t="inlineStr">
        <is>
          <t>F</t>
        </is>
      </c>
      <c r="E45" s="66" t="inlineStr">
        <is>
          <t>N</t>
        </is>
      </c>
      <c r="F45" s="66" t="inlineStr">
        <is>
          <t>N</t>
        </is>
      </c>
      <c r="G45" s="34" t="n">
        <v>100</v>
      </c>
      <c r="H45" s="34" t="n">
        <v>101</v>
      </c>
      <c r="I45" s="67">
        <f>IF(ISNUMBER(tblY7[[#This Row],[Avg KS2]]),IFERROR(VLOOKUP(ROUND(STANDARDIZE(tblY7[[#This Row],[Avg KS2]],AVERAGE(tblY7[[Avg KS2]]),_xlfn.STDEV.P(tblY7[[Avg KS2]])),9),_Stanine,2),5),"")</f>
        <v>3</v>
      </c>
      <c r="J45" s="66" t="inlineStr">
        <is>
          <t>7A/Sc2</t>
        </is>
      </c>
      <c r="K45" s="67">
        <f>IF(tblY7[[#This Row],[Preferred Last name]]="","",COUNTIFS($N$1:$ZZ$1,"*"&amp;CHAR(10)&amp;"Stanine",$N45:$ZZ45,"&gt;=1"))</f>
        <v>3</v>
      </c>
      <c r="L45" s="68">
        <f>IFERROR(AVERAGEIF($N$1:$ZZ$1,"*"&amp;CHAR(10)&amp;"Stanine",$N45:$ZZ45),"")</f>
        <v>2.33333333333333</v>
      </c>
      <c r="M45" s="69">
        <f>IF(AND(ISNUMBER(tblY7[[#This Row],[Mean Stanine]]),ISNUMBER(tblY7[[#This Row],[Avg KS2 Band]]),ISNUMBER(SlopeY7)),tblY7[[#This Row],[Mean Stanine]]-(InterceptY7+SlopeY7*tblY7[[#This Row],[Avg KS2 Band]]),"")</f>
        <v>-1.28579308288611</v>
      </c>
      <c r="N45" s="66" t="n">
        <v>7</v>
      </c>
      <c r="O45" s="67">
        <f>IF(ISNUMBER(tblY7[[#This Row],[7B01 - Cells
Raw Score]]),IFERROR(VLOOKUP(ROUND(STANDARDIZE(tblY7[[#This Row],[7B01 - Cells
Raw Score]],AVERAGE(tblY7[[7B01 - Cells
Raw Score]]),_xlfn.STDEV.P(tblY7[[7B01 - Cells
Raw Score]])),9),_Stanine,2),5),"")</f>
        <v>2</v>
      </c>
      <c r="P45" s="66" t="inlineStr">
        <is>
          <t>A</t>
        </is>
      </c>
      <c r="Q45" s="67" t="str">
        <f>IF(ISNUMBER(tblY7[[#This Row],[7C01 - Particles
Raw Score]]),IFERROR(VLOOKUP(ROUND(STANDARDIZE(tblY7[[#This Row],[7C01 - Particles
Raw Score]],AVERAGE(tblY7[[7C01 - Particles
Raw Score]]),_xlfn.STDEV.P(tblY7[[7C01 - Particles
Raw Score]])),9),_Stanine,2),5),"")</f>
        <v/>
      </c>
      <c r="R45" s="66" t="n">
        <v>17</v>
      </c>
      <c r="S45" s="67">
        <f>IF(ISNUMBER(tblY7[[#This Row],[7P01 - Forces
Raw Score]]),IFERROR(VLOOKUP(ROUND(STANDARDIZE(tblY7[[#This Row],[7P01 - Forces
Raw Score]],AVERAGE(tblY7[[7P01 - Forces
Raw Score]]),_xlfn.STDEV.P(tblY7[[7P01 - Forces
Raw Score]])),9),_Stanine,2),5),"")</f>
        <v>3</v>
      </c>
      <c r="T45" s="66" t="n">
        <v>9</v>
      </c>
      <c r="U45" s="67">
        <f>IF(ISNUMBER(tblY7[[#This Row],[7B02 - Organ Systems
Raw Score]]),IFERROR(VLOOKUP(ROUND(STANDARDIZE(tblY7[[#This Row],[7B02 - Organ Systems
Raw Score]],AVERAGE(tblY7[[7B02 - Organ Systems
Raw Score]]),_xlfn.STDEV.P(tblY7[[7B02 - Organ Systems
Raw Score]])),9),_Stanine,2),5),"")</f>
        <v>2</v>
      </c>
    </row>
    <row r="46">
      <c r="A46" s="65" t="inlineStr">
        <is>
          <t>X906763725989</t>
        </is>
      </c>
      <c r="B46" s="65" t="inlineStr">
        <is>
          <t>Murphy</t>
        </is>
      </c>
      <c r="C46" s="65" t="inlineStr">
        <is>
          <t>Ella</t>
        </is>
      </c>
      <c r="D46" s="66" t="inlineStr">
        <is>
          <t>F</t>
        </is>
      </c>
      <c r="E46" s="66" t="inlineStr">
        <is>
          <t>N</t>
        </is>
      </c>
      <c r="F46" s="66" t="inlineStr">
        <is>
          <t>Y</t>
        </is>
      </c>
      <c r="G46" s="34" t="n">
        <v>87.2</v>
      </c>
      <c r="H46" s="34" t="n">
        <v>104.5</v>
      </c>
      <c r="I46" s="67">
        <f>IF(ISNUMBER(tblY7[[#This Row],[Avg KS2]]),IFERROR(VLOOKUP(ROUND(STANDARDIZE(tblY7[[#This Row],[Avg KS2]],AVERAGE(tblY7[[Avg KS2]]),_xlfn.STDEV.P(tblY7[[Avg KS2]])),9),_Stanine,2),5),"")</f>
        <v>4</v>
      </c>
      <c r="J46" s="66" t="inlineStr">
        <is>
          <t>7A/Sc2</t>
        </is>
      </c>
      <c r="K46" s="67">
        <f>IF(tblY7[[#This Row],[Preferred Last name]]="","",COUNTIFS($N$1:$ZZ$1,"*"&amp;CHAR(10)&amp;"Stanine",$N46:$ZZ46,"&gt;=1"))</f>
        <v>4</v>
      </c>
      <c r="L46" s="68">
        <f>IFERROR(AVERAGEIF($N$1:$ZZ$1,"*"&amp;CHAR(10)&amp;"Stanine",$N46:$ZZ46),"")</f>
        <v>3.25</v>
      </c>
      <c r="M46" s="69">
        <f>IF(AND(ISNUMBER(tblY7[[#This Row],[Mean Stanine]]),ISNUMBER(tblY7[[#This Row],[Avg KS2 Band]]),ISNUMBER(SlopeY7)),tblY7[[#This Row],[Mean Stanine]]-(InterceptY7+SlopeY7*tblY7[[#This Row],[Avg KS2 Band]]),"")</f>
        <v>-1.06340936195587</v>
      </c>
      <c r="N46" s="66" t="n">
        <v>12</v>
      </c>
      <c r="O46" s="67">
        <f>IF(ISNUMBER(tblY7[[#This Row],[7B01 - Cells
Raw Score]]),IFERROR(VLOOKUP(ROUND(STANDARDIZE(tblY7[[#This Row],[7B01 - Cells
Raw Score]],AVERAGE(tblY7[[7B01 - Cells
Raw Score]]),_xlfn.STDEV.P(tblY7[[7B01 - Cells
Raw Score]])),9),_Stanine,2),5),"")</f>
        <v>3</v>
      </c>
      <c r="P46" s="66" t="n">
        <v>14</v>
      </c>
      <c r="Q46" s="67">
        <f>IF(ISNUMBER(tblY7[[#This Row],[7C01 - Particles
Raw Score]]),IFERROR(VLOOKUP(ROUND(STANDARDIZE(tblY7[[#This Row],[7C01 - Particles
Raw Score]],AVERAGE(tblY7[[7C01 - Particles
Raw Score]]),_xlfn.STDEV.P(tblY7[[7C01 - Particles
Raw Score]])),9),_Stanine,2),5),"")</f>
        <v>3</v>
      </c>
      <c r="R46" s="66" t="n">
        <v>16</v>
      </c>
      <c r="S46" s="67">
        <f>IF(ISNUMBER(tblY7[[#This Row],[7P01 - Forces
Raw Score]]),IFERROR(VLOOKUP(ROUND(STANDARDIZE(tblY7[[#This Row],[7P01 - Forces
Raw Score]],AVERAGE(tblY7[[7P01 - Forces
Raw Score]]),_xlfn.STDEV.P(tblY7[[7P01 - Forces
Raw Score]])),9),_Stanine,2),5),"")</f>
        <v>3</v>
      </c>
      <c r="T46" s="66" t="n">
        <v>14</v>
      </c>
      <c r="U46" s="67">
        <f>IF(ISNUMBER(tblY7[[#This Row],[7B02 - Organ Systems
Raw Score]]),IFERROR(VLOOKUP(ROUND(STANDARDIZE(tblY7[[#This Row],[7B02 - Organ Systems
Raw Score]],AVERAGE(tblY7[[7B02 - Organ Systems
Raw Score]]),_xlfn.STDEV.P(tblY7[[7B02 - Organ Systems
Raw Score]])),9),_Stanine,2),5),"")</f>
        <v>4</v>
      </c>
    </row>
    <row r="47">
      <c r="A47" s="65" t="inlineStr">
        <is>
          <t>X905453950263</t>
        </is>
      </c>
      <c r="B47" s="65" t="inlineStr">
        <is>
          <t>Murphy</t>
        </is>
      </c>
      <c r="C47" s="65" t="inlineStr">
        <is>
          <t>Keira</t>
        </is>
      </c>
      <c r="D47" s="66" t="inlineStr">
        <is>
          <t>M</t>
        </is>
      </c>
      <c r="E47" s="66" t="inlineStr">
        <is>
          <t>K</t>
        </is>
      </c>
      <c r="F47" s="66" t="inlineStr">
        <is>
          <t>Y</t>
        </is>
      </c>
      <c r="G47" s="34" t="n">
        <v>97.7</v>
      </c>
      <c r="H47" s="34" t="n">
        <v>107.5</v>
      </c>
      <c r="I47" s="67">
        <f>IF(ISNUMBER(tblY7[[#This Row],[Avg KS2]]),IFERROR(VLOOKUP(ROUND(STANDARDIZE(tblY7[[#This Row],[Avg KS2]],AVERAGE(tblY7[[Avg KS2]]),_xlfn.STDEV.P(tblY7[[Avg KS2]])),9),_Stanine,2),5),"")</f>
        <v>5</v>
      </c>
      <c r="J47" s="66" t="inlineStr">
        <is>
          <t>7A/Sc2</t>
        </is>
      </c>
      <c r="K47" s="67">
        <f>IF(tblY7[[#This Row],[Preferred Last name]]="","",COUNTIFS($N$1:$ZZ$1,"*"&amp;CHAR(10)&amp;"Stanine",$N47:$ZZ47,"&gt;=1"))</f>
        <v>4</v>
      </c>
      <c r="L47" s="68">
        <f>IFERROR(AVERAGEIF($N$1:$ZZ$1,"*"&amp;CHAR(10)&amp;"Stanine",$N47:$ZZ47),"")</f>
        <v>7.5</v>
      </c>
      <c r="M47" s="69">
        <f>IF(AND(ISNUMBER(tblY7[[#This Row],[Mean Stanine]]),ISNUMBER(tblY7[[#This Row],[Avg KS2 Band]]),ISNUMBER(SlopeY7)),tblY7[[#This Row],[Mean Stanine]]-(InterceptY7+SlopeY7*tblY7[[#This Row],[Avg KS2 Band]]),"")</f>
        <v>2.49230769230769</v>
      </c>
      <c r="N47" s="66" t="n">
        <v>26</v>
      </c>
      <c r="O47" s="67">
        <f>IF(ISNUMBER(tblY7[[#This Row],[7B01 - Cells
Raw Score]]),IFERROR(VLOOKUP(ROUND(STANDARDIZE(tblY7[[#This Row],[7B01 - Cells
Raw Score]],AVERAGE(tblY7[[7B01 - Cells
Raw Score]]),_xlfn.STDEV.P(tblY7[[7B01 - Cells
Raw Score]])),9),_Stanine,2),5),"")</f>
        <v>8</v>
      </c>
      <c r="P47" s="66" t="n">
        <v>22</v>
      </c>
      <c r="Q47" s="67">
        <f>IF(ISNUMBER(tblY7[[#This Row],[7C01 - Particles
Raw Score]]),IFERROR(VLOOKUP(ROUND(STANDARDIZE(tblY7[[#This Row],[7C01 - Particles
Raw Score]],AVERAGE(tblY7[[7C01 - Particles
Raw Score]]),_xlfn.STDEV.P(tblY7[[7C01 - Particles
Raw Score]])),9),_Stanine,2),5),"")</f>
        <v>7</v>
      </c>
      <c r="R47" s="66" t="n">
        <v>26</v>
      </c>
      <c r="S47" s="67">
        <f>IF(ISNUMBER(tblY7[[#This Row],[7P01 - Forces
Raw Score]]),IFERROR(VLOOKUP(ROUND(STANDARDIZE(tblY7[[#This Row],[7P01 - Forces
Raw Score]],AVERAGE(tblY7[[7P01 - Forces
Raw Score]]),_xlfn.STDEV.P(tblY7[[7P01 - Forces
Raw Score]])),9),_Stanine,2),5),"")</f>
        <v>7</v>
      </c>
      <c r="T47" s="66" t="n">
        <v>25</v>
      </c>
      <c r="U47" s="67">
        <f>IF(ISNUMBER(tblY7[[#This Row],[7B02 - Organ Systems
Raw Score]]),IFERROR(VLOOKUP(ROUND(STANDARDIZE(tblY7[[#This Row],[7B02 - Organ Systems
Raw Score]],AVERAGE(tblY7[[7B02 - Organ Systems
Raw Score]]),_xlfn.STDEV.P(tblY7[[7B02 - Organ Systems
Raw Score]])),9),_Stanine,2),5),"")</f>
        <v>8</v>
      </c>
    </row>
    <row r="48">
      <c r="A48" s="65" t="inlineStr">
        <is>
          <t>X901019641429</t>
        </is>
      </c>
      <c r="B48" s="65" t="inlineStr">
        <is>
          <t>Murphy</t>
        </is>
      </c>
      <c r="C48" s="65" t="inlineStr">
        <is>
          <t>Priya</t>
        </is>
      </c>
      <c r="D48" s="66" t="inlineStr">
        <is>
          <t>M</t>
        </is>
      </c>
      <c r="E48" s="66" t="n"/>
      <c r="F48" s="66" t="inlineStr">
        <is>
          <t>Y</t>
        </is>
      </c>
      <c r="G48" s="34" t="n">
        <v>100</v>
      </c>
      <c r="H48" s="34" t="n">
        <v>111</v>
      </c>
      <c r="I48" s="67">
        <f>IF(ISNUMBER(tblY7[[#This Row],[Avg KS2]]),IFERROR(VLOOKUP(ROUND(STANDARDIZE(tblY7[[#This Row],[Avg KS2]],AVERAGE(tblY7[[Avg KS2]]),_xlfn.STDEV.P(tblY7[[Avg KS2]])),9),_Stanine,2),5),"")</f>
        <v>7</v>
      </c>
      <c r="J48" s="66" t="inlineStr">
        <is>
          <t>7A/Sc2</t>
        </is>
      </c>
      <c r="K48" s="67">
        <f>IF(tblY7[[#This Row],[Preferred Last name]]="","",COUNTIFS($N$1:$ZZ$1,"*"&amp;CHAR(10)&amp;"Stanine",$N48:$ZZ48,"&gt;=1"))</f>
        <v>4</v>
      </c>
      <c r="L48" s="68">
        <f>IFERROR(AVERAGEIF($N$1:$ZZ$1,"*"&amp;CHAR(10)&amp;"Stanine",$N48:$ZZ48),"")</f>
        <v>5</v>
      </c>
      <c r="M48" s="69">
        <f>IF(AND(ISNUMBER(tblY7[[#This Row],[Mean Stanine]]),ISNUMBER(tblY7[[#This Row],[Avg KS2 Band]]),ISNUMBER(SlopeY7)),tblY7[[#This Row],[Mean Stanine]]-(InterceptY7+SlopeY7*tblY7[[#This Row],[Avg KS2 Band]]),"")</f>
        <v>-1.39625819916518</v>
      </c>
      <c r="N48" s="66" t="n">
        <v>19</v>
      </c>
      <c r="O48" s="67">
        <f>IF(ISNUMBER(tblY7[[#This Row],[7B01 - Cells
Raw Score]]),IFERROR(VLOOKUP(ROUND(STANDARDIZE(tblY7[[#This Row],[7B01 - Cells
Raw Score]],AVERAGE(tblY7[[7B01 - Cells
Raw Score]]),_xlfn.STDEV.P(tblY7[[7B01 - Cells
Raw Score]])),9),_Stanine,2),5),"")</f>
        <v>5</v>
      </c>
      <c r="P48" s="66" t="n">
        <v>20</v>
      </c>
      <c r="Q48" s="67">
        <f>IF(ISNUMBER(tblY7[[#This Row],[7C01 - Particles
Raw Score]]),IFERROR(VLOOKUP(ROUND(STANDARDIZE(tblY7[[#This Row],[7C01 - Particles
Raw Score]],AVERAGE(tblY7[[7C01 - Particles
Raw Score]]),_xlfn.STDEV.P(tblY7[[7C01 - Particles
Raw Score]])),9),_Stanine,2),5),"")</f>
        <v>6</v>
      </c>
      <c r="R48" s="66" t="n">
        <v>22</v>
      </c>
      <c r="S48" s="67">
        <f>IF(ISNUMBER(tblY7[[#This Row],[7P01 - Forces
Raw Score]]),IFERROR(VLOOKUP(ROUND(STANDARDIZE(tblY7[[#This Row],[7P01 - Forces
Raw Score]],AVERAGE(tblY7[[7P01 - Forces
Raw Score]]),_xlfn.STDEV.P(tblY7[[7P01 - Forces
Raw Score]])),9),_Stanine,2),5),"")</f>
        <v>5</v>
      </c>
      <c r="T48" s="66" t="n">
        <v>15</v>
      </c>
      <c r="U48" s="67">
        <f>IF(ISNUMBER(tblY7[[#This Row],[7B02 - Organ Systems
Raw Score]]),IFERROR(VLOOKUP(ROUND(STANDARDIZE(tblY7[[#This Row],[7B02 - Organ Systems
Raw Score]],AVERAGE(tblY7[[7B02 - Organ Systems
Raw Score]]),_xlfn.STDEV.P(tblY7[[7B02 - Organ Systems
Raw Score]])),9),_Stanine,2),5),"")</f>
        <v>4</v>
      </c>
    </row>
    <row r="49">
      <c r="A49" s="65" t="inlineStr">
        <is>
          <t>X904394382630</t>
        </is>
      </c>
      <c r="B49" s="65" t="inlineStr">
        <is>
          <t>Nowak</t>
        </is>
      </c>
      <c r="C49" s="65" t="inlineStr">
        <is>
          <t>Amara</t>
        </is>
      </c>
      <c r="D49" s="66" t="inlineStr">
        <is>
          <t>M</t>
        </is>
      </c>
      <c r="E49" s="66" t="inlineStr">
        <is>
          <t>N</t>
        </is>
      </c>
      <c r="F49" s="66" t="inlineStr">
        <is>
          <t>N</t>
        </is>
      </c>
      <c r="G49" s="34" t="n">
        <v>100</v>
      </c>
      <c r="H49" s="34" t="n">
        <v>105</v>
      </c>
      <c r="I49" s="67">
        <f>IF(ISNUMBER(tblY7[[#This Row],[Avg KS2]]),IFERROR(VLOOKUP(ROUND(STANDARDIZE(tblY7[[#This Row],[Avg KS2]],AVERAGE(tblY7[[Avg KS2]]),_xlfn.STDEV.P(tblY7[[Avg KS2]])),9),_Stanine,2),5),"")</f>
        <v>4</v>
      </c>
      <c r="J49" s="66" t="inlineStr">
        <is>
          <t>7A/Sc2</t>
        </is>
      </c>
      <c r="K49" s="67">
        <f>IF(tblY7[[#This Row],[Preferred Last name]]="","",COUNTIFS($N$1:$ZZ$1,"*"&amp;CHAR(10)&amp;"Stanine",$N49:$ZZ49,"&gt;=1"))</f>
        <v>4</v>
      </c>
      <c r="L49" s="68">
        <f>IFERROR(AVERAGEIF($N$1:$ZZ$1,"*"&amp;CHAR(10)&amp;"Stanine",$N49:$ZZ49),"")</f>
        <v>6</v>
      </c>
      <c r="M49" s="69">
        <f>IF(AND(ISNUMBER(tblY7[[#This Row],[Mean Stanine]]),ISNUMBER(tblY7[[#This Row],[Avg KS2 Band]]),ISNUMBER(SlopeY7)),tblY7[[#This Row],[Mean Stanine]]-(InterceptY7+SlopeY7*tblY7[[#This Row],[Avg KS2 Band]]),"")</f>
        <v>1.68659063804413</v>
      </c>
      <c r="N49" s="66" t="n">
        <v>20</v>
      </c>
      <c r="O49" s="67">
        <f>IF(ISNUMBER(tblY7[[#This Row],[7B01 - Cells
Raw Score]]),IFERROR(VLOOKUP(ROUND(STANDARDIZE(tblY7[[#This Row],[7B01 - Cells
Raw Score]],AVERAGE(tblY7[[7B01 - Cells
Raw Score]]),_xlfn.STDEV.P(tblY7[[7B01 - Cells
Raw Score]])),9),_Stanine,2),5),"")</f>
        <v>6</v>
      </c>
      <c r="P49" s="66" t="n">
        <v>21</v>
      </c>
      <c r="Q49" s="67">
        <f>IF(ISNUMBER(tblY7[[#This Row],[7C01 - Particles
Raw Score]]),IFERROR(VLOOKUP(ROUND(STANDARDIZE(tblY7[[#This Row],[7C01 - Particles
Raw Score]],AVERAGE(tblY7[[7C01 - Particles
Raw Score]]),_xlfn.STDEV.P(tblY7[[7C01 - Particles
Raw Score]])),9),_Stanine,2),5),"")</f>
        <v>6</v>
      </c>
      <c r="R49" s="66" t="n">
        <v>25</v>
      </c>
      <c r="S49" s="67">
        <f>IF(ISNUMBER(tblY7[[#This Row],[7P01 - Forces
Raw Score]]),IFERROR(VLOOKUP(ROUND(STANDARDIZE(tblY7[[#This Row],[7P01 - Forces
Raw Score]],AVERAGE(tblY7[[7P01 - Forces
Raw Score]]),_xlfn.STDEV.P(tblY7[[7P01 - Forces
Raw Score]])),9),_Stanine,2),5),"")</f>
        <v>6</v>
      </c>
      <c r="T49" s="66" t="n">
        <v>21</v>
      </c>
      <c r="U49" s="67">
        <f>IF(ISNUMBER(tblY7[[#This Row],[7B02 - Organ Systems
Raw Score]]),IFERROR(VLOOKUP(ROUND(STANDARDIZE(tblY7[[#This Row],[7B02 - Organ Systems
Raw Score]],AVERAGE(tblY7[[7B02 - Organ Systems
Raw Score]]),_xlfn.STDEV.P(tblY7[[7B02 - Organ Systems
Raw Score]])),9),_Stanine,2),5),"")</f>
        <v>6</v>
      </c>
    </row>
    <row r="50">
      <c r="A50" s="65" t="inlineStr">
        <is>
          <t>X903391241298</t>
        </is>
      </c>
      <c r="B50" s="65" t="inlineStr">
        <is>
          <t>Parker</t>
        </is>
      </c>
      <c r="C50" s="65" t="inlineStr">
        <is>
          <t>Freya</t>
        </is>
      </c>
      <c r="D50" s="66" t="inlineStr">
        <is>
          <t>F</t>
        </is>
      </c>
      <c r="E50" s="66" t="inlineStr">
        <is>
          <t>N</t>
        </is>
      </c>
      <c r="F50" s="66" t="inlineStr">
        <is>
          <t>N</t>
        </is>
      </c>
      <c r="G50" s="34" t="n">
        <v>98.90000000000001</v>
      </c>
      <c r="H50" s="34" t="n">
        <v>110</v>
      </c>
      <c r="I50" s="67">
        <f>IF(ISNUMBER(tblY7[[#This Row],[Avg KS2]]),IFERROR(VLOOKUP(ROUND(STANDARDIZE(tblY7[[#This Row],[Avg KS2]],AVERAGE(tblY7[[Avg KS2]]),_xlfn.STDEV.P(tblY7[[Avg KS2]])),9),_Stanine,2),5),"")</f>
        <v>6</v>
      </c>
      <c r="J50" s="66" t="inlineStr">
        <is>
          <t>7A/Sc2</t>
        </is>
      </c>
      <c r="K50" s="67">
        <f>IF(tblY7[[#This Row],[Preferred Last name]]="","",COUNTIFS($N$1:$ZZ$1,"*"&amp;CHAR(10)&amp;"Stanine",$N50:$ZZ50,"&gt;=1"))</f>
        <v>4</v>
      </c>
      <c r="L50" s="68">
        <f>IFERROR(AVERAGEIF($N$1:$ZZ$1,"*"&amp;CHAR(10)&amp;"Stanine",$N50:$ZZ50),"")</f>
        <v>7.25</v>
      </c>
      <c r="M50" s="69">
        <f>IF(AND(ISNUMBER(tblY7[[#This Row],[Mean Stanine]]),ISNUMBER(tblY7[[#This Row],[Avg KS2 Band]]),ISNUMBER(SlopeY7)),tblY7[[#This Row],[Mean Stanine]]-(InterceptY7+SlopeY7*tblY7[[#This Row],[Avg KS2 Band]]),"")</f>
        <v>1.54802474657126</v>
      </c>
      <c r="N50" s="66" t="n">
        <v>25</v>
      </c>
      <c r="O50" s="67">
        <f>IF(ISNUMBER(tblY7[[#This Row],[7B01 - Cells
Raw Score]]),IFERROR(VLOOKUP(ROUND(STANDARDIZE(tblY7[[#This Row],[7B01 - Cells
Raw Score]],AVERAGE(tblY7[[7B01 - Cells
Raw Score]]),_xlfn.STDEV.P(tblY7[[7B01 - Cells
Raw Score]])),9),_Stanine,2),5),"")</f>
        <v>7</v>
      </c>
      <c r="P50" s="66" t="n">
        <v>23</v>
      </c>
      <c r="Q50" s="67">
        <f>IF(ISNUMBER(tblY7[[#This Row],[7C01 - Particles
Raw Score]]),IFERROR(VLOOKUP(ROUND(STANDARDIZE(tblY7[[#This Row],[7C01 - Particles
Raw Score]],AVERAGE(tblY7[[7C01 - Particles
Raw Score]]),_xlfn.STDEV.P(tblY7[[7C01 - Particles
Raw Score]])),9),_Stanine,2),5),"")</f>
        <v>7</v>
      </c>
      <c r="R50" s="66" t="n">
        <v>28</v>
      </c>
      <c r="S50" s="67">
        <f>IF(ISNUMBER(tblY7[[#This Row],[7P01 - Forces
Raw Score]]),IFERROR(VLOOKUP(ROUND(STANDARDIZE(tblY7[[#This Row],[7P01 - Forces
Raw Score]],AVERAGE(tblY7[[7P01 - Forces
Raw Score]]),_xlfn.STDEV.P(tblY7[[7P01 - Forces
Raw Score]])),9),_Stanine,2),5),"")</f>
        <v>8</v>
      </c>
      <c r="T50" s="66" t="n">
        <v>24</v>
      </c>
      <c r="U50" s="67">
        <f>IF(ISNUMBER(tblY7[[#This Row],[7B02 - Organ Systems
Raw Score]]),IFERROR(VLOOKUP(ROUND(STANDARDIZE(tblY7[[#This Row],[7B02 - Organ Systems
Raw Score]],AVERAGE(tblY7[[7B02 - Organ Systems
Raw Score]]),_xlfn.STDEV.P(tblY7[[7B02 - Organ Systems
Raw Score]])),9),_Stanine,2),5),"")</f>
        <v>7</v>
      </c>
    </row>
    <row r="51">
      <c r="A51" s="65" t="inlineStr">
        <is>
          <t>X901122240006</t>
        </is>
      </c>
      <c r="B51" s="65" t="inlineStr">
        <is>
          <t>Parker</t>
        </is>
      </c>
      <c r="C51" s="65" t="inlineStr">
        <is>
          <t>Niamh</t>
        </is>
      </c>
      <c r="D51" s="66" t="inlineStr">
        <is>
          <t>F</t>
        </is>
      </c>
      <c r="E51" s="66" t="inlineStr">
        <is>
          <t>N</t>
        </is>
      </c>
      <c r="F51" s="66" t="inlineStr">
        <is>
          <t>Y</t>
        </is>
      </c>
      <c r="G51" s="34" t="n">
        <v>85</v>
      </c>
      <c r="H51" s="34" t="n">
        <v>104</v>
      </c>
      <c r="I51" s="67">
        <f>IF(ISNUMBER(tblY7[[#This Row],[Avg KS2]]),IFERROR(VLOOKUP(ROUND(STANDARDIZE(tblY7[[#This Row],[Avg KS2]],AVERAGE(tblY7[[Avg KS2]]),_xlfn.STDEV.P(tblY7[[Avg KS2]])),9),_Stanine,2),5),"")</f>
        <v>4</v>
      </c>
      <c r="J51" s="66" t="inlineStr">
        <is>
          <t>7A/Sc2</t>
        </is>
      </c>
      <c r="K51" s="67">
        <f>IF(tblY7[[#This Row],[Preferred Last name]]="","",COUNTIFS($N$1:$ZZ$1,"*"&amp;CHAR(10)&amp;"Stanine",$N51:$ZZ51,"&gt;=1"))</f>
        <v>4</v>
      </c>
      <c r="L51" s="68">
        <f>IFERROR(AVERAGEIF($N$1:$ZZ$1,"*"&amp;CHAR(10)&amp;"Stanine",$N51:$ZZ51),"")</f>
        <v>5.75</v>
      </c>
      <c r="M51" s="69">
        <f>IF(AND(ISNUMBER(tblY7[[#This Row],[Mean Stanine]]),ISNUMBER(tblY7[[#This Row],[Avg KS2 Band]]),ISNUMBER(SlopeY7)),tblY7[[#This Row],[Mean Stanine]]-(InterceptY7+SlopeY7*tblY7[[#This Row],[Avg KS2 Band]]),"")</f>
        <v>1.43659063804413</v>
      </c>
      <c r="N51" s="66" t="n">
        <v>21</v>
      </c>
      <c r="O51" s="67">
        <f>IF(ISNUMBER(tblY7[[#This Row],[7B01 - Cells
Raw Score]]),IFERROR(VLOOKUP(ROUND(STANDARDIZE(tblY7[[#This Row],[7B01 - Cells
Raw Score]],AVERAGE(tblY7[[7B01 - Cells
Raw Score]]),_xlfn.STDEV.P(tblY7[[7B01 - Cells
Raw Score]])),9),_Stanine,2),5),"")</f>
        <v>6</v>
      </c>
      <c r="P51" s="66" t="n">
        <v>20</v>
      </c>
      <c r="Q51" s="67">
        <f>IF(ISNUMBER(tblY7[[#This Row],[7C01 - Particles
Raw Score]]),IFERROR(VLOOKUP(ROUND(STANDARDIZE(tblY7[[#This Row],[7C01 - Particles
Raw Score]],AVERAGE(tblY7[[7C01 - Particles
Raw Score]]),_xlfn.STDEV.P(tblY7[[7C01 - Particles
Raw Score]])),9),_Stanine,2),5),"")</f>
        <v>6</v>
      </c>
      <c r="R51" s="66" t="n">
        <v>22</v>
      </c>
      <c r="S51" s="67">
        <f>IF(ISNUMBER(tblY7[[#This Row],[7P01 - Forces
Raw Score]]),IFERROR(VLOOKUP(ROUND(STANDARDIZE(tblY7[[#This Row],[7P01 - Forces
Raw Score]],AVERAGE(tblY7[[7P01 - Forces
Raw Score]]),_xlfn.STDEV.P(tblY7[[7P01 - Forces
Raw Score]])),9),_Stanine,2),5),"")</f>
        <v>5</v>
      </c>
      <c r="T51" s="66" t="n">
        <v>20</v>
      </c>
      <c r="U51" s="67">
        <f>IF(ISNUMBER(tblY7[[#This Row],[7B02 - Organ Systems
Raw Score]]),IFERROR(VLOOKUP(ROUND(STANDARDIZE(tblY7[[#This Row],[7B02 - Organ Systems
Raw Score]],AVERAGE(tblY7[[7B02 - Organ Systems
Raw Score]]),_xlfn.STDEV.P(tblY7[[7B02 - Organ Systems
Raw Score]])),9),_Stanine,2),5),"")</f>
        <v>6</v>
      </c>
    </row>
    <row r="52">
      <c r="A52" s="65" t="inlineStr">
        <is>
          <t>X905627215107</t>
        </is>
      </c>
      <c r="B52" s="65" t="inlineStr">
        <is>
          <t>Patel</t>
        </is>
      </c>
      <c r="C52" s="65" t="inlineStr">
        <is>
          <t>Poppy</t>
        </is>
      </c>
      <c r="D52" s="66" t="inlineStr">
        <is>
          <t>M</t>
        </is>
      </c>
      <c r="E52" s="66" t="n"/>
      <c r="F52" s="66" t="inlineStr">
        <is>
          <t>N</t>
        </is>
      </c>
      <c r="G52" s="34" t="n">
        <v>91.2</v>
      </c>
      <c r="H52" s="34" t="n">
        <v>102</v>
      </c>
      <c r="I52" s="67">
        <f>IF(ISNUMBER(tblY7[[#This Row],[Avg KS2]]),IFERROR(VLOOKUP(ROUND(STANDARDIZE(tblY7[[#This Row],[Avg KS2]],AVERAGE(tblY7[[Avg KS2]]),_xlfn.STDEV.P(tblY7[[Avg KS2]])),9),_Stanine,2),5),"")</f>
        <v>3</v>
      </c>
      <c r="J52" s="66" t="inlineStr">
        <is>
          <t>7A/Sc2</t>
        </is>
      </c>
      <c r="K52" s="67">
        <f>IF(tblY7[[#This Row],[Preferred Last name]]="","",COUNTIFS($N$1:$ZZ$1,"*"&amp;CHAR(10)&amp;"Stanine",$N52:$ZZ52,"&gt;=1"))</f>
        <v>4</v>
      </c>
      <c r="L52" s="68">
        <f>IFERROR(AVERAGEIF($N$1:$ZZ$1,"*"&amp;CHAR(10)&amp;"Stanine",$N52:$ZZ52),"")</f>
        <v>3.75</v>
      </c>
      <c r="M52" s="69">
        <f>IF(AND(ISNUMBER(tblY7[[#This Row],[Mean Stanine]]),ISNUMBER(tblY7[[#This Row],[Avg KS2 Band]]),ISNUMBER(SlopeY7)),tblY7[[#This Row],[Mean Stanine]]-(InterceptY7+SlopeY7*tblY7[[#This Row],[Avg KS2 Band]]),"")</f>
        <v>0.130873583780561</v>
      </c>
      <c r="N52" s="66" t="n">
        <v>19</v>
      </c>
      <c r="O52" s="67">
        <f>IF(ISNUMBER(tblY7[[#This Row],[7B01 - Cells
Raw Score]]),IFERROR(VLOOKUP(ROUND(STANDARDIZE(tblY7[[#This Row],[7B01 - Cells
Raw Score]],AVERAGE(tblY7[[7B01 - Cells
Raw Score]]),_xlfn.STDEV.P(tblY7[[7B01 - Cells
Raw Score]])),9),_Stanine,2),5),"")</f>
        <v>5</v>
      </c>
      <c r="P52" s="66" t="n">
        <v>16</v>
      </c>
      <c r="Q52" s="67">
        <f>IF(ISNUMBER(tblY7[[#This Row],[7C01 - Particles
Raw Score]]),IFERROR(VLOOKUP(ROUND(STANDARDIZE(tblY7[[#This Row],[7C01 - Particles
Raw Score]],AVERAGE(tblY7[[7C01 - Particles
Raw Score]]),_xlfn.STDEV.P(tblY7[[7C01 - Particles
Raw Score]])),9),_Stanine,2),5),"")</f>
        <v>4</v>
      </c>
      <c r="R52" s="66" t="n">
        <v>19</v>
      </c>
      <c r="S52" s="67">
        <f>IF(ISNUMBER(tblY7[[#This Row],[7P01 - Forces
Raw Score]]),IFERROR(VLOOKUP(ROUND(STANDARDIZE(tblY7[[#This Row],[7P01 - Forces
Raw Score]],AVERAGE(tblY7[[7P01 - Forces
Raw Score]]),_xlfn.STDEV.P(tblY7[[7P01 - Forces
Raw Score]])),9),_Stanine,2),5),"")</f>
        <v>4</v>
      </c>
      <c r="T52" s="66" t="n">
        <v>10</v>
      </c>
      <c r="U52" s="67">
        <f>IF(ISNUMBER(tblY7[[#This Row],[7B02 - Organ Systems
Raw Score]]),IFERROR(VLOOKUP(ROUND(STANDARDIZE(tblY7[[#This Row],[7B02 - Organ Systems
Raw Score]],AVERAGE(tblY7[[7B02 - Organ Systems
Raw Score]]),_xlfn.STDEV.P(tblY7[[7B02 - Organ Systems
Raw Score]])),9),_Stanine,2),5),"")</f>
        <v>2</v>
      </c>
    </row>
    <row r="53">
      <c r="A53" s="65" t="inlineStr">
        <is>
          <t>X907171447855</t>
        </is>
      </c>
      <c r="B53" s="65" t="inlineStr">
        <is>
          <t>Smith</t>
        </is>
      </c>
      <c r="C53" s="65" t="inlineStr">
        <is>
          <t>Evie</t>
        </is>
      </c>
      <c r="D53" s="66" t="inlineStr">
        <is>
          <t>F</t>
        </is>
      </c>
      <c r="E53" s="66" t="n"/>
      <c r="F53" s="66" t="inlineStr">
        <is>
          <t>N</t>
        </is>
      </c>
      <c r="G53" s="34" t="n">
        <v>82.09999999999999</v>
      </c>
      <c r="H53" s="34" t="n">
        <v>111</v>
      </c>
      <c r="I53" s="67">
        <f>IF(ISNUMBER(tblY7[[#This Row],[Avg KS2]]),IFERROR(VLOOKUP(ROUND(STANDARDIZE(tblY7[[#This Row],[Avg KS2]],AVERAGE(tblY7[[Avg KS2]]),_xlfn.STDEV.P(tblY7[[Avg KS2]])),9),_Stanine,2),5),"")</f>
        <v>7</v>
      </c>
      <c r="J53" s="66" t="inlineStr">
        <is>
          <t>7A/Sc2</t>
        </is>
      </c>
      <c r="K53" s="67">
        <f>IF(tblY7[[#This Row],[Preferred Last name]]="","",COUNTIFS($N$1:$ZZ$1,"*"&amp;CHAR(10)&amp;"Stanine",$N53:$ZZ53,"&gt;=1"))</f>
        <v>4</v>
      </c>
      <c r="L53" s="68">
        <f>IFERROR(AVERAGEIF($N$1:$ZZ$1,"*"&amp;CHAR(10)&amp;"Stanine",$N53:$ZZ53),"")</f>
        <v>3.75</v>
      </c>
      <c r="M53" s="69">
        <f>IF(AND(ISNUMBER(tblY7[[#This Row],[Mean Stanine]]),ISNUMBER(tblY7[[#This Row],[Avg KS2 Band]]),ISNUMBER(SlopeY7)),tblY7[[#This Row],[Mean Stanine]]-(InterceptY7+SlopeY7*tblY7[[#This Row],[Avg KS2 Band]]),"")</f>
        <v>-2.64625819916518</v>
      </c>
      <c r="N53" s="66" t="n">
        <v>15</v>
      </c>
      <c r="O53" s="67">
        <f>IF(ISNUMBER(tblY7[[#This Row],[7B01 - Cells
Raw Score]]),IFERROR(VLOOKUP(ROUND(STANDARDIZE(tblY7[[#This Row],[7B01 - Cells
Raw Score]],AVERAGE(tblY7[[7B01 - Cells
Raw Score]]),_xlfn.STDEV.P(tblY7[[7B01 - Cells
Raw Score]])),9),_Stanine,2),5),"")</f>
        <v>4</v>
      </c>
      <c r="P53" s="66" t="n">
        <v>16</v>
      </c>
      <c r="Q53" s="67">
        <f>IF(ISNUMBER(tblY7[[#This Row],[7C01 - Particles
Raw Score]]),IFERROR(VLOOKUP(ROUND(STANDARDIZE(tblY7[[#This Row],[7C01 - Particles
Raw Score]],AVERAGE(tblY7[[7C01 - Particles
Raw Score]]),_xlfn.STDEV.P(tblY7[[7C01 - Particles
Raw Score]])),9),_Stanine,2),5),"")</f>
        <v>4</v>
      </c>
      <c r="R53" s="66" t="n">
        <v>18</v>
      </c>
      <c r="S53" s="67">
        <f>IF(ISNUMBER(tblY7[[#This Row],[7P01 - Forces
Raw Score]]),IFERROR(VLOOKUP(ROUND(STANDARDIZE(tblY7[[#This Row],[7P01 - Forces
Raw Score]],AVERAGE(tblY7[[7P01 - Forces
Raw Score]]),_xlfn.STDEV.P(tblY7[[7P01 - Forces
Raw Score]])),9),_Stanine,2),5),"")</f>
        <v>4</v>
      </c>
      <c r="T53" s="66" t="n">
        <v>13</v>
      </c>
      <c r="U53" s="67">
        <f>IF(ISNUMBER(tblY7[[#This Row],[7B02 - Organ Systems
Raw Score]]),IFERROR(VLOOKUP(ROUND(STANDARDIZE(tblY7[[#This Row],[7B02 - Organ Systems
Raw Score]],AVERAGE(tblY7[[7B02 - Organ Systems
Raw Score]]),_xlfn.STDEV.P(tblY7[[7B02 - Organ Systems
Raw Score]])),9),_Stanine,2),5),"")</f>
        <v>3</v>
      </c>
    </row>
    <row r="54">
      <c r="A54" s="65" t="inlineStr">
        <is>
          <t>X902856481428</t>
        </is>
      </c>
      <c r="B54" s="65" t="inlineStr">
        <is>
          <t>Taylor</t>
        </is>
      </c>
      <c r="C54" s="65" t="inlineStr">
        <is>
          <t>Ava</t>
        </is>
      </c>
      <c r="D54" s="66" t="inlineStr">
        <is>
          <t>M</t>
        </is>
      </c>
      <c r="E54" s="66" t="inlineStr">
        <is>
          <t>E</t>
        </is>
      </c>
      <c r="F54" s="66" t="inlineStr">
        <is>
          <t>Y</t>
        </is>
      </c>
      <c r="G54" s="34" t="n">
        <v>89.2</v>
      </c>
      <c r="H54" s="34" t="n">
        <v>101</v>
      </c>
      <c r="I54" s="67">
        <f>IF(ISNUMBER(tblY7[[#This Row],[Avg KS2]]),IFERROR(VLOOKUP(ROUND(STANDARDIZE(tblY7[[#This Row],[Avg KS2]],AVERAGE(tblY7[[Avg KS2]]),_xlfn.STDEV.P(tblY7[[Avg KS2]])),9),_Stanine,2),5),"")</f>
        <v>3</v>
      </c>
      <c r="J54" s="66" t="inlineStr">
        <is>
          <t>7A/Sc2</t>
        </is>
      </c>
      <c r="K54" s="67">
        <f>IF(tblY7[[#This Row],[Preferred Last name]]="","",COUNTIFS($N$1:$ZZ$1,"*"&amp;CHAR(10)&amp;"Stanine",$N54:$ZZ54,"&gt;=1"))</f>
        <v>4</v>
      </c>
      <c r="L54" s="68">
        <f>IFERROR(AVERAGEIF($N$1:$ZZ$1,"*"&amp;CHAR(10)&amp;"Stanine",$N54:$ZZ54),"")</f>
        <v>1</v>
      </c>
      <c r="M54" s="69">
        <f>IF(AND(ISNUMBER(tblY7[[#This Row],[Mean Stanine]]),ISNUMBER(tblY7[[#This Row],[Avg KS2 Band]]),ISNUMBER(SlopeY7)),tblY7[[#This Row],[Mean Stanine]]-(InterceptY7+SlopeY7*tblY7[[#This Row],[Avg KS2 Band]]),"")</f>
        <v>-2.61912641621944</v>
      </c>
      <c r="N54" s="66" t="n">
        <v>3</v>
      </c>
      <c r="O54" s="67">
        <f>IF(ISNUMBER(tblY7[[#This Row],[7B01 - Cells
Raw Score]]),IFERROR(VLOOKUP(ROUND(STANDARDIZE(tblY7[[#This Row],[7B01 - Cells
Raw Score]],AVERAGE(tblY7[[7B01 - Cells
Raw Score]]),_xlfn.STDEV.P(tblY7[[7B01 - Cells
Raw Score]])),9),_Stanine,2),5),"")</f>
        <v>1</v>
      </c>
      <c r="P54" s="66" t="n">
        <v>10</v>
      </c>
      <c r="Q54" s="67">
        <f>IF(ISNUMBER(tblY7[[#This Row],[7C01 - Particles
Raw Score]]),IFERROR(VLOOKUP(ROUND(STANDARDIZE(tblY7[[#This Row],[7C01 - Particles
Raw Score]],AVERAGE(tblY7[[7C01 - Particles
Raw Score]]),_xlfn.STDEV.P(tblY7[[7C01 - Particles
Raw Score]])),9),_Stanine,2),5),"")</f>
        <v>1</v>
      </c>
      <c r="R54" s="66" t="n">
        <v>7</v>
      </c>
      <c r="S54" s="67">
        <f>IF(ISNUMBER(tblY7[[#This Row],[7P01 - Forces
Raw Score]]),IFERROR(VLOOKUP(ROUND(STANDARDIZE(tblY7[[#This Row],[7P01 - Forces
Raw Score]],AVERAGE(tblY7[[7P01 - Forces
Raw Score]]),_xlfn.STDEV.P(tblY7[[7P01 - Forces
Raw Score]])),9),_Stanine,2),5),"")</f>
        <v>1</v>
      </c>
      <c r="T54" s="66" t="n">
        <v>5</v>
      </c>
      <c r="U54" s="67">
        <f>IF(ISNUMBER(tblY7[[#This Row],[7B02 - Organ Systems
Raw Score]]),IFERROR(VLOOKUP(ROUND(STANDARDIZE(tblY7[[#This Row],[7B02 - Organ Systems
Raw Score]],AVERAGE(tblY7[[7B02 - Organ Systems
Raw Score]]),_xlfn.STDEV.P(tblY7[[7B02 - Organ Systems
Raw Score]])),9),_Stanine,2),5),"")</f>
        <v>1</v>
      </c>
    </row>
    <row r="55">
      <c r="A55" s="65" t="inlineStr">
        <is>
          <t>X902114167275</t>
        </is>
      </c>
      <c r="B55" s="65" t="inlineStr">
        <is>
          <t>Turner</t>
        </is>
      </c>
      <c r="C55" s="65" t="inlineStr">
        <is>
          <t>Aisha</t>
        </is>
      </c>
      <c r="D55" s="66" t="inlineStr">
        <is>
          <t>M</t>
        </is>
      </c>
      <c r="E55" s="66" t="inlineStr">
        <is>
          <t>N</t>
        </is>
      </c>
      <c r="F55" s="66" t="inlineStr">
        <is>
          <t>N</t>
        </is>
      </c>
      <c r="G55" s="34" t="n">
        <v>97.3</v>
      </c>
      <c r="H55" s="34" t="n">
        <v>112</v>
      </c>
      <c r="I55" s="67">
        <f>IF(ISNUMBER(tblY7[[#This Row],[Avg KS2]]),IFERROR(VLOOKUP(ROUND(STANDARDIZE(tblY7[[#This Row],[Avg KS2]],AVERAGE(tblY7[[Avg KS2]]),_xlfn.STDEV.P(tblY7[[Avg KS2]])),9),_Stanine,2),5),"")</f>
        <v>7</v>
      </c>
      <c r="J55" s="66" t="inlineStr">
        <is>
          <t>7A/Sc2</t>
        </is>
      </c>
      <c r="K55" s="67">
        <f>IF(tblY7[[#This Row],[Preferred Last name]]="","",COUNTIFS($N$1:$ZZ$1,"*"&amp;CHAR(10)&amp;"Stanine",$N55:$ZZ55,"&gt;=1"))</f>
        <v>3</v>
      </c>
      <c r="L55" s="68">
        <f>IFERROR(AVERAGEIF($N$1:$ZZ$1,"*"&amp;CHAR(10)&amp;"Stanine",$N55:$ZZ55),"")</f>
        <v>4.66666666666667</v>
      </c>
      <c r="M55" s="69">
        <f>IF(AND(ISNUMBER(tblY7[[#This Row],[Mean Stanine]]),ISNUMBER(tblY7[[#This Row],[Avg KS2 Band]]),ISNUMBER(SlopeY7)),tblY7[[#This Row],[Mean Stanine]]-(InterceptY7+SlopeY7*tblY7[[#This Row],[Avg KS2 Band]]),"")</f>
        <v>-1.72959153249851</v>
      </c>
      <c r="N55" s="66" t="n">
        <v>19</v>
      </c>
      <c r="O55" s="67">
        <f>IF(ISNUMBER(tblY7[[#This Row],[7B01 - Cells
Raw Score]]),IFERROR(VLOOKUP(ROUND(STANDARDIZE(tblY7[[#This Row],[7B01 - Cells
Raw Score]],AVERAGE(tblY7[[7B01 - Cells
Raw Score]]),_xlfn.STDEV.P(tblY7[[7B01 - Cells
Raw Score]])),9),_Stanine,2),5),"")</f>
        <v>5</v>
      </c>
      <c r="P55" s="66" t="inlineStr">
        <is>
          <t>A</t>
        </is>
      </c>
      <c r="Q55" s="67" t="str">
        <f>IF(ISNUMBER(tblY7[[#This Row],[7C01 - Particles
Raw Score]]),IFERROR(VLOOKUP(ROUND(STANDARDIZE(tblY7[[#This Row],[7C01 - Particles
Raw Score]],AVERAGE(tblY7[[7C01 - Particles
Raw Score]]),_xlfn.STDEV.P(tblY7[[7C01 - Particles
Raw Score]])),9),_Stanine,2),5),"")</f>
        <v/>
      </c>
      <c r="R55" s="66" t="n">
        <v>19</v>
      </c>
      <c r="S55" s="67">
        <f>IF(ISNUMBER(tblY7[[#This Row],[7P01 - Forces
Raw Score]]),IFERROR(VLOOKUP(ROUND(STANDARDIZE(tblY7[[#This Row],[7P01 - Forces
Raw Score]],AVERAGE(tblY7[[7P01 - Forces
Raw Score]]),_xlfn.STDEV.P(tblY7[[7P01 - Forces
Raw Score]])),9),_Stanine,2),5),"")</f>
        <v>4</v>
      </c>
      <c r="T55" s="66" t="n">
        <v>18</v>
      </c>
      <c r="U55" s="67">
        <f>IF(ISNUMBER(tblY7[[#This Row],[7B02 - Organ Systems
Raw Score]]),IFERROR(VLOOKUP(ROUND(STANDARDIZE(tblY7[[#This Row],[7B02 - Organ Systems
Raw Score]],AVERAGE(tblY7[[7B02 - Organ Systems
Raw Score]]),_xlfn.STDEV.P(tblY7[[7B02 - Organ Systems
Raw Score]])),9),_Stanine,2),5),"")</f>
        <v>5</v>
      </c>
    </row>
    <row r="56">
      <c r="A56" s="65" t="inlineStr">
        <is>
          <t>X900212364881</t>
        </is>
      </c>
      <c r="B56" s="65" t="inlineStr">
        <is>
          <t>Ward</t>
        </is>
      </c>
      <c r="C56" s="65" t="inlineStr">
        <is>
          <t>Finley</t>
        </is>
      </c>
      <c r="D56" s="66" t="inlineStr">
        <is>
          <t>F</t>
        </is>
      </c>
      <c r="E56" s="66" t="n"/>
      <c r="F56" s="66" t="inlineStr">
        <is>
          <t>N</t>
        </is>
      </c>
      <c r="G56" s="34" t="n">
        <v>94.3</v>
      </c>
      <c r="H56" s="34" t="n">
        <v>96.5</v>
      </c>
      <c r="I56" s="67">
        <f>IF(ISNUMBER(tblY7[[#This Row],[Avg KS2]]),IFERROR(VLOOKUP(ROUND(STANDARDIZE(tblY7[[#This Row],[Avg KS2]],AVERAGE(tblY7[[Avg KS2]]),_xlfn.STDEV.P(tblY7[[Avg KS2]])),9),_Stanine,2),5),"")</f>
        <v>1</v>
      </c>
      <c r="J56" s="66" t="inlineStr">
        <is>
          <t>7A/Sc2</t>
        </is>
      </c>
      <c r="K56" s="67">
        <f>IF(tblY7[[#This Row],[Preferred Last name]]="","",COUNTIFS($N$1:$ZZ$1,"*"&amp;CHAR(10)&amp;"Stanine",$N56:$ZZ56,"&gt;=1"))</f>
        <v>4</v>
      </c>
      <c r="L56" s="68">
        <f>IFERROR(AVERAGEIF($N$1:$ZZ$1,"*"&amp;CHAR(10)&amp;"Stanine",$N56:$ZZ56),"")</f>
        <v>4.5</v>
      </c>
      <c r="M56" s="69">
        <f>IF(AND(ISNUMBER(tblY7[[#This Row],[Mean Stanine]]),ISNUMBER(tblY7[[#This Row],[Avg KS2 Band]]),ISNUMBER(SlopeY7)),tblY7[[#This Row],[Mean Stanine]]-(InterceptY7+SlopeY7*tblY7[[#This Row],[Avg KS2 Band]]),"")</f>
        <v>2.26943947525343</v>
      </c>
      <c r="N56" s="66" t="n">
        <v>15</v>
      </c>
      <c r="O56" s="67">
        <f>IF(ISNUMBER(tblY7[[#This Row],[7B01 - Cells
Raw Score]]),IFERROR(VLOOKUP(ROUND(STANDARDIZE(tblY7[[#This Row],[7B01 - Cells
Raw Score]],AVERAGE(tblY7[[7B01 - Cells
Raw Score]]),_xlfn.STDEV.P(tblY7[[7B01 - Cells
Raw Score]])),9),_Stanine,2),5),"")</f>
        <v>4</v>
      </c>
      <c r="P56" s="66" t="n">
        <v>18</v>
      </c>
      <c r="Q56" s="67">
        <f>IF(ISNUMBER(tblY7[[#This Row],[7C01 - Particles
Raw Score]]),IFERROR(VLOOKUP(ROUND(STANDARDIZE(tblY7[[#This Row],[7C01 - Particles
Raw Score]],AVERAGE(tblY7[[7C01 - Particles
Raw Score]]),_xlfn.STDEV.P(tblY7[[7C01 - Particles
Raw Score]])),9),_Stanine,2),5),"")</f>
        <v>5</v>
      </c>
      <c r="R56" s="66" t="n">
        <v>18</v>
      </c>
      <c r="S56" s="67">
        <f>IF(ISNUMBER(tblY7[[#This Row],[7P01 - Forces
Raw Score]]),IFERROR(VLOOKUP(ROUND(STANDARDIZE(tblY7[[#This Row],[7P01 - Forces
Raw Score]],AVERAGE(tblY7[[7P01 - Forces
Raw Score]]),_xlfn.STDEV.P(tblY7[[7P01 - Forces
Raw Score]])),9),_Stanine,2),5),"")</f>
        <v>4</v>
      </c>
      <c r="T56" s="66" t="n">
        <v>17</v>
      </c>
      <c r="U56" s="67">
        <f>IF(ISNUMBER(tblY7[[#This Row],[7B02 - Organ Systems
Raw Score]]),IFERROR(VLOOKUP(ROUND(STANDARDIZE(tblY7[[#This Row],[7B02 - Organ Systems
Raw Score]],AVERAGE(tblY7[[7B02 - Organ Systems
Raw Score]]),_xlfn.STDEV.P(tblY7[[7B02 - Organ Systems
Raw Score]])),9),_Stanine,2),5),"")</f>
        <v>5</v>
      </c>
    </row>
    <row r="57">
      <c r="A57" s="65" t="inlineStr">
        <is>
          <t>X906986992378</t>
        </is>
      </c>
      <c r="B57" s="65" t="inlineStr">
        <is>
          <t>Ward</t>
        </is>
      </c>
      <c r="C57" s="65" t="inlineStr">
        <is>
          <t>Grace</t>
        </is>
      </c>
      <c r="D57" s="66" t="inlineStr">
        <is>
          <t>F</t>
        </is>
      </c>
      <c r="E57" s="66" t="n"/>
      <c r="F57" s="66" t="inlineStr">
        <is>
          <t>N</t>
        </is>
      </c>
      <c r="G57" s="34" t="n">
        <v>98.8</v>
      </c>
      <c r="H57" s="34" t="n">
        <v>106.5</v>
      </c>
      <c r="I57" s="67">
        <f>IF(ISNUMBER(tblY7[[#This Row],[Avg KS2]]),IFERROR(VLOOKUP(ROUND(STANDARDIZE(tblY7[[#This Row],[Avg KS2]],AVERAGE(tblY7[[Avg KS2]]),_xlfn.STDEV.P(tblY7[[Avg KS2]])),9),_Stanine,2),5),"")</f>
        <v>5</v>
      </c>
      <c r="J57" s="66" t="inlineStr">
        <is>
          <t>7A/Sc2</t>
        </is>
      </c>
      <c r="K57" s="67">
        <f>IF(tblY7[[#This Row],[Preferred Last name]]="","",COUNTIFS($N$1:$ZZ$1,"*"&amp;CHAR(10)&amp;"Stanine",$N57:$ZZ57,"&gt;=1"))</f>
        <v>3</v>
      </c>
      <c r="L57" s="68">
        <f>IFERROR(AVERAGEIF($N$1:$ZZ$1,"*"&amp;CHAR(10)&amp;"Stanine",$N57:$ZZ57),"")</f>
        <v>5.33333333333333</v>
      </c>
      <c r="M57" s="69">
        <f>IF(AND(ISNUMBER(tblY7[[#This Row],[Mean Stanine]]),ISNUMBER(tblY7[[#This Row],[Avg KS2 Band]]),ISNUMBER(SlopeY7)),tblY7[[#This Row],[Mean Stanine]]-(InterceptY7+SlopeY7*tblY7[[#This Row],[Avg KS2 Band]]),"")</f>
        <v>0.325641025641025</v>
      </c>
      <c r="N57" s="66" t="n">
        <v>17</v>
      </c>
      <c r="O57" s="67">
        <f>IF(ISNUMBER(tblY7[[#This Row],[7B01 - Cells
Raw Score]]),IFERROR(VLOOKUP(ROUND(STANDARDIZE(tblY7[[#This Row],[7B01 - Cells
Raw Score]],AVERAGE(tblY7[[7B01 - Cells
Raw Score]]),_xlfn.STDEV.P(tblY7[[7B01 - Cells
Raw Score]])),9),_Stanine,2),5),"")</f>
        <v>5</v>
      </c>
      <c r="P57" s="66" t="inlineStr">
        <is>
          <t>A</t>
        </is>
      </c>
      <c r="Q57" s="67" t="str">
        <f>IF(ISNUMBER(tblY7[[#This Row],[7C01 - Particles
Raw Score]]),IFERROR(VLOOKUP(ROUND(STANDARDIZE(tblY7[[#This Row],[7C01 - Particles
Raw Score]],AVERAGE(tblY7[[7C01 - Particles
Raw Score]]),_xlfn.STDEV.P(tblY7[[7C01 - Particles
Raw Score]])),9),_Stanine,2),5),"")</f>
        <v/>
      </c>
      <c r="R57" s="66" t="n">
        <v>23</v>
      </c>
      <c r="S57" s="67">
        <f>IF(ISNUMBER(tblY7[[#This Row],[7P01 - Forces
Raw Score]]),IFERROR(VLOOKUP(ROUND(STANDARDIZE(tblY7[[#This Row],[7P01 - Forces
Raw Score]],AVERAGE(tblY7[[7P01 - Forces
Raw Score]]),_xlfn.STDEV.P(tblY7[[7P01 - Forces
Raw Score]])),9),_Stanine,2),5),"")</f>
        <v>6</v>
      </c>
      <c r="T57" s="66" t="n">
        <v>17</v>
      </c>
      <c r="U57" s="67">
        <f>IF(ISNUMBER(tblY7[[#This Row],[7B02 - Organ Systems
Raw Score]]),IFERROR(VLOOKUP(ROUND(STANDARDIZE(tblY7[[#This Row],[7B02 - Organ Systems
Raw Score]],AVERAGE(tblY7[[7B02 - Organ Systems
Raw Score]]),_xlfn.STDEV.P(tblY7[[7B02 - Organ Systems
Raw Score]])),9),_Stanine,2),5),"")</f>
        <v>5</v>
      </c>
    </row>
    <row r="58">
      <c r="A58" s="65" t="inlineStr">
        <is>
          <t>X905465124715</t>
        </is>
      </c>
      <c r="B58" s="65" t="inlineStr">
        <is>
          <t>White</t>
        </is>
      </c>
      <c r="C58" s="65" t="inlineStr">
        <is>
          <t>Muhammad</t>
        </is>
      </c>
      <c r="D58" s="66" t="inlineStr">
        <is>
          <t>F</t>
        </is>
      </c>
      <c r="E58" s="66" t="n"/>
      <c r="F58" s="66" t="inlineStr">
        <is>
          <t>N</t>
        </is>
      </c>
      <c r="G58" s="34" t="n">
        <v>89.59999999999999</v>
      </c>
      <c r="H58" s="34" t="n">
        <v>102.5</v>
      </c>
      <c r="I58" s="67">
        <f>IF(ISNUMBER(tblY7[[#This Row],[Avg KS2]]),IFERROR(VLOOKUP(ROUND(STANDARDIZE(tblY7[[#This Row],[Avg KS2]],AVERAGE(tblY7[[Avg KS2]]),_xlfn.STDEV.P(tblY7[[Avg KS2]])),9),_Stanine,2),5),"")</f>
        <v>3</v>
      </c>
      <c r="J58" s="66" t="inlineStr">
        <is>
          <t>7A/Sc2</t>
        </is>
      </c>
      <c r="K58" s="67">
        <f>IF(tblY7[[#This Row],[Preferred Last name]]="","",COUNTIFS($N$1:$ZZ$1,"*"&amp;CHAR(10)&amp;"Stanine",$N58:$ZZ58,"&gt;=1"))</f>
        <v>4</v>
      </c>
      <c r="L58" s="68">
        <f>IFERROR(AVERAGEIF($N$1:$ZZ$1,"*"&amp;CHAR(10)&amp;"Stanine",$N58:$ZZ58),"")</f>
        <v>5.5</v>
      </c>
      <c r="M58" s="69">
        <f>IF(AND(ISNUMBER(tblY7[[#This Row],[Mean Stanine]]),ISNUMBER(tblY7[[#This Row],[Avg KS2 Band]]),ISNUMBER(SlopeY7)),tblY7[[#This Row],[Mean Stanine]]-(InterceptY7+SlopeY7*tblY7[[#This Row],[Avg KS2 Band]]),"")</f>
        <v>1.88087358378056</v>
      </c>
      <c r="N58" s="66" t="n">
        <v>19</v>
      </c>
      <c r="O58" s="67">
        <f>IF(ISNUMBER(tblY7[[#This Row],[7B01 - Cells
Raw Score]]),IFERROR(VLOOKUP(ROUND(STANDARDIZE(tblY7[[#This Row],[7B01 - Cells
Raw Score]],AVERAGE(tblY7[[7B01 - Cells
Raw Score]]),_xlfn.STDEV.P(tblY7[[7B01 - Cells
Raw Score]])),9),_Stanine,2),5),"")</f>
        <v>5</v>
      </c>
      <c r="P58" s="66" t="n">
        <v>18</v>
      </c>
      <c r="Q58" s="67">
        <f>IF(ISNUMBER(tblY7[[#This Row],[7C01 - Particles
Raw Score]]),IFERROR(VLOOKUP(ROUND(STANDARDIZE(tblY7[[#This Row],[7C01 - Particles
Raw Score]],AVERAGE(tblY7[[7C01 - Particles
Raw Score]]),_xlfn.STDEV.P(tblY7[[7C01 - Particles
Raw Score]])),9),_Stanine,2),5),"")</f>
        <v>5</v>
      </c>
      <c r="R58" s="66" t="n">
        <v>25</v>
      </c>
      <c r="S58" s="67">
        <f>IF(ISNUMBER(tblY7[[#This Row],[7P01 - Forces
Raw Score]]),IFERROR(VLOOKUP(ROUND(STANDARDIZE(tblY7[[#This Row],[7P01 - Forces
Raw Score]],AVERAGE(tblY7[[7P01 - Forces
Raw Score]]),_xlfn.STDEV.P(tblY7[[7P01 - Forces
Raw Score]])),9),_Stanine,2),5),"")</f>
        <v>6</v>
      </c>
      <c r="T58" s="66" t="n">
        <v>20</v>
      </c>
      <c r="U58" s="67">
        <f>IF(ISNUMBER(tblY7[[#This Row],[7B02 - Organ Systems
Raw Score]]),IFERROR(VLOOKUP(ROUND(STANDARDIZE(tblY7[[#This Row],[7B02 - Organ Systems
Raw Score]],AVERAGE(tblY7[[7B02 - Organ Systems
Raw Score]]),_xlfn.STDEV.P(tblY7[[7B02 - Organ Systems
Raw Score]])),9),_Stanine,2),5),"")</f>
        <v>6</v>
      </c>
    </row>
    <row r="59">
      <c r="A59" s="65" t="inlineStr">
        <is>
          <t>X902779795172</t>
        </is>
      </c>
      <c r="B59" s="65" t="inlineStr">
        <is>
          <t>Williams</t>
        </is>
      </c>
      <c r="C59" s="65" t="inlineStr">
        <is>
          <t>Ibrahim</t>
        </is>
      </c>
      <c r="D59" s="66" t="inlineStr">
        <is>
          <t>M</t>
        </is>
      </c>
      <c r="E59" s="66" t="inlineStr">
        <is>
          <t>N</t>
        </is>
      </c>
      <c r="F59" s="66" t="inlineStr">
        <is>
          <t>N</t>
        </is>
      </c>
      <c r="G59" s="34" t="n">
        <v>83.7</v>
      </c>
      <c r="H59" s="34" t="n">
        <v>104.5</v>
      </c>
      <c r="I59" s="67">
        <f>IF(ISNUMBER(tblY7[[#This Row],[Avg KS2]]),IFERROR(VLOOKUP(ROUND(STANDARDIZE(tblY7[[#This Row],[Avg KS2]],AVERAGE(tblY7[[Avg KS2]]),_xlfn.STDEV.P(tblY7[[Avg KS2]])),9),_Stanine,2),5),"")</f>
        <v>4</v>
      </c>
      <c r="J59" s="66" t="inlineStr">
        <is>
          <t>7A/Sc2</t>
        </is>
      </c>
      <c r="K59" s="67">
        <f>IF(tblY7[[#This Row],[Preferred Last name]]="","",COUNTIFS($N$1:$ZZ$1,"*"&amp;CHAR(10)&amp;"Stanine",$N59:$ZZ59,"&gt;=1"))</f>
        <v>4</v>
      </c>
      <c r="L59" s="68">
        <f>IFERROR(AVERAGEIF($N$1:$ZZ$1,"*"&amp;CHAR(10)&amp;"Stanine",$N59:$ZZ59),"")</f>
        <v>4.5</v>
      </c>
      <c r="M59" s="69">
        <f>IF(AND(ISNUMBER(tblY7[[#This Row],[Mean Stanine]]),ISNUMBER(tblY7[[#This Row],[Avg KS2 Band]]),ISNUMBER(SlopeY7)),tblY7[[#This Row],[Mean Stanine]]-(InterceptY7+SlopeY7*tblY7[[#This Row],[Avg KS2 Band]]),"")</f>
        <v>0.186590638044127</v>
      </c>
      <c r="N59" s="66" t="n">
        <v>10</v>
      </c>
      <c r="O59" s="67">
        <f>IF(ISNUMBER(tblY7[[#This Row],[7B01 - Cells
Raw Score]]),IFERROR(VLOOKUP(ROUND(STANDARDIZE(tblY7[[#This Row],[7B01 - Cells
Raw Score]],AVERAGE(tblY7[[7B01 - Cells
Raw Score]]),_xlfn.STDEV.P(tblY7[[7B01 - Cells
Raw Score]])),9),_Stanine,2),5),"")</f>
        <v>3</v>
      </c>
      <c r="P59" s="66" t="n">
        <v>17</v>
      </c>
      <c r="Q59" s="67">
        <f>IF(ISNUMBER(tblY7[[#This Row],[7C01 - Particles
Raw Score]]),IFERROR(VLOOKUP(ROUND(STANDARDIZE(tblY7[[#This Row],[7C01 - Particles
Raw Score]],AVERAGE(tblY7[[7C01 - Particles
Raw Score]]),_xlfn.STDEV.P(tblY7[[7C01 - Particles
Raw Score]])),9),_Stanine,2),5),"")</f>
        <v>4</v>
      </c>
      <c r="R59" s="66" t="n">
        <v>23</v>
      </c>
      <c r="S59" s="67">
        <f>IF(ISNUMBER(tblY7[[#This Row],[7P01 - Forces
Raw Score]]),IFERROR(VLOOKUP(ROUND(STANDARDIZE(tblY7[[#This Row],[7P01 - Forces
Raw Score]],AVERAGE(tblY7[[7P01 - Forces
Raw Score]]),_xlfn.STDEV.P(tblY7[[7P01 - Forces
Raw Score]])),9),_Stanine,2),5),"")</f>
        <v>6</v>
      </c>
      <c r="T59" s="66" t="n">
        <v>17</v>
      </c>
      <c r="U59" s="67">
        <f>IF(ISNUMBER(tblY7[[#This Row],[7B02 - Organ Systems
Raw Score]]),IFERROR(VLOOKUP(ROUND(STANDARDIZE(tblY7[[#This Row],[7B02 - Organ Systems
Raw Score]],AVERAGE(tblY7[[7B02 - Organ Systems
Raw Score]]),_xlfn.STDEV.P(tblY7[[7B02 - Organ Systems
Raw Score]])),9),_Stanine,2),5),"")</f>
        <v>5</v>
      </c>
    </row>
    <row r="60">
      <c r="A60" s="65" t="inlineStr">
        <is>
          <t>X907610124599</t>
        </is>
      </c>
      <c r="B60" s="65" t="inlineStr">
        <is>
          <t>Wright</t>
        </is>
      </c>
      <c r="C60" s="65" t="inlineStr">
        <is>
          <t>Alfie</t>
        </is>
      </c>
      <c r="D60" s="66" t="inlineStr">
        <is>
          <t>F</t>
        </is>
      </c>
      <c r="E60" s="66" t="inlineStr">
        <is>
          <t>N</t>
        </is>
      </c>
      <c r="F60" s="66" t="inlineStr">
        <is>
          <t>N</t>
        </is>
      </c>
      <c r="G60" s="34" t="n">
        <v>90.5</v>
      </c>
      <c r="H60" s="34" t="n">
        <v>102</v>
      </c>
      <c r="I60" s="67">
        <f>IF(ISNUMBER(tblY7[[#This Row],[Avg KS2]]),IFERROR(VLOOKUP(ROUND(STANDARDIZE(tblY7[[#This Row],[Avg KS2]],AVERAGE(tblY7[[Avg KS2]]),_xlfn.STDEV.P(tblY7[[Avg KS2]])),9),_Stanine,2),5),"")</f>
        <v>3</v>
      </c>
      <c r="J60" s="66" t="inlineStr">
        <is>
          <t>7A/Sc2</t>
        </is>
      </c>
      <c r="K60" s="67">
        <f>IF(tblY7[[#This Row],[Preferred Last name]]="","",COUNTIFS($N$1:$ZZ$1,"*"&amp;CHAR(10)&amp;"Stanine",$N60:$ZZ60,"&gt;=1"))</f>
        <v>4</v>
      </c>
      <c r="L60" s="68">
        <f>IFERROR(AVERAGEIF($N$1:$ZZ$1,"*"&amp;CHAR(10)&amp;"Stanine",$N60:$ZZ60),"")</f>
        <v>1.25</v>
      </c>
      <c r="M60" s="69">
        <f>IF(AND(ISNUMBER(tblY7[[#This Row],[Mean Stanine]]),ISNUMBER(tblY7[[#This Row],[Avg KS2 Band]]),ISNUMBER(SlopeY7)),tblY7[[#This Row],[Mean Stanine]]-(InterceptY7+SlopeY7*tblY7[[#This Row],[Avg KS2 Band]]),"")</f>
        <v>-2.36912641621944</v>
      </c>
      <c r="N60" s="66" t="n">
        <v>7</v>
      </c>
      <c r="O60" s="67">
        <f>IF(ISNUMBER(tblY7[[#This Row],[7B01 - Cells
Raw Score]]),IFERROR(VLOOKUP(ROUND(STANDARDIZE(tblY7[[#This Row],[7B01 - Cells
Raw Score]],AVERAGE(tblY7[[7B01 - Cells
Raw Score]]),_xlfn.STDEV.P(tblY7[[7B01 - Cells
Raw Score]])),9),_Stanine,2),5),"")</f>
        <v>2</v>
      </c>
      <c r="P60" s="66" t="n">
        <v>5</v>
      </c>
      <c r="Q60" s="67">
        <f>IF(ISNUMBER(tblY7[[#This Row],[7C01 - Particles
Raw Score]]),IFERROR(VLOOKUP(ROUND(STANDARDIZE(tblY7[[#This Row],[7C01 - Particles
Raw Score]],AVERAGE(tblY7[[7C01 - Particles
Raw Score]]),_xlfn.STDEV.P(tblY7[[7C01 - Particles
Raw Score]])),9),_Stanine,2),5),"")</f>
        <v>1</v>
      </c>
      <c r="R60" s="66" t="n">
        <v>9</v>
      </c>
      <c r="S60" s="67">
        <f>IF(ISNUMBER(tblY7[[#This Row],[7P01 - Forces
Raw Score]]),IFERROR(VLOOKUP(ROUND(STANDARDIZE(tblY7[[#This Row],[7P01 - Forces
Raw Score]],AVERAGE(tblY7[[7P01 - Forces
Raw Score]]),_xlfn.STDEV.P(tblY7[[7P01 - Forces
Raw Score]])),9),_Stanine,2),5),"")</f>
        <v>1</v>
      </c>
      <c r="T60" s="66" t="n">
        <v>8</v>
      </c>
      <c r="U60" s="67">
        <f>IF(ISNUMBER(tblY7[[#This Row],[7B02 - Organ Systems
Raw Score]]),IFERROR(VLOOKUP(ROUND(STANDARDIZE(tblY7[[#This Row],[7B02 - Organ Systems
Raw Score]],AVERAGE(tblY7[[7B02 - Organ Systems
Raw Score]]),_xlfn.STDEV.P(tblY7[[7B02 - Organ Systems
Raw Score]])),9),_Stanine,2),5),"")</f>
        <v>1</v>
      </c>
    </row>
    <row r="61">
      <c r="A61" s="65" t="inlineStr">
        <is>
          <t>X905180733375</t>
        </is>
      </c>
      <c r="B61" s="65" t="inlineStr">
        <is>
          <t>Wright</t>
        </is>
      </c>
      <c r="C61" s="65" t="inlineStr">
        <is>
          <t>Jacob</t>
        </is>
      </c>
      <c r="D61" s="66" t="inlineStr">
        <is>
          <t>M</t>
        </is>
      </c>
      <c r="E61" s="66" t="n"/>
      <c r="F61" s="66" t="inlineStr">
        <is>
          <t>N</t>
        </is>
      </c>
      <c r="G61" s="34" t="n">
        <v>93.09999999999999</v>
      </c>
      <c r="H61" s="34" t="n">
        <v>118</v>
      </c>
      <c r="I61" s="67">
        <f>IF(ISNUMBER(tblY7[[#This Row],[Avg KS2]]),IFERROR(VLOOKUP(ROUND(STANDARDIZE(tblY7[[#This Row],[Avg KS2]],AVERAGE(tblY7[[Avg KS2]]),_xlfn.STDEV.P(tblY7[[Avg KS2]])),9),_Stanine,2),5),"")</f>
        <v>9</v>
      </c>
      <c r="J61" s="66" t="inlineStr">
        <is>
          <t>7A/Sc2</t>
        </is>
      </c>
      <c r="K61" s="67">
        <f>IF(tblY7[[#This Row],[Preferred Last name]]="","",COUNTIFS($N$1:$ZZ$1,"*"&amp;CHAR(10)&amp;"Stanine",$N61:$ZZ61,"&gt;=1"))</f>
        <v>3</v>
      </c>
      <c r="L61" s="68">
        <f>IFERROR(AVERAGEIF($N$1:$ZZ$1,"*"&amp;CHAR(10)&amp;"Stanine",$N61:$ZZ61),"")</f>
        <v>7.33333333333333</v>
      </c>
      <c r="M61" s="69">
        <f>IF(AND(ISNUMBER(tblY7[[#This Row],[Mean Stanine]]),ISNUMBER(tblY7[[#This Row],[Avg KS2 Band]]),ISNUMBER(SlopeY7)),tblY7[[#This Row],[Mean Stanine]]-(InterceptY7+SlopeY7*tblY7[[#This Row],[Avg KS2 Band]]),"")</f>
        <v>-0.451490757304711</v>
      </c>
      <c r="N61" s="66" t="n">
        <v>25</v>
      </c>
      <c r="O61" s="67">
        <f>IF(ISNUMBER(tblY7[[#This Row],[7B01 - Cells
Raw Score]]),IFERROR(VLOOKUP(ROUND(STANDARDIZE(tblY7[[#This Row],[7B01 - Cells
Raw Score]],AVERAGE(tblY7[[7B01 - Cells
Raw Score]]),_xlfn.STDEV.P(tblY7[[7B01 - Cells
Raw Score]])),9),_Stanine,2),5),"")</f>
        <v>7</v>
      </c>
      <c r="P61" s="66" t="inlineStr">
        <is>
          <t>A</t>
        </is>
      </c>
      <c r="Q61" s="67" t="str">
        <f>IF(ISNUMBER(tblY7[[#This Row],[7C01 - Particles
Raw Score]]),IFERROR(VLOOKUP(ROUND(STANDARDIZE(tblY7[[#This Row],[7C01 - Particles
Raw Score]],AVERAGE(tblY7[[7C01 - Particles
Raw Score]]),_xlfn.STDEV.P(tblY7[[7C01 - Particles
Raw Score]])),9),_Stanine,2),5),"")</f>
        <v/>
      </c>
      <c r="R61" s="66" t="n">
        <v>29</v>
      </c>
      <c r="S61" s="67">
        <f>IF(ISNUMBER(tblY7[[#This Row],[7P01 - Forces
Raw Score]]),IFERROR(VLOOKUP(ROUND(STANDARDIZE(tblY7[[#This Row],[7P01 - Forces
Raw Score]],AVERAGE(tblY7[[7P01 - Forces
Raw Score]]),_xlfn.STDEV.P(tblY7[[7P01 - Forces
Raw Score]])),9),_Stanine,2),5),"")</f>
        <v>8</v>
      </c>
      <c r="T61" s="66" t="n">
        <v>24</v>
      </c>
      <c r="U61" s="67">
        <f>IF(ISNUMBER(tblY7[[#This Row],[7B02 - Organ Systems
Raw Score]]),IFERROR(VLOOKUP(ROUND(STANDARDIZE(tblY7[[#This Row],[7B02 - Organ Systems
Raw Score]],AVERAGE(tblY7[[7B02 - Organ Systems
Raw Score]]),_xlfn.STDEV.P(tblY7[[7B02 - Organ Systems
Raw Score]])),9),_Stanine,2),5),"")</f>
        <v>7</v>
      </c>
    </row>
    <row r="62">
      <c r="A62" s="65" t="inlineStr">
        <is>
          <t>X901427130287</t>
        </is>
      </c>
      <c r="B62" s="65" t="inlineStr">
        <is>
          <t>Ahmed</t>
        </is>
      </c>
      <c r="C62" s="65" t="inlineStr">
        <is>
          <t>Niamh</t>
        </is>
      </c>
      <c r="D62" s="66" t="inlineStr">
        <is>
          <t>M</t>
        </is>
      </c>
      <c r="E62" s="66" t="inlineStr">
        <is>
          <t>N</t>
        </is>
      </c>
      <c r="F62" s="66" t="inlineStr">
        <is>
          <t>N</t>
        </is>
      </c>
      <c r="G62" s="34" t="n">
        <v>90.8</v>
      </c>
      <c r="H62" s="34" t="n">
        <v>111.5</v>
      </c>
      <c r="I62" s="67">
        <f>IF(ISNUMBER(tblY7[[#This Row],[Avg KS2]]),IFERROR(VLOOKUP(ROUND(STANDARDIZE(tblY7[[#This Row],[Avg KS2]],AVERAGE(tblY7[[Avg KS2]]),_xlfn.STDEV.P(tblY7[[Avg KS2]])),9),_Stanine,2),5),"")</f>
        <v>7</v>
      </c>
      <c r="J62" s="66" t="inlineStr">
        <is>
          <t>7B/Sc1</t>
        </is>
      </c>
      <c r="K62" s="67">
        <f>IF(tblY7[[#This Row],[Preferred Last name]]="","",COUNTIFS($N$1:$ZZ$1,"*"&amp;CHAR(10)&amp;"Stanine",$N62:$ZZ62,"&gt;=1"))</f>
        <v>4</v>
      </c>
      <c r="L62" s="68">
        <f>IFERROR(AVERAGEIF($N$1:$ZZ$1,"*"&amp;CHAR(10)&amp;"Stanine",$N62:$ZZ62),"")</f>
        <v>6</v>
      </c>
      <c r="M62" s="69">
        <f>IF(AND(ISNUMBER(tblY7[[#This Row],[Mean Stanine]]),ISNUMBER(tblY7[[#This Row],[Avg KS2 Band]]),ISNUMBER(SlopeY7)),tblY7[[#This Row],[Mean Stanine]]-(InterceptY7+SlopeY7*tblY7[[#This Row],[Avg KS2 Band]]),"")</f>
        <v>-0.396258199165175</v>
      </c>
      <c r="N62" s="66" t="n">
        <v>23</v>
      </c>
      <c r="O62" s="67">
        <f>IF(ISNUMBER(tblY7[[#This Row],[7B01 - Cells
Raw Score]]),IFERROR(VLOOKUP(ROUND(STANDARDIZE(tblY7[[#This Row],[7B01 - Cells
Raw Score]],AVERAGE(tblY7[[7B01 - Cells
Raw Score]]),_xlfn.STDEV.P(tblY7[[7B01 - Cells
Raw Score]])),9),_Stanine,2),5),"")</f>
        <v>7</v>
      </c>
      <c r="P62" s="66" t="n">
        <v>16</v>
      </c>
      <c r="Q62" s="67">
        <f>IF(ISNUMBER(tblY7[[#This Row],[7C01 - Particles
Raw Score]]),IFERROR(VLOOKUP(ROUND(STANDARDIZE(tblY7[[#This Row],[7C01 - Particles
Raw Score]],AVERAGE(tblY7[[7C01 - Particles
Raw Score]]),_xlfn.STDEV.P(tblY7[[7C01 - Particles
Raw Score]])),9),_Stanine,2),5),"")</f>
        <v>4</v>
      </c>
      <c r="R62" s="66" t="n">
        <v>26</v>
      </c>
      <c r="S62" s="67">
        <f>IF(ISNUMBER(tblY7[[#This Row],[7P01 - Forces
Raw Score]]),IFERROR(VLOOKUP(ROUND(STANDARDIZE(tblY7[[#This Row],[7P01 - Forces
Raw Score]],AVERAGE(tblY7[[7P01 - Forces
Raw Score]]),_xlfn.STDEV.P(tblY7[[7P01 - Forces
Raw Score]])),9),_Stanine,2),5),"")</f>
        <v>7</v>
      </c>
      <c r="T62" s="66" t="n">
        <v>21</v>
      </c>
      <c r="U62" s="67">
        <f>IF(ISNUMBER(tblY7[[#This Row],[7B02 - Organ Systems
Raw Score]]),IFERROR(VLOOKUP(ROUND(STANDARDIZE(tblY7[[#This Row],[7B02 - Organ Systems
Raw Score]],AVERAGE(tblY7[[7B02 - Organ Systems
Raw Score]]),_xlfn.STDEV.P(tblY7[[7B02 - Organ Systems
Raw Score]])),9),_Stanine,2),5),"")</f>
        <v>6</v>
      </c>
    </row>
    <row r="63">
      <c r="A63" s="65" t="inlineStr">
        <is>
          <t>X907373506195</t>
        </is>
      </c>
      <c r="B63" s="65" t="inlineStr">
        <is>
          <t>Begum</t>
        </is>
      </c>
      <c r="C63" s="65" t="inlineStr">
        <is>
          <t>George</t>
        </is>
      </c>
      <c r="D63" s="66" t="inlineStr">
        <is>
          <t>M</t>
        </is>
      </c>
      <c r="E63" s="66" t="inlineStr">
        <is>
          <t>N</t>
        </is>
      </c>
      <c r="F63" s="66" t="inlineStr">
        <is>
          <t>N</t>
        </is>
      </c>
      <c r="G63" s="34" t="n">
        <v>93.09999999999999</v>
      </c>
      <c r="H63" s="34" t="n">
        <v>109</v>
      </c>
      <c r="I63" s="67">
        <f>IF(ISNUMBER(tblY7[[#This Row],[Avg KS2]]),IFERROR(VLOOKUP(ROUND(STANDARDIZE(tblY7[[#This Row],[Avg KS2]],AVERAGE(tblY7[[Avg KS2]]),_xlfn.STDEV.P(tblY7[[Avg KS2]])),9),_Stanine,2),5),"")</f>
        <v>6</v>
      </c>
      <c r="J63" s="66" t="inlineStr">
        <is>
          <t>7B/Sc1</t>
        </is>
      </c>
      <c r="K63" s="67">
        <f>IF(tblY7[[#This Row],[Preferred Last name]]="","",COUNTIFS($N$1:$ZZ$1,"*"&amp;CHAR(10)&amp;"Stanine",$N63:$ZZ63,"&gt;=1"))</f>
        <v>3</v>
      </c>
      <c r="L63" s="68">
        <f>IFERROR(AVERAGEIF($N$1:$ZZ$1,"*"&amp;CHAR(10)&amp;"Stanine",$N63:$ZZ63),"")</f>
        <v>6.66666666666667</v>
      </c>
      <c r="M63" s="69">
        <f>IF(AND(ISNUMBER(tblY7[[#This Row],[Mean Stanine]]),ISNUMBER(tblY7[[#This Row],[Avg KS2 Band]]),ISNUMBER(SlopeY7)),tblY7[[#This Row],[Mean Stanine]]-(InterceptY7+SlopeY7*tblY7[[#This Row],[Avg KS2 Band]]),"")</f>
        <v>0.964691413237926</v>
      </c>
      <c r="N63" s="66" t="inlineStr">
        <is>
          <t>A</t>
        </is>
      </c>
      <c r="O63" s="67" t="str">
        <f>IF(ISNUMBER(tblY7[[#This Row],[7B01 - Cells
Raw Score]]),IFERROR(VLOOKUP(ROUND(STANDARDIZE(tblY7[[#This Row],[7B01 - Cells
Raw Score]],AVERAGE(tblY7[[7B01 - Cells
Raw Score]]),_xlfn.STDEV.P(tblY7[[7B01 - Cells
Raw Score]])),9),_Stanine,2),5),"")</f>
        <v/>
      </c>
      <c r="P63" s="66" t="n">
        <v>20</v>
      </c>
      <c r="Q63" s="67">
        <f>IF(ISNUMBER(tblY7[[#This Row],[7C01 - Particles
Raw Score]]),IFERROR(VLOOKUP(ROUND(STANDARDIZE(tblY7[[#This Row],[7C01 - Particles
Raw Score]],AVERAGE(tblY7[[7C01 - Particles
Raw Score]]),_xlfn.STDEV.P(tblY7[[7C01 - Particles
Raw Score]])),9),_Stanine,2),5),"")</f>
        <v>6</v>
      </c>
      <c r="R63" s="66" t="n">
        <v>24</v>
      </c>
      <c r="S63" s="67">
        <f>IF(ISNUMBER(tblY7[[#This Row],[7P01 - Forces
Raw Score]]),IFERROR(VLOOKUP(ROUND(STANDARDIZE(tblY7[[#This Row],[7P01 - Forces
Raw Score]],AVERAGE(tblY7[[7P01 - Forces
Raw Score]]),_xlfn.STDEV.P(tblY7[[7P01 - Forces
Raw Score]])),9),_Stanine,2),5),"")</f>
        <v>6</v>
      </c>
      <c r="T63" s="66" t="n">
        <v>25</v>
      </c>
      <c r="U63" s="67">
        <f>IF(ISNUMBER(tblY7[[#This Row],[7B02 - Organ Systems
Raw Score]]),IFERROR(VLOOKUP(ROUND(STANDARDIZE(tblY7[[#This Row],[7B02 - Organ Systems
Raw Score]],AVERAGE(tblY7[[7B02 - Organ Systems
Raw Score]]),_xlfn.STDEV.P(tblY7[[7B02 - Organ Systems
Raw Score]])),9),_Stanine,2),5),"")</f>
        <v>8</v>
      </c>
    </row>
    <row r="64">
      <c r="A64" s="65" t="inlineStr">
        <is>
          <t>X904233976661</t>
        </is>
      </c>
      <c r="B64" s="65" t="inlineStr">
        <is>
          <t>Bennett</t>
        </is>
      </c>
      <c r="C64" s="65" t="inlineStr">
        <is>
          <t>Ethan</t>
        </is>
      </c>
      <c r="D64" s="66" t="inlineStr">
        <is>
          <t>M</t>
        </is>
      </c>
      <c r="E64" s="66" t="inlineStr">
        <is>
          <t>K</t>
        </is>
      </c>
      <c r="F64" s="66" t="inlineStr">
        <is>
          <t>Y</t>
        </is>
      </c>
      <c r="G64" s="34" t="n">
        <v>94.8</v>
      </c>
      <c r="H64" s="34" t="n">
        <v>111.5</v>
      </c>
      <c r="I64" s="67">
        <f>IF(ISNUMBER(tblY7[[#This Row],[Avg KS2]]),IFERROR(VLOOKUP(ROUND(STANDARDIZE(tblY7[[#This Row],[Avg KS2]],AVERAGE(tblY7[[Avg KS2]]),_xlfn.STDEV.P(tblY7[[Avg KS2]])),9),_Stanine,2),5),"")</f>
        <v>7</v>
      </c>
      <c r="J64" s="66" t="inlineStr">
        <is>
          <t>7B/Sc1</t>
        </is>
      </c>
      <c r="K64" s="67">
        <f>IF(tblY7[[#This Row],[Preferred Last name]]="","",COUNTIFS($N$1:$ZZ$1,"*"&amp;CHAR(10)&amp;"Stanine",$N64:$ZZ64,"&gt;=1"))</f>
        <v>4</v>
      </c>
      <c r="L64" s="68">
        <f>IFERROR(AVERAGEIF($N$1:$ZZ$1,"*"&amp;CHAR(10)&amp;"Stanine",$N64:$ZZ64),"")</f>
        <v>7.25</v>
      </c>
      <c r="M64" s="69">
        <f>IF(AND(ISNUMBER(tblY7[[#This Row],[Mean Stanine]]),ISNUMBER(tblY7[[#This Row],[Avg KS2 Band]]),ISNUMBER(SlopeY7)),tblY7[[#This Row],[Mean Stanine]]-(InterceptY7+SlopeY7*tblY7[[#This Row],[Avg KS2 Band]]),"")</f>
        <v>0.853741800834825</v>
      </c>
      <c r="N64" s="66" t="n">
        <v>23</v>
      </c>
      <c r="O64" s="67">
        <f>IF(ISNUMBER(tblY7[[#This Row],[7B01 - Cells
Raw Score]]),IFERROR(VLOOKUP(ROUND(STANDARDIZE(tblY7[[#This Row],[7B01 - Cells
Raw Score]],AVERAGE(tblY7[[7B01 - Cells
Raw Score]]),_xlfn.STDEV.P(tblY7[[7B01 - Cells
Raw Score]])),9),_Stanine,2),5),"")</f>
        <v>7</v>
      </c>
      <c r="P64" s="66" t="n">
        <v>24</v>
      </c>
      <c r="Q64" s="67">
        <f>IF(ISNUMBER(tblY7[[#This Row],[7C01 - Particles
Raw Score]]),IFERROR(VLOOKUP(ROUND(STANDARDIZE(tblY7[[#This Row],[7C01 - Particles
Raw Score]],AVERAGE(tblY7[[7C01 - Particles
Raw Score]]),_xlfn.STDEV.P(tblY7[[7C01 - Particles
Raw Score]])),9),_Stanine,2),5),"")</f>
        <v>8</v>
      </c>
      <c r="R64" s="66" t="n">
        <v>26</v>
      </c>
      <c r="S64" s="67">
        <f>IF(ISNUMBER(tblY7[[#This Row],[7P01 - Forces
Raw Score]]),IFERROR(VLOOKUP(ROUND(STANDARDIZE(tblY7[[#This Row],[7P01 - Forces
Raw Score]],AVERAGE(tblY7[[7P01 - Forces
Raw Score]]),_xlfn.STDEV.P(tblY7[[7P01 - Forces
Raw Score]])),9),_Stanine,2),5),"")</f>
        <v>7</v>
      </c>
      <c r="T64" s="66" t="n">
        <v>23</v>
      </c>
      <c r="U64" s="67">
        <f>IF(ISNUMBER(tblY7[[#This Row],[7B02 - Organ Systems
Raw Score]]),IFERROR(VLOOKUP(ROUND(STANDARDIZE(tblY7[[#This Row],[7B02 - Organ Systems
Raw Score]],AVERAGE(tblY7[[7B02 - Organ Systems
Raw Score]]),_xlfn.STDEV.P(tblY7[[7B02 - Organ Systems
Raw Score]])),9),_Stanine,2),5),"")</f>
        <v>7</v>
      </c>
    </row>
    <row r="65">
      <c r="A65" s="65" t="inlineStr">
        <is>
          <t>X904967892798</t>
        </is>
      </c>
      <c r="B65" s="65" t="inlineStr">
        <is>
          <t>Bennett</t>
        </is>
      </c>
      <c r="C65" s="65" t="inlineStr">
        <is>
          <t>Noah</t>
        </is>
      </c>
      <c r="D65" s="66" t="inlineStr">
        <is>
          <t>F</t>
        </is>
      </c>
      <c r="E65" s="66" t="n"/>
      <c r="F65" s="66" t="inlineStr">
        <is>
          <t>N</t>
        </is>
      </c>
      <c r="G65" s="34" t="n">
        <v>92.2</v>
      </c>
      <c r="H65" s="34" t="n">
        <v>105.5</v>
      </c>
      <c r="I65" s="67">
        <f>IF(ISNUMBER(tblY7[[#This Row],[Avg KS2]]),IFERROR(VLOOKUP(ROUND(STANDARDIZE(tblY7[[#This Row],[Avg KS2]],AVERAGE(tblY7[[Avg KS2]]),_xlfn.STDEV.P(tblY7[[Avg KS2]])),9),_Stanine,2),5),"")</f>
        <v>4</v>
      </c>
      <c r="J65" s="66" t="inlineStr">
        <is>
          <t>7B/Sc1</t>
        </is>
      </c>
      <c r="K65" s="67">
        <f>IF(tblY7[[#This Row],[Preferred Last name]]="","",COUNTIFS($N$1:$ZZ$1,"*"&amp;CHAR(10)&amp;"Stanine",$N65:$ZZ65,"&gt;=1"))</f>
        <v>4</v>
      </c>
      <c r="L65" s="68">
        <f>IFERROR(AVERAGEIF($N$1:$ZZ$1,"*"&amp;CHAR(10)&amp;"Stanine",$N65:$ZZ65),"")</f>
        <v>5.25</v>
      </c>
      <c r="M65" s="69">
        <f>IF(AND(ISNUMBER(tblY7[[#This Row],[Mean Stanine]]),ISNUMBER(tblY7[[#This Row],[Avg KS2 Band]]),ISNUMBER(SlopeY7)),tblY7[[#This Row],[Mean Stanine]]-(InterceptY7+SlopeY7*tblY7[[#This Row],[Avg KS2 Band]]),"")</f>
        <v>0.936590638044127</v>
      </c>
      <c r="N65" s="66" t="n">
        <v>17</v>
      </c>
      <c r="O65" s="67">
        <f>IF(ISNUMBER(tblY7[[#This Row],[7B01 - Cells
Raw Score]]),IFERROR(VLOOKUP(ROUND(STANDARDIZE(tblY7[[#This Row],[7B01 - Cells
Raw Score]],AVERAGE(tblY7[[7B01 - Cells
Raw Score]]),_xlfn.STDEV.P(tblY7[[7B01 - Cells
Raw Score]])),9),_Stanine,2),5),"")</f>
        <v>5</v>
      </c>
      <c r="P65" s="66" t="n">
        <v>19</v>
      </c>
      <c r="Q65" s="67">
        <f>IF(ISNUMBER(tblY7[[#This Row],[7C01 - Particles
Raw Score]]),IFERROR(VLOOKUP(ROUND(STANDARDIZE(tblY7[[#This Row],[7C01 - Particles
Raw Score]],AVERAGE(tblY7[[7C01 - Particles
Raw Score]]),_xlfn.STDEV.P(tblY7[[7C01 - Particles
Raw Score]])),9),_Stanine,2),5),"")</f>
        <v>5</v>
      </c>
      <c r="R65" s="66" t="n">
        <v>24</v>
      </c>
      <c r="S65" s="67">
        <f>IF(ISNUMBER(tblY7[[#This Row],[7P01 - Forces
Raw Score]]),IFERROR(VLOOKUP(ROUND(STANDARDIZE(tblY7[[#This Row],[7P01 - Forces
Raw Score]],AVERAGE(tblY7[[7P01 - Forces
Raw Score]]),_xlfn.STDEV.P(tblY7[[7P01 - Forces
Raw Score]])),9),_Stanine,2),5),"")</f>
        <v>6</v>
      </c>
      <c r="T65" s="66" t="n">
        <v>19</v>
      </c>
      <c r="U65" s="67">
        <f>IF(ISNUMBER(tblY7[[#This Row],[7B02 - Organ Systems
Raw Score]]),IFERROR(VLOOKUP(ROUND(STANDARDIZE(tblY7[[#This Row],[7B02 - Organ Systems
Raw Score]],AVERAGE(tblY7[[7B02 - Organ Systems
Raw Score]]),_xlfn.STDEV.P(tblY7[[7B02 - Organ Systems
Raw Score]])),9),_Stanine,2),5),"")</f>
        <v>5</v>
      </c>
    </row>
    <row r="66">
      <c r="A66" s="65" t="inlineStr">
        <is>
          <t>X902315320065</t>
        </is>
      </c>
      <c r="B66" s="65" t="inlineStr">
        <is>
          <t>Clarke</t>
        </is>
      </c>
      <c r="C66" s="65" t="inlineStr">
        <is>
          <t>Sophie</t>
        </is>
      </c>
      <c r="D66" s="66" t="inlineStr">
        <is>
          <t>F</t>
        </is>
      </c>
      <c r="E66" s="66" t="n"/>
      <c r="F66" s="66" t="inlineStr">
        <is>
          <t>N</t>
        </is>
      </c>
      <c r="G66" s="34" t="n">
        <v>96</v>
      </c>
      <c r="H66" s="34" t="n">
        <v>101</v>
      </c>
      <c r="I66" s="67">
        <f>IF(ISNUMBER(tblY7[[#This Row],[Avg KS2]]),IFERROR(VLOOKUP(ROUND(STANDARDIZE(tblY7[[#This Row],[Avg KS2]],AVERAGE(tblY7[[Avg KS2]]),_xlfn.STDEV.P(tblY7[[Avg KS2]])),9),_Stanine,2),5),"")</f>
        <v>3</v>
      </c>
      <c r="J66" s="66" t="inlineStr">
        <is>
          <t>7B/Sc1</t>
        </is>
      </c>
      <c r="K66" s="67">
        <f>IF(tblY7[[#This Row],[Preferred Last name]]="","",COUNTIFS($N$1:$ZZ$1,"*"&amp;CHAR(10)&amp;"Stanine",$N66:$ZZ66,"&gt;=1"))</f>
        <v>4</v>
      </c>
      <c r="L66" s="68">
        <f>IFERROR(AVERAGEIF($N$1:$ZZ$1,"*"&amp;CHAR(10)&amp;"Stanine",$N66:$ZZ66),"")</f>
        <v>4.75</v>
      </c>
      <c r="M66" s="69">
        <f>IF(AND(ISNUMBER(tblY7[[#This Row],[Mean Stanine]]),ISNUMBER(tblY7[[#This Row],[Avg KS2 Band]]),ISNUMBER(SlopeY7)),tblY7[[#This Row],[Mean Stanine]]-(InterceptY7+SlopeY7*tblY7[[#This Row],[Avg KS2 Band]]),"")</f>
        <v>1.13087358378056</v>
      </c>
      <c r="N66" s="66" t="n">
        <v>18</v>
      </c>
      <c r="O66" s="67">
        <f>IF(ISNUMBER(tblY7[[#This Row],[7B01 - Cells
Raw Score]]),IFERROR(VLOOKUP(ROUND(STANDARDIZE(tblY7[[#This Row],[7B01 - Cells
Raw Score]],AVERAGE(tblY7[[7B01 - Cells
Raw Score]]),_xlfn.STDEV.P(tblY7[[7B01 - Cells
Raw Score]])),9),_Stanine,2),5),"")</f>
        <v>5</v>
      </c>
      <c r="P66" s="66" t="n">
        <v>21</v>
      </c>
      <c r="Q66" s="67">
        <f>IF(ISNUMBER(tblY7[[#This Row],[7C01 - Particles
Raw Score]]),IFERROR(VLOOKUP(ROUND(STANDARDIZE(tblY7[[#This Row],[7C01 - Particles
Raw Score]],AVERAGE(tblY7[[7C01 - Particles
Raw Score]]),_xlfn.STDEV.P(tblY7[[7C01 - Particles
Raw Score]])),9),_Stanine,2),5),"")</f>
        <v>6</v>
      </c>
      <c r="R66" s="66" t="n">
        <v>20</v>
      </c>
      <c r="S66" s="67">
        <f>IF(ISNUMBER(tblY7[[#This Row],[7P01 - Forces
Raw Score]]),IFERROR(VLOOKUP(ROUND(STANDARDIZE(tblY7[[#This Row],[7P01 - Forces
Raw Score]],AVERAGE(tblY7[[7P01 - Forces
Raw Score]]),_xlfn.STDEV.P(tblY7[[7P01 - Forces
Raw Score]])),9),_Stanine,2),5),"")</f>
        <v>4</v>
      </c>
      <c r="T66" s="66" t="n">
        <v>16</v>
      </c>
      <c r="U66" s="67">
        <f>IF(ISNUMBER(tblY7[[#This Row],[7B02 - Organ Systems
Raw Score]]),IFERROR(VLOOKUP(ROUND(STANDARDIZE(tblY7[[#This Row],[7B02 - Organ Systems
Raw Score]],AVERAGE(tblY7[[7B02 - Organ Systems
Raw Score]]),_xlfn.STDEV.P(tblY7[[7B02 - Organ Systems
Raw Score]])),9),_Stanine,2),5),"")</f>
        <v>4</v>
      </c>
    </row>
    <row r="67">
      <c r="A67" s="65" t="inlineStr">
        <is>
          <t>X906031285160</t>
        </is>
      </c>
      <c r="B67" s="65" t="inlineStr">
        <is>
          <t>Davies</t>
        </is>
      </c>
      <c r="C67" s="65" t="inlineStr">
        <is>
          <t>Nia</t>
        </is>
      </c>
      <c r="D67" s="66" t="inlineStr">
        <is>
          <t>F</t>
        </is>
      </c>
      <c r="E67" s="66" t="inlineStr">
        <is>
          <t>E</t>
        </is>
      </c>
      <c r="F67" s="66" t="inlineStr">
        <is>
          <t>N</t>
        </is>
      </c>
      <c r="G67" s="34" t="n">
        <v>93.3</v>
      </c>
      <c r="H67" s="34" t="n">
        <v>108</v>
      </c>
      <c r="I67" s="67">
        <f>IF(ISNUMBER(tblY7[[#This Row],[Avg KS2]]),IFERROR(VLOOKUP(ROUND(STANDARDIZE(tblY7[[#This Row],[Avg KS2]],AVERAGE(tblY7[[Avg KS2]]),_xlfn.STDEV.P(tblY7[[Avg KS2]])),9),_Stanine,2),5),"")</f>
        <v>5</v>
      </c>
      <c r="J67" s="66" t="inlineStr">
        <is>
          <t>7B/Sc1</t>
        </is>
      </c>
      <c r="K67" s="67">
        <f>IF(tblY7[[#This Row],[Preferred Last name]]="","",COUNTIFS($N$1:$ZZ$1,"*"&amp;CHAR(10)&amp;"Stanine",$N67:$ZZ67,"&gt;=1"))</f>
        <v>4</v>
      </c>
      <c r="L67" s="68">
        <f>IFERROR(AVERAGEIF($N$1:$ZZ$1,"*"&amp;CHAR(10)&amp;"Stanine",$N67:$ZZ67),"")</f>
        <v>5.25</v>
      </c>
      <c r="M67" s="69">
        <f>IF(AND(ISNUMBER(tblY7[[#This Row],[Mean Stanine]]),ISNUMBER(tblY7[[#This Row],[Avg KS2 Band]]),ISNUMBER(SlopeY7)),tblY7[[#This Row],[Mean Stanine]]-(InterceptY7+SlopeY7*tblY7[[#This Row],[Avg KS2 Band]]),"")</f>
        <v>0.242307692307692</v>
      </c>
      <c r="N67" s="66" t="n">
        <v>17</v>
      </c>
      <c r="O67" s="67">
        <f>IF(ISNUMBER(tblY7[[#This Row],[7B01 - Cells
Raw Score]]),IFERROR(VLOOKUP(ROUND(STANDARDIZE(tblY7[[#This Row],[7B01 - Cells
Raw Score]],AVERAGE(tblY7[[7B01 - Cells
Raw Score]]),_xlfn.STDEV.P(tblY7[[7B01 - Cells
Raw Score]])),9),_Stanine,2),5),"")</f>
        <v>5</v>
      </c>
      <c r="P67" s="66" t="n">
        <v>18</v>
      </c>
      <c r="Q67" s="67">
        <f>IF(ISNUMBER(tblY7[[#This Row],[7C01 - Particles
Raw Score]]),IFERROR(VLOOKUP(ROUND(STANDARDIZE(tblY7[[#This Row],[7C01 - Particles
Raw Score]],AVERAGE(tblY7[[7C01 - Particles
Raw Score]]),_xlfn.STDEV.P(tblY7[[7C01 - Particles
Raw Score]])),9),_Stanine,2),5),"")</f>
        <v>5</v>
      </c>
      <c r="R67" s="66" t="n">
        <v>24</v>
      </c>
      <c r="S67" s="67">
        <f>IF(ISNUMBER(tblY7[[#This Row],[7P01 - Forces
Raw Score]]),IFERROR(VLOOKUP(ROUND(STANDARDIZE(tblY7[[#This Row],[7P01 - Forces
Raw Score]],AVERAGE(tblY7[[7P01 - Forces
Raw Score]]),_xlfn.STDEV.P(tblY7[[7P01 - Forces
Raw Score]])),9),_Stanine,2),5),"")</f>
        <v>6</v>
      </c>
      <c r="T67" s="66" t="n">
        <v>19</v>
      </c>
      <c r="U67" s="67">
        <f>IF(ISNUMBER(tblY7[[#This Row],[7B02 - Organ Systems
Raw Score]]),IFERROR(VLOOKUP(ROUND(STANDARDIZE(tblY7[[#This Row],[7B02 - Organ Systems
Raw Score]],AVERAGE(tblY7[[7B02 - Organ Systems
Raw Score]]),_xlfn.STDEV.P(tblY7[[7B02 - Organ Systems
Raw Score]])),9),_Stanine,2),5),"")</f>
        <v>5</v>
      </c>
    </row>
    <row r="68">
      <c r="A68" s="65" t="inlineStr">
        <is>
          <t>X903783364628</t>
        </is>
      </c>
      <c r="B68" s="65" t="inlineStr">
        <is>
          <t>Davies</t>
        </is>
      </c>
      <c r="C68" s="65" t="inlineStr">
        <is>
          <t>Theo</t>
        </is>
      </c>
      <c r="D68" s="66" t="inlineStr">
        <is>
          <t>F</t>
        </is>
      </c>
      <c r="E68" s="66" t="inlineStr">
        <is>
          <t>N</t>
        </is>
      </c>
      <c r="F68" s="66" t="inlineStr">
        <is>
          <t>N</t>
        </is>
      </c>
      <c r="G68" s="34" t="n">
        <v>100</v>
      </c>
      <c r="H68" s="34" t="n">
        <v>112.5</v>
      </c>
      <c r="I68" s="67">
        <f>IF(ISNUMBER(tblY7[[#This Row],[Avg KS2]]),IFERROR(VLOOKUP(ROUND(STANDARDIZE(tblY7[[#This Row],[Avg KS2]],AVERAGE(tblY7[[Avg KS2]]),_xlfn.STDEV.P(tblY7[[Avg KS2]])),9),_Stanine,2),5),"")</f>
        <v>7</v>
      </c>
      <c r="J68" s="66" t="inlineStr">
        <is>
          <t>7B/Sc1</t>
        </is>
      </c>
      <c r="K68" s="67">
        <f>IF(tblY7[[#This Row],[Preferred Last name]]="","",COUNTIFS($N$1:$ZZ$1,"*"&amp;CHAR(10)&amp;"Stanine",$N68:$ZZ68,"&gt;=1"))</f>
        <v>3</v>
      </c>
      <c r="L68" s="68">
        <f>IFERROR(AVERAGEIF($N$1:$ZZ$1,"*"&amp;CHAR(10)&amp;"Stanine",$N68:$ZZ68),"")</f>
        <v>7</v>
      </c>
      <c r="M68" s="69">
        <f>IF(AND(ISNUMBER(tblY7[[#This Row],[Mean Stanine]]),ISNUMBER(tblY7[[#This Row],[Avg KS2 Band]]),ISNUMBER(SlopeY7)),tblY7[[#This Row],[Mean Stanine]]-(InterceptY7+SlopeY7*tblY7[[#This Row],[Avg KS2 Band]]),"")</f>
        <v>0.603741800834825</v>
      </c>
      <c r="N68" s="66" t="inlineStr">
        <is>
          <t>A</t>
        </is>
      </c>
      <c r="O68" s="67" t="str">
        <f>IF(ISNUMBER(tblY7[[#This Row],[7B01 - Cells
Raw Score]]),IFERROR(VLOOKUP(ROUND(STANDARDIZE(tblY7[[#This Row],[7B01 - Cells
Raw Score]],AVERAGE(tblY7[[7B01 - Cells
Raw Score]]),_xlfn.STDEV.P(tblY7[[7B01 - Cells
Raw Score]])),9),_Stanine,2),5),"")</f>
        <v/>
      </c>
      <c r="P68" s="66" t="n">
        <v>23</v>
      </c>
      <c r="Q68" s="67">
        <f>IF(ISNUMBER(tblY7[[#This Row],[7C01 - Particles
Raw Score]]),IFERROR(VLOOKUP(ROUND(STANDARDIZE(tblY7[[#This Row],[7C01 - Particles
Raw Score]],AVERAGE(tblY7[[7C01 - Particles
Raw Score]]),_xlfn.STDEV.P(tblY7[[7C01 - Particles
Raw Score]])),9),_Stanine,2),5),"")</f>
        <v>7</v>
      </c>
      <c r="R68" s="66" t="n">
        <v>27</v>
      </c>
      <c r="S68" s="67">
        <f>IF(ISNUMBER(tblY7[[#This Row],[7P01 - Forces
Raw Score]]),IFERROR(VLOOKUP(ROUND(STANDARDIZE(tblY7[[#This Row],[7P01 - Forces
Raw Score]],AVERAGE(tblY7[[7P01 - Forces
Raw Score]]),_xlfn.STDEV.P(tblY7[[7P01 - Forces
Raw Score]])),9),_Stanine,2),5),"")</f>
        <v>7</v>
      </c>
      <c r="T68" s="66" t="n">
        <v>24</v>
      </c>
      <c r="U68" s="67">
        <f>IF(ISNUMBER(tblY7[[#This Row],[7B02 - Organ Systems
Raw Score]]),IFERROR(VLOOKUP(ROUND(STANDARDIZE(tblY7[[#This Row],[7B02 - Organ Systems
Raw Score]],AVERAGE(tblY7[[7B02 - Organ Systems
Raw Score]]),_xlfn.STDEV.P(tblY7[[7B02 - Organ Systems
Raw Score]])),9),_Stanine,2),5),"")</f>
        <v>7</v>
      </c>
    </row>
    <row r="69">
      <c r="A69" s="65" t="inlineStr">
        <is>
          <t>X904592988993</t>
        </is>
      </c>
      <c r="B69" s="65" t="inlineStr">
        <is>
          <t>Edwards</t>
        </is>
      </c>
      <c r="C69" s="65" t="inlineStr">
        <is>
          <t>Sophie</t>
        </is>
      </c>
      <c r="D69" s="66" t="inlineStr">
        <is>
          <t>F</t>
        </is>
      </c>
      <c r="E69" s="66" t="n"/>
      <c r="F69" s="66" t="inlineStr">
        <is>
          <t>N</t>
        </is>
      </c>
      <c r="G69" s="34" t="n">
        <v>95.2</v>
      </c>
      <c r="H69" s="34" t="n">
        <v>101</v>
      </c>
      <c r="I69" s="67">
        <f>IF(ISNUMBER(tblY7[[#This Row],[Avg KS2]]),IFERROR(VLOOKUP(ROUND(STANDARDIZE(tblY7[[#This Row],[Avg KS2]],AVERAGE(tblY7[[Avg KS2]]),_xlfn.STDEV.P(tblY7[[Avg KS2]])),9),_Stanine,2),5),"")</f>
        <v>3</v>
      </c>
      <c r="J69" s="66" t="inlineStr">
        <is>
          <t>7B/Sc1</t>
        </is>
      </c>
      <c r="K69" s="67">
        <f>IF(tblY7[[#This Row],[Preferred Last name]]="","",COUNTIFS($N$1:$ZZ$1,"*"&amp;CHAR(10)&amp;"Stanine",$N69:$ZZ69,"&gt;=1"))</f>
        <v>4</v>
      </c>
      <c r="L69" s="68">
        <f>IFERROR(AVERAGEIF($N$1:$ZZ$1,"*"&amp;CHAR(10)&amp;"Stanine",$N69:$ZZ69),"")</f>
        <v>6</v>
      </c>
      <c r="M69" s="69">
        <f>IF(AND(ISNUMBER(tblY7[[#This Row],[Mean Stanine]]),ISNUMBER(tblY7[[#This Row],[Avg KS2 Band]]),ISNUMBER(SlopeY7)),tblY7[[#This Row],[Mean Stanine]]-(InterceptY7+SlopeY7*tblY7[[#This Row],[Avg KS2 Band]]),"")</f>
        <v>2.38087358378056</v>
      </c>
      <c r="N69" s="66" t="n">
        <v>21</v>
      </c>
      <c r="O69" s="67">
        <f>IF(ISNUMBER(tblY7[[#This Row],[7B01 - Cells
Raw Score]]),IFERROR(VLOOKUP(ROUND(STANDARDIZE(tblY7[[#This Row],[7B01 - Cells
Raw Score]],AVERAGE(tblY7[[7B01 - Cells
Raw Score]]),_xlfn.STDEV.P(tblY7[[7B01 - Cells
Raw Score]])),9),_Stanine,2),5),"")</f>
        <v>6</v>
      </c>
      <c r="P69" s="66" t="n">
        <v>20</v>
      </c>
      <c r="Q69" s="67">
        <f>IF(ISNUMBER(tblY7[[#This Row],[7C01 - Particles
Raw Score]]),IFERROR(VLOOKUP(ROUND(STANDARDIZE(tblY7[[#This Row],[7C01 - Particles
Raw Score]],AVERAGE(tblY7[[7C01 - Particles
Raw Score]]),_xlfn.STDEV.P(tblY7[[7C01 - Particles
Raw Score]])),9),_Stanine,2),5),"")</f>
        <v>6</v>
      </c>
      <c r="R69" s="66" t="n">
        <v>25</v>
      </c>
      <c r="S69" s="67">
        <f>IF(ISNUMBER(tblY7[[#This Row],[7P01 - Forces
Raw Score]]),IFERROR(VLOOKUP(ROUND(STANDARDIZE(tblY7[[#This Row],[7P01 - Forces
Raw Score]],AVERAGE(tblY7[[7P01 - Forces
Raw Score]]),_xlfn.STDEV.P(tblY7[[7P01 - Forces
Raw Score]])),9),_Stanine,2),5),"")</f>
        <v>6</v>
      </c>
      <c r="T69" s="66" t="n">
        <v>21</v>
      </c>
      <c r="U69" s="67">
        <f>IF(ISNUMBER(tblY7[[#This Row],[7B02 - Organ Systems
Raw Score]]),IFERROR(VLOOKUP(ROUND(STANDARDIZE(tblY7[[#This Row],[7B02 - Organ Systems
Raw Score]],AVERAGE(tblY7[[7B02 - Organ Systems
Raw Score]]),_xlfn.STDEV.P(tblY7[[7B02 - Organ Systems
Raw Score]])),9),_Stanine,2),5),"")</f>
        <v>6</v>
      </c>
    </row>
    <row r="70">
      <c r="A70" s="65" t="inlineStr">
        <is>
          <t>X904083204362</t>
        </is>
      </c>
      <c r="B70" s="65" t="inlineStr">
        <is>
          <t>Evans</t>
        </is>
      </c>
      <c r="C70" s="65" t="inlineStr">
        <is>
          <t>Leo</t>
        </is>
      </c>
      <c r="D70" s="66" t="inlineStr">
        <is>
          <t>M</t>
        </is>
      </c>
      <c r="E70" s="66" t="inlineStr">
        <is>
          <t>N</t>
        </is>
      </c>
      <c r="F70" s="66" t="inlineStr">
        <is>
          <t>N</t>
        </is>
      </c>
      <c r="G70" s="34" t="n">
        <v>83.2</v>
      </c>
      <c r="H70" s="34" t="n">
        <v>114.5</v>
      </c>
      <c r="I70" s="67">
        <f>IF(ISNUMBER(tblY7[[#This Row],[Avg KS2]]),IFERROR(VLOOKUP(ROUND(STANDARDIZE(tblY7[[#This Row],[Avg KS2]],AVERAGE(tblY7[[Avg KS2]]),_xlfn.STDEV.P(tblY7[[Avg KS2]])),9),_Stanine,2),5),"")</f>
        <v>8</v>
      </c>
      <c r="J70" s="66" t="inlineStr">
        <is>
          <t>7B/Sc1</t>
        </is>
      </c>
      <c r="K70" s="67">
        <f>IF(tblY7[[#This Row],[Preferred Last name]]="","",COUNTIFS($N$1:$ZZ$1,"*"&amp;CHAR(10)&amp;"Stanine",$N70:$ZZ70,"&gt;=1"))</f>
        <v>4</v>
      </c>
      <c r="L70" s="68">
        <f>IFERROR(AVERAGEIF($N$1:$ZZ$1,"*"&amp;CHAR(10)&amp;"Stanine",$N70:$ZZ70),"")</f>
        <v>7.5</v>
      </c>
      <c r="M70" s="69">
        <f>IF(AND(ISNUMBER(tblY7[[#This Row],[Mean Stanine]]),ISNUMBER(tblY7[[#This Row],[Avg KS2 Band]]),ISNUMBER(SlopeY7)),tblY7[[#This Row],[Mean Stanine]]-(InterceptY7+SlopeY7*tblY7[[#This Row],[Avg KS2 Band]]),"")</f>
        <v>0.40945885509839</v>
      </c>
      <c r="N70" s="66" t="n">
        <v>26</v>
      </c>
      <c r="O70" s="67">
        <f>IF(ISNUMBER(tblY7[[#This Row],[7B01 - Cells
Raw Score]]),IFERROR(VLOOKUP(ROUND(STANDARDIZE(tblY7[[#This Row],[7B01 - Cells
Raw Score]],AVERAGE(tblY7[[7B01 - Cells
Raw Score]]),_xlfn.STDEV.P(tblY7[[7B01 - Cells
Raw Score]])),9),_Stanine,2),5),"")</f>
        <v>8</v>
      </c>
      <c r="P70" s="66" t="n">
        <v>22</v>
      </c>
      <c r="Q70" s="67">
        <f>IF(ISNUMBER(tblY7[[#This Row],[7C01 - Particles
Raw Score]]),IFERROR(VLOOKUP(ROUND(STANDARDIZE(tblY7[[#This Row],[7C01 - Particles
Raw Score]],AVERAGE(tblY7[[7C01 - Particles
Raw Score]]),_xlfn.STDEV.P(tblY7[[7C01 - Particles
Raw Score]])),9),_Stanine,2),5),"")</f>
        <v>7</v>
      </c>
      <c r="R70" s="66" t="n">
        <v>26</v>
      </c>
      <c r="S70" s="67">
        <f>IF(ISNUMBER(tblY7[[#This Row],[7P01 - Forces
Raw Score]]),IFERROR(VLOOKUP(ROUND(STANDARDIZE(tblY7[[#This Row],[7P01 - Forces
Raw Score]],AVERAGE(tblY7[[7P01 - Forces
Raw Score]]),_xlfn.STDEV.P(tblY7[[7P01 - Forces
Raw Score]])),9),_Stanine,2),5),"")</f>
        <v>7</v>
      </c>
      <c r="T70" s="66" t="n">
        <v>25</v>
      </c>
      <c r="U70" s="67">
        <f>IF(ISNUMBER(tblY7[[#This Row],[7B02 - Organ Systems
Raw Score]]),IFERROR(VLOOKUP(ROUND(STANDARDIZE(tblY7[[#This Row],[7B02 - Organ Systems
Raw Score]],AVERAGE(tblY7[[7B02 - Organ Systems
Raw Score]]),_xlfn.STDEV.P(tblY7[[7B02 - Organ Systems
Raw Score]])),9),_Stanine,2),5),"")</f>
        <v>8</v>
      </c>
    </row>
    <row r="71">
      <c r="A71" s="65" t="inlineStr">
        <is>
          <t>X903709975205</t>
        </is>
      </c>
      <c r="B71" s="65" t="inlineStr">
        <is>
          <t>Evans</t>
        </is>
      </c>
      <c r="C71" s="65" t="inlineStr">
        <is>
          <t>Priya</t>
        </is>
      </c>
      <c r="D71" s="66" t="inlineStr">
        <is>
          <t>F</t>
        </is>
      </c>
      <c r="E71" s="66" t="inlineStr">
        <is>
          <t>N</t>
        </is>
      </c>
      <c r="F71" s="66" t="inlineStr">
        <is>
          <t>N</t>
        </is>
      </c>
      <c r="G71" s="34" t="n">
        <v>94.09999999999999</v>
      </c>
      <c r="H71" s="34" t="n">
        <v>111</v>
      </c>
      <c r="I71" s="67">
        <f>IF(ISNUMBER(tblY7[[#This Row],[Avg KS2]]),IFERROR(VLOOKUP(ROUND(STANDARDIZE(tblY7[[#This Row],[Avg KS2]],AVERAGE(tblY7[[Avg KS2]]),_xlfn.STDEV.P(tblY7[[Avg KS2]])),9),_Stanine,2),5),"")</f>
        <v>7</v>
      </c>
      <c r="J71" s="66" t="inlineStr">
        <is>
          <t>7B/Sc1</t>
        </is>
      </c>
      <c r="K71" s="67">
        <f>IF(tblY7[[#This Row],[Preferred Last name]]="","",COUNTIFS($N$1:$ZZ$1,"*"&amp;CHAR(10)&amp;"Stanine",$N71:$ZZ71,"&gt;=1"))</f>
        <v>4</v>
      </c>
      <c r="L71" s="68">
        <f>IFERROR(AVERAGEIF($N$1:$ZZ$1,"*"&amp;CHAR(10)&amp;"Stanine",$N71:$ZZ71),"")</f>
        <v>5.75</v>
      </c>
      <c r="M71" s="69">
        <f>IF(AND(ISNUMBER(tblY7[[#This Row],[Mean Stanine]]),ISNUMBER(tblY7[[#This Row],[Avg KS2 Band]]),ISNUMBER(SlopeY7)),tblY7[[#This Row],[Mean Stanine]]-(InterceptY7+SlopeY7*tblY7[[#This Row],[Avg KS2 Band]]),"")</f>
        <v>-0.646258199165176</v>
      </c>
      <c r="N71" s="66" t="n">
        <v>19</v>
      </c>
      <c r="O71" s="67">
        <f>IF(ISNUMBER(tblY7[[#This Row],[7B01 - Cells
Raw Score]]),IFERROR(VLOOKUP(ROUND(STANDARDIZE(tblY7[[#This Row],[7B01 - Cells
Raw Score]],AVERAGE(tblY7[[7B01 - Cells
Raw Score]]),_xlfn.STDEV.P(tblY7[[7B01 - Cells
Raw Score]])),9),_Stanine,2),5),"")</f>
        <v>5</v>
      </c>
      <c r="P71" s="66" t="n">
        <v>20</v>
      </c>
      <c r="Q71" s="67">
        <f>IF(ISNUMBER(tblY7[[#This Row],[7C01 - Particles
Raw Score]]),IFERROR(VLOOKUP(ROUND(STANDARDIZE(tblY7[[#This Row],[7C01 - Particles
Raw Score]],AVERAGE(tblY7[[7C01 - Particles
Raw Score]]),_xlfn.STDEV.P(tblY7[[7C01 - Particles
Raw Score]])),9),_Stanine,2),5),"")</f>
        <v>6</v>
      </c>
      <c r="R71" s="66" t="n">
        <v>24</v>
      </c>
      <c r="S71" s="67">
        <f>IF(ISNUMBER(tblY7[[#This Row],[7P01 - Forces
Raw Score]]),IFERROR(VLOOKUP(ROUND(STANDARDIZE(tblY7[[#This Row],[7P01 - Forces
Raw Score]],AVERAGE(tblY7[[7P01 - Forces
Raw Score]]),_xlfn.STDEV.P(tblY7[[7P01 - Forces
Raw Score]])),9),_Stanine,2),5),"")</f>
        <v>6</v>
      </c>
      <c r="T71" s="66" t="n">
        <v>21</v>
      </c>
      <c r="U71" s="67">
        <f>IF(ISNUMBER(tblY7[[#This Row],[7B02 - Organ Systems
Raw Score]]),IFERROR(VLOOKUP(ROUND(STANDARDIZE(tblY7[[#This Row],[7B02 - Organ Systems
Raw Score]],AVERAGE(tblY7[[7B02 - Organ Systems
Raw Score]]),_xlfn.STDEV.P(tblY7[[7B02 - Organ Systems
Raw Score]])),9),_Stanine,2),5),"")</f>
        <v>6</v>
      </c>
    </row>
    <row r="72">
      <c r="A72" s="65" t="inlineStr">
        <is>
          <t>X904965168656</t>
        </is>
      </c>
      <c r="B72" s="65" t="inlineStr">
        <is>
          <t>Green</t>
        </is>
      </c>
      <c r="C72" s="65" t="inlineStr">
        <is>
          <t>Hannah</t>
        </is>
      </c>
      <c r="D72" s="66" t="inlineStr">
        <is>
          <t>F</t>
        </is>
      </c>
      <c r="E72" s="66" t="n"/>
      <c r="F72" s="66" t="inlineStr">
        <is>
          <t>N</t>
        </is>
      </c>
      <c r="G72" s="34" t="n">
        <v>100</v>
      </c>
      <c r="H72" s="34" t="n">
        <v>110</v>
      </c>
      <c r="I72" s="67">
        <f>IF(ISNUMBER(tblY7[[#This Row],[Avg KS2]]),IFERROR(VLOOKUP(ROUND(STANDARDIZE(tblY7[[#This Row],[Avg KS2]],AVERAGE(tblY7[[Avg KS2]]),_xlfn.STDEV.P(tblY7[[Avg KS2]])),9),_Stanine,2),5),"")</f>
        <v>6</v>
      </c>
      <c r="J72" s="66" t="inlineStr">
        <is>
          <t>7B/Sc1</t>
        </is>
      </c>
      <c r="K72" s="67">
        <f>IF(tblY7[[#This Row],[Preferred Last name]]="","",COUNTIFS($N$1:$ZZ$1,"*"&amp;CHAR(10)&amp;"Stanine",$N72:$ZZ72,"&gt;=1"))</f>
        <v>4</v>
      </c>
      <c r="L72" s="68">
        <f>IFERROR(AVERAGEIF($N$1:$ZZ$1,"*"&amp;CHAR(10)&amp;"Stanine",$N72:$ZZ72),"")</f>
        <v>5.5</v>
      </c>
      <c r="M72" s="69">
        <f>IF(AND(ISNUMBER(tblY7[[#This Row],[Mean Stanine]]),ISNUMBER(tblY7[[#This Row],[Avg KS2 Band]]),ISNUMBER(SlopeY7)),tblY7[[#This Row],[Mean Stanine]]-(InterceptY7+SlopeY7*tblY7[[#This Row],[Avg KS2 Band]]),"")</f>
        <v>-0.201975253428741</v>
      </c>
      <c r="N72" s="66" t="n">
        <v>14</v>
      </c>
      <c r="O72" s="67">
        <f>IF(ISNUMBER(tblY7[[#This Row],[7B01 - Cells
Raw Score]]),IFERROR(VLOOKUP(ROUND(STANDARDIZE(tblY7[[#This Row],[7B01 - Cells
Raw Score]],AVERAGE(tblY7[[7B01 - Cells
Raw Score]]),_xlfn.STDEV.P(tblY7[[7B01 - Cells
Raw Score]])),9),_Stanine,2),5),"")</f>
        <v>4</v>
      </c>
      <c r="P72" s="66" t="n">
        <v>20</v>
      </c>
      <c r="Q72" s="67">
        <f>IF(ISNUMBER(tblY7[[#This Row],[7C01 - Particles
Raw Score]]),IFERROR(VLOOKUP(ROUND(STANDARDIZE(tblY7[[#This Row],[7C01 - Particles
Raw Score]],AVERAGE(tblY7[[7C01 - Particles
Raw Score]]),_xlfn.STDEV.P(tblY7[[7C01 - Particles
Raw Score]])),9),_Stanine,2),5),"")</f>
        <v>6</v>
      </c>
      <c r="R72" s="66" t="n">
        <v>23</v>
      </c>
      <c r="S72" s="67">
        <f>IF(ISNUMBER(tblY7[[#This Row],[7P01 - Forces
Raw Score]]),IFERROR(VLOOKUP(ROUND(STANDARDIZE(tblY7[[#This Row],[7P01 - Forces
Raw Score]],AVERAGE(tblY7[[7P01 - Forces
Raw Score]]),_xlfn.STDEV.P(tblY7[[7P01 - Forces
Raw Score]])),9),_Stanine,2),5),"")</f>
        <v>6</v>
      </c>
      <c r="T72" s="66" t="n">
        <v>20</v>
      </c>
      <c r="U72" s="67">
        <f>IF(ISNUMBER(tblY7[[#This Row],[7B02 - Organ Systems
Raw Score]]),IFERROR(VLOOKUP(ROUND(STANDARDIZE(tblY7[[#This Row],[7B02 - Organ Systems
Raw Score]],AVERAGE(tblY7[[7B02 - Organ Systems
Raw Score]]),_xlfn.STDEV.P(tblY7[[7B02 - Organ Systems
Raw Score]])),9),_Stanine,2),5),"")</f>
        <v>6</v>
      </c>
    </row>
    <row r="73">
      <c r="A73" s="65" t="inlineStr">
        <is>
          <t>X901853220911</t>
        </is>
      </c>
      <c r="B73" s="65" t="inlineStr">
        <is>
          <t>Hall</t>
        </is>
      </c>
      <c r="C73" s="65" t="inlineStr">
        <is>
          <t>Sophie</t>
        </is>
      </c>
      <c r="D73" s="66" t="inlineStr">
        <is>
          <t>M</t>
        </is>
      </c>
      <c r="E73" s="66" t="inlineStr">
        <is>
          <t>K</t>
        </is>
      </c>
      <c r="F73" s="66" t="inlineStr">
        <is>
          <t>N</t>
        </is>
      </c>
      <c r="G73" s="34" t="n">
        <v>82.8</v>
      </c>
      <c r="H73" s="34" t="n">
        <v>103.5</v>
      </c>
      <c r="I73" s="67">
        <f>IF(ISNUMBER(tblY7[[#This Row],[Avg KS2]]),IFERROR(VLOOKUP(ROUND(STANDARDIZE(tblY7[[#This Row],[Avg KS2]],AVERAGE(tblY7[[Avg KS2]]),_xlfn.STDEV.P(tblY7[[Avg KS2]])),9),_Stanine,2),5),"")</f>
        <v>4</v>
      </c>
      <c r="J73" s="66" t="inlineStr">
        <is>
          <t>7B/Sc1</t>
        </is>
      </c>
      <c r="K73" s="67">
        <f>IF(tblY7[[#This Row],[Preferred Last name]]="","",COUNTIFS($N$1:$ZZ$1,"*"&amp;CHAR(10)&amp;"Stanine",$N73:$ZZ73,"&gt;=1"))</f>
        <v>4</v>
      </c>
      <c r="L73" s="68">
        <f>IFERROR(AVERAGEIF($N$1:$ZZ$1,"*"&amp;CHAR(10)&amp;"Stanine",$N73:$ZZ73),"")</f>
        <v>5</v>
      </c>
      <c r="M73" s="69">
        <f>IF(AND(ISNUMBER(tblY7[[#This Row],[Mean Stanine]]),ISNUMBER(tblY7[[#This Row],[Avg KS2 Band]]),ISNUMBER(SlopeY7)),tblY7[[#This Row],[Mean Stanine]]-(InterceptY7+SlopeY7*tblY7[[#This Row],[Avg KS2 Band]]),"")</f>
        <v>0.686590638044127</v>
      </c>
      <c r="N73" s="66" t="n">
        <v>16</v>
      </c>
      <c r="O73" s="67">
        <f>IF(ISNUMBER(tblY7[[#This Row],[7B01 - Cells
Raw Score]]),IFERROR(VLOOKUP(ROUND(STANDARDIZE(tblY7[[#This Row],[7B01 - Cells
Raw Score]],AVERAGE(tblY7[[7B01 - Cells
Raw Score]]),_xlfn.STDEV.P(tblY7[[7B01 - Cells
Raw Score]])),9),_Stanine,2),5),"")</f>
        <v>5</v>
      </c>
      <c r="P73" s="66" t="n">
        <v>18</v>
      </c>
      <c r="Q73" s="67">
        <f>IF(ISNUMBER(tblY7[[#This Row],[7C01 - Particles
Raw Score]]),IFERROR(VLOOKUP(ROUND(STANDARDIZE(tblY7[[#This Row],[7C01 - Particles
Raw Score]],AVERAGE(tblY7[[7C01 - Particles
Raw Score]]),_xlfn.STDEV.P(tblY7[[7C01 - Particles
Raw Score]])),9),_Stanine,2),5),"")</f>
        <v>5</v>
      </c>
      <c r="R73" s="66" t="n">
        <v>23</v>
      </c>
      <c r="S73" s="67">
        <f>IF(ISNUMBER(tblY7[[#This Row],[7P01 - Forces
Raw Score]]),IFERROR(VLOOKUP(ROUND(STANDARDIZE(tblY7[[#This Row],[7P01 - Forces
Raw Score]],AVERAGE(tblY7[[7P01 - Forces
Raw Score]]),_xlfn.STDEV.P(tblY7[[7P01 - Forces
Raw Score]])),9),_Stanine,2),5),"")</f>
        <v>6</v>
      </c>
      <c r="T73" s="66" t="n">
        <v>15</v>
      </c>
      <c r="U73" s="67">
        <f>IF(ISNUMBER(tblY7[[#This Row],[7B02 - Organ Systems
Raw Score]]),IFERROR(VLOOKUP(ROUND(STANDARDIZE(tblY7[[#This Row],[7B02 - Organ Systems
Raw Score]],AVERAGE(tblY7[[7B02 - Organ Systems
Raw Score]]),_xlfn.STDEV.P(tblY7[[7B02 - Organ Systems
Raw Score]])),9),_Stanine,2),5),"")</f>
        <v>4</v>
      </c>
    </row>
    <row r="74">
      <c r="A74" s="65" t="inlineStr">
        <is>
          <t>X900421540137</t>
        </is>
      </c>
      <c r="B74" s="65" t="inlineStr">
        <is>
          <t>Jackson</t>
        </is>
      </c>
      <c r="C74" s="65" t="inlineStr">
        <is>
          <t>Layla</t>
        </is>
      </c>
      <c r="D74" s="66" t="inlineStr">
        <is>
          <t>F</t>
        </is>
      </c>
      <c r="E74" s="66" t="inlineStr">
        <is>
          <t>K</t>
        </is>
      </c>
      <c r="F74" s="66" t="inlineStr">
        <is>
          <t>N</t>
        </is>
      </c>
      <c r="G74" s="34" t="n">
        <v>89.7</v>
      </c>
      <c r="H74" s="34" t="n">
        <v>108</v>
      </c>
      <c r="I74" s="67">
        <f>IF(ISNUMBER(tblY7[[#This Row],[Avg KS2]]),IFERROR(VLOOKUP(ROUND(STANDARDIZE(tblY7[[#This Row],[Avg KS2]],AVERAGE(tblY7[[Avg KS2]]),_xlfn.STDEV.P(tblY7[[Avg KS2]])),9),_Stanine,2),5),"")</f>
        <v>5</v>
      </c>
      <c r="J74" s="66" t="inlineStr">
        <is>
          <t>7B/Sc1</t>
        </is>
      </c>
      <c r="K74" s="67">
        <f>IF(tblY7[[#This Row],[Preferred Last name]]="","",COUNTIFS($N$1:$ZZ$1,"*"&amp;CHAR(10)&amp;"Stanine",$N74:$ZZ74,"&gt;=1"))</f>
        <v>4</v>
      </c>
      <c r="L74" s="68">
        <f>IFERROR(AVERAGEIF($N$1:$ZZ$1,"*"&amp;CHAR(10)&amp;"Stanine",$N74:$ZZ74),"")</f>
        <v>4</v>
      </c>
      <c r="M74" s="69">
        <f>IF(AND(ISNUMBER(tblY7[[#This Row],[Mean Stanine]]),ISNUMBER(tblY7[[#This Row],[Avg KS2 Band]]),ISNUMBER(SlopeY7)),tblY7[[#This Row],[Mean Stanine]]-(InterceptY7+SlopeY7*tblY7[[#This Row],[Avg KS2 Band]]),"")</f>
        <v>-1.00769230769231</v>
      </c>
      <c r="N74" s="66" t="n">
        <v>15</v>
      </c>
      <c r="O74" s="67">
        <f>IF(ISNUMBER(tblY7[[#This Row],[7B01 - Cells
Raw Score]]),IFERROR(VLOOKUP(ROUND(STANDARDIZE(tblY7[[#This Row],[7B01 - Cells
Raw Score]],AVERAGE(tblY7[[7B01 - Cells
Raw Score]]),_xlfn.STDEV.P(tblY7[[7B01 - Cells
Raw Score]])),9),_Stanine,2),5),"")</f>
        <v>4</v>
      </c>
      <c r="P74" s="66" t="n">
        <v>17</v>
      </c>
      <c r="Q74" s="67">
        <f>IF(ISNUMBER(tblY7[[#This Row],[7C01 - Particles
Raw Score]]),IFERROR(VLOOKUP(ROUND(STANDARDIZE(tblY7[[#This Row],[7C01 - Particles
Raw Score]],AVERAGE(tblY7[[7C01 - Particles
Raw Score]]),_xlfn.STDEV.P(tblY7[[7C01 - Particles
Raw Score]])),9),_Stanine,2),5),"")</f>
        <v>4</v>
      </c>
      <c r="R74" s="66" t="n">
        <v>20</v>
      </c>
      <c r="S74" s="67">
        <f>IF(ISNUMBER(tblY7[[#This Row],[7P01 - Forces
Raw Score]]),IFERROR(VLOOKUP(ROUND(STANDARDIZE(tblY7[[#This Row],[7P01 - Forces
Raw Score]],AVERAGE(tblY7[[7P01 - Forces
Raw Score]]),_xlfn.STDEV.P(tblY7[[7P01 - Forces
Raw Score]])),9),_Stanine,2),5),"")</f>
        <v>4</v>
      </c>
      <c r="T74" s="66" t="n">
        <v>14</v>
      </c>
      <c r="U74" s="67">
        <f>IF(ISNUMBER(tblY7[[#This Row],[7B02 - Organ Systems
Raw Score]]),IFERROR(VLOOKUP(ROUND(STANDARDIZE(tblY7[[#This Row],[7B02 - Organ Systems
Raw Score]],AVERAGE(tblY7[[7B02 - Organ Systems
Raw Score]]),_xlfn.STDEV.P(tblY7[[7B02 - Organ Systems
Raw Score]])),9),_Stanine,2),5),"")</f>
        <v>4</v>
      </c>
    </row>
    <row r="75">
      <c r="A75" s="65" t="inlineStr">
        <is>
          <t>X901152165745</t>
        </is>
      </c>
      <c r="B75" s="65" t="inlineStr">
        <is>
          <t>Johnson</t>
        </is>
      </c>
      <c r="C75" s="65" t="inlineStr">
        <is>
          <t>Alfie</t>
        </is>
      </c>
      <c r="D75" s="66" t="inlineStr">
        <is>
          <t>F</t>
        </is>
      </c>
      <c r="E75" s="66" t="inlineStr">
        <is>
          <t>N</t>
        </is>
      </c>
      <c r="F75" s="66" t="inlineStr">
        <is>
          <t>N</t>
        </is>
      </c>
      <c r="G75" s="34" t="n">
        <v>90.09999999999999</v>
      </c>
      <c r="H75" s="34" t="n">
        <v>103</v>
      </c>
      <c r="I75" s="67">
        <f>IF(ISNUMBER(tblY7[[#This Row],[Avg KS2]]),IFERROR(VLOOKUP(ROUND(STANDARDIZE(tblY7[[#This Row],[Avg KS2]],AVERAGE(tblY7[[Avg KS2]]),_xlfn.STDEV.P(tblY7[[Avg KS2]])),9),_Stanine,2),5),"")</f>
        <v>3</v>
      </c>
      <c r="J75" s="66" t="inlineStr">
        <is>
          <t>7B/Sc1</t>
        </is>
      </c>
      <c r="K75" s="67">
        <f>IF(tblY7[[#This Row],[Preferred Last name]]="","",COUNTIFS($N$1:$ZZ$1,"*"&amp;CHAR(10)&amp;"Stanine",$N75:$ZZ75,"&gt;=1"))</f>
        <v>4</v>
      </c>
      <c r="L75" s="68">
        <f>IFERROR(AVERAGEIF($N$1:$ZZ$1,"*"&amp;CHAR(10)&amp;"Stanine",$N75:$ZZ75),"")</f>
        <v>5.75</v>
      </c>
      <c r="M75" s="69">
        <f>IF(AND(ISNUMBER(tblY7[[#This Row],[Mean Stanine]]),ISNUMBER(tblY7[[#This Row],[Avg KS2 Band]]),ISNUMBER(SlopeY7)),tblY7[[#This Row],[Mean Stanine]]-(InterceptY7+SlopeY7*tblY7[[#This Row],[Avg KS2 Band]]),"")</f>
        <v>2.13087358378056</v>
      </c>
      <c r="N75" s="66" t="n">
        <v>21</v>
      </c>
      <c r="O75" s="67">
        <f>IF(ISNUMBER(tblY7[[#This Row],[7B01 - Cells
Raw Score]]),IFERROR(VLOOKUP(ROUND(STANDARDIZE(tblY7[[#This Row],[7B01 - Cells
Raw Score]],AVERAGE(tblY7[[7B01 - Cells
Raw Score]]),_xlfn.STDEV.P(tblY7[[7B01 - Cells
Raw Score]])),9),_Stanine,2),5),"")</f>
        <v>6</v>
      </c>
      <c r="P75" s="66" t="n">
        <v>21</v>
      </c>
      <c r="Q75" s="67">
        <f>IF(ISNUMBER(tblY7[[#This Row],[7C01 - Particles
Raw Score]]),IFERROR(VLOOKUP(ROUND(STANDARDIZE(tblY7[[#This Row],[7C01 - Particles
Raw Score]],AVERAGE(tblY7[[7C01 - Particles
Raw Score]]),_xlfn.STDEV.P(tblY7[[7C01 - Particles
Raw Score]])),9),_Stanine,2),5),"")</f>
        <v>6</v>
      </c>
      <c r="R75" s="66" t="n">
        <v>25</v>
      </c>
      <c r="S75" s="67">
        <f>IF(ISNUMBER(tblY7[[#This Row],[7P01 - Forces
Raw Score]]),IFERROR(VLOOKUP(ROUND(STANDARDIZE(tblY7[[#This Row],[7P01 - Forces
Raw Score]],AVERAGE(tblY7[[7P01 - Forces
Raw Score]]),_xlfn.STDEV.P(tblY7[[7P01 - Forces
Raw Score]])),9),_Stanine,2),5),"")</f>
        <v>6</v>
      </c>
      <c r="T75" s="66" t="n">
        <v>17</v>
      </c>
      <c r="U75" s="67">
        <f>IF(ISNUMBER(tblY7[[#This Row],[7B02 - Organ Systems
Raw Score]]),IFERROR(VLOOKUP(ROUND(STANDARDIZE(tblY7[[#This Row],[7B02 - Organ Systems
Raw Score]],AVERAGE(tblY7[[7B02 - Organ Systems
Raw Score]]),_xlfn.STDEV.P(tblY7[[7B02 - Organ Systems
Raw Score]])),9),_Stanine,2),5),"")</f>
        <v>5</v>
      </c>
    </row>
    <row r="76">
      <c r="A76" s="65" t="inlineStr">
        <is>
          <t>X909125482538</t>
        </is>
      </c>
      <c r="B76" s="65" t="inlineStr">
        <is>
          <t>Mistry</t>
        </is>
      </c>
      <c r="C76" s="65" t="inlineStr">
        <is>
          <t>Ethan</t>
        </is>
      </c>
      <c r="D76" s="66" t="inlineStr">
        <is>
          <t>F</t>
        </is>
      </c>
      <c r="E76" s="66" t="n"/>
      <c r="F76" s="66" t="inlineStr">
        <is>
          <t>Y</t>
        </is>
      </c>
      <c r="G76" s="34" t="n">
        <v>90</v>
      </c>
      <c r="H76" s="34" t="n">
        <v>111</v>
      </c>
      <c r="I76" s="67">
        <f>IF(ISNUMBER(tblY7[[#This Row],[Avg KS2]]),IFERROR(VLOOKUP(ROUND(STANDARDIZE(tblY7[[#This Row],[Avg KS2]],AVERAGE(tblY7[[Avg KS2]]),_xlfn.STDEV.P(tblY7[[Avg KS2]])),9),_Stanine,2),5),"")</f>
        <v>7</v>
      </c>
      <c r="J76" s="66" t="inlineStr">
        <is>
          <t>7B/Sc1</t>
        </is>
      </c>
      <c r="K76" s="67">
        <f>IF(tblY7[[#This Row],[Preferred Last name]]="","",COUNTIFS($N$1:$ZZ$1,"*"&amp;CHAR(10)&amp;"Stanine",$N76:$ZZ76,"&gt;=1"))</f>
        <v>4</v>
      </c>
      <c r="L76" s="68">
        <f>IFERROR(AVERAGEIF($N$1:$ZZ$1,"*"&amp;CHAR(10)&amp;"Stanine",$N76:$ZZ76),"")</f>
        <v>7.25</v>
      </c>
      <c r="M76" s="69">
        <f>IF(AND(ISNUMBER(tblY7[[#This Row],[Mean Stanine]]),ISNUMBER(tblY7[[#This Row],[Avg KS2 Band]]),ISNUMBER(SlopeY7)),tblY7[[#This Row],[Mean Stanine]]-(InterceptY7+SlopeY7*tblY7[[#This Row],[Avg KS2 Band]]),"")</f>
        <v>0.853741800834825</v>
      </c>
      <c r="N76" s="66" t="n">
        <v>24</v>
      </c>
      <c r="O76" s="67">
        <f>IF(ISNUMBER(tblY7[[#This Row],[7B01 - Cells
Raw Score]]),IFERROR(VLOOKUP(ROUND(STANDARDIZE(tblY7[[#This Row],[7B01 - Cells
Raw Score]],AVERAGE(tblY7[[7B01 - Cells
Raw Score]]),_xlfn.STDEV.P(tblY7[[7B01 - Cells
Raw Score]])),9),_Stanine,2),5),"")</f>
        <v>7</v>
      </c>
      <c r="P76" s="66" t="n">
        <v>23</v>
      </c>
      <c r="Q76" s="67">
        <f>IF(ISNUMBER(tblY7[[#This Row],[7C01 - Particles
Raw Score]]),IFERROR(VLOOKUP(ROUND(STANDARDIZE(tblY7[[#This Row],[7C01 - Particles
Raw Score]],AVERAGE(tblY7[[7C01 - Particles
Raw Score]]),_xlfn.STDEV.P(tblY7[[7C01 - Particles
Raw Score]])),9),_Stanine,2),5),"")</f>
        <v>7</v>
      </c>
      <c r="R76" s="66" t="n">
        <v>28</v>
      </c>
      <c r="S76" s="67">
        <f>IF(ISNUMBER(tblY7[[#This Row],[7P01 - Forces
Raw Score]]),IFERROR(VLOOKUP(ROUND(STANDARDIZE(tblY7[[#This Row],[7P01 - Forces
Raw Score]],AVERAGE(tblY7[[7P01 - Forces
Raw Score]]),_xlfn.STDEV.P(tblY7[[7P01 - Forces
Raw Score]])),9),_Stanine,2),5),"")</f>
        <v>8</v>
      </c>
      <c r="T76" s="66" t="n">
        <v>24</v>
      </c>
      <c r="U76" s="67">
        <f>IF(ISNUMBER(tblY7[[#This Row],[7B02 - Organ Systems
Raw Score]]),IFERROR(VLOOKUP(ROUND(STANDARDIZE(tblY7[[#This Row],[7B02 - Organ Systems
Raw Score]],AVERAGE(tblY7[[7B02 - Organ Systems
Raw Score]]),_xlfn.STDEV.P(tblY7[[7B02 - Organ Systems
Raw Score]])),9),_Stanine,2),5),"")</f>
        <v>7</v>
      </c>
    </row>
    <row r="77">
      <c r="A77" s="65" t="inlineStr">
        <is>
          <t>X901596061819</t>
        </is>
      </c>
      <c r="B77" s="65" t="inlineStr">
        <is>
          <t>Morgan</t>
        </is>
      </c>
      <c r="C77" s="65" t="inlineStr">
        <is>
          <t>Rhys</t>
        </is>
      </c>
      <c r="D77" s="66" t="inlineStr">
        <is>
          <t>F</t>
        </is>
      </c>
      <c r="E77" s="66" t="inlineStr">
        <is>
          <t>N</t>
        </is>
      </c>
      <c r="F77" s="66" t="inlineStr">
        <is>
          <t>Y</t>
        </is>
      </c>
      <c r="G77" s="34" t="n">
        <v>83.2</v>
      </c>
      <c r="H77" s="34" t="n">
        <v>111.5</v>
      </c>
      <c r="I77" s="67">
        <f>IF(ISNUMBER(tblY7[[#This Row],[Avg KS2]]),IFERROR(VLOOKUP(ROUND(STANDARDIZE(tblY7[[#This Row],[Avg KS2]],AVERAGE(tblY7[[Avg KS2]]),_xlfn.STDEV.P(tblY7[[Avg KS2]])),9),_Stanine,2),5),"")</f>
        <v>7</v>
      </c>
      <c r="J77" s="66" t="inlineStr">
        <is>
          <t>7B/Sc1</t>
        </is>
      </c>
      <c r="K77" s="67">
        <f>IF(tblY7[[#This Row],[Preferred Last name]]="","",COUNTIFS($N$1:$ZZ$1,"*"&amp;CHAR(10)&amp;"Stanine",$N77:$ZZ77,"&gt;=1"))</f>
        <v>4</v>
      </c>
      <c r="L77" s="68">
        <f>IFERROR(AVERAGEIF($N$1:$ZZ$1,"*"&amp;CHAR(10)&amp;"Stanine",$N77:$ZZ77),"")</f>
        <v>7.75</v>
      </c>
      <c r="M77" s="69">
        <f>IF(AND(ISNUMBER(tblY7[[#This Row],[Mean Stanine]]),ISNUMBER(tblY7[[#This Row],[Avg KS2 Band]]),ISNUMBER(SlopeY7)),tblY7[[#This Row],[Mean Stanine]]-(InterceptY7+SlopeY7*tblY7[[#This Row],[Avg KS2 Band]]),"")</f>
        <v>1.35374180083482</v>
      </c>
      <c r="N77" s="66" t="n">
        <v>24</v>
      </c>
      <c r="O77" s="67">
        <f>IF(ISNUMBER(tblY7[[#This Row],[7B01 - Cells
Raw Score]]),IFERROR(VLOOKUP(ROUND(STANDARDIZE(tblY7[[#This Row],[7B01 - Cells
Raw Score]],AVERAGE(tblY7[[7B01 - Cells
Raw Score]]),_xlfn.STDEV.P(tblY7[[7B01 - Cells
Raw Score]])),9),_Stanine,2),5),"")</f>
        <v>7</v>
      </c>
      <c r="P77" s="66" t="n">
        <v>24</v>
      </c>
      <c r="Q77" s="67">
        <f>IF(ISNUMBER(tblY7[[#This Row],[7C01 - Particles
Raw Score]]),IFERROR(VLOOKUP(ROUND(STANDARDIZE(tblY7[[#This Row],[7C01 - Particles
Raw Score]],AVERAGE(tblY7[[7C01 - Particles
Raw Score]]),_xlfn.STDEV.P(tblY7[[7C01 - Particles
Raw Score]])),9),_Stanine,2),5),"")</f>
        <v>8</v>
      </c>
      <c r="R77" s="66" t="n">
        <v>28</v>
      </c>
      <c r="S77" s="67">
        <f>IF(ISNUMBER(tblY7[[#This Row],[7P01 - Forces
Raw Score]]),IFERROR(VLOOKUP(ROUND(STANDARDIZE(tblY7[[#This Row],[7P01 - Forces
Raw Score]],AVERAGE(tblY7[[7P01 - Forces
Raw Score]]),_xlfn.STDEV.P(tblY7[[7P01 - Forces
Raw Score]])),9),_Stanine,2),5),"")</f>
        <v>8</v>
      </c>
      <c r="T77" s="66" t="n">
        <v>25</v>
      </c>
      <c r="U77" s="67">
        <f>IF(ISNUMBER(tblY7[[#This Row],[7B02 - Organ Systems
Raw Score]]),IFERROR(VLOOKUP(ROUND(STANDARDIZE(tblY7[[#This Row],[7B02 - Organ Systems
Raw Score]],AVERAGE(tblY7[[7B02 - Organ Systems
Raw Score]]),_xlfn.STDEV.P(tblY7[[7B02 - Organ Systems
Raw Score]])),9),_Stanine,2),5),"")</f>
        <v>8</v>
      </c>
    </row>
    <row r="78">
      <c r="A78" s="65" t="inlineStr">
        <is>
          <t>X908079004286</t>
        </is>
      </c>
      <c r="B78" s="65" t="inlineStr">
        <is>
          <t>Nowak</t>
        </is>
      </c>
      <c r="C78" s="65" t="inlineStr">
        <is>
          <t>Noah</t>
        </is>
      </c>
      <c r="D78" s="66" t="inlineStr">
        <is>
          <t>F</t>
        </is>
      </c>
      <c r="E78" s="66" t="n"/>
      <c r="F78" s="66" t="inlineStr">
        <is>
          <t>N</t>
        </is>
      </c>
      <c r="G78" s="34" t="n">
        <v>100</v>
      </c>
      <c r="H78" s="34" t="n">
        <v>98</v>
      </c>
      <c r="I78" s="67">
        <f>IF(ISNUMBER(tblY7[[#This Row],[Avg KS2]]),IFERROR(VLOOKUP(ROUND(STANDARDIZE(tblY7[[#This Row],[Avg KS2]],AVERAGE(tblY7[[Avg KS2]]),_xlfn.STDEV.P(tblY7[[Avg KS2]])),9),_Stanine,2),5),"")</f>
        <v>2</v>
      </c>
      <c r="J78" s="66" t="inlineStr">
        <is>
          <t>7B/Sc1</t>
        </is>
      </c>
      <c r="K78" s="67">
        <f>IF(tblY7[[#This Row],[Preferred Last name]]="","",COUNTIFS($N$1:$ZZ$1,"*"&amp;CHAR(10)&amp;"Stanine",$N78:$ZZ78,"&gt;=1"))</f>
        <v>4</v>
      </c>
      <c r="L78" s="68">
        <f>IFERROR(AVERAGEIF($N$1:$ZZ$1,"*"&amp;CHAR(10)&amp;"Stanine",$N78:$ZZ78),"")</f>
        <v>6.75</v>
      </c>
      <c r="M78" s="69">
        <f>IF(AND(ISNUMBER(tblY7[[#This Row],[Mean Stanine]]),ISNUMBER(tblY7[[#This Row],[Avg KS2 Band]]),ISNUMBER(SlopeY7)),tblY7[[#This Row],[Mean Stanine]]-(InterceptY7+SlopeY7*tblY7[[#This Row],[Avg KS2 Band]]),"")</f>
        <v>3.82515652951699</v>
      </c>
      <c r="N78" s="66" t="n">
        <v>23</v>
      </c>
      <c r="O78" s="67">
        <f>IF(ISNUMBER(tblY7[[#This Row],[7B01 - Cells
Raw Score]]),IFERROR(VLOOKUP(ROUND(STANDARDIZE(tblY7[[#This Row],[7B01 - Cells
Raw Score]],AVERAGE(tblY7[[7B01 - Cells
Raw Score]]),_xlfn.STDEV.P(tblY7[[7B01 - Cells
Raw Score]])),9),_Stanine,2),5),"")</f>
        <v>7</v>
      </c>
      <c r="P78" s="66" t="n">
        <v>22</v>
      </c>
      <c r="Q78" s="67">
        <f>IF(ISNUMBER(tblY7[[#This Row],[7C01 - Particles
Raw Score]]),IFERROR(VLOOKUP(ROUND(STANDARDIZE(tblY7[[#This Row],[7C01 - Particles
Raw Score]],AVERAGE(tblY7[[7C01 - Particles
Raw Score]]),_xlfn.STDEV.P(tblY7[[7C01 - Particles
Raw Score]])),9),_Stanine,2),5),"")</f>
        <v>7</v>
      </c>
      <c r="R78" s="66" t="n">
        <v>23</v>
      </c>
      <c r="S78" s="67">
        <f>IF(ISNUMBER(tblY7[[#This Row],[7P01 - Forces
Raw Score]]),IFERROR(VLOOKUP(ROUND(STANDARDIZE(tblY7[[#This Row],[7P01 - Forces
Raw Score]],AVERAGE(tblY7[[7P01 - Forces
Raw Score]]),_xlfn.STDEV.P(tblY7[[7P01 - Forces
Raw Score]])),9),_Stanine,2),5),"")</f>
        <v>6</v>
      </c>
      <c r="T78" s="66" t="n">
        <v>24</v>
      </c>
      <c r="U78" s="67">
        <f>IF(ISNUMBER(tblY7[[#This Row],[7B02 - Organ Systems
Raw Score]]),IFERROR(VLOOKUP(ROUND(STANDARDIZE(tblY7[[#This Row],[7B02 - Organ Systems
Raw Score]],AVERAGE(tblY7[[7B02 - Organ Systems
Raw Score]]),_xlfn.STDEV.P(tblY7[[7B02 - Organ Systems
Raw Score]])),9),_Stanine,2),5),"")</f>
        <v>7</v>
      </c>
    </row>
    <row r="79">
      <c r="A79" s="65" t="inlineStr">
        <is>
          <t>X902771802504</t>
        </is>
      </c>
      <c r="B79" s="65" t="inlineStr">
        <is>
          <t>Nowak</t>
        </is>
      </c>
      <c r="C79" s="65" t="inlineStr">
        <is>
          <t>Theo</t>
        </is>
      </c>
      <c r="D79" s="66" t="inlineStr">
        <is>
          <t>F</t>
        </is>
      </c>
      <c r="E79" s="66" t="inlineStr">
        <is>
          <t>N</t>
        </is>
      </c>
      <c r="F79" s="66" t="inlineStr">
        <is>
          <t>N</t>
        </is>
      </c>
      <c r="G79" s="34" t="n">
        <v>84.90000000000001</v>
      </c>
      <c r="H79" s="34" t="n">
        <v>106.5</v>
      </c>
      <c r="I79" s="67">
        <f>IF(ISNUMBER(tblY7[[#This Row],[Avg KS2]]),IFERROR(VLOOKUP(ROUND(STANDARDIZE(tblY7[[#This Row],[Avg KS2]],AVERAGE(tblY7[[Avg KS2]]),_xlfn.STDEV.P(tblY7[[Avg KS2]])),9),_Stanine,2),5),"")</f>
        <v>5</v>
      </c>
      <c r="J79" s="66" t="inlineStr">
        <is>
          <t>7B/Sc1</t>
        </is>
      </c>
      <c r="K79" s="67">
        <f>IF(tblY7[[#This Row],[Preferred Last name]]="","",COUNTIFS($N$1:$ZZ$1,"*"&amp;CHAR(10)&amp;"Stanine",$N79:$ZZ79,"&gt;=1"))</f>
        <v>4</v>
      </c>
      <c r="L79" s="68">
        <f>IFERROR(AVERAGEIF($N$1:$ZZ$1,"*"&amp;CHAR(10)&amp;"Stanine",$N79:$ZZ79),"")</f>
        <v>6</v>
      </c>
      <c r="M79" s="69">
        <f>IF(AND(ISNUMBER(tblY7[[#This Row],[Mean Stanine]]),ISNUMBER(tblY7[[#This Row],[Avg KS2 Band]]),ISNUMBER(SlopeY7)),tblY7[[#This Row],[Mean Stanine]]-(InterceptY7+SlopeY7*tblY7[[#This Row],[Avg KS2 Band]]),"")</f>
        <v>0.992307692307692</v>
      </c>
      <c r="N79" s="66" t="n">
        <v>19</v>
      </c>
      <c r="O79" s="67">
        <f>IF(ISNUMBER(tblY7[[#This Row],[7B01 - Cells
Raw Score]]),IFERROR(VLOOKUP(ROUND(STANDARDIZE(tblY7[[#This Row],[7B01 - Cells
Raw Score]],AVERAGE(tblY7[[7B01 - Cells
Raw Score]]),_xlfn.STDEV.P(tblY7[[7B01 - Cells
Raw Score]])),9),_Stanine,2),5),"")</f>
        <v>5</v>
      </c>
      <c r="P79" s="66" t="n">
        <v>21</v>
      </c>
      <c r="Q79" s="67">
        <f>IF(ISNUMBER(tblY7[[#This Row],[7C01 - Particles
Raw Score]]),IFERROR(VLOOKUP(ROUND(STANDARDIZE(tblY7[[#This Row],[7C01 - Particles
Raw Score]],AVERAGE(tblY7[[7C01 - Particles
Raw Score]]),_xlfn.STDEV.P(tblY7[[7C01 - Particles
Raw Score]])),9),_Stanine,2),5),"")</f>
        <v>6</v>
      </c>
      <c r="R79" s="66" t="n">
        <v>27</v>
      </c>
      <c r="S79" s="67">
        <f>IF(ISNUMBER(tblY7[[#This Row],[7P01 - Forces
Raw Score]]),IFERROR(VLOOKUP(ROUND(STANDARDIZE(tblY7[[#This Row],[7P01 - Forces
Raw Score]],AVERAGE(tblY7[[7P01 - Forces
Raw Score]]),_xlfn.STDEV.P(tblY7[[7P01 - Forces
Raw Score]])),9),_Stanine,2),5),"")</f>
        <v>7</v>
      </c>
      <c r="T79" s="66" t="n">
        <v>20</v>
      </c>
      <c r="U79" s="67">
        <f>IF(ISNUMBER(tblY7[[#This Row],[7B02 - Organ Systems
Raw Score]]),IFERROR(VLOOKUP(ROUND(STANDARDIZE(tblY7[[#This Row],[7B02 - Organ Systems
Raw Score]],AVERAGE(tblY7[[7B02 - Organ Systems
Raw Score]]),_xlfn.STDEV.P(tblY7[[7B02 - Organ Systems
Raw Score]])),9),_Stanine,2),5),"")</f>
        <v>6</v>
      </c>
    </row>
    <row r="80">
      <c r="A80" s="65" t="inlineStr">
        <is>
          <t>X908877632318</t>
        </is>
      </c>
      <c r="B80" s="65" t="inlineStr">
        <is>
          <t>Patel</t>
        </is>
      </c>
      <c r="C80" s="65" t="inlineStr">
        <is>
          <t>Finley</t>
        </is>
      </c>
      <c r="D80" s="66" t="inlineStr">
        <is>
          <t>M</t>
        </is>
      </c>
      <c r="E80" s="66" t="inlineStr">
        <is>
          <t>K</t>
        </is>
      </c>
      <c r="F80" s="66" t="inlineStr">
        <is>
          <t>Y</t>
        </is>
      </c>
      <c r="G80" s="34" t="n">
        <v>96.5</v>
      </c>
      <c r="H80" s="34" t="n">
        <v>106.5</v>
      </c>
      <c r="I80" s="67">
        <f>IF(ISNUMBER(tblY7[[#This Row],[Avg KS2]]),IFERROR(VLOOKUP(ROUND(STANDARDIZE(tblY7[[#This Row],[Avg KS2]],AVERAGE(tblY7[[Avg KS2]]),_xlfn.STDEV.P(tblY7[[Avg KS2]])),9),_Stanine,2),5),"")</f>
        <v>5</v>
      </c>
      <c r="J80" s="66" t="inlineStr">
        <is>
          <t>7B/Sc1</t>
        </is>
      </c>
      <c r="K80" s="67">
        <f>IF(tblY7[[#This Row],[Preferred Last name]]="","",COUNTIFS($N$1:$ZZ$1,"*"&amp;CHAR(10)&amp;"Stanine",$N80:$ZZ80,"&gt;=1"))</f>
        <v>4</v>
      </c>
      <c r="L80" s="68">
        <f>IFERROR(AVERAGEIF($N$1:$ZZ$1,"*"&amp;CHAR(10)&amp;"Stanine",$N80:$ZZ80),"")</f>
        <v>5</v>
      </c>
      <c r="M80" s="69">
        <f>IF(AND(ISNUMBER(tblY7[[#This Row],[Mean Stanine]]),ISNUMBER(tblY7[[#This Row],[Avg KS2 Band]]),ISNUMBER(SlopeY7)),tblY7[[#This Row],[Mean Stanine]]-(InterceptY7+SlopeY7*tblY7[[#This Row],[Avg KS2 Band]]),"")</f>
        <v>-0.00769230769230767</v>
      </c>
      <c r="N80" s="66" t="n">
        <v>17</v>
      </c>
      <c r="O80" s="67">
        <f>IF(ISNUMBER(tblY7[[#This Row],[7B01 - Cells
Raw Score]]),IFERROR(VLOOKUP(ROUND(STANDARDIZE(tblY7[[#This Row],[7B01 - Cells
Raw Score]],AVERAGE(tblY7[[7B01 - Cells
Raw Score]]),_xlfn.STDEV.P(tblY7[[7B01 - Cells
Raw Score]])),9),_Stanine,2),5),"")</f>
        <v>5</v>
      </c>
      <c r="P80" s="66" t="n">
        <v>16</v>
      </c>
      <c r="Q80" s="67">
        <f>IF(ISNUMBER(tblY7[[#This Row],[7C01 - Particles
Raw Score]]),IFERROR(VLOOKUP(ROUND(STANDARDIZE(tblY7[[#This Row],[7C01 - Particles
Raw Score]],AVERAGE(tblY7[[7C01 - Particles
Raw Score]]),_xlfn.STDEV.P(tblY7[[7C01 - Particles
Raw Score]])),9),_Stanine,2),5),"")</f>
        <v>4</v>
      </c>
      <c r="R80" s="66" t="n">
        <v>23</v>
      </c>
      <c r="S80" s="67">
        <f>IF(ISNUMBER(tblY7[[#This Row],[7P01 - Forces
Raw Score]]),IFERROR(VLOOKUP(ROUND(STANDARDIZE(tblY7[[#This Row],[7P01 - Forces
Raw Score]],AVERAGE(tblY7[[7P01 - Forces
Raw Score]]),_xlfn.STDEV.P(tblY7[[7P01 - Forces
Raw Score]])),9),_Stanine,2),5),"")</f>
        <v>6</v>
      </c>
      <c r="T80" s="66" t="n">
        <v>17</v>
      </c>
      <c r="U80" s="67">
        <f>IF(ISNUMBER(tblY7[[#This Row],[7B02 - Organ Systems
Raw Score]]),IFERROR(VLOOKUP(ROUND(STANDARDIZE(tblY7[[#This Row],[7B02 - Organ Systems
Raw Score]],AVERAGE(tblY7[[7B02 - Organ Systems
Raw Score]]),_xlfn.STDEV.P(tblY7[[7B02 - Organ Systems
Raw Score]])),9),_Stanine,2),5),"")</f>
        <v>5</v>
      </c>
    </row>
    <row r="81">
      <c r="A81" s="65" t="inlineStr">
        <is>
          <t>X900716561941</t>
        </is>
      </c>
      <c r="B81" s="65" t="inlineStr">
        <is>
          <t>Pearson</t>
        </is>
      </c>
      <c r="C81" s="65" t="inlineStr">
        <is>
          <t>Oliver</t>
        </is>
      </c>
      <c r="D81" s="66" t="inlineStr">
        <is>
          <t>M</t>
        </is>
      </c>
      <c r="E81" s="66" t="inlineStr">
        <is>
          <t>N</t>
        </is>
      </c>
      <c r="F81" s="66" t="inlineStr">
        <is>
          <t>Y</t>
        </is>
      </c>
      <c r="G81" s="34" t="n">
        <v>100</v>
      </c>
      <c r="H81" s="34" t="n">
        <v>118.5</v>
      </c>
      <c r="I81" s="67">
        <f>IF(ISNUMBER(tblY7[[#This Row],[Avg KS2]]),IFERROR(VLOOKUP(ROUND(STANDARDIZE(tblY7[[#This Row],[Avg KS2]],AVERAGE(tblY7[[Avg KS2]]),_xlfn.STDEV.P(tblY7[[Avg KS2]])),9),_Stanine,2),5),"")</f>
        <v>9</v>
      </c>
      <c r="J81" s="66" t="inlineStr">
        <is>
          <t>7B/Sc1</t>
        </is>
      </c>
      <c r="K81" s="67">
        <f>IF(tblY7[[#This Row],[Preferred Last name]]="","",COUNTIFS($N$1:$ZZ$1,"*"&amp;CHAR(10)&amp;"Stanine",$N81:$ZZ81,"&gt;=1"))</f>
        <v>4</v>
      </c>
      <c r="L81" s="68">
        <f>IFERROR(AVERAGEIF($N$1:$ZZ$1,"*"&amp;CHAR(10)&amp;"Stanine",$N81:$ZZ81),"")</f>
        <v>8</v>
      </c>
      <c r="M81" s="69">
        <f>IF(AND(ISNUMBER(tblY7[[#This Row],[Mean Stanine]]),ISNUMBER(tblY7[[#This Row],[Avg KS2 Band]]),ISNUMBER(SlopeY7)),tblY7[[#This Row],[Mean Stanine]]-(InterceptY7+SlopeY7*tblY7[[#This Row],[Avg KS2 Band]]),"")</f>
        <v>0.215175909361956</v>
      </c>
      <c r="N81" s="66" t="n">
        <v>28</v>
      </c>
      <c r="O81" s="67">
        <f>IF(ISNUMBER(tblY7[[#This Row],[7B01 - Cells
Raw Score]]),IFERROR(VLOOKUP(ROUND(STANDARDIZE(tblY7[[#This Row],[7B01 - Cells
Raw Score]],AVERAGE(tblY7[[7B01 - Cells
Raw Score]]),_xlfn.STDEV.P(tblY7[[7B01 - Cells
Raw Score]])),9),_Stanine,2),5),"")</f>
        <v>8</v>
      </c>
      <c r="P81" s="66" t="n">
        <v>24</v>
      </c>
      <c r="Q81" s="67">
        <f>IF(ISNUMBER(tblY7[[#This Row],[7C01 - Particles
Raw Score]]),IFERROR(VLOOKUP(ROUND(STANDARDIZE(tblY7[[#This Row],[7C01 - Particles
Raw Score]],AVERAGE(tblY7[[7C01 - Particles
Raw Score]]),_xlfn.STDEV.P(tblY7[[7C01 - Particles
Raw Score]])),9),_Stanine,2),5),"")</f>
        <v>8</v>
      </c>
      <c r="R81" s="66" t="n">
        <v>28</v>
      </c>
      <c r="S81" s="67">
        <f>IF(ISNUMBER(tblY7[[#This Row],[7P01 - Forces
Raw Score]]),IFERROR(VLOOKUP(ROUND(STANDARDIZE(tblY7[[#This Row],[7P01 - Forces
Raw Score]],AVERAGE(tblY7[[7P01 - Forces
Raw Score]]),_xlfn.STDEV.P(tblY7[[7P01 - Forces
Raw Score]])),9),_Stanine,2),5),"")</f>
        <v>8</v>
      </c>
      <c r="T81" s="66" t="n">
        <v>27</v>
      </c>
      <c r="U81" s="67">
        <f>IF(ISNUMBER(tblY7[[#This Row],[7B02 - Organ Systems
Raw Score]]),IFERROR(VLOOKUP(ROUND(STANDARDIZE(tblY7[[#This Row],[7B02 - Organ Systems
Raw Score]],AVERAGE(tblY7[[7B02 - Organ Systems
Raw Score]]),_xlfn.STDEV.P(tblY7[[7B02 - Organ Systems
Raw Score]])),9),_Stanine,2),5),"")</f>
        <v>8</v>
      </c>
    </row>
    <row r="82">
      <c r="A82" s="65" t="inlineStr">
        <is>
          <t>X909432149687</t>
        </is>
      </c>
      <c r="B82" s="65" t="inlineStr">
        <is>
          <t>Price</t>
        </is>
      </c>
      <c r="C82" s="65" t="inlineStr">
        <is>
          <t>Maya</t>
        </is>
      </c>
      <c r="D82" s="66" t="inlineStr">
        <is>
          <t>M</t>
        </is>
      </c>
      <c r="E82" s="66" t="inlineStr">
        <is>
          <t>N</t>
        </is>
      </c>
      <c r="F82" s="66" t="inlineStr">
        <is>
          <t>N</t>
        </is>
      </c>
      <c r="G82" s="34" t="n">
        <v>90.8</v>
      </c>
      <c r="H82" s="34" t="n">
        <v>111.5</v>
      </c>
      <c r="I82" s="67">
        <f>IF(ISNUMBER(tblY7[[#This Row],[Avg KS2]]),IFERROR(VLOOKUP(ROUND(STANDARDIZE(tblY7[[#This Row],[Avg KS2]],AVERAGE(tblY7[[Avg KS2]]),_xlfn.STDEV.P(tblY7[[Avg KS2]])),9),_Stanine,2),5),"")</f>
        <v>7</v>
      </c>
      <c r="J82" s="66" t="inlineStr">
        <is>
          <t>7B/Sc1</t>
        </is>
      </c>
      <c r="K82" s="67">
        <f>IF(tblY7[[#This Row],[Preferred Last name]]="","",COUNTIFS($N$1:$ZZ$1,"*"&amp;CHAR(10)&amp;"Stanine",$N82:$ZZ82,"&gt;=1"))</f>
        <v>4</v>
      </c>
      <c r="L82" s="68">
        <f>IFERROR(AVERAGEIF($N$1:$ZZ$1,"*"&amp;CHAR(10)&amp;"Stanine",$N82:$ZZ82),"")</f>
        <v>8</v>
      </c>
      <c r="M82" s="69">
        <f>IF(AND(ISNUMBER(tblY7[[#This Row],[Mean Stanine]]),ISNUMBER(tblY7[[#This Row],[Avg KS2 Band]]),ISNUMBER(SlopeY7)),tblY7[[#This Row],[Mean Stanine]]-(InterceptY7+SlopeY7*tblY7[[#This Row],[Avg KS2 Band]]),"")</f>
        <v>1.60374180083482</v>
      </c>
      <c r="N82" s="66" t="n">
        <v>26</v>
      </c>
      <c r="O82" s="67">
        <f>IF(ISNUMBER(tblY7[[#This Row],[7B01 - Cells
Raw Score]]),IFERROR(VLOOKUP(ROUND(STANDARDIZE(tblY7[[#This Row],[7B01 - Cells
Raw Score]],AVERAGE(tblY7[[7B01 - Cells
Raw Score]]),_xlfn.STDEV.P(tblY7[[7B01 - Cells
Raw Score]])),9),_Stanine,2),5),"")</f>
        <v>8</v>
      </c>
      <c r="P82" s="66" t="n">
        <v>24</v>
      </c>
      <c r="Q82" s="67">
        <f>IF(ISNUMBER(tblY7[[#This Row],[7C01 - Particles
Raw Score]]),IFERROR(VLOOKUP(ROUND(STANDARDIZE(tblY7[[#This Row],[7C01 - Particles
Raw Score]],AVERAGE(tblY7[[7C01 - Particles
Raw Score]]),_xlfn.STDEV.P(tblY7[[7C01 - Particles
Raw Score]])),9),_Stanine,2),5),"")</f>
        <v>8</v>
      </c>
      <c r="R82" s="66" t="n">
        <v>29</v>
      </c>
      <c r="S82" s="67">
        <f>IF(ISNUMBER(tblY7[[#This Row],[7P01 - Forces
Raw Score]]),IFERROR(VLOOKUP(ROUND(STANDARDIZE(tblY7[[#This Row],[7P01 - Forces
Raw Score]],AVERAGE(tblY7[[7P01 - Forces
Raw Score]]),_xlfn.STDEV.P(tblY7[[7P01 - Forces
Raw Score]])),9),_Stanine,2),5),"")</f>
        <v>8</v>
      </c>
      <c r="T82" s="66" t="n">
        <v>26</v>
      </c>
      <c r="U82" s="67">
        <f>IF(ISNUMBER(tblY7[[#This Row],[7B02 - Organ Systems
Raw Score]]),IFERROR(VLOOKUP(ROUND(STANDARDIZE(tblY7[[#This Row],[7B02 - Organ Systems
Raw Score]],AVERAGE(tblY7[[7B02 - Organ Systems
Raw Score]]),_xlfn.STDEV.P(tblY7[[7B02 - Organ Systems
Raw Score]])),9),_Stanine,2),5),"")</f>
        <v>8</v>
      </c>
    </row>
    <row r="83">
      <c r="A83" s="65" t="inlineStr">
        <is>
          <t>X901096740260</t>
        </is>
      </c>
      <c r="B83" s="65" t="inlineStr">
        <is>
          <t>Price</t>
        </is>
      </c>
      <c r="C83" s="65" t="inlineStr">
        <is>
          <t>Maya</t>
        </is>
      </c>
      <c r="D83" s="66" t="inlineStr">
        <is>
          <t>M</t>
        </is>
      </c>
      <c r="E83" s="66" t="n"/>
      <c r="F83" s="66" t="inlineStr">
        <is>
          <t>N</t>
        </is>
      </c>
      <c r="G83" s="34" t="n">
        <v>100</v>
      </c>
      <c r="H83" s="34" t="n">
        <v>107.5</v>
      </c>
      <c r="I83" s="67">
        <f>IF(ISNUMBER(tblY7[[#This Row],[Avg KS2]]),IFERROR(VLOOKUP(ROUND(STANDARDIZE(tblY7[[#This Row],[Avg KS2]],AVERAGE(tblY7[[Avg KS2]]),_xlfn.STDEV.P(tblY7[[Avg KS2]])),9),_Stanine,2),5),"")</f>
        <v>5</v>
      </c>
      <c r="J83" s="66" t="inlineStr">
        <is>
          <t>7B/Sc1</t>
        </is>
      </c>
      <c r="K83" s="67">
        <f>IF(tblY7[[#This Row],[Preferred Last name]]="","",COUNTIFS($N$1:$ZZ$1,"*"&amp;CHAR(10)&amp;"Stanine",$N83:$ZZ83,"&gt;=1"))</f>
        <v>4</v>
      </c>
      <c r="L83" s="68">
        <f>IFERROR(AVERAGEIF($N$1:$ZZ$1,"*"&amp;CHAR(10)&amp;"Stanine",$N83:$ZZ83),"")</f>
        <v>6.25</v>
      </c>
      <c r="M83" s="69">
        <f>IF(AND(ISNUMBER(tblY7[[#This Row],[Mean Stanine]]),ISNUMBER(tblY7[[#This Row],[Avg KS2 Band]]),ISNUMBER(SlopeY7)),tblY7[[#This Row],[Mean Stanine]]-(InterceptY7+SlopeY7*tblY7[[#This Row],[Avg KS2 Band]]),"")</f>
        <v>1.24230769230769</v>
      </c>
      <c r="N83" s="66" t="n">
        <v>23</v>
      </c>
      <c r="O83" s="67">
        <f>IF(ISNUMBER(tblY7[[#This Row],[7B01 - Cells
Raw Score]]),IFERROR(VLOOKUP(ROUND(STANDARDIZE(tblY7[[#This Row],[7B01 - Cells
Raw Score]],AVERAGE(tblY7[[7B01 - Cells
Raw Score]]),_xlfn.STDEV.P(tblY7[[7B01 - Cells
Raw Score]])),9),_Stanine,2),5),"")</f>
        <v>7</v>
      </c>
      <c r="P83" s="66" t="n">
        <v>21</v>
      </c>
      <c r="Q83" s="67">
        <f>IF(ISNUMBER(tblY7[[#This Row],[7C01 - Particles
Raw Score]]),IFERROR(VLOOKUP(ROUND(STANDARDIZE(tblY7[[#This Row],[7C01 - Particles
Raw Score]],AVERAGE(tblY7[[7C01 - Particles
Raw Score]]),_xlfn.STDEV.P(tblY7[[7C01 - Particles
Raw Score]])),9),_Stanine,2),5),"")</f>
        <v>6</v>
      </c>
      <c r="R83" s="66" t="n">
        <v>24</v>
      </c>
      <c r="S83" s="67">
        <f>IF(ISNUMBER(tblY7[[#This Row],[7P01 - Forces
Raw Score]]),IFERROR(VLOOKUP(ROUND(STANDARDIZE(tblY7[[#This Row],[7P01 - Forces
Raw Score]],AVERAGE(tblY7[[7P01 - Forces
Raw Score]]),_xlfn.STDEV.P(tblY7[[7P01 - Forces
Raw Score]])),9),_Stanine,2),5),"")</f>
        <v>6</v>
      </c>
      <c r="T83" s="66" t="n">
        <v>21</v>
      </c>
      <c r="U83" s="67">
        <f>IF(ISNUMBER(tblY7[[#This Row],[7B02 - Organ Systems
Raw Score]]),IFERROR(VLOOKUP(ROUND(STANDARDIZE(tblY7[[#This Row],[7B02 - Organ Systems
Raw Score]],AVERAGE(tblY7[[7B02 - Organ Systems
Raw Score]]),_xlfn.STDEV.P(tblY7[[7B02 - Organ Systems
Raw Score]])),9),_Stanine,2),5),"")</f>
        <v>6</v>
      </c>
    </row>
    <row r="84">
      <c r="A84" s="65" t="inlineStr">
        <is>
          <t>X901267760309</t>
        </is>
      </c>
      <c r="B84" s="65" t="inlineStr">
        <is>
          <t>Robinson</t>
        </is>
      </c>
      <c r="C84" s="65" t="inlineStr">
        <is>
          <t>Megan</t>
        </is>
      </c>
      <c r="D84" s="66" t="inlineStr">
        <is>
          <t>F</t>
        </is>
      </c>
      <c r="E84" s="66" t="inlineStr">
        <is>
          <t>N</t>
        </is>
      </c>
      <c r="F84" s="66" t="inlineStr">
        <is>
          <t>N</t>
        </is>
      </c>
      <c r="G84" s="34" t="n">
        <v>95</v>
      </c>
      <c r="H84" s="34" t="n">
        <v>114</v>
      </c>
      <c r="I84" s="67">
        <f>IF(ISNUMBER(tblY7[[#This Row],[Avg KS2]]),IFERROR(VLOOKUP(ROUND(STANDARDIZE(tblY7[[#This Row],[Avg KS2]],AVERAGE(tblY7[[Avg KS2]]),_xlfn.STDEV.P(tblY7[[Avg KS2]])),9),_Stanine,2),5),"")</f>
        <v>8</v>
      </c>
      <c r="J84" s="66" t="inlineStr">
        <is>
          <t>7B/Sc1</t>
        </is>
      </c>
      <c r="K84" s="67">
        <f>IF(tblY7[[#This Row],[Preferred Last name]]="","",COUNTIFS($N$1:$ZZ$1,"*"&amp;CHAR(10)&amp;"Stanine",$N84:$ZZ84,"&gt;=1"))</f>
        <v>4</v>
      </c>
      <c r="L84" s="68">
        <f>IFERROR(AVERAGEIF($N$1:$ZZ$1,"*"&amp;CHAR(10)&amp;"Stanine",$N84:$ZZ84),"")</f>
        <v>7</v>
      </c>
      <c r="M84" s="69">
        <f>IF(AND(ISNUMBER(tblY7[[#This Row],[Mean Stanine]]),ISNUMBER(tblY7[[#This Row],[Avg KS2 Band]]),ISNUMBER(SlopeY7)),tblY7[[#This Row],[Mean Stanine]]-(InterceptY7+SlopeY7*tblY7[[#This Row],[Avg KS2 Band]]),"")</f>
        <v>-0.0905411449016098</v>
      </c>
      <c r="N84" s="66" t="n">
        <v>25</v>
      </c>
      <c r="O84" s="67">
        <f>IF(ISNUMBER(tblY7[[#This Row],[7B01 - Cells
Raw Score]]),IFERROR(VLOOKUP(ROUND(STANDARDIZE(tblY7[[#This Row],[7B01 - Cells
Raw Score]],AVERAGE(tblY7[[7B01 - Cells
Raw Score]]),_xlfn.STDEV.P(tblY7[[7B01 - Cells
Raw Score]])),9),_Stanine,2),5),"")</f>
        <v>7</v>
      </c>
      <c r="P84" s="66" t="n">
        <v>23</v>
      </c>
      <c r="Q84" s="67">
        <f>IF(ISNUMBER(tblY7[[#This Row],[7C01 - Particles
Raw Score]]),IFERROR(VLOOKUP(ROUND(STANDARDIZE(tblY7[[#This Row],[7C01 - Particles
Raw Score]],AVERAGE(tblY7[[7C01 - Particles
Raw Score]]),_xlfn.STDEV.P(tblY7[[7C01 - Particles
Raw Score]])),9),_Stanine,2),5),"")</f>
        <v>7</v>
      </c>
      <c r="R84" s="66" t="n">
        <v>27</v>
      </c>
      <c r="S84" s="67">
        <f>IF(ISNUMBER(tblY7[[#This Row],[7P01 - Forces
Raw Score]]),IFERROR(VLOOKUP(ROUND(STANDARDIZE(tblY7[[#This Row],[7P01 - Forces
Raw Score]],AVERAGE(tblY7[[7P01 - Forces
Raw Score]]),_xlfn.STDEV.P(tblY7[[7P01 - Forces
Raw Score]])),9),_Stanine,2),5),"")</f>
        <v>7</v>
      </c>
      <c r="T84" s="66" t="n">
        <v>23</v>
      </c>
      <c r="U84" s="67">
        <f>IF(ISNUMBER(tblY7[[#This Row],[7B02 - Organ Systems
Raw Score]]),IFERROR(VLOOKUP(ROUND(STANDARDIZE(tblY7[[#This Row],[7B02 - Organ Systems
Raw Score]],AVERAGE(tblY7[[7B02 - Organ Systems
Raw Score]]),_xlfn.STDEV.P(tblY7[[7B02 - Organ Systems
Raw Score]])),9),_Stanine,2),5),"")</f>
        <v>7</v>
      </c>
    </row>
    <row r="85">
      <c r="A85" s="65" t="inlineStr">
        <is>
          <t>X908299592475</t>
        </is>
      </c>
      <c r="B85" s="65" t="inlineStr">
        <is>
          <t>Turner</t>
        </is>
      </c>
      <c r="C85" s="65" t="inlineStr">
        <is>
          <t>Ivy</t>
        </is>
      </c>
      <c r="D85" s="66" t="inlineStr">
        <is>
          <t>M</t>
        </is>
      </c>
      <c r="E85" s="66" t="inlineStr">
        <is>
          <t>N</t>
        </is>
      </c>
      <c r="F85" s="66" t="inlineStr">
        <is>
          <t>N</t>
        </is>
      </c>
      <c r="G85" s="34" t="n">
        <v>83</v>
      </c>
      <c r="H85" s="34" t="n">
        <v>108.5</v>
      </c>
      <c r="I85" s="67">
        <f>IF(ISNUMBER(tblY7[[#This Row],[Avg KS2]]),IFERROR(VLOOKUP(ROUND(STANDARDIZE(tblY7[[#This Row],[Avg KS2]],AVERAGE(tblY7[[Avg KS2]]),_xlfn.STDEV.P(tblY7[[Avg KS2]])),9),_Stanine,2),5),"")</f>
        <v>6</v>
      </c>
      <c r="J85" s="66" t="inlineStr">
        <is>
          <t>7B/Sc1</t>
        </is>
      </c>
      <c r="K85" s="67">
        <f>IF(tblY7[[#This Row],[Preferred Last name]]="","",COUNTIFS($N$1:$ZZ$1,"*"&amp;CHAR(10)&amp;"Stanine",$N85:$ZZ85,"&gt;=1"))</f>
        <v>3</v>
      </c>
      <c r="L85" s="68">
        <f>IFERROR(AVERAGEIF($N$1:$ZZ$1,"*"&amp;CHAR(10)&amp;"Stanine",$N85:$ZZ85),"")</f>
        <v>5</v>
      </c>
      <c r="M85" s="69">
        <f>IF(AND(ISNUMBER(tblY7[[#This Row],[Mean Stanine]]),ISNUMBER(tblY7[[#This Row],[Avg KS2 Band]]),ISNUMBER(SlopeY7)),tblY7[[#This Row],[Mean Stanine]]-(InterceptY7+SlopeY7*tblY7[[#This Row],[Avg KS2 Band]]),"")</f>
        <v>-0.701975253428741</v>
      </c>
      <c r="N85" s="66" t="n">
        <v>17</v>
      </c>
      <c r="O85" s="67">
        <f>IF(ISNUMBER(tblY7[[#This Row],[7B01 - Cells
Raw Score]]),IFERROR(VLOOKUP(ROUND(STANDARDIZE(tblY7[[#This Row],[7B01 - Cells
Raw Score]],AVERAGE(tblY7[[7B01 - Cells
Raw Score]]),_xlfn.STDEV.P(tblY7[[7B01 - Cells
Raw Score]])),9),_Stanine,2),5),"")</f>
        <v>5</v>
      </c>
      <c r="P85" s="66" t="inlineStr">
        <is>
          <t>A</t>
        </is>
      </c>
      <c r="Q85" s="67" t="str">
        <f>IF(ISNUMBER(tblY7[[#This Row],[7C01 - Particles
Raw Score]]),IFERROR(VLOOKUP(ROUND(STANDARDIZE(tblY7[[#This Row],[7C01 - Particles
Raw Score]],AVERAGE(tblY7[[7C01 - Particles
Raw Score]]),_xlfn.STDEV.P(tblY7[[7C01 - Particles
Raw Score]])),9),_Stanine,2),5),"")</f>
        <v/>
      </c>
      <c r="R85" s="66" t="n">
        <v>21</v>
      </c>
      <c r="S85" s="67">
        <f>IF(ISNUMBER(tblY7[[#This Row],[7P01 - Forces
Raw Score]]),IFERROR(VLOOKUP(ROUND(STANDARDIZE(tblY7[[#This Row],[7P01 - Forces
Raw Score]],AVERAGE(tblY7[[7P01 - Forces
Raw Score]]),_xlfn.STDEV.P(tblY7[[7P01 - Forces
Raw Score]])),9),_Stanine,2),5),"")</f>
        <v>5</v>
      </c>
      <c r="T85" s="66" t="n">
        <v>19</v>
      </c>
      <c r="U85" s="67">
        <f>IF(ISNUMBER(tblY7[[#This Row],[7B02 - Organ Systems
Raw Score]]),IFERROR(VLOOKUP(ROUND(STANDARDIZE(tblY7[[#This Row],[7B02 - Organ Systems
Raw Score]],AVERAGE(tblY7[[7B02 - Organ Systems
Raw Score]]),_xlfn.STDEV.P(tblY7[[7B02 - Organ Systems
Raw Score]])),9),_Stanine,2),5),"")</f>
        <v>5</v>
      </c>
    </row>
    <row r="86">
      <c r="A86" s="65" t="inlineStr">
        <is>
          <t>X905394040953</t>
        </is>
      </c>
      <c r="B86" s="65" t="inlineStr">
        <is>
          <t>Ward</t>
        </is>
      </c>
      <c r="C86" s="65" t="inlineStr">
        <is>
          <t>Noah</t>
        </is>
      </c>
      <c r="D86" s="66" t="inlineStr">
        <is>
          <t>F</t>
        </is>
      </c>
      <c r="E86" s="66" t="inlineStr">
        <is>
          <t>N</t>
        </is>
      </c>
      <c r="F86" s="66" t="inlineStr">
        <is>
          <t>N</t>
        </is>
      </c>
      <c r="G86" s="34" t="n">
        <v>88.7</v>
      </c>
      <c r="H86" s="34" t="n">
        <v>100</v>
      </c>
      <c r="I86" s="67">
        <f>IF(ISNUMBER(tblY7[[#This Row],[Avg KS2]]),IFERROR(VLOOKUP(ROUND(STANDARDIZE(tblY7[[#This Row],[Avg KS2]],AVERAGE(tblY7[[Avg KS2]]),_xlfn.STDEV.P(tblY7[[Avg KS2]])),9),_Stanine,2),5),"")</f>
        <v>2</v>
      </c>
      <c r="J86" s="66" t="inlineStr">
        <is>
          <t>7B/Sc1</t>
        </is>
      </c>
      <c r="K86" s="67">
        <f>IF(tblY7[[#This Row],[Preferred Last name]]="","",COUNTIFS($N$1:$ZZ$1,"*"&amp;CHAR(10)&amp;"Stanine",$N86:$ZZ86,"&gt;=1"))</f>
        <v>4</v>
      </c>
      <c r="L86" s="68">
        <f>IFERROR(AVERAGEIF($N$1:$ZZ$1,"*"&amp;CHAR(10)&amp;"Stanine",$N86:$ZZ86),"")</f>
        <v>4</v>
      </c>
      <c r="M86" s="69">
        <f>IF(AND(ISNUMBER(tblY7[[#This Row],[Mean Stanine]]),ISNUMBER(tblY7[[#This Row],[Avg KS2 Band]]),ISNUMBER(SlopeY7)),tblY7[[#This Row],[Mean Stanine]]-(InterceptY7+SlopeY7*tblY7[[#This Row],[Avg KS2 Band]]),"")</f>
        <v>1.07515652951699</v>
      </c>
      <c r="N86" s="66" t="n">
        <v>14</v>
      </c>
      <c r="O86" s="67">
        <f>IF(ISNUMBER(tblY7[[#This Row],[7B01 - Cells
Raw Score]]),IFERROR(VLOOKUP(ROUND(STANDARDIZE(tblY7[[#This Row],[7B01 - Cells
Raw Score]],AVERAGE(tblY7[[7B01 - Cells
Raw Score]]),_xlfn.STDEV.P(tblY7[[7B01 - Cells
Raw Score]])),9),_Stanine,2),5),"")</f>
        <v>4</v>
      </c>
      <c r="P86" s="66" t="n">
        <v>16</v>
      </c>
      <c r="Q86" s="67">
        <f>IF(ISNUMBER(tblY7[[#This Row],[7C01 - Particles
Raw Score]]),IFERROR(VLOOKUP(ROUND(STANDARDIZE(tblY7[[#This Row],[7C01 - Particles
Raw Score]],AVERAGE(tblY7[[7C01 - Particles
Raw Score]]),_xlfn.STDEV.P(tblY7[[7C01 - Particles
Raw Score]])),9),_Stanine,2),5),"")</f>
        <v>4</v>
      </c>
      <c r="R86" s="66" t="n">
        <v>19</v>
      </c>
      <c r="S86" s="67">
        <f>IF(ISNUMBER(tblY7[[#This Row],[7P01 - Forces
Raw Score]]),IFERROR(VLOOKUP(ROUND(STANDARDIZE(tblY7[[#This Row],[7P01 - Forces
Raw Score]],AVERAGE(tblY7[[7P01 - Forces
Raw Score]]),_xlfn.STDEV.P(tblY7[[7P01 - Forces
Raw Score]])),9),_Stanine,2),5),"")</f>
        <v>4</v>
      </c>
      <c r="T86" s="66" t="n">
        <v>16</v>
      </c>
      <c r="U86" s="67">
        <f>IF(ISNUMBER(tblY7[[#This Row],[7B02 - Organ Systems
Raw Score]]),IFERROR(VLOOKUP(ROUND(STANDARDIZE(tblY7[[#This Row],[7B02 - Organ Systems
Raw Score]],AVERAGE(tblY7[[7B02 - Organ Systems
Raw Score]]),_xlfn.STDEV.P(tblY7[[7B02 - Organ Systems
Raw Score]])),9),_Stanine,2),5),"")</f>
        <v>4</v>
      </c>
    </row>
    <row r="87">
      <c r="A87" s="65" t="inlineStr">
        <is>
          <t>X909302461887</t>
        </is>
      </c>
      <c r="B87" s="65" t="inlineStr">
        <is>
          <t>White</t>
        </is>
      </c>
      <c r="C87" s="65" t="inlineStr">
        <is>
          <t>Hollie</t>
        </is>
      </c>
      <c r="D87" s="66" t="inlineStr">
        <is>
          <t>F</t>
        </is>
      </c>
      <c r="E87" s="66" t="n"/>
      <c r="F87" s="66" t="inlineStr">
        <is>
          <t>Y</t>
        </is>
      </c>
      <c r="G87" s="34" t="n">
        <v>93.2</v>
      </c>
      <c r="H87" s="34" t="n">
        <v>115</v>
      </c>
      <c r="I87" s="67">
        <f>IF(ISNUMBER(tblY7[[#This Row],[Avg KS2]]),IFERROR(VLOOKUP(ROUND(STANDARDIZE(tblY7[[#This Row],[Avg KS2]],AVERAGE(tblY7[[Avg KS2]]),_xlfn.STDEV.P(tblY7[[Avg KS2]])),9),_Stanine,2),5),"")</f>
        <v>8</v>
      </c>
      <c r="J87" s="66" t="inlineStr">
        <is>
          <t>7B/Sc1</t>
        </is>
      </c>
      <c r="K87" s="67">
        <f>IF(tblY7[[#This Row],[Preferred Last name]]="","",COUNTIFS($N$1:$ZZ$1,"*"&amp;CHAR(10)&amp;"Stanine",$N87:$ZZ87,"&gt;=1"))</f>
        <v>4</v>
      </c>
      <c r="L87" s="68">
        <f>IFERROR(AVERAGEIF($N$1:$ZZ$1,"*"&amp;CHAR(10)&amp;"Stanine",$N87:$ZZ87),"")</f>
        <v>8</v>
      </c>
      <c r="M87" s="69">
        <f>IF(AND(ISNUMBER(tblY7[[#This Row],[Mean Stanine]]),ISNUMBER(tblY7[[#This Row],[Avg KS2 Band]]),ISNUMBER(SlopeY7)),tblY7[[#This Row],[Mean Stanine]]-(InterceptY7+SlopeY7*tblY7[[#This Row],[Avg KS2 Band]]),"")</f>
        <v>0.90945885509839</v>
      </c>
      <c r="N87" s="66" t="n">
        <v>28</v>
      </c>
      <c r="O87" s="67">
        <f>IF(ISNUMBER(tblY7[[#This Row],[7B01 - Cells
Raw Score]]),IFERROR(VLOOKUP(ROUND(STANDARDIZE(tblY7[[#This Row],[7B01 - Cells
Raw Score]],AVERAGE(tblY7[[7B01 - Cells
Raw Score]]),_xlfn.STDEV.P(tblY7[[7B01 - Cells
Raw Score]])),9),_Stanine,2),5),"")</f>
        <v>8</v>
      </c>
      <c r="P87" s="66" t="n">
        <v>24</v>
      </c>
      <c r="Q87" s="67">
        <f>IF(ISNUMBER(tblY7[[#This Row],[7C01 - Particles
Raw Score]]),IFERROR(VLOOKUP(ROUND(STANDARDIZE(tblY7[[#This Row],[7C01 - Particles
Raw Score]],AVERAGE(tblY7[[7C01 - Particles
Raw Score]]),_xlfn.STDEV.P(tblY7[[7C01 - Particles
Raw Score]])),9),_Stanine,2),5),"")</f>
        <v>8</v>
      </c>
      <c r="R87" s="66" t="n">
        <v>29</v>
      </c>
      <c r="S87" s="67">
        <f>IF(ISNUMBER(tblY7[[#This Row],[7P01 - Forces
Raw Score]]),IFERROR(VLOOKUP(ROUND(STANDARDIZE(tblY7[[#This Row],[7P01 - Forces
Raw Score]],AVERAGE(tblY7[[7P01 - Forces
Raw Score]]),_xlfn.STDEV.P(tblY7[[7P01 - Forces
Raw Score]])),9),_Stanine,2),5),"")</f>
        <v>8</v>
      </c>
      <c r="T87" s="66" t="n">
        <v>26</v>
      </c>
      <c r="U87" s="67">
        <f>IF(ISNUMBER(tblY7[[#This Row],[7B02 - Organ Systems
Raw Score]]),IFERROR(VLOOKUP(ROUND(STANDARDIZE(tblY7[[#This Row],[7B02 - Organ Systems
Raw Score]],AVERAGE(tblY7[[7B02 - Organ Systems
Raw Score]]),_xlfn.STDEV.P(tblY7[[7B02 - Organ Systems
Raw Score]])),9),_Stanine,2),5),"")</f>
        <v>8</v>
      </c>
    </row>
    <row r="88">
      <c r="A88" s="65" t="inlineStr">
        <is>
          <t>X901475174927</t>
        </is>
      </c>
      <c r="B88" s="65" t="inlineStr">
        <is>
          <t>Wright</t>
        </is>
      </c>
      <c r="C88" s="65" t="inlineStr">
        <is>
          <t>Tomasz</t>
        </is>
      </c>
      <c r="D88" s="66" t="inlineStr">
        <is>
          <t>F</t>
        </is>
      </c>
      <c r="E88" s="66" t="n"/>
      <c r="F88" s="66" t="inlineStr">
        <is>
          <t>Y</t>
        </is>
      </c>
      <c r="G88" s="34" t="n">
        <v>99.2</v>
      </c>
      <c r="H88" s="34" t="n">
        <v>104.5</v>
      </c>
      <c r="I88" s="67">
        <f>IF(ISNUMBER(tblY7[[#This Row],[Avg KS2]]),IFERROR(VLOOKUP(ROUND(STANDARDIZE(tblY7[[#This Row],[Avg KS2]],AVERAGE(tblY7[[Avg KS2]]),_xlfn.STDEV.P(tblY7[[Avg KS2]])),9),_Stanine,2),5),"")</f>
        <v>4</v>
      </c>
      <c r="J88" s="66" t="inlineStr">
        <is>
          <t>7B/Sc1</t>
        </is>
      </c>
      <c r="K88" s="67">
        <f>IF(tblY7[[#This Row],[Preferred Last name]]="","",COUNTIFS($N$1:$ZZ$1,"*"&amp;CHAR(10)&amp;"Stanine",$N88:$ZZ88,"&gt;=1"))</f>
        <v>4</v>
      </c>
      <c r="L88" s="68">
        <f>IFERROR(AVERAGEIF($N$1:$ZZ$1,"*"&amp;CHAR(10)&amp;"Stanine",$N88:$ZZ88),"")</f>
        <v>5.5</v>
      </c>
      <c r="M88" s="69">
        <f>IF(AND(ISNUMBER(tblY7[[#This Row],[Mean Stanine]]),ISNUMBER(tblY7[[#This Row],[Avg KS2 Band]]),ISNUMBER(SlopeY7)),tblY7[[#This Row],[Mean Stanine]]-(InterceptY7+SlopeY7*tblY7[[#This Row],[Avg KS2 Band]]),"")</f>
        <v>1.18659063804413</v>
      </c>
      <c r="N88" s="66" t="n">
        <v>18</v>
      </c>
      <c r="O88" s="67">
        <f>IF(ISNUMBER(tblY7[[#This Row],[7B01 - Cells
Raw Score]]),IFERROR(VLOOKUP(ROUND(STANDARDIZE(tblY7[[#This Row],[7B01 - Cells
Raw Score]],AVERAGE(tblY7[[7B01 - Cells
Raw Score]]),_xlfn.STDEV.P(tblY7[[7B01 - Cells
Raw Score]])),9),_Stanine,2),5),"")</f>
        <v>5</v>
      </c>
      <c r="P88" s="66" t="n">
        <v>21</v>
      </c>
      <c r="Q88" s="67">
        <f>IF(ISNUMBER(tblY7[[#This Row],[7C01 - Particles
Raw Score]]),IFERROR(VLOOKUP(ROUND(STANDARDIZE(tblY7[[#This Row],[7C01 - Particles
Raw Score]],AVERAGE(tblY7[[7C01 - Particles
Raw Score]]),_xlfn.STDEV.P(tblY7[[7C01 - Particles
Raw Score]])),9),_Stanine,2),5),"")</f>
        <v>6</v>
      </c>
      <c r="R88" s="66" t="n">
        <v>22</v>
      </c>
      <c r="S88" s="67">
        <f>IF(ISNUMBER(tblY7[[#This Row],[7P01 - Forces
Raw Score]]),IFERROR(VLOOKUP(ROUND(STANDARDIZE(tblY7[[#This Row],[7P01 - Forces
Raw Score]],AVERAGE(tblY7[[7P01 - Forces
Raw Score]]),_xlfn.STDEV.P(tblY7[[7P01 - Forces
Raw Score]])),9),_Stanine,2),5),"")</f>
        <v>5</v>
      </c>
      <c r="T88" s="66" t="n">
        <v>20</v>
      </c>
      <c r="U88" s="67">
        <f>IF(ISNUMBER(tblY7[[#This Row],[7B02 - Organ Systems
Raw Score]]),IFERROR(VLOOKUP(ROUND(STANDARDIZE(tblY7[[#This Row],[7B02 - Organ Systems
Raw Score]],AVERAGE(tblY7[[7B02 - Organ Systems
Raw Score]]),_xlfn.STDEV.P(tblY7[[7B02 - Organ Systems
Raw Score]])),9),_Stanine,2),5),"")</f>
        <v>6</v>
      </c>
    </row>
    <row r="89">
      <c r="A89" s="65" t="inlineStr">
        <is>
          <t>X906250361873</t>
        </is>
      </c>
      <c r="B89" s="65" t="inlineStr">
        <is>
          <t>Ahmed</t>
        </is>
      </c>
      <c r="C89" s="65" t="inlineStr">
        <is>
          <t>Zofia</t>
        </is>
      </c>
      <c r="D89" s="66" t="inlineStr">
        <is>
          <t>M</t>
        </is>
      </c>
      <c r="E89" s="66" t="n"/>
      <c r="F89" s="66" t="inlineStr">
        <is>
          <t>N</t>
        </is>
      </c>
      <c r="G89" s="34" t="n">
        <v>100</v>
      </c>
      <c r="H89" s="34" t="n">
        <v>105.5</v>
      </c>
      <c r="I89" s="67">
        <f>IF(ISNUMBER(tblY7[[#This Row],[Avg KS2]]),IFERROR(VLOOKUP(ROUND(STANDARDIZE(tblY7[[#This Row],[Avg KS2]],AVERAGE(tblY7[[Avg KS2]]),_xlfn.STDEV.P(tblY7[[Avg KS2]])),9),_Stanine,2),5),"")</f>
        <v>4</v>
      </c>
      <c r="J89" s="66" t="inlineStr">
        <is>
          <t>7B/Sc2</t>
        </is>
      </c>
      <c r="K89" s="67">
        <f>IF(tblY7[[#This Row],[Preferred Last name]]="","",COUNTIFS($N$1:$ZZ$1,"*"&amp;CHAR(10)&amp;"Stanine",$N89:$ZZ89,"&gt;=1"))</f>
        <v>4</v>
      </c>
      <c r="L89" s="68">
        <f>IFERROR(AVERAGEIF($N$1:$ZZ$1,"*"&amp;CHAR(10)&amp;"Stanine",$N89:$ZZ89),"")</f>
        <v>4.75</v>
      </c>
      <c r="M89" s="69">
        <f>IF(AND(ISNUMBER(tblY7[[#This Row],[Mean Stanine]]),ISNUMBER(tblY7[[#This Row],[Avg KS2 Band]]),ISNUMBER(SlopeY7)),tblY7[[#This Row],[Mean Stanine]]-(InterceptY7+SlopeY7*tblY7[[#This Row],[Avg KS2 Band]]),"")</f>
        <v>0.436590638044127</v>
      </c>
      <c r="N89" s="66" t="n">
        <v>11</v>
      </c>
      <c r="O89" s="67">
        <f>IF(ISNUMBER(tblY7[[#This Row],[7B01 - Cells
Raw Score]]),IFERROR(VLOOKUP(ROUND(STANDARDIZE(tblY7[[#This Row],[7B01 - Cells
Raw Score]],AVERAGE(tblY7[[7B01 - Cells
Raw Score]]),_xlfn.STDEV.P(tblY7[[7B01 - Cells
Raw Score]])),9),_Stanine,2),5),"")</f>
        <v>3</v>
      </c>
      <c r="P89" s="66" t="n">
        <v>18</v>
      </c>
      <c r="Q89" s="67">
        <f>IF(ISNUMBER(tblY7[[#This Row],[7C01 - Particles
Raw Score]]),IFERROR(VLOOKUP(ROUND(STANDARDIZE(tblY7[[#This Row],[7C01 - Particles
Raw Score]],AVERAGE(tblY7[[7C01 - Particles
Raw Score]]),_xlfn.STDEV.P(tblY7[[7C01 - Particles
Raw Score]])),9),_Stanine,2),5),"")</f>
        <v>5</v>
      </c>
      <c r="R89" s="66" t="n">
        <v>23</v>
      </c>
      <c r="S89" s="67">
        <f>IF(ISNUMBER(tblY7[[#This Row],[7P01 - Forces
Raw Score]]),IFERROR(VLOOKUP(ROUND(STANDARDIZE(tblY7[[#This Row],[7P01 - Forces
Raw Score]],AVERAGE(tblY7[[7P01 - Forces
Raw Score]]),_xlfn.STDEV.P(tblY7[[7P01 - Forces
Raw Score]])),9),_Stanine,2),5),"")</f>
        <v>6</v>
      </c>
      <c r="T89" s="66" t="n">
        <v>18</v>
      </c>
      <c r="U89" s="67">
        <f>IF(ISNUMBER(tblY7[[#This Row],[7B02 - Organ Systems
Raw Score]]),IFERROR(VLOOKUP(ROUND(STANDARDIZE(tblY7[[#This Row],[7B02 - Organ Systems
Raw Score]],AVERAGE(tblY7[[7B02 - Organ Systems
Raw Score]]),_xlfn.STDEV.P(tblY7[[7B02 - Organ Systems
Raw Score]])),9),_Stanine,2),5),"")</f>
        <v>5</v>
      </c>
    </row>
    <row r="90">
      <c r="A90" s="65" t="inlineStr">
        <is>
          <t>X909988002854</t>
        </is>
      </c>
      <c r="B90" s="65" t="inlineStr">
        <is>
          <t>Barker</t>
        </is>
      </c>
      <c r="C90" s="65" t="inlineStr">
        <is>
          <t>Lily</t>
        </is>
      </c>
      <c r="D90" s="66" t="inlineStr">
        <is>
          <t>F</t>
        </is>
      </c>
      <c r="E90" s="66" t="n"/>
      <c r="F90" s="66" t="inlineStr">
        <is>
          <t>Y</t>
        </is>
      </c>
      <c r="G90" s="34" t="n">
        <v>96.90000000000001</v>
      </c>
      <c r="H90" s="34" t="n">
        <v>112.5</v>
      </c>
      <c r="I90" s="67">
        <f>IF(ISNUMBER(tblY7[[#This Row],[Avg KS2]]),IFERROR(VLOOKUP(ROUND(STANDARDIZE(tblY7[[#This Row],[Avg KS2]],AVERAGE(tblY7[[Avg KS2]]),_xlfn.STDEV.P(tblY7[[Avg KS2]])),9),_Stanine,2),5),"")</f>
        <v>7</v>
      </c>
      <c r="J90" s="66" t="inlineStr">
        <is>
          <t>7B/Sc2</t>
        </is>
      </c>
      <c r="K90" s="67">
        <f>IF(tblY7[[#This Row],[Preferred Last name]]="","",COUNTIFS($N$1:$ZZ$1,"*"&amp;CHAR(10)&amp;"Stanine",$N90:$ZZ90,"&gt;=1"))</f>
        <v>4</v>
      </c>
      <c r="L90" s="68">
        <f>IFERROR(AVERAGEIF($N$1:$ZZ$1,"*"&amp;CHAR(10)&amp;"Stanine",$N90:$ZZ90),"")</f>
        <v>5.25</v>
      </c>
      <c r="M90" s="69">
        <f>IF(AND(ISNUMBER(tblY7[[#This Row],[Mean Stanine]]),ISNUMBER(tblY7[[#This Row],[Avg KS2 Band]]),ISNUMBER(SlopeY7)),tblY7[[#This Row],[Mean Stanine]]-(InterceptY7+SlopeY7*tblY7[[#This Row],[Avg KS2 Band]]),"")</f>
        <v>-1.14625819916518</v>
      </c>
      <c r="N90" s="66" t="n">
        <v>22</v>
      </c>
      <c r="O90" s="67">
        <f>IF(ISNUMBER(tblY7[[#This Row],[7B01 - Cells
Raw Score]]),IFERROR(VLOOKUP(ROUND(STANDARDIZE(tblY7[[#This Row],[7B01 - Cells
Raw Score]],AVERAGE(tblY7[[7B01 - Cells
Raw Score]]),_xlfn.STDEV.P(tblY7[[7B01 - Cells
Raw Score]])),9),_Stanine,2),5),"")</f>
        <v>6</v>
      </c>
      <c r="P90" s="66" t="n">
        <v>18</v>
      </c>
      <c r="Q90" s="67">
        <f>IF(ISNUMBER(tblY7[[#This Row],[7C01 - Particles
Raw Score]]),IFERROR(VLOOKUP(ROUND(STANDARDIZE(tblY7[[#This Row],[7C01 - Particles
Raw Score]],AVERAGE(tblY7[[7C01 - Particles
Raw Score]]),_xlfn.STDEV.P(tblY7[[7C01 - Particles
Raw Score]])),9),_Stanine,2),5),"")</f>
        <v>5</v>
      </c>
      <c r="R90" s="66" t="n">
        <v>25</v>
      </c>
      <c r="S90" s="67">
        <f>IF(ISNUMBER(tblY7[[#This Row],[7P01 - Forces
Raw Score]]),IFERROR(VLOOKUP(ROUND(STANDARDIZE(tblY7[[#This Row],[7P01 - Forces
Raw Score]],AVERAGE(tblY7[[7P01 - Forces
Raw Score]]),_xlfn.STDEV.P(tblY7[[7P01 - Forces
Raw Score]])),9),_Stanine,2),5),"")</f>
        <v>6</v>
      </c>
      <c r="T90" s="66" t="n">
        <v>16</v>
      </c>
      <c r="U90" s="67">
        <f>IF(ISNUMBER(tblY7[[#This Row],[7B02 - Organ Systems
Raw Score]]),IFERROR(VLOOKUP(ROUND(STANDARDIZE(tblY7[[#This Row],[7B02 - Organ Systems
Raw Score]],AVERAGE(tblY7[[7B02 - Organ Systems
Raw Score]]),_xlfn.STDEV.P(tblY7[[7B02 - Organ Systems
Raw Score]])),9),_Stanine,2),5),"")</f>
        <v>4</v>
      </c>
    </row>
    <row r="91">
      <c r="A91" s="65" t="inlineStr">
        <is>
          <t>X904570251953</t>
        </is>
      </c>
      <c r="B91" s="65" t="inlineStr">
        <is>
          <t>Bennett</t>
        </is>
      </c>
      <c r="C91" s="65" t="inlineStr">
        <is>
          <t>Dylan</t>
        </is>
      </c>
      <c r="D91" s="66" t="inlineStr">
        <is>
          <t>M</t>
        </is>
      </c>
      <c r="E91" s="66" t="inlineStr">
        <is>
          <t>K</t>
        </is>
      </c>
      <c r="F91" s="66" t="inlineStr">
        <is>
          <t>Y</t>
        </is>
      </c>
      <c r="G91" s="34" t="n">
        <v>91.40000000000001</v>
      </c>
      <c r="H91" s="34" t="n">
        <v>117</v>
      </c>
      <c r="I91" s="67">
        <f>IF(ISNUMBER(tblY7[[#This Row],[Avg KS2]]),IFERROR(VLOOKUP(ROUND(STANDARDIZE(tblY7[[#This Row],[Avg KS2]],AVERAGE(tblY7[[Avg KS2]]),_xlfn.STDEV.P(tblY7[[Avg KS2]])),9),_Stanine,2),5),"")</f>
        <v>9</v>
      </c>
      <c r="J91" s="66" t="inlineStr">
        <is>
          <t>7B/Sc2</t>
        </is>
      </c>
      <c r="K91" s="67">
        <f>IF(tblY7[[#This Row],[Preferred Last name]]="","",COUNTIFS($N$1:$ZZ$1,"*"&amp;CHAR(10)&amp;"Stanine",$N91:$ZZ91,"&gt;=1"))</f>
        <v>4</v>
      </c>
      <c r="L91" s="68">
        <f>IFERROR(AVERAGEIF($N$1:$ZZ$1,"*"&amp;CHAR(10)&amp;"Stanine",$N91:$ZZ91),"")</f>
        <v>8</v>
      </c>
      <c r="M91" s="69">
        <f>IF(AND(ISNUMBER(tblY7[[#This Row],[Mean Stanine]]),ISNUMBER(tblY7[[#This Row],[Avg KS2 Band]]),ISNUMBER(SlopeY7)),tblY7[[#This Row],[Mean Stanine]]-(InterceptY7+SlopeY7*tblY7[[#This Row],[Avg KS2 Band]]),"")</f>
        <v>0.215175909361956</v>
      </c>
      <c r="N91" s="66" t="n">
        <v>26</v>
      </c>
      <c r="O91" s="67">
        <f>IF(ISNUMBER(tblY7[[#This Row],[7B01 - Cells
Raw Score]]),IFERROR(VLOOKUP(ROUND(STANDARDIZE(tblY7[[#This Row],[7B01 - Cells
Raw Score]],AVERAGE(tblY7[[7B01 - Cells
Raw Score]]),_xlfn.STDEV.P(tblY7[[7B01 - Cells
Raw Score]])),9),_Stanine,2),5),"")</f>
        <v>8</v>
      </c>
      <c r="P91" s="66" t="n">
        <v>24</v>
      </c>
      <c r="Q91" s="67">
        <f>IF(ISNUMBER(tblY7[[#This Row],[7C01 - Particles
Raw Score]]),IFERROR(VLOOKUP(ROUND(STANDARDIZE(tblY7[[#This Row],[7C01 - Particles
Raw Score]],AVERAGE(tblY7[[7C01 - Particles
Raw Score]]),_xlfn.STDEV.P(tblY7[[7C01 - Particles
Raw Score]])),9),_Stanine,2),5),"")</f>
        <v>8</v>
      </c>
      <c r="R91" s="66" t="n">
        <v>28</v>
      </c>
      <c r="S91" s="67">
        <f>IF(ISNUMBER(tblY7[[#This Row],[7P01 - Forces
Raw Score]]),IFERROR(VLOOKUP(ROUND(STANDARDIZE(tblY7[[#This Row],[7P01 - Forces
Raw Score]],AVERAGE(tblY7[[7P01 - Forces
Raw Score]]),_xlfn.STDEV.P(tblY7[[7P01 - Forces
Raw Score]])),9),_Stanine,2),5),"")</f>
        <v>8</v>
      </c>
      <c r="T91" s="66" t="n">
        <v>26</v>
      </c>
      <c r="U91" s="67">
        <f>IF(ISNUMBER(tblY7[[#This Row],[7B02 - Organ Systems
Raw Score]]),IFERROR(VLOOKUP(ROUND(STANDARDIZE(tblY7[[#This Row],[7B02 - Organ Systems
Raw Score]],AVERAGE(tblY7[[7B02 - Organ Systems
Raw Score]]),_xlfn.STDEV.P(tblY7[[7B02 - Organ Systems
Raw Score]])),9),_Stanine,2),5),"")</f>
        <v>8</v>
      </c>
    </row>
    <row r="92">
      <c r="A92" s="65" t="inlineStr">
        <is>
          <t>X907357780557</t>
        </is>
      </c>
      <c r="B92" s="65" t="inlineStr">
        <is>
          <t>Bennett</t>
        </is>
      </c>
      <c r="C92" s="65" t="inlineStr">
        <is>
          <t>Jacob</t>
        </is>
      </c>
      <c r="D92" s="66" t="inlineStr">
        <is>
          <t>F</t>
        </is>
      </c>
      <c r="E92" s="66" t="n"/>
      <c r="F92" s="66" t="inlineStr">
        <is>
          <t>N</t>
        </is>
      </c>
      <c r="G92" s="34" t="n">
        <v>98</v>
      </c>
      <c r="H92" s="34" t="n">
        <v>94.5</v>
      </c>
      <c r="I92" s="67">
        <f>IF(ISNUMBER(tblY7[[#This Row],[Avg KS2]]),IFERROR(VLOOKUP(ROUND(STANDARDIZE(tblY7[[#This Row],[Avg KS2]],AVERAGE(tblY7[[Avg KS2]]),_xlfn.STDEV.P(tblY7[[Avg KS2]])),9),_Stanine,2),5),"")</f>
        <v>1</v>
      </c>
      <c r="J92" s="66" t="inlineStr">
        <is>
          <t>7B/Sc2</t>
        </is>
      </c>
      <c r="K92" s="67">
        <f>IF(tblY7[[#This Row],[Preferred Last name]]="","",COUNTIFS($N$1:$ZZ$1,"*"&amp;CHAR(10)&amp;"Stanine",$N92:$ZZ92,"&gt;=1"))</f>
        <v>4</v>
      </c>
      <c r="L92" s="68">
        <f>IFERROR(AVERAGEIF($N$1:$ZZ$1,"*"&amp;CHAR(10)&amp;"Stanine",$N92:$ZZ92),"")</f>
        <v>1.25</v>
      </c>
      <c r="M92" s="69">
        <f>IF(AND(ISNUMBER(tblY7[[#This Row],[Mean Stanine]]),ISNUMBER(tblY7[[#This Row],[Avg KS2 Band]]),ISNUMBER(SlopeY7)),tblY7[[#This Row],[Mean Stanine]]-(InterceptY7+SlopeY7*tblY7[[#This Row],[Avg KS2 Band]]),"")</f>
        <v>-0.980560524746571</v>
      </c>
      <c r="N92" s="66" t="n">
        <v>6</v>
      </c>
      <c r="O92" s="67">
        <f>IF(ISNUMBER(tblY7[[#This Row],[7B01 - Cells
Raw Score]]),IFERROR(VLOOKUP(ROUND(STANDARDIZE(tblY7[[#This Row],[7B01 - Cells
Raw Score]],AVERAGE(tblY7[[7B01 - Cells
Raw Score]]),_xlfn.STDEV.P(tblY7[[7B01 - Cells
Raw Score]])),9),_Stanine,2),5),"")</f>
        <v>1</v>
      </c>
      <c r="P92" s="66" t="n">
        <v>9</v>
      </c>
      <c r="Q92" s="67">
        <f>IF(ISNUMBER(tblY7[[#This Row],[7C01 - Particles
Raw Score]]),IFERROR(VLOOKUP(ROUND(STANDARDIZE(tblY7[[#This Row],[7C01 - Particles
Raw Score]],AVERAGE(tblY7[[7C01 - Particles
Raw Score]]),_xlfn.STDEV.P(tblY7[[7C01 - Particles
Raw Score]])),9),_Stanine,2),5),"")</f>
        <v>1</v>
      </c>
      <c r="R92" s="66" t="n">
        <v>11</v>
      </c>
      <c r="S92" s="67">
        <f>IF(ISNUMBER(tblY7[[#This Row],[7P01 - Forces
Raw Score]]),IFERROR(VLOOKUP(ROUND(STANDARDIZE(tblY7[[#This Row],[7P01 - Forces
Raw Score]],AVERAGE(tblY7[[7P01 - Forces
Raw Score]]),_xlfn.STDEV.P(tblY7[[7P01 - Forces
Raw Score]])),9),_Stanine,2),5),"")</f>
        <v>1</v>
      </c>
      <c r="T92" s="66" t="n">
        <v>9</v>
      </c>
      <c r="U92" s="67">
        <f>IF(ISNUMBER(tblY7[[#This Row],[7B02 - Organ Systems
Raw Score]]),IFERROR(VLOOKUP(ROUND(STANDARDIZE(tblY7[[#This Row],[7B02 - Organ Systems
Raw Score]],AVERAGE(tblY7[[7B02 - Organ Systems
Raw Score]]),_xlfn.STDEV.P(tblY7[[7B02 - Organ Systems
Raw Score]])),9),_Stanine,2),5),"")</f>
        <v>2</v>
      </c>
    </row>
    <row r="93">
      <c r="A93" s="65" t="inlineStr">
        <is>
          <t>X900471050554</t>
        </is>
      </c>
      <c r="B93" s="65" t="inlineStr">
        <is>
          <t>Clarke</t>
        </is>
      </c>
      <c r="C93" s="65" t="inlineStr">
        <is>
          <t>Ava</t>
        </is>
      </c>
      <c r="D93" s="66" t="inlineStr">
        <is>
          <t>F</t>
        </is>
      </c>
      <c r="E93" s="66" t="inlineStr">
        <is>
          <t>N</t>
        </is>
      </c>
      <c r="F93" s="66" t="inlineStr">
        <is>
          <t>N</t>
        </is>
      </c>
      <c r="G93" s="34" t="n">
        <v>90.7</v>
      </c>
      <c r="H93" s="34" t="n">
        <v>109</v>
      </c>
      <c r="I93" s="67">
        <f>IF(ISNUMBER(tblY7[[#This Row],[Avg KS2]]),IFERROR(VLOOKUP(ROUND(STANDARDIZE(tblY7[[#This Row],[Avg KS2]],AVERAGE(tblY7[[Avg KS2]]),_xlfn.STDEV.P(tblY7[[Avg KS2]])),9),_Stanine,2),5),"")</f>
        <v>6</v>
      </c>
      <c r="J93" s="66" t="inlineStr">
        <is>
          <t>7B/Sc2</t>
        </is>
      </c>
      <c r="K93" s="67">
        <f>IF(tblY7[[#This Row],[Preferred Last name]]="","",COUNTIFS($N$1:$ZZ$1,"*"&amp;CHAR(10)&amp;"Stanine",$N93:$ZZ93,"&gt;=1"))</f>
        <v>4</v>
      </c>
      <c r="L93" s="68">
        <f>IFERROR(AVERAGEIF($N$1:$ZZ$1,"*"&amp;CHAR(10)&amp;"Stanine",$N93:$ZZ93),"")</f>
        <v>4.5</v>
      </c>
      <c r="M93" s="69">
        <f>IF(AND(ISNUMBER(tblY7[[#This Row],[Mean Stanine]]),ISNUMBER(tblY7[[#This Row],[Avg KS2 Band]]),ISNUMBER(SlopeY7)),tblY7[[#This Row],[Mean Stanine]]-(InterceptY7+SlopeY7*tblY7[[#This Row],[Avg KS2 Band]]),"")</f>
        <v>-1.20197525342874</v>
      </c>
      <c r="N93" s="66" t="n">
        <v>18</v>
      </c>
      <c r="O93" s="67">
        <f>IF(ISNUMBER(tblY7[[#This Row],[7B01 - Cells
Raw Score]]),IFERROR(VLOOKUP(ROUND(STANDARDIZE(tblY7[[#This Row],[7B01 - Cells
Raw Score]],AVERAGE(tblY7[[7B01 - Cells
Raw Score]]),_xlfn.STDEV.P(tblY7[[7B01 - Cells
Raw Score]])),9),_Stanine,2),5),"")</f>
        <v>5</v>
      </c>
      <c r="P93" s="66" t="n">
        <v>17</v>
      </c>
      <c r="Q93" s="67">
        <f>IF(ISNUMBER(tblY7[[#This Row],[7C01 - Particles
Raw Score]]),IFERROR(VLOOKUP(ROUND(STANDARDIZE(tblY7[[#This Row],[7C01 - Particles
Raw Score]],AVERAGE(tblY7[[7C01 - Particles
Raw Score]]),_xlfn.STDEV.P(tblY7[[7C01 - Particles
Raw Score]])),9),_Stanine,2),5),"")</f>
        <v>4</v>
      </c>
      <c r="R93" s="66" t="n">
        <v>18</v>
      </c>
      <c r="S93" s="67">
        <f>IF(ISNUMBER(tblY7[[#This Row],[7P01 - Forces
Raw Score]]),IFERROR(VLOOKUP(ROUND(STANDARDIZE(tblY7[[#This Row],[7P01 - Forces
Raw Score]],AVERAGE(tblY7[[7P01 - Forces
Raw Score]]),_xlfn.STDEV.P(tblY7[[7P01 - Forces
Raw Score]])),9),_Stanine,2),5),"")</f>
        <v>4</v>
      </c>
      <c r="T93" s="66" t="n">
        <v>19</v>
      </c>
      <c r="U93" s="67">
        <f>IF(ISNUMBER(tblY7[[#This Row],[7B02 - Organ Systems
Raw Score]]),IFERROR(VLOOKUP(ROUND(STANDARDIZE(tblY7[[#This Row],[7B02 - Organ Systems
Raw Score]],AVERAGE(tblY7[[7B02 - Organ Systems
Raw Score]]),_xlfn.STDEV.P(tblY7[[7B02 - Organ Systems
Raw Score]])),9),_Stanine,2),5),"")</f>
        <v>5</v>
      </c>
    </row>
    <row r="94">
      <c r="A94" s="65" t="inlineStr">
        <is>
          <t>X907871398629</t>
        </is>
      </c>
      <c r="B94" s="65" t="inlineStr">
        <is>
          <t>Cooper</t>
        </is>
      </c>
      <c r="C94" s="65" t="inlineStr">
        <is>
          <t>Lewis</t>
        </is>
      </c>
      <c r="D94" s="66" t="inlineStr">
        <is>
          <t>M</t>
        </is>
      </c>
      <c r="E94" s="66" t="inlineStr">
        <is>
          <t>E</t>
        </is>
      </c>
      <c r="F94" s="66" t="inlineStr">
        <is>
          <t>N</t>
        </is>
      </c>
      <c r="G94" s="34" t="n">
        <v>91.2</v>
      </c>
      <c r="H94" s="34" t="n">
        <v>98</v>
      </c>
      <c r="I94" s="67">
        <f>IF(ISNUMBER(tblY7[[#This Row],[Avg KS2]]),IFERROR(VLOOKUP(ROUND(STANDARDIZE(tblY7[[#This Row],[Avg KS2]],AVERAGE(tblY7[[Avg KS2]]),_xlfn.STDEV.P(tblY7[[Avg KS2]])),9),_Stanine,2),5),"")</f>
        <v>2</v>
      </c>
      <c r="J94" s="66" t="inlineStr">
        <is>
          <t>7B/Sc2</t>
        </is>
      </c>
      <c r="K94" s="67">
        <f>IF(tblY7[[#This Row],[Preferred Last name]]="","",COUNTIFS($N$1:$ZZ$1,"*"&amp;CHAR(10)&amp;"Stanine",$N94:$ZZ94,"&gt;=1"))</f>
        <v>4</v>
      </c>
      <c r="L94" s="68">
        <f>IFERROR(AVERAGEIF($N$1:$ZZ$1,"*"&amp;CHAR(10)&amp;"Stanine",$N94:$ZZ94),"")</f>
        <v>1.25</v>
      </c>
      <c r="M94" s="69">
        <f>IF(AND(ISNUMBER(tblY7[[#This Row],[Mean Stanine]]),ISNUMBER(tblY7[[#This Row],[Avg KS2 Band]]),ISNUMBER(SlopeY7)),tblY7[[#This Row],[Mean Stanine]]-(InterceptY7+SlopeY7*tblY7[[#This Row],[Avg KS2 Band]]),"")</f>
        <v>-1.67484347048301</v>
      </c>
      <c r="N94" s="66" t="n">
        <v>5</v>
      </c>
      <c r="O94" s="67">
        <f>IF(ISNUMBER(tblY7[[#This Row],[7B01 - Cells
Raw Score]]),IFERROR(VLOOKUP(ROUND(STANDARDIZE(tblY7[[#This Row],[7B01 - Cells
Raw Score]],AVERAGE(tblY7[[7B01 - Cells
Raw Score]]),_xlfn.STDEV.P(tblY7[[7B01 - Cells
Raw Score]])),9),_Stanine,2),5),"")</f>
        <v>1</v>
      </c>
      <c r="P94" s="66" t="n">
        <v>9</v>
      </c>
      <c r="Q94" s="67">
        <f>IF(ISNUMBER(tblY7[[#This Row],[7C01 - Particles
Raw Score]]),IFERROR(VLOOKUP(ROUND(STANDARDIZE(tblY7[[#This Row],[7C01 - Particles
Raw Score]],AVERAGE(tblY7[[7C01 - Particles
Raw Score]]),_xlfn.STDEV.P(tblY7[[7C01 - Particles
Raw Score]])),9),_Stanine,2),5),"")</f>
        <v>1</v>
      </c>
      <c r="R94" s="66" t="n">
        <v>13</v>
      </c>
      <c r="S94" s="67">
        <f>IF(ISNUMBER(tblY7[[#This Row],[7P01 - Forces
Raw Score]]),IFERROR(VLOOKUP(ROUND(STANDARDIZE(tblY7[[#This Row],[7P01 - Forces
Raw Score]],AVERAGE(tblY7[[7P01 - Forces
Raw Score]]),_xlfn.STDEV.P(tblY7[[7P01 - Forces
Raw Score]])),9),_Stanine,2),5),"")</f>
        <v>2</v>
      </c>
      <c r="T94" s="66" t="n">
        <v>6</v>
      </c>
      <c r="U94" s="67">
        <f>IF(ISNUMBER(tblY7[[#This Row],[7B02 - Organ Systems
Raw Score]]),IFERROR(VLOOKUP(ROUND(STANDARDIZE(tblY7[[#This Row],[7B02 - Organ Systems
Raw Score]],AVERAGE(tblY7[[7B02 - Organ Systems
Raw Score]]),_xlfn.STDEV.P(tblY7[[7B02 - Organ Systems
Raw Score]])),9),_Stanine,2),5),"")</f>
        <v>1</v>
      </c>
    </row>
    <row r="95">
      <c r="A95" s="65" t="inlineStr">
        <is>
          <t>X908156251184</t>
        </is>
      </c>
      <c r="B95" s="65" t="inlineStr">
        <is>
          <t>Griffiths</t>
        </is>
      </c>
      <c r="C95" s="65" t="inlineStr">
        <is>
          <t>Lewis</t>
        </is>
      </c>
      <c r="D95" s="66" t="inlineStr">
        <is>
          <t>F</t>
        </is>
      </c>
      <c r="E95" s="66" t="n"/>
      <c r="F95" s="66" t="inlineStr">
        <is>
          <t>N</t>
        </is>
      </c>
      <c r="G95" s="34" t="n">
        <v>88.3</v>
      </c>
      <c r="H95" s="34" t="n">
        <v>114</v>
      </c>
      <c r="I95" s="67">
        <f>IF(ISNUMBER(tblY7[[#This Row],[Avg KS2]]),IFERROR(VLOOKUP(ROUND(STANDARDIZE(tblY7[[#This Row],[Avg KS2]],AVERAGE(tblY7[[Avg KS2]]),_xlfn.STDEV.P(tblY7[[Avg KS2]])),9),_Stanine,2),5),"")</f>
        <v>8</v>
      </c>
      <c r="J95" s="66" t="inlineStr">
        <is>
          <t>7B/Sc2</t>
        </is>
      </c>
      <c r="K95" s="67">
        <f>IF(tblY7[[#This Row],[Preferred Last name]]="","",COUNTIFS($N$1:$ZZ$1,"*"&amp;CHAR(10)&amp;"Stanine",$N95:$ZZ95,"&gt;=1"))</f>
        <v>4</v>
      </c>
      <c r="L95" s="68">
        <f>IFERROR(AVERAGEIF($N$1:$ZZ$1,"*"&amp;CHAR(10)&amp;"Stanine",$N95:$ZZ95),"")</f>
        <v>6.75</v>
      </c>
      <c r="M95" s="69">
        <f>IF(AND(ISNUMBER(tblY7[[#This Row],[Mean Stanine]]),ISNUMBER(tblY7[[#This Row],[Avg KS2 Band]]),ISNUMBER(SlopeY7)),tblY7[[#This Row],[Mean Stanine]]-(InterceptY7+SlopeY7*tblY7[[#This Row],[Avg KS2 Band]]),"")</f>
        <v>-0.34054114490161</v>
      </c>
      <c r="N95" s="66" t="n">
        <v>25</v>
      </c>
      <c r="O95" s="67">
        <f>IF(ISNUMBER(tblY7[[#This Row],[7B01 - Cells
Raw Score]]),IFERROR(VLOOKUP(ROUND(STANDARDIZE(tblY7[[#This Row],[7B01 - Cells
Raw Score]],AVERAGE(tblY7[[7B01 - Cells
Raw Score]]),_xlfn.STDEV.P(tblY7[[7B01 - Cells
Raw Score]])),9),_Stanine,2),5),"")</f>
        <v>7</v>
      </c>
      <c r="P95" s="66" t="n">
        <v>22</v>
      </c>
      <c r="Q95" s="67">
        <f>IF(ISNUMBER(tblY7[[#This Row],[7C01 - Particles
Raw Score]]),IFERROR(VLOOKUP(ROUND(STANDARDIZE(tblY7[[#This Row],[7C01 - Particles
Raw Score]],AVERAGE(tblY7[[7C01 - Particles
Raw Score]]),_xlfn.STDEV.P(tblY7[[7C01 - Particles
Raw Score]])),9),_Stanine,2),5),"")</f>
        <v>7</v>
      </c>
      <c r="R95" s="66" t="n">
        <v>27</v>
      </c>
      <c r="S95" s="67">
        <f>IF(ISNUMBER(tblY7[[#This Row],[7P01 - Forces
Raw Score]]),IFERROR(VLOOKUP(ROUND(STANDARDIZE(tblY7[[#This Row],[7P01 - Forces
Raw Score]],AVERAGE(tblY7[[7P01 - Forces
Raw Score]]),_xlfn.STDEV.P(tblY7[[7P01 - Forces
Raw Score]])),9),_Stanine,2),5),"")</f>
        <v>7</v>
      </c>
      <c r="T95" s="66" t="n">
        <v>20</v>
      </c>
      <c r="U95" s="67">
        <f>IF(ISNUMBER(tblY7[[#This Row],[7B02 - Organ Systems
Raw Score]]),IFERROR(VLOOKUP(ROUND(STANDARDIZE(tblY7[[#This Row],[7B02 - Organ Systems
Raw Score]],AVERAGE(tblY7[[7B02 - Organ Systems
Raw Score]]),_xlfn.STDEV.P(tblY7[[7B02 - Organ Systems
Raw Score]])),9),_Stanine,2),5),"")</f>
        <v>6</v>
      </c>
    </row>
    <row r="96">
      <c r="A96" s="65" t="inlineStr">
        <is>
          <t>X909675715681</t>
        </is>
      </c>
      <c r="B96" s="65" t="inlineStr">
        <is>
          <t>Jones</t>
        </is>
      </c>
      <c r="C96" s="65" t="inlineStr">
        <is>
          <t>Chidi</t>
        </is>
      </c>
      <c r="D96" s="66" t="inlineStr">
        <is>
          <t>M</t>
        </is>
      </c>
      <c r="E96" s="66" t="n"/>
      <c r="F96" s="66" t="inlineStr">
        <is>
          <t>N</t>
        </is>
      </c>
      <c r="G96" s="34" t="n">
        <v>94</v>
      </c>
      <c r="H96" s="34" t="n">
        <v>114.5</v>
      </c>
      <c r="I96" s="67">
        <f>IF(ISNUMBER(tblY7[[#This Row],[Avg KS2]]),IFERROR(VLOOKUP(ROUND(STANDARDIZE(tblY7[[#This Row],[Avg KS2]],AVERAGE(tblY7[[Avg KS2]]),_xlfn.STDEV.P(tblY7[[Avg KS2]])),9),_Stanine,2),5),"")</f>
        <v>8</v>
      </c>
      <c r="J96" s="66" t="inlineStr">
        <is>
          <t>7B/Sc2</t>
        </is>
      </c>
      <c r="K96" s="67">
        <f>IF(tblY7[[#This Row],[Preferred Last name]]="","",COUNTIFS($N$1:$ZZ$1,"*"&amp;CHAR(10)&amp;"Stanine",$N96:$ZZ96,"&gt;=1"))</f>
        <v>4</v>
      </c>
      <c r="L96" s="68">
        <f>IFERROR(AVERAGEIF($N$1:$ZZ$1,"*"&amp;CHAR(10)&amp;"Stanine",$N96:$ZZ96),"")</f>
        <v>7</v>
      </c>
      <c r="M96" s="69">
        <f>IF(AND(ISNUMBER(tblY7[[#This Row],[Mean Stanine]]),ISNUMBER(tblY7[[#This Row],[Avg KS2 Band]]),ISNUMBER(SlopeY7)),tblY7[[#This Row],[Mean Stanine]]-(InterceptY7+SlopeY7*tblY7[[#This Row],[Avg KS2 Band]]),"")</f>
        <v>-0.0905411449016098</v>
      </c>
      <c r="N96" s="66" t="n">
        <v>23</v>
      </c>
      <c r="O96" s="67">
        <f>IF(ISNUMBER(tblY7[[#This Row],[7B01 - Cells
Raw Score]]),IFERROR(VLOOKUP(ROUND(STANDARDIZE(tblY7[[#This Row],[7B01 - Cells
Raw Score]],AVERAGE(tblY7[[7B01 - Cells
Raw Score]]),_xlfn.STDEV.P(tblY7[[7B01 - Cells
Raw Score]])),9),_Stanine,2),5),"")</f>
        <v>7</v>
      </c>
      <c r="P96" s="66" t="n">
        <v>22</v>
      </c>
      <c r="Q96" s="67">
        <f>IF(ISNUMBER(tblY7[[#This Row],[7C01 - Particles
Raw Score]]),IFERROR(VLOOKUP(ROUND(STANDARDIZE(tblY7[[#This Row],[7C01 - Particles
Raw Score]],AVERAGE(tblY7[[7C01 - Particles
Raw Score]]),_xlfn.STDEV.P(tblY7[[7C01 - Particles
Raw Score]])),9),_Stanine,2),5),"")</f>
        <v>7</v>
      </c>
      <c r="R96" s="66" t="n">
        <v>27</v>
      </c>
      <c r="S96" s="67">
        <f>IF(ISNUMBER(tblY7[[#This Row],[7P01 - Forces
Raw Score]]),IFERROR(VLOOKUP(ROUND(STANDARDIZE(tblY7[[#This Row],[7P01 - Forces
Raw Score]],AVERAGE(tblY7[[7P01 - Forces
Raw Score]]),_xlfn.STDEV.P(tblY7[[7P01 - Forces
Raw Score]])),9),_Stanine,2),5),"")</f>
        <v>7</v>
      </c>
      <c r="T96" s="66" t="n">
        <v>24</v>
      </c>
      <c r="U96" s="67">
        <f>IF(ISNUMBER(tblY7[[#This Row],[7B02 - Organ Systems
Raw Score]]),IFERROR(VLOOKUP(ROUND(STANDARDIZE(tblY7[[#This Row],[7B02 - Organ Systems
Raw Score]],AVERAGE(tblY7[[7B02 - Organ Systems
Raw Score]]),_xlfn.STDEV.P(tblY7[[7B02 - Organ Systems
Raw Score]])),9),_Stanine,2),5),"")</f>
        <v>7</v>
      </c>
    </row>
    <row r="97">
      <c r="A97" s="65" t="inlineStr">
        <is>
          <t>X908231742368</t>
        </is>
      </c>
      <c r="B97" s="65" t="inlineStr">
        <is>
          <t>Kelly</t>
        </is>
      </c>
      <c r="C97" s="65" t="inlineStr">
        <is>
          <t>Charlie</t>
        </is>
      </c>
      <c r="D97" s="66" t="inlineStr">
        <is>
          <t>M</t>
        </is>
      </c>
      <c r="E97" s="66" t="inlineStr">
        <is>
          <t>N</t>
        </is>
      </c>
      <c r="F97" s="66" t="inlineStr">
        <is>
          <t>N</t>
        </is>
      </c>
      <c r="G97" s="34" t="n">
        <v>96.7</v>
      </c>
      <c r="H97" s="34" t="n">
        <v>103</v>
      </c>
      <c r="I97" s="67">
        <f>IF(ISNUMBER(tblY7[[#This Row],[Avg KS2]]),IFERROR(VLOOKUP(ROUND(STANDARDIZE(tblY7[[#This Row],[Avg KS2]],AVERAGE(tblY7[[Avg KS2]]),_xlfn.STDEV.P(tblY7[[Avg KS2]])),9),_Stanine,2),5),"")</f>
        <v>3</v>
      </c>
      <c r="J97" s="66" t="inlineStr">
        <is>
          <t>7B/Sc2</t>
        </is>
      </c>
      <c r="K97" s="67">
        <f>IF(tblY7[[#This Row],[Preferred Last name]]="","",COUNTIFS($N$1:$ZZ$1,"*"&amp;CHAR(10)&amp;"Stanine",$N97:$ZZ97,"&gt;=1"))</f>
        <v>3</v>
      </c>
      <c r="L97" s="68">
        <f>IFERROR(AVERAGEIF($N$1:$ZZ$1,"*"&amp;CHAR(10)&amp;"Stanine",$N97:$ZZ97),"")</f>
        <v>4.66666666666667</v>
      </c>
      <c r="M97" s="69">
        <f>IF(AND(ISNUMBER(tblY7[[#This Row],[Mean Stanine]]),ISNUMBER(tblY7[[#This Row],[Avg KS2 Band]]),ISNUMBER(SlopeY7)),tblY7[[#This Row],[Mean Stanine]]-(InterceptY7+SlopeY7*tblY7[[#This Row],[Avg KS2 Band]]),"")</f>
        <v>1.04754025044723</v>
      </c>
      <c r="N97" s="66" t="n">
        <v>15</v>
      </c>
      <c r="O97" s="67">
        <f>IF(ISNUMBER(tblY7[[#This Row],[7B01 - Cells
Raw Score]]),IFERROR(VLOOKUP(ROUND(STANDARDIZE(tblY7[[#This Row],[7B01 - Cells
Raw Score]],AVERAGE(tblY7[[7B01 - Cells
Raw Score]]),_xlfn.STDEV.P(tblY7[[7B01 - Cells
Raw Score]])),9),_Stanine,2),5),"")</f>
        <v>4</v>
      </c>
      <c r="P97" s="66" t="n">
        <v>20</v>
      </c>
      <c r="Q97" s="67">
        <f>IF(ISNUMBER(tblY7[[#This Row],[7C01 - Particles
Raw Score]]),IFERROR(VLOOKUP(ROUND(STANDARDIZE(tblY7[[#This Row],[7C01 - Particles
Raw Score]],AVERAGE(tblY7[[7C01 - Particles
Raw Score]]),_xlfn.STDEV.P(tblY7[[7C01 - Particles
Raw Score]])),9),_Stanine,2),5),"")</f>
        <v>6</v>
      </c>
      <c r="R97" s="66" t="n">
        <v>20</v>
      </c>
      <c r="S97" s="67">
        <f>IF(ISNUMBER(tblY7[[#This Row],[7P01 - Forces
Raw Score]]),IFERROR(VLOOKUP(ROUND(STANDARDIZE(tblY7[[#This Row],[7P01 - Forces
Raw Score]],AVERAGE(tblY7[[7P01 - Forces
Raw Score]]),_xlfn.STDEV.P(tblY7[[7P01 - Forces
Raw Score]])),9),_Stanine,2),5),"")</f>
        <v>4</v>
      </c>
      <c r="T97" s="66" t="inlineStr">
        <is>
          <t>A</t>
        </is>
      </c>
      <c r="U97" s="67" t="str">
        <f>IF(ISNUMBER(tblY7[[#This Row],[7B02 - Organ Systems
Raw Score]]),IFERROR(VLOOKUP(ROUND(STANDARDIZE(tblY7[[#This Row],[7B02 - Organ Systems
Raw Score]],AVERAGE(tblY7[[7B02 - Organ Systems
Raw Score]]),_xlfn.STDEV.P(tblY7[[7B02 - Organ Systems
Raw Score]])),9),_Stanine,2),5),"")</f>
        <v/>
      </c>
    </row>
    <row r="98">
      <c r="A98" s="65" t="inlineStr">
        <is>
          <t>X905967811327</t>
        </is>
      </c>
      <c r="B98" s="65" t="inlineStr">
        <is>
          <t>Kowalski</t>
        </is>
      </c>
      <c r="C98" s="65" t="inlineStr">
        <is>
          <t>Dylan</t>
        </is>
      </c>
      <c r="D98" s="66" t="inlineStr">
        <is>
          <t>M</t>
        </is>
      </c>
      <c r="E98" s="66" t="inlineStr">
        <is>
          <t>N</t>
        </is>
      </c>
      <c r="F98" s="66" t="inlineStr">
        <is>
          <t>Y</t>
        </is>
      </c>
      <c r="G98" s="34" t="n">
        <v>100</v>
      </c>
      <c r="H98" s="34" t="n">
        <v>108</v>
      </c>
      <c r="I98" s="67">
        <f>IF(ISNUMBER(tblY7[[#This Row],[Avg KS2]]),IFERROR(VLOOKUP(ROUND(STANDARDIZE(tblY7[[#This Row],[Avg KS2]],AVERAGE(tblY7[[Avg KS2]]),_xlfn.STDEV.P(tblY7[[Avg KS2]])),9),_Stanine,2),5),"")</f>
        <v>5</v>
      </c>
      <c r="J98" s="66" t="inlineStr">
        <is>
          <t>7B/Sc2</t>
        </is>
      </c>
      <c r="K98" s="67">
        <f>IF(tblY7[[#This Row],[Preferred Last name]]="","",COUNTIFS($N$1:$ZZ$1,"*"&amp;CHAR(10)&amp;"Stanine",$N98:$ZZ98,"&gt;=1"))</f>
        <v>4</v>
      </c>
      <c r="L98" s="68">
        <f>IFERROR(AVERAGEIF($N$1:$ZZ$1,"*"&amp;CHAR(10)&amp;"Stanine",$N98:$ZZ98),"")</f>
        <v>7</v>
      </c>
      <c r="M98" s="69">
        <f>IF(AND(ISNUMBER(tblY7[[#This Row],[Mean Stanine]]),ISNUMBER(tblY7[[#This Row],[Avg KS2 Band]]),ISNUMBER(SlopeY7)),tblY7[[#This Row],[Mean Stanine]]-(InterceptY7+SlopeY7*tblY7[[#This Row],[Avg KS2 Band]]),"")</f>
        <v>1.99230769230769</v>
      </c>
      <c r="N98" s="66" t="n">
        <v>24</v>
      </c>
      <c r="O98" s="67">
        <f>IF(ISNUMBER(tblY7[[#This Row],[7B01 - Cells
Raw Score]]),IFERROR(VLOOKUP(ROUND(STANDARDIZE(tblY7[[#This Row],[7B01 - Cells
Raw Score]],AVERAGE(tblY7[[7B01 - Cells
Raw Score]]),_xlfn.STDEV.P(tblY7[[7B01 - Cells
Raw Score]])),9),_Stanine,2),5),"")</f>
        <v>7</v>
      </c>
      <c r="P98" s="66" t="n">
        <v>22</v>
      </c>
      <c r="Q98" s="67">
        <f>IF(ISNUMBER(tblY7[[#This Row],[7C01 - Particles
Raw Score]]),IFERROR(VLOOKUP(ROUND(STANDARDIZE(tblY7[[#This Row],[7C01 - Particles
Raw Score]],AVERAGE(tblY7[[7C01 - Particles
Raw Score]]),_xlfn.STDEV.P(tblY7[[7C01 - Particles
Raw Score]])),9),_Stanine,2),5),"")</f>
        <v>7</v>
      </c>
      <c r="R98" s="66" t="n">
        <v>26</v>
      </c>
      <c r="S98" s="67">
        <f>IF(ISNUMBER(tblY7[[#This Row],[7P01 - Forces
Raw Score]]),IFERROR(VLOOKUP(ROUND(STANDARDIZE(tblY7[[#This Row],[7P01 - Forces
Raw Score]],AVERAGE(tblY7[[7P01 - Forces
Raw Score]]),_xlfn.STDEV.P(tblY7[[7P01 - Forces
Raw Score]])),9),_Stanine,2),5),"")</f>
        <v>7</v>
      </c>
      <c r="T98" s="66" t="n">
        <v>24</v>
      </c>
      <c r="U98" s="67">
        <f>IF(ISNUMBER(tblY7[[#This Row],[7B02 - Organ Systems
Raw Score]]),IFERROR(VLOOKUP(ROUND(STANDARDIZE(tblY7[[#This Row],[7B02 - Organ Systems
Raw Score]],AVERAGE(tblY7[[7B02 - Organ Systems
Raw Score]]),_xlfn.STDEV.P(tblY7[[7B02 - Organ Systems
Raw Score]])),9),_Stanine,2),5),"")</f>
        <v>7</v>
      </c>
    </row>
    <row r="99">
      <c r="A99" s="65" t="inlineStr">
        <is>
          <t>X901105348283</t>
        </is>
      </c>
      <c r="B99" s="65" t="inlineStr">
        <is>
          <t>Kowalski</t>
        </is>
      </c>
      <c r="C99" s="65" t="inlineStr">
        <is>
          <t>Sami</t>
        </is>
      </c>
      <c r="D99" s="66" t="inlineStr">
        <is>
          <t>M</t>
        </is>
      </c>
      <c r="E99" s="66" t="n"/>
      <c r="F99" s="66" t="inlineStr">
        <is>
          <t>N</t>
        </is>
      </c>
      <c r="G99" s="34" t="n">
        <v>98.09999999999999</v>
      </c>
      <c r="H99" s="34" t="n">
        <v>98</v>
      </c>
      <c r="I99" s="67">
        <f>IF(ISNUMBER(tblY7[[#This Row],[Avg KS2]]),IFERROR(VLOOKUP(ROUND(STANDARDIZE(tblY7[[#This Row],[Avg KS2]],AVERAGE(tblY7[[Avg KS2]]),_xlfn.STDEV.P(tblY7[[Avg KS2]])),9),_Stanine,2),5),"")</f>
        <v>2</v>
      </c>
      <c r="J99" s="66" t="inlineStr">
        <is>
          <t>7B/Sc2</t>
        </is>
      </c>
      <c r="K99" s="67">
        <f>IF(tblY7[[#This Row],[Preferred Last name]]="","",COUNTIFS($N$1:$ZZ$1,"*"&amp;CHAR(10)&amp;"Stanine",$N99:$ZZ99,"&gt;=1"))</f>
        <v>4</v>
      </c>
      <c r="L99" s="68">
        <f>IFERROR(AVERAGEIF($N$1:$ZZ$1,"*"&amp;CHAR(10)&amp;"Stanine",$N99:$ZZ99),"")</f>
        <v>3.75</v>
      </c>
      <c r="M99" s="69">
        <f>IF(AND(ISNUMBER(tblY7[[#This Row],[Mean Stanine]]),ISNUMBER(tblY7[[#This Row],[Avg KS2 Band]]),ISNUMBER(SlopeY7)),tblY7[[#This Row],[Mean Stanine]]-(InterceptY7+SlopeY7*tblY7[[#This Row],[Avg KS2 Band]]),"")</f>
        <v>0.825156529516995</v>
      </c>
      <c r="N99" s="66" t="n">
        <v>8</v>
      </c>
      <c r="O99" s="67">
        <f>IF(ISNUMBER(tblY7[[#This Row],[7B01 - Cells
Raw Score]]),IFERROR(VLOOKUP(ROUND(STANDARDIZE(tblY7[[#This Row],[7B01 - Cells
Raw Score]],AVERAGE(tblY7[[7B01 - Cells
Raw Score]]),_xlfn.STDEV.P(tblY7[[7B01 - Cells
Raw Score]])),9),_Stanine,2),5),"")</f>
        <v>2</v>
      </c>
      <c r="P99" s="66" t="n">
        <v>19</v>
      </c>
      <c r="Q99" s="67">
        <f>IF(ISNUMBER(tblY7[[#This Row],[7C01 - Particles
Raw Score]]),IFERROR(VLOOKUP(ROUND(STANDARDIZE(tblY7[[#This Row],[7C01 - Particles
Raw Score]],AVERAGE(tblY7[[7C01 - Particles
Raw Score]]),_xlfn.STDEV.P(tblY7[[7C01 - Particles
Raw Score]])),9),_Stanine,2),5),"")</f>
        <v>5</v>
      </c>
      <c r="R99" s="66" t="n">
        <v>18</v>
      </c>
      <c r="S99" s="67">
        <f>IF(ISNUMBER(tblY7[[#This Row],[7P01 - Forces
Raw Score]]),IFERROR(VLOOKUP(ROUND(STANDARDIZE(tblY7[[#This Row],[7P01 - Forces
Raw Score]],AVERAGE(tblY7[[7P01 - Forces
Raw Score]]),_xlfn.STDEV.P(tblY7[[7P01 - Forces
Raw Score]])),9),_Stanine,2),5),"")</f>
        <v>4</v>
      </c>
      <c r="T99" s="66" t="n">
        <v>16</v>
      </c>
      <c r="U99" s="67">
        <f>IF(ISNUMBER(tblY7[[#This Row],[7B02 - Organ Systems
Raw Score]]),IFERROR(VLOOKUP(ROUND(STANDARDIZE(tblY7[[#This Row],[7B02 - Organ Systems
Raw Score]],AVERAGE(tblY7[[7B02 - Organ Systems
Raw Score]]),_xlfn.STDEV.P(tblY7[[7B02 - Organ Systems
Raw Score]])),9),_Stanine,2),5),"")</f>
        <v>4</v>
      </c>
    </row>
    <row r="100">
      <c r="A100" s="65" t="inlineStr">
        <is>
          <t>X901533465891</t>
        </is>
      </c>
      <c r="B100" s="65" t="inlineStr">
        <is>
          <t>Mistry</t>
        </is>
      </c>
      <c r="C100" s="65" t="inlineStr">
        <is>
          <t>Nia</t>
        </is>
      </c>
      <c r="D100" s="66" t="inlineStr">
        <is>
          <t>F</t>
        </is>
      </c>
      <c r="E100" s="66" t="inlineStr">
        <is>
          <t>N</t>
        </is>
      </c>
      <c r="F100" s="66" t="inlineStr">
        <is>
          <t>Y</t>
        </is>
      </c>
      <c r="G100" s="34" t="n">
        <v>96.8</v>
      </c>
      <c r="H100" s="34" t="n">
        <v>104.5</v>
      </c>
      <c r="I100" s="67">
        <f>IF(ISNUMBER(tblY7[[#This Row],[Avg KS2]]),IFERROR(VLOOKUP(ROUND(STANDARDIZE(tblY7[[#This Row],[Avg KS2]],AVERAGE(tblY7[[Avg KS2]]),_xlfn.STDEV.P(tblY7[[Avg KS2]])),9),_Stanine,2),5),"")</f>
        <v>4</v>
      </c>
      <c r="J100" s="66" t="inlineStr">
        <is>
          <t>7B/Sc2</t>
        </is>
      </c>
      <c r="K100" s="67">
        <f>IF(tblY7[[#This Row],[Preferred Last name]]="","",COUNTIFS($N$1:$ZZ$1,"*"&amp;CHAR(10)&amp;"Stanine",$N100:$ZZ100,"&gt;=1"))</f>
        <v>4</v>
      </c>
      <c r="L100" s="68">
        <f>IFERROR(AVERAGEIF($N$1:$ZZ$1,"*"&amp;CHAR(10)&amp;"Stanine",$N100:$ZZ100),"")</f>
        <v>6.75</v>
      </c>
      <c r="M100" s="69">
        <f>IF(AND(ISNUMBER(tblY7[[#This Row],[Mean Stanine]]),ISNUMBER(tblY7[[#This Row],[Avg KS2 Band]]),ISNUMBER(SlopeY7)),tblY7[[#This Row],[Mean Stanine]]-(InterceptY7+SlopeY7*tblY7[[#This Row],[Avg KS2 Band]]),"")</f>
        <v>2.43659063804413</v>
      </c>
      <c r="N100" s="66" t="n">
        <v>20</v>
      </c>
      <c r="O100" s="67">
        <f>IF(ISNUMBER(tblY7[[#This Row],[7B01 - Cells
Raw Score]]),IFERROR(VLOOKUP(ROUND(STANDARDIZE(tblY7[[#This Row],[7B01 - Cells
Raw Score]],AVERAGE(tblY7[[7B01 - Cells
Raw Score]]),_xlfn.STDEV.P(tblY7[[7B01 - Cells
Raw Score]])),9),_Stanine,2),5),"")</f>
        <v>6</v>
      </c>
      <c r="P100" s="66" t="n">
        <v>22</v>
      </c>
      <c r="Q100" s="67">
        <f>IF(ISNUMBER(tblY7[[#This Row],[7C01 - Particles
Raw Score]]),IFERROR(VLOOKUP(ROUND(STANDARDIZE(tblY7[[#This Row],[7C01 - Particles
Raw Score]],AVERAGE(tblY7[[7C01 - Particles
Raw Score]]),_xlfn.STDEV.P(tblY7[[7C01 - Particles
Raw Score]])),9),_Stanine,2),5),"")</f>
        <v>7</v>
      </c>
      <c r="R100" s="66" t="n">
        <v>26</v>
      </c>
      <c r="S100" s="67">
        <f>IF(ISNUMBER(tblY7[[#This Row],[7P01 - Forces
Raw Score]]),IFERROR(VLOOKUP(ROUND(STANDARDIZE(tblY7[[#This Row],[7P01 - Forces
Raw Score]],AVERAGE(tblY7[[7P01 - Forces
Raw Score]]),_xlfn.STDEV.P(tblY7[[7P01 - Forces
Raw Score]])),9),_Stanine,2),5),"")</f>
        <v>7</v>
      </c>
      <c r="T100" s="66" t="n">
        <v>23</v>
      </c>
      <c r="U100" s="67">
        <f>IF(ISNUMBER(tblY7[[#This Row],[7B02 - Organ Systems
Raw Score]]),IFERROR(VLOOKUP(ROUND(STANDARDIZE(tblY7[[#This Row],[7B02 - Organ Systems
Raw Score]],AVERAGE(tblY7[[7B02 - Organ Systems
Raw Score]]),_xlfn.STDEV.P(tblY7[[7B02 - Organ Systems
Raw Score]])),9),_Stanine,2),5),"")</f>
        <v>7</v>
      </c>
    </row>
    <row r="101">
      <c r="A101" s="65" t="inlineStr">
        <is>
          <t>X900651740945</t>
        </is>
      </c>
      <c r="B101" s="65" t="inlineStr">
        <is>
          <t>Nowak</t>
        </is>
      </c>
      <c r="C101" s="65" t="inlineStr">
        <is>
          <t>Freya</t>
        </is>
      </c>
      <c r="D101" s="66" t="inlineStr">
        <is>
          <t>F</t>
        </is>
      </c>
      <c r="E101" s="66" t="inlineStr">
        <is>
          <t>N</t>
        </is>
      </c>
      <c r="F101" s="66" t="inlineStr">
        <is>
          <t>N</t>
        </is>
      </c>
      <c r="G101" s="34" t="n">
        <v>95.40000000000001</v>
      </c>
      <c r="H101" s="34" t="n">
        <v>109</v>
      </c>
      <c r="I101" s="67">
        <f>IF(ISNUMBER(tblY7[[#This Row],[Avg KS2]]),IFERROR(VLOOKUP(ROUND(STANDARDIZE(tblY7[[#This Row],[Avg KS2]],AVERAGE(tblY7[[Avg KS2]]),_xlfn.STDEV.P(tblY7[[Avg KS2]])),9),_Stanine,2),5),"")</f>
        <v>6</v>
      </c>
      <c r="J101" s="66" t="inlineStr">
        <is>
          <t>7B/Sc2</t>
        </is>
      </c>
      <c r="K101" s="67">
        <f>IF(tblY7[[#This Row],[Preferred Last name]]="","",COUNTIFS($N$1:$ZZ$1,"*"&amp;CHAR(10)&amp;"Stanine",$N101:$ZZ101,"&gt;=1"))</f>
        <v>4</v>
      </c>
      <c r="L101" s="68">
        <f>IFERROR(AVERAGEIF($N$1:$ZZ$1,"*"&amp;CHAR(10)&amp;"Stanine",$N101:$ZZ101),"")</f>
        <v>6.5</v>
      </c>
      <c r="M101" s="69">
        <f>IF(AND(ISNUMBER(tblY7[[#This Row],[Mean Stanine]]),ISNUMBER(tblY7[[#This Row],[Avg KS2 Band]]),ISNUMBER(SlopeY7)),tblY7[[#This Row],[Mean Stanine]]-(InterceptY7+SlopeY7*tblY7[[#This Row],[Avg KS2 Band]]),"")</f>
        <v>0.798024746571259</v>
      </c>
      <c r="N101" s="66" t="n">
        <v>27</v>
      </c>
      <c r="O101" s="67">
        <f>IF(ISNUMBER(tblY7[[#This Row],[7B01 - Cells
Raw Score]]),IFERROR(VLOOKUP(ROUND(STANDARDIZE(tblY7[[#This Row],[7B01 - Cells
Raw Score]],AVERAGE(tblY7[[7B01 - Cells
Raw Score]]),_xlfn.STDEV.P(tblY7[[7B01 - Cells
Raw Score]])),9),_Stanine,2),5),"")</f>
        <v>8</v>
      </c>
      <c r="P101" s="66" t="n">
        <v>21</v>
      </c>
      <c r="Q101" s="67">
        <f>IF(ISNUMBER(tblY7[[#This Row],[7C01 - Particles
Raw Score]]),IFERROR(VLOOKUP(ROUND(STANDARDIZE(tblY7[[#This Row],[7C01 - Particles
Raw Score]],AVERAGE(tblY7[[7C01 - Particles
Raw Score]]),_xlfn.STDEV.P(tblY7[[7C01 - Particles
Raw Score]])),9),_Stanine,2),5),"")</f>
        <v>6</v>
      </c>
      <c r="R101" s="66" t="n">
        <v>26</v>
      </c>
      <c r="S101" s="67">
        <f>IF(ISNUMBER(tblY7[[#This Row],[7P01 - Forces
Raw Score]]),IFERROR(VLOOKUP(ROUND(STANDARDIZE(tblY7[[#This Row],[7P01 - Forces
Raw Score]],AVERAGE(tblY7[[7P01 - Forces
Raw Score]]),_xlfn.STDEV.P(tblY7[[7P01 - Forces
Raw Score]])),9),_Stanine,2),5),"")</f>
        <v>7</v>
      </c>
      <c r="T101" s="66" t="n">
        <v>18</v>
      </c>
      <c r="U101" s="67">
        <f>IF(ISNUMBER(tblY7[[#This Row],[7B02 - Organ Systems
Raw Score]]),IFERROR(VLOOKUP(ROUND(STANDARDIZE(tblY7[[#This Row],[7B02 - Organ Systems
Raw Score]],AVERAGE(tblY7[[7B02 - Organ Systems
Raw Score]]),_xlfn.STDEV.P(tblY7[[7B02 - Organ Systems
Raw Score]])),9),_Stanine,2),5),"")</f>
        <v>5</v>
      </c>
    </row>
    <row r="102">
      <c r="A102" s="65" t="inlineStr">
        <is>
          <t>X901854514404</t>
        </is>
      </c>
      <c r="B102" s="65" t="inlineStr">
        <is>
          <t>Nowak</t>
        </is>
      </c>
      <c r="C102" s="65" t="inlineStr">
        <is>
          <t>Zara</t>
        </is>
      </c>
      <c r="D102" s="66" t="inlineStr">
        <is>
          <t>M</t>
        </is>
      </c>
      <c r="E102" s="66" t="n"/>
      <c r="F102" s="66" t="inlineStr">
        <is>
          <t>Y</t>
        </is>
      </c>
      <c r="G102" s="34" t="n">
        <v>96.90000000000001</v>
      </c>
      <c r="H102" s="34" t="n">
        <v>103.5</v>
      </c>
      <c r="I102" s="67">
        <f>IF(ISNUMBER(tblY7[[#This Row],[Avg KS2]]),IFERROR(VLOOKUP(ROUND(STANDARDIZE(tblY7[[#This Row],[Avg KS2]],AVERAGE(tblY7[[Avg KS2]]),_xlfn.STDEV.P(tblY7[[Avg KS2]])),9),_Stanine,2),5),"")</f>
        <v>4</v>
      </c>
      <c r="J102" s="66" t="inlineStr">
        <is>
          <t>7B/Sc2</t>
        </is>
      </c>
      <c r="K102" s="67">
        <f>IF(tblY7[[#This Row],[Preferred Last name]]="","",COUNTIFS($N$1:$ZZ$1,"*"&amp;CHAR(10)&amp;"Stanine",$N102:$ZZ102,"&gt;=1"))</f>
        <v>3</v>
      </c>
      <c r="L102" s="68">
        <f>IFERROR(AVERAGEIF($N$1:$ZZ$1,"*"&amp;CHAR(10)&amp;"Stanine",$N102:$ZZ102),"")</f>
        <v>4.66666666666667</v>
      </c>
      <c r="M102" s="69">
        <f>IF(AND(ISNUMBER(tblY7[[#This Row],[Mean Stanine]]),ISNUMBER(tblY7[[#This Row],[Avg KS2 Band]]),ISNUMBER(SlopeY7)),tblY7[[#This Row],[Mean Stanine]]-(InterceptY7+SlopeY7*tblY7[[#This Row],[Avg KS2 Band]]),"")</f>
        <v>0.353257304710794</v>
      </c>
      <c r="N102" s="66" t="n">
        <v>17</v>
      </c>
      <c r="O102" s="67">
        <f>IF(ISNUMBER(tblY7[[#This Row],[7B01 - Cells
Raw Score]]),IFERROR(VLOOKUP(ROUND(STANDARDIZE(tblY7[[#This Row],[7B01 - Cells
Raw Score]],AVERAGE(tblY7[[7B01 - Cells
Raw Score]]),_xlfn.STDEV.P(tblY7[[7B01 - Cells
Raw Score]])),9),_Stanine,2),5),"")</f>
        <v>5</v>
      </c>
      <c r="P102" s="66" t="inlineStr">
        <is>
          <t>A</t>
        </is>
      </c>
      <c r="Q102" s="67" t="str">
        <f>IF(ISNUMBER(tblY7[[#This Row],[7C01 - Particles
Raw Score]]),IFERROR(VLOOKUP(ROUND(STANDARDIZE(tblY7[[#This Row],[7C01 - Particles
Raw Score]],AVERAGE(tblY7[[7C01 - Particles
Raw Score]]),_xlfn.STDEV.P(tblY7[[7C01 - Particles
Raw Score]])),9),_Stanine,2),5),"")</f>
        <v/>
      </c>
      <c r="R102" s="66" t="n">
        <v>22</v>
      </c>
      <c r="S102" s="67">
        <f>IF(ISNUMBER(tblY7[[#This Row],[7P01 - Forces
Raw Score]]),IFERROR(VLOOKUP(ROUND(STANDARDIZE(tblY7[[#This Row],[7P01 - Forces
Raw Score]],AVERAGE(tblY7[[7P01 - Forces
Raw Score]]),_xlfn.STDEV.P(tblY7[[7P01 - Forces
Raw Score]])),9),_Stanine,2),5),"")</f>
        <v>5</v>
      </c>
      <c r="T102" s="66" t="n">
        <v>15</v>
      </c>
      <c r="U102" s="67">
        <f>IF(ISNUMBER(tblY7[[#This Row],[7B02 - Organ Systems
Raw Score]]),IFERROR(VLOOKUP(ROUND(STANDARDIZE(tblY7[[#This Row],[7B02 - Organ Systems
Raw Score]],AVERAGE(tblY7[[7B02 - Organ Systems
Raw Score]]),_xlfn.STDEV.P(tblY7[[7B02 - Organ Systems
Raw Score]])),9),_Stanine,2),5),"")</f>
        <v>4</v>
      </c>
    </row>
    <row r="103">
      <c r="A103" s="65" t="inlineStr">
        <is>
          <t>X900467241202</t>
        </is>
      </c>
      <c r="B103" s="65" t="inlineStr">
        <is>
          <t>Okafor</t>
        </is>
      </c>
      <c r="C103" s="65" t="inlineStr">
        <is>
          <t>Finley</t>
        </is>
      </c>
      <c r="D103" s="66" t="inlineStr">
        <is>
          <t>F</t>
        </is>
      </c>
      <c r="E103" s="66" t="n"/>
      <c r="F103" s="66" t="inlineStr">
        <is>
          <t>Y</t>
        </is>
      </c>
      <c r="G103" s="34" t="n">
        <v>87.5</v>
      </c>
      <c r="H103" s="34" t="n">
        <v>108.5</v>
      </c>
      <c r="I103" s="67">
        <f>IF(ISNUMBER(tblY7[[#This Row],[Avg KS2]]),IFERROR(VLOOKUP(ROUND(STANDARDIZE(tblY7[[#This Row],[Avg KS2]],AVERAGE(tblY7[[Avg KS2]]),_xlfn.STDEV.P(tblY7[[Avg KS2]])),9),_Stanine,2),5),"")</f>
        <v>6</v>
      </c>
      <c r="J103" s="66" t="inlineStr">
        <is>
          <t>7B/Sc2</t>
        </is>
      </c>
      <c r="K103" s="67">
        <f>IF(tblY7[[#This Row],[Preferred Last name]]="","",COUNTIFS($N$1:$ZZ$1,"*"&amp;CHAR(10)&amp;"Stanine",$N103:$ZZ103,"&gt;=1"))</f>
        <v>3</v>
      </c>
      <c r="L103" s="68">
        <f>IFERROR(AVERAGEIF($N$1:$ZZ$1,"*"&amp;CHAR(10)&amp;"Stanine",$N103:$ZZ103),"")</f>
        <v>3.66666666666667</v>
      </c>
      <c r="M103" s="69">
        <f>IF(AND(ISNUMBER(tblY7[[#This Row],[Mean Stanine]]),ISNUMBER(tblY7[[#This Row],[Avg KS2 Band]]),ISNUMBER(SlopeY7)),tblY7[[#This Row],[Mean Stanine]]-(InterceptY7+SlopeY7*tblY7[[#This Row],[Avg KS2 Band]]),"")</f>
        <v>-2.03530858676207</v>
      </c>
      <c r="N103" s="66" t="n">
        <v>10</v>
      </c>
      <c r="O103" s="67">
        <f>IF(ISNUMBER(tblY7[[#This Row],[7B01 - Cells
Raw Score]]),IFERROR(VLOOKUP(ROUND(STANDARDIZE(tblY7[[#This Row],[7B01 - Cells
Raw Score]],AVERAGE(tblY7[[7B01 - Cells
Raw Score]]),_xlfn.STDEV.P(tblY7[[7B01 - Cells
Raw Score]])),9),_Stanine,2),5),"")</f>
        <v>3</v>
      </c>
      <c r="P103" s="66" t="n">
        <v>14</v>
      </c>
      <c r="Q103" s="67">
        <f>IF(ISNUMBER(tblY7[[#This Row],[7C01 - Particles
Raw Score]]),IFERROR(VLOOKUP(ROUND(STANDARDIZE(tblY7[[#This Row],[7C01 - Particles
Raw Score]],AVERAGE(tblY7[[7C01 - Particles
Raw Score]]),_xlfn.STDEV.P(tblY7[[7C01 - Particles
Raw Score]])),9),_Stanine,2),5),"")</f>
        <v>3</v>
      </c>
      <c r="R103" s="66" t="n">
        <v>21</v>
      </c>
      <c r="S103" s="67">
        <f>IF(ISNUMBER(tblY7[[#This Row],[7P01 - Forces
Raw Score]]),IFERROR(VLOOKUP(ROUND(STANDARDIZE(tblY7[[#This Row],[7P01 - Forces
Raw Score]],AVERAGE(tblY7[[7P01 - Forces
Raw Score]]),_xlfn.STDEV.P(tblY7[[7P01 - Forces
Raw Score]])),9),_Stanine,2),5),"")</f>
        <v>5</v>
      </c>
      <c r="T103" s="66" t="inlineStr">
        <is>
          <t>A</t>
        </is>
      </c>
      <c r="U103" s="67" t="str">
        <f>IF(ISNUMBER(tblY7[[#This Row],[7B02 - Organ Systems
Raw Score]]),IFERROR(VLOOKUP(ROUND(STANDARDIZE(tblY7[[#This Row],[7B02 - Organ Systems
Raw Score]],AVERAGE(tblY7[[7B02 - Organ Systems
Raw Score]]),_xlfn.STDEV.P(tblY7[[7B02 - Organ Systems
Raw Score]])),9),_Stanine,2),5),"")</f>
        <v/>
      </c>
    </row>
    <row r="104">
      <c r="A104" s="65" t="inlineStr">
        <is>
          <t>X903243226637</t>
        </is>
      </c>
      <c r="B104" s="65" t="inlineStr">
        <is>
          <t>Okafor</t>
        </is>
      </c>
      <c r="C104" s="65" t="inlineStr">
        <is>
          <t>Kai</t>
        </is>
      </c>
      <c r="D104" s="66" t="inlineStr">
        <is>
          <t>F</t>
        </is>
      </c>
      <c r="E104" s="66" t="inlineStr">
        <is>
          <t>N</t>
        </is>
      </c>
      <c r="F104" s="66" t="inlineStr">
        <is>
          <t>Y</t>
        </is>
      </c>
      <c r="G104" s="34" t="n">
        <v>100</v>
      </c>
      <c r="H104" s="34" t="n">
        <v>109.5</v>
      </c>
      <c r="I104" s="67">
        <f>IF(ISNUMBER(tblY7[[#This Row],[Avg KS2]]),IFERROR(VLOOKUP(ROUND(STANDARDIZE(tblY7[[#This Row],[Avg KS2]],AVERAGE(tblY7[[Avg KS2]]),_xlfn.STDEV.P(tblY7[[Avg KS2]])),9),_Stanine,2),5),"")</f>
        <v>6</v>
      </c>
      <c r="J104" s="66" t="inlineStr">
        <is>
          <t>7B/Sc2</t>
        </is>
      </c>
      <c r="K104" s="67">
        <f>IF(tblY7[[#This Row],[Preferred Last name]]="","",COUNTIFS($N$1:$ZZ$1,"*"&amp;CHAR(10)&amp;"Stanine",$N104:$ZZ104,"&gt;=1"))</f>
        <v>4</v>
      </c>
      <c r="L104" s="68">
        <f>IFERROR(AVERAGEIF($N$1:$ZZ$1,"*"&amp;CHAR(10)&amp;"Stanine",$N104:$ZZ104),"")</f>
        <v>4.75</v>
      </c>
      <c r="M104" s="69">
        <f>IF(AND(ISNUMBER(tblY7[[#This Row],[Mean Stanine]]),ISNUMBER(tblY7[[#This Row],[Avg KS2 Band]]),ISNUMBER(SlopeY7)),tblY7[[#This Row],[Mean Stanine]]-(InterceptY7+SlopeY7*tblY7[[#This Row],[Avg KS2 Band]]),"")</f>
        <v>-0.951975253428741</v>
      </c>
      <c r="N104" s="66" t="n">
        <v>14</v>
      </c>
      <c r="O104" s="67">
        <f>IF(ISNUMBER(tblY7[[#This Row],[7B01 - Cells
Raw Score]]),IFERROR(VLOOKUP(ROUND(STANDARDIZE(tblY7[[#This Row],[7B01 - Cells
Raw Score]],AVERAGE(tblY7[[7B01 - Cells
Raw Score]]),_xlfn.STDEV.P(tblY7[[7B01 - Cells
Raw Score]])),9),_Stanine,2),5),"")</f>
        <v>4</v>
      </c>
      <c r="P104" s="66" t="n">
        <v>20</v>
      </c>
      <c r="Q104" s="67">
        <f>IF(ISNUMBER(tblY7[[#This Row],[7C01 - Particles
Raw Score]]),IFERROR(VLOOKUP(ROUND(STANDARDIZE(tblY7[[#This Row],[7C01 - Particles
Raw Score]],AVERAGE(tblY7[[7C01 - Particles
Raw Score]]),_xlfn.STDEV.P(tblY7[[7C01 - Particles
Raw Score]])),9),_Stanine,2),5),"")</f>
        <v>6</v>
      </c>
      <c r="R104" s="66" t="n">
        <v>21</v>
      </c>
      <c r="S104" s="67">
        <f>IF(ISNUMBER(tblY7[[#This Row],[7P01 - Forces
Raw Score]]),IFERROR(VLOOKUP(ROUND(STANDARDIZE(tblY7[[#This Row],[7P01 - Forces
Raw Score]],AVERAGE(tblY7[[7P01 - Forces
Raw Score]]),_xlfn.STDEV.P(tblY7[[7P01 - Forces
Raw Score]])),9),_Stanine,2),5),"")</f>
        <v>5</v>
      </c>
      <c r="T104" s="66" t="n">
        <v>15</v>
      </c>
      <c r="U104" s="67">
        <f>IF(ISNUMBER(tblY7[[#This Row],[7B02 - Organ Systems
Raw Score]]),IFERROR(VLOOKUP(ROUND(STANDARDIZE(tblY7[[#This Row],[7B02 - Organ Systems
Raw Score]],AVERAGE(tblY7[[7B02 - Organ Systems
Raw Score]]),_xlfn.STDEV.P(tblY7[[7B02 - Organ Systems
Raw Score]])),9),_Stanine,2),5),"")</f>
        <v>4</v>
      </c>
    </row>
    <row r="105">
      <c r="A105" s="65" t="inlineStr">
        <is>
          <t>X901132900089</t>
        </is>
      </c>
      <c r="B105" s="65" t="inlineStr">
        <is>
          <t>Patel</t>
        </is>
      </c>
      <c r="C105" s="65" t="inlineStr">
        <is>
          <t>Arthur</t>
        </is>
      </c>
      <c r="D105" s="66" t="inlineStr">
        <is>
          <t>F</t>
        </is>
      </c>
      <c r="E105" s="66" t="n"/>
      <c r="F105" s="66" t="inlineStr">
        <is>
          <t>N</t>
        </is>
      </c>
      <c r="G105" s="34" t="n">
        <v>88.5</v>
      </c>
      <c r="H105" s="34" t="n">
        <v>102.5</v>
      </c>
      <c r="I105" s="67">
        <f>IF(ISNUMBER(tblY7[[#This Row],[Avg KS2]]),IFERROR(VLOOKUP(ROUND(STANDARDIZE(tblY7[[#This Row],[Avg KS2]],AVERAGE(tblY7[[Avg KS2]]),_xlfn.STDEV.P(tblY7[[Avg KS2]])),9),_Stanine,2),5),"")</f>
        <v>3</v>
      </c>
      <c r="J105" s="66" t="inlineStr">
        <is>
          <t>7B/Sc2</t>
        </is>
      </c>
      <c r="K105" s="67">
        <f>IF(tblY7[[#This Row],[Preferred Last name]]="","",COUNTIFS($N$1:$ZZ$1,"*"&amp;CHAR(10)&amp;"Stanine",$N105:$ZZ105,"&gt;=1"))</f>
        <v>4</v>
      </c>
      <c r="L105" s="68">
        <f>IFERROR(AVERAGEIF($N$1:$ZZ$1,"*"&amp;CHAR(10)&amp;"Stanine",$N105:$ZZ105),"")</f>
        <v>3.25</v>
      </c>
      <c r="M105" s="69">
        <f>IF(AND(ISNUMBER(tblY7[[#This Row],[Mean Stanine]]),ISNUMBER(tblY7[[#This Row],[Avg KS2 Band]]),ISNUMBER(SlopeY7)),tblY7[[#This Row],[Mean Stanine]]-(InterceptY7+SlopeY7*tblY7[[#This Row],[Avg KS2 Band]]),"")</f>
        <v>-0.369126416219439</v>
      </c>
      <c r="N105" s="66" t="n">
        <v>10</v>
      </c>
      <c r="O105" s="67">
        <f>IF(ISNUMBER(tblY7[[#This Row],[7B01 - Cells
Raw Score]]),IFERROR(VLOOKUP(ROUND(STANDARDIZE(tblY7[[#This Row],[7B01 - Cells
Raw Score]],AVERAGE(tblY7[[7B01 - Cells
Raw Score]]),_xlfn.STDEV.P(tblY7[[7B01 - Cells
Raw Score]])),9),_Stanine,2),5),"")</f>
        <v>3</v>
      </c>
      <c r="P105" s="66" t="n">
        <v>14</v>
      </c>
      <c r="Q105" s="67">
        <f>IF(ISNUMBER(tblY7[[#This Row],[7C01 - Particles
Raw Score]]),IFERROR(VLOOKUP(ROUND(STANDARDIZE(tblY7[[#This Row],[7C01 - Particles
Raw Score]],AVERAGE(tblY7[[7C01 - Particles
Raw Score]]),_xlfn.STDEV.P(tblY7[[7C01 - Particles
Raw Score]])),9),_Stanine,2),5),"")</f>
        <v>3</v>
      </c>
      <c r="R105" s="66" t="n">
        <v>19</v>
      </c>
      <c r="S105" s="67">
        <f>IF(ISNUMBER(tblY7[[#This Row],[7P01 - Forces
Raw Score]]),IFERROR(VLOOKUP(ROUND(STANDARDIZE(tblY7[[#This Row],[7P01 - Forces
Raw Score]],AVERAGE(tblY7[[7P01 - Forces
Raw Score]]),_xlfn.STDEV.P(tblY7[[7P01 - Forces
Raw Score]])),9),_Stanine,2),5),"")</f>
        <v>4</v>
      </c>
      <c r="T105" s="66" t="n">
        <v>11</v>
      </c>
      <c r="U105" s="67">
        <f>IF(ISNUMBER(tblY7[[#This Row],[7B02 - Organ Systems
Raw Score]]),IFERROR(VLOOKUP(ROUND(STANDARDIZE(tblY7[[#This Row],[7B02 - Organ Systems
Raw Score]],AVERAGE(tblY7[[7B02 - Organ Systems
Raw Score]]),_xlfn.STDEV.P(tblY7[[7B02 - Organ Systems
Raw Score]])),9),_Stanine,2),5),"")</f>
        <v>3</v>
      </c>
    </row>
    <row r="106">
      <c r="A106" s="65" t="inlineStr">
        <is>
          <t>X903806980423</t>
        </is>
      </c>
      <c r="B106" s="65" t="inlineStr">
        <is>
          <t>Pearson</t>
        </is>
      </c>
      <c r="C106" s="65" t="inlineStr">
        <is>
          <t>Hannah</t>
        </is>
      </c>
      <c r="D106" s="66" t="inlineStr">
        <is>
          <t>M</t>
        </is>
      </c>
      <c r="E106" s="66" t="inlineStr">
        <is>
          <t>N</t>
        </is>
      </c>
      <c r="F106" s="66" t="inlineStr">
        <is>
          <t>N</t>
        </is>
      </c>
      <c r="G106" s="34" t="n">
        <v>94.59999999999999</v>
      </c>
      <c r="H106" s="34" t="n">
        <v>102</v>
      </c>
      <c r="I106" s="67">
        <f>IF(ISNUMBER(tblY7[[#This Row],[Avg KS2]]),IFERROR(VLOOKUP(ROUND(STANDARDIZE(tblY7[[#This Row],[Avg KS2]],AVERAGE(tblY7[[Avg KS2]]),_xlfn.STDEV.P(tblY7[[Avg KS2]])),9),_Stanine,2),5),"")</f>
        <v>3</v>
      </c>
      <c r="J106" s="66" t="inlineStr">
        <is>
          <t>7B/Sc2</t>
        </is>
      </c>
      <c r="K106" s="67">
        <f>IF(tblY7[[#This Row],[Preferred Last name]]="","",COUNTIFS($N$1:$ZZ$1,"*"&amp;CHAR(10)&amp;"Stanine",$N106:$ZZ106,"&gt;=1"))</f>
        <v>4</v>
      </c>
      <c r="L106" s="68">
        <f>IFERROR(AVERAGEIF($N$1:$ZZ$1,"*"&amp;CHAR(10)&amp;"Stanine",$N106:$ZZ106),"")</f>
        <v>4.5</v>
      </c>
      <c r="M106" s="69">
        <f>IF(AND(ISNUMBER(tblY7[[#This Row],[Mean Stanine]]),ISNUMBER(tblY7[[#This Row],[Avg KS2 Band]]),ISNUMBER(SlopeY7)),tblY7[[#This Row],[Mean Stanine]]-(InterceptY7+SlopeY7*tblY7[[#This Row],[Avg KS2 Band]]),"")</f>
        <v>0.880873583780561</v>
      </c>
      <c r="N106" s="66" t="n">
        <v>13</v>
      </c>
      <c r="O106" s="67">
        <f>IF(ISNUMBER(tblY7[[#This Row],[7B01 - Cells
Raw Score]]),IFERROR(VLOOKUP(ROUND(STANDARDIZE(tblY7[[#This Row],[7B01 - Cells
Raw Score]],AVERAGE(tblY7[[7B01 - Cells
Raw Score]]),_xlfn.STDEV.P(tblY7[[7B01 - Cells
Raw Score]])),9),_Stanine,2),5),"")</f>
        <v>4</v>
      </c>
      <c r="P106" s="66" t="n">
        <v>20</v>
      </c>
      <c r="Q106" s="67">
        <f>IF(ISNUMBER(tblY7[[#This Row],[7C01 - Particles
Raw Score]]),IFERROR(VLOOKUP(ROUND(STANDARDIZE(tblY7[[#This Row],[7C01 - Particles
Raw Score]],AVERAGE(tblY7[[7C01 - Particles
Raw Score]]),_xlfn.STDEV.P(tblY7[[7C01 - Particles
Raw Score]])),9),_Stanine,2),5),"")</f>
        <v>6</v>
      </c>
      <c r="R106" s="66" t="n">
        <v>14</v>
      </c>
      <c r="S106" s="67">
        <f>IF(ISNUMBER(tblY7[[#This Row],[7P01 - Forces
Raw Score]]),IFERROR(VLOOKUP(ROUND(STANDARDIZE(tblY7[[#This Row],[7P01 - Forces
Raw Score]],AVERAGE(tblY7[[7P01 - Forces
Raw Score]]),_xlfn.STDEV.P(tblY7[[7P01 - Forces
Raw Score]])),9),_Stanine,2),5),"")</f>
        <v>2</v>
      </c>
      <c r="T106" s="66" t="n">
        <v>21</v>
      </c>
      <c r="U106" s="67">
        <f>IF(ISNUMBER(tblY7[[#This Row],[7B02 - Organ Systems
Raw Score]]),IFERROR(VLOOKUP(ROUND(STANDARDIZE(tblY7[[#This Row],[7B02 - Organ Systems
Raw Score]],AVERAGE(tblY7[[7B02 - Organ Systems
Raw Score]]),_xlfn.STDEV.P(tblY7[[7B02 - Organ Systems
Raw Score]])),9),_Stanine,2),5),"")</f>
        <v>6</v>
      </c>
    </row>
    <row r="107">
      <c r="A107" s="65" t="inlineStr">
        <is>
          <t>X901062222483</t>
        </is>
      </c>
      <c r="B107" s="65" t="inlineStr">
        <is>
          <t>Price</t>
        </is>
      </c>
      <c r="C107" s="65" t="inlineStr">
        <is>
          <t>Amelia</t>
        </is>
      </c>
      <c r="D107" s="66" t="inlineStr">
        <is>
          <t>M</t>
        </is>
      </c>
      <c r="E107" s="66" t="inlineStr">
        <is>
          <t>N</t>
        </is>
      </c>
      <c r="F107" s="66" t="inlineStr">
        <is>
          <t>N</t>
        </is>
      </c>
      <c r="G107" s="34" t="n">
        <v>92.40000000000001</v>
      </c>
      <c r="H107" s="34" t="n">
        <v>98</v>
      </c>
      <c r="I107" s="67">
        <f>IF(ISNUMBER(tblY7[[#This Row],[Avg KS2]]),IFERROR(VLOOKUP(ROUND(STANDARDIZE(tblY7[[#This Row],[Avg KS2]],AVERAGE(tblY7[[Avg KS2]]),_xlfn.STDEV.P(tblY7[[Avg KS2]])),9),_Stanine,2),5),"")</f>
        <v>2</v>
      </c>
      <c r="J107" s="66" t="inlineStr">
        <is>
          <t>7B/Sc2</t>
        </is>
      </c>
      <c r="K107" s="67">
        <f>IF(tblY7[[#This Row],[Preferred Last name]]="","",COUNTIFS($N$1:$ZZ$1,"*"&amp;CHAR(10)&amp;"Stanine",$N107:$ZZ107,"&gt;=1"))</f>
        <v>4</v>
      </c>
      <c r="L107" s="68">
        <f>IFERROR(AVERAGEIF($N$1:$ZZ$1,"*"&amp;CHAR(10)&amp;"Stanine",$N107:$ZZ107),"")</f>
        <v>3.5</v>
      </c>
      <c r="M107" s="69">
        <f>IF(AND(ISNUMBER(tblY7[[#This Row],[Mean Stanine]]),ISNUMBER(tblY7[[#This Row],[Avg KS2 Band]]),ISNUMBER(SlopeY7)),tblY7[[#This Row],[Mean Stanine]]-(InterceptY7+SlopeY7*tblY7[[#This Row],[Avg KS2 Band]]),"")</f>
        <v>0.575156529516995</v>
      </c>
      <c r="N107" s="66" t="n">
        <v>17</v>
      </c>
      <c r="O107" s="67">
        <f>IF(ISNUMBER(tblY7[[#This Row],[7B01 - Cells
Raw Score]]),IFERROR(VLOOKUP(ROUND(STANDARDIZE(tblY7[[#This Row],[7B01 - Cells
Raw Score]],AVERAGE(tblY7[[7B01 - Cells
Raw Score]]),_xlfn.STDEV.P(tblY7[[7B01 - Cells
Raw Score]])),9),_Stanine,2),5),"")</f>
        <v>5</v>
      </c>
      <c r="P107" s="66" t="n">
        <v>18</v>
      </c>
      <c r="Q107" s="67">
        <f>IF(ISNUMBER(tblY7[[#This Row],[7C01 - Particles
Raw Score]]),IFERROR(VLOOKUP(ROUND(STANDARDIZE(tblY7[[#This Row],[7C01 - Particles
Raw Score]],AVERAGE(tblY7[[7C01 - Particles
Raw Score]]),_xlfn.STDEV.P(tblY7[[7C01 - Particles
Raw Score]])),9),_Stanine,2),5),"")</f>
        <v>5</v>
      </c>
      <c r="R107" s="66" t="n">
        <v>16</v>
      </c>
      <c r="S107" s="67">
        <f>IF(ISNUMBER(tblY7[[#This Row],[7P01 - Forces
Raw Score]]),IFERROR(VLOOKUP(ROUND(STANDARDIZE(tblY7[[#This Row],[7P01 - Forces
Raw Score]],AVERAGE(tblY7[[7P01 - Forces
Raw Score]]),_xlfn.STDEV.P(tblY7[[7P01 - Forces
Raw Score]])),9),_Stanine,2),5),"")</f>
        <v>3</v>
      </c>
      <c r="T107" s="66" t="n">
        <v>8</v>
      </c>
      <c r="U107" s="67">
        <f>IF(ISNUMBER(tblY7[[#This Row],[7B02 - Organ Systems
Raw Score]]),IFERROR(VLOOKUP(ROUND(STANDARDIZE(tblY7[[#This Row],[7B02 - Organ Systems
Raw Score]],AVERAGE(tblY7[[7B02 - Organ Systems
Raw Score]]),_xlfn.STDEV.P(tblY7[[7B02 - Organ Systems
Raw Score]])),9),_Stanine,2),5),"")</f>
        <v>1</v>
      </c>
    </row>
    <row r="108">
      <c r="A108" s="65" t="inlineStr">
        <is>
          <t>X907312413880</t>
        </is>
      </c>
      <c r="B108" s="65" t="inlineStr">
        <is>
          <t>Price</t>
        </is>
      </c>
      <c r="C108" s="65" t="inlineStr">
        <is>
          <t>Leo</t>
        </is>
      </c>
      <c r="D108" s="66" t="inlineStr">
        <is>
          <t>M</t>
        </is>
      </c>
      <c r="E108" s="66" t="n"/>
      <c r="F108" s="66" t="inlineStr">
        <is>
          <t>N</t>
        </is>
      </c>
      <c r="G108" s="34" t="n">
        <v>100</v>
      </c>
      <c r="H108" s="34" t="n">
        <v>107.5</v>
      </c>
      <c r="I108" s="67">
        <f>IF(ISNUMBER(tblY7[[#This Row],[Avg KS2]]),IFERROR(VLOOKUP(ROUND(STANDARDIZE(tblY7[[#This Row],[Avg KS2]],AVERAGE(tblY7[[Avg KS2]]),_xlfn.STDEV.P(tblY7[[Avg KS2]])),9),_Stanine,2),5),"")</f>
        <v>5</v>
      </c>
      <c r="J108" s="66" t="inlineStr">
        <is>
          <t>7B/Sc2</t>
        </is>
      </c>
      <c r="K108" s="67">
        <f>IF(tblY7[[#This Row],[Preferred Last name]]="","",COUNTIFS($N$1:$ZZ$1,"*"&amp;CHAR(10)&amp;"Stanine",$N108:$ZZ108,"&gt;=1"))</f>
        <v>4</v>
      </c>
      <c r="L108" s="68">
        <f>IFERROR(AVERAGEIF($N$1:$ZZ$1,"*"&amp;CHAR(10)&amp;"Stanine",$N108:$ZZ108),"")</f>
        <v>3.75</v>
      </c>
      <c r="M108" s="69">
        <f>IF(AND(ISNUMBER(tblY7[[#This Row],[Mean Stanine]]),ISNUMBER(tblY7[[#This Row],[Avg KS2 Band]]),ISNUMBER(SlopeY7)),tblY7[[#This Row],[Mean Stanine]]-(InterceptY7+SlopeY7*tblY7[[#This Row],[Avg KS2 Band]]),"")</f>
        <v>-1.25769230769231</v>
      </c>
      <c r="N108" s="66" t="n">
        <v>14</v>
      </c>
      <c r="O108" s="67">
        <f>IF(ISNUMBER(tblY7[[#This Row],[7B01 - Cells
Raw Score]]),IFERROR(VLOOKUP(ROUND(STANDARDIZE(tblY7[[#This Row],[7B01 - Cells
Raw Score]],AVERAGE(tblY7[[7B01 - Cells
Raw Score]]),_xlfn.STDEV.P(tblY7[[7B01 - Cells
Raw Score]])),9),_Stanine,2),5),"")</f>
        <v>4</v>
      </c>
      <c r="P108" s="66" t="n">
        <v>14</v>
      </c>
      <c r="Q108" s="67">
        <f>IF(ISNUMBER(tblY7[[#This Row],[7C01 - Particles
Raw Score]]),IFERROR(VLOOKUP(ROUND(STANDARDIZE(tblY7[[#This Row],[7C01 - Particles
Raw Score]],AVERAGE(tblY7[[7C01 - Particles
Raw Score]]),_xlfn.STDEV.P(tblY7[[7C01 - Particles
Raw Score]])),9),_Stanine,2),5),"")</f>
        <v>3</v>
      </c>
      <c r="R108" s="66" t="n">
        <v>18</v>
      </c>
      <c r="S108" s="67">
        <f>IF(ISNUMBER(tblY7[[#This Row],[7P01 - Forces
Raw Score]]),IFERROR(VLOOKUP(ROUND(STANDARDIZE(tblY7[[#This Row],[7P01 - Forces
Raw Score]],AVERAGE(tblY7[[7P01 - Forces
Raw Score]]),_xlfn.STDEV.P(tblY7[[7P01 - Forces
Raw Score]])),9),_Stanine,2),5),"")</f>
        <v>4</v>
      </c>
      <c r="T108" s="66" t="n">
        <v>14</v>
      </c>
      <c r="U108" s="67">
        <f>IF(ISNUMBER(tblY7[[#This Row],[7B02 - Organ Systems
Raw Score]]),IFERROR(VLOOKUP(ROUND(STANDARDIZE(tblY7[[#This Row],[7B02 - Organ Systems
Raw Score]],AVERAGE(tblY7[[7B02 - Organ Systems
Raw Score]]),_xlfn.STDEV.P(tblY7[[7B02 - Organ Systems
Raw Score]])),9),_Stanine,2),5),"")</f>
        <v>4</v>
      </c>
    </row>
    <row r="109">
      <c r="A109" s="65" t="inlineStr">
        <is>
          <t>X903493571298</t>
        </is>
      </c>
      <c r="B109" s="65" t="inlineStr">
        <is>
          <t>Shaw</t>
        </is>
      </c>
      <c r="C109" s="65" t="inlineStr">
        <is>
          <t>Theo</t>
        </is>
      </c>
      <c r="D109" s="66" t="inlineStr">
        <is>
          <t>F</t>
        </is>
      </c>
      <c r="E109" s="66" t="n"/>
      <c r="F109" s="66" t="inlineStr">
        <is>
          <t>N</t>
        </is>
      </c>
      <c r="G109" s="34" t="n">
        <v>98.40000000000001</v>
      </c>
      <c r="H109" s="34" t="n">
        <v>104.5</v>
      </c>
      <c r="I109" s="67">
        <f>IF(ISNUMBER(tblY7[[#This Row],[Avg KS2]]),IFERROR(VLOOKUP(ROUND(STANDARDIZE(tblY7[[#This Row],[Avg KS2]],AVERAGE(tblY7[[Avg KS2]]),_xlfn.STDEV.P(tblY7[[Avg KS2]])),9),_Stanine,2),5),"")</f>
        <v>4</v>
      </c>
      <c r="J109" s="66" t="inlineStr">
        <is>
          <t>7B/Sc2</t>
        </is>
      </c>
      <c r="K109" s="67">
        <f>IF(tblY7[[#This Row],[Preferred Last name]]="","",COUNTIFS($N$1:$ZZ$1,"*"&amp;CHAR(10)&amp;"Stanine",$N109:$ZZ109,"&gt;=1"))</f>
        <v>4</v>
      </c>
      <c r="L109" s="68">
        <f>IFERROR(AVERAGEIF($N$1:$ZZ$1,"*"&amp;CHAR(10)&amp;"Stanine",$N109:$ZZ109),"")</f>
        <v>4.75</v>
      </c>
      <c r="M109" s="69">
        <f>IF(AND(ISNUMBER(tblY7[[#This Row],[Mean Stanine]]),ISNUMBER(tblY7[[#This Row],[Avg KS2 Band]]),ISNUMBER(SlopeY7)),tblY7[[#This Row],[Mean Stanine]]-(InterceptY7+SlopeY7*tblY7[[#This Row],[Avg KS2 Band]]),"")</f>
        <v>0.436590638044127</v>
      </c>
      <c r="N109" s="66" t="n">
        <v>21</v>
      </c>
      <c r="O109" s="67">
        <f>IF(ISNUMBER(tblY7[[#This Row],[7B01 - Cells
Raw Score]]),IFERROR(VLOOKUP(ROUND(STANDARDIZE(tblY7[[#This Row],[7B01 - Cells
Raw Score]],AVERAGE(tblY7[[7B01 - Cells
Raw Score]]),_xlfn.STDEV.P(tblY7[[7B01 - Cells
Raw Score]])),9),_Stanine,2),5),"")</f>
        <v>6</v>
      </c>
      <c r="P109" s="66" t="n">
        <v>15</v>
      </c>
      <c r="Q109" s="67">
        <f>IF(ISNUMBER(tblY7[[#This Row],[7C01 - Particles
Raw Score]]),IFERROR(VLOOKUP(ROUND(STANDARDIZE(tblY7[[#This Row],[7C01 - Particles
Raw Score]],AVERAGE(tblY7[[7C01 - Particles
Raw Score]]),_xlfn.STDEV.P(tblY7[[7C01 - Particles
Raw Score]])),9),_Stanine,2),5),"")</f>
        <v>3</v>
      </c>
      <c r="R109" s="66" t="n">
        <v>23</v>
      </c>
      <c r="S109" s="67">
        <f>IF(ISNUMBER(tblY7[[#This Row],[7P01 - Forces
Raw Score]]),IFERROR(VLOOKUP(ROUND(STANDARDIZE(tblY7[[#This Row],[7P01 - Forces
Raw Score]],AVERAGE(tblY7[[7P01 - Forces
Raw Score]]),_xlfn.STDEV.P(tblY7[[7P01 - Forces
Raw Score]])),9),_Stanine,2),5),"")</f>
        <v>6</v>
      </c>
      <c r="T109" s="66" t="n">
        <v>14</v>
      </c>
      <c r="U109" s="67">
        <f>IF(ISNUMBER(tblY7[[#This Row],[7B02 - Organ Systems
Raw Score]]),IFERROR(VLOOKUP(ROUND(STANDARDIZE(tblY7[[#This Row],[7B02 - Organ Systems
Raw Score]],AVERAGE(tblY7[[7B02 - Organ Systems
Raw Score]]),_xlfn.STDEV.P(tblY7[[7B02 - Organ Systems
Raw Score]])),9),_Stanine,2),5),"")</f>
        <v>4</v>
      </c>
    </row>
    <row r="110">
      <c r="A110" s="65" t="inlineStr">
        <is>
          <t>X906556376662</t>
        </is>
      </c>
      <c r="B110" s="65" t="inlineStr">
        <is>
          <t>Thompson</t>
        </is>
      </c>
      <c r="C110" s="65" t="inlineStr">
        <is>
          <t>Arjun</t>
        </is>
      </c>
      <c r="D110" s="66" t="inlineStr">
        <is>
          <t>M</t>
        </is>
      </c>
      <c r="E110" s="66" t="n"/>
      <c r="F110" s="66" t="inlineStr">
        <is>
          <t>Y</t>
        </is>
      </c>
      <c r="G110" s="34" t="n">
        <v>87.3</v>
      </c>
      <c r="H110" s="34" t="n">
        <v>114</v>
      </c>
      <c r="I110" s="67">
        <f>IF(ISNUMBER(tblY7[[#This Row],[Avg KS2]]),IFERROR(VLOOKUP(ROUND(STANDARDIZE(tblY7[[#This Row],[Avg KS2]],AVERAGE(tblY7[[Avg KS2]]),_xlfn.STDEV.P(tblY7[[Avg KS2]])),9),_Stanine,2),5),"")</f>
        <v>8</v>
      </c>
      <c r="J110" s="66" t="inlineStr">
        <is>
          <t>7B/Sc2</t>
        </is>
      </c>
      <c r="K110" s="67">
        <f>IF(tblY7[[#This Row],[Preferred Last name]]="","",COUNTIFS($N$1:$ZZ$1,"*"&amp;CHAR(10)&amp;"Stanine",$N110:$ZZ110,"&gt;=1"))</f>
        <v>4</v>
      </c>
      <c r="L110" s="68">
        <f>IFERROR(AVERAGEIF($N$1:$ZZ$1,"*"&amp;CHAR(10)&amp;"Stanine",$N110:$ZZ110),"")</f>
        <v>7.5</v>
      </c>
      <c r="M110" s="69">
        <f>IF(AND(ISNUMBER(tblY7[[#This Row],[Mean Stanine]]),ISNUMBER(tblY7[[#This Row],[Avg KS2 Band]]),ISNUMBER(SlopeY7)),tblY7[[#This Row],[Mean Stanine]]-(InterceptY7+SlopeY7*tblY7[[#This Row],[Avg KS2 Band]]),"")</f>
        <v>0.40945885509839</v>
      </c>
      <c r="N110" s="66" t="n">
        <v>27</v>
      </c>
      <c r="O110" s="67">
        <f>IF(ISNUMBER(tblY7[[#This Row],[7B01 - Cells
Raw Score]]),IFERROR(VLOOKUP(ROUND(STANDARDIZE(tblY7[[#This Row],[7B01 - Cells
Raw Score]],AVERAGE(tblY7[[7B01 - Cells
Raw Score]]),_xlfn.STDEV.P(tblY7[[7B01 - Cells
Raw Score]])),9),_Stanine,2),5),"")</f>
        <v>8</v>
      </c>
      <c r="P110" s="66" t="n">
        <v>23</v>
      </c>
      <c r="Q110" s="67">
        <f>IF(ISNUMBER(tblY7[[#This Row],[7C01 - Particles
Raw Score]]),IFERROR(VLOOKUP(ROUND(STANDARDIZE(tblY7[[#This Row],[7C01 - Particles
Raw Score]],AVERAGE(tblY7[[7C01 - Particles
Raw Score]]),_xlfn.STDEV.P(tblY7[[7C01 - Particles
Raw Score]])),9),_Stanine,2),5),"")</f>
        <v>7</v>
      </c>
      <c r="R110" s="66" t="n">
        <v>27</v>
      </c>
      <c r="S110" s="67">
        <f>IF(ISNUMBER(tblY7[[#This Row],[7P01 - Forces
Raw Score]]),IFERROR(VLOOKUP(ROUND(STANDARDIZE(tblY7[[#This Row],[7P01 - Forces
Raw Score]],AVERAGE(tblY7[[7P01 - Forces
Raw Score]]),_xlfn.STDEV.P(tblY7[[7P01 - Forces
Raw Score]])),9),_Stanine,2),5),"")</f>
        <v>7</v>
      </c>
      <c r="T110" s="66" t="n">
        <v>26</v>
      </c>
      <c r="U110" s="67">
        <f>IF(ISNUMBER(tblY7[[#This Row],[7B02 - Organ Systems
Raw Score]]),IFERROR(VLOOKUP(ROUND(STANDARDIZE(tblY7[[#This Row],[7B02 - Organ Systems
Raw Score]],AVERAGE(tblY7[[7B02 - Organ Systems
Raw Score]]),_xlfn.STDEV.P(tblY7[[7B02 - Organ Systems
Raw Score]])),9),_Stanine,2),5),"")</f>
        <v>8</v>
      </c>
    </row>
    <row r="111">
      <c r="A111" s="65" t="inlineStr">
        <is>
          <t>X904939967405</t>
        </is>
      </c>
      <c r="B111" s="65" t="inlineStr">
        <is>
          <t>Thompson</t>
        </is>
      </c>
      <c r="C111" s="65" t="inlineStr">
        <is>
          <t>Ella</t>
        </is>
      </c>
      <c r="D111" s="66" t="inlineStr">
        <is>
          <t>F</t>
        </is>
      </c>
      <c r="E111" s="66" t="n"/>
      <c r="F111" s="66" t="inlineStr">
        <is>
          <t>Y</t>
        </is>
      </c>
      <c r="G111" s="34" t="n">
        <v>87.40000000000001</v>
      </c>
      <c r="H111" s="34" t="n">
        <v>103.5</v>
      </c>
      <c r="I111" s="67">
        <f>IF(ISNUMBER(tblY7[[#This Row],[Avg KS2]]),IFERROR(VLOOKUP(ROUND(STANDARDIZE(tblY7[[#This Row],[Avg KS2]],AVERAGE(tblY7[[Avg KS2]]),_xlfn.STDEV.P(tblY7[[Avg KS2]])),9),_Stanine,2),5),"")</f>
        <v>4</v>
      </c>
      <c r="J111" s="66" t="inlineStr">
        <is>
          <t>7B/Sc2</t>
        </is>
      </c>
      <c r="K111" s="67">
        <f>IF(tblY7[[#This Row],[Preferred Last name]]="","",COUNTIFS($N$1:$ZZ$1,"*"&amp;CHAR(10)&amp;"Stanine",$N111:$ZZ111,"&gt;=1"))</f>
        <v>4</v>
      </c>
      <c r="L111" s="68">
        <f>IFERROR(AVERAGEIF($N$1:$ZZ$1,"*"&amp;CHAR(10)&amp;"Stanine",$N111:$ZZ111),"")</f>
        <v>4.25</v>
      </c>
      <c r="M111" s="69">
        <f>IF(AND(ISNUMBER(tblY7[[#This Row],[Mean Stanine]]),ISNUMBER(tblY7[[#This Row],[Avg KS2 Band]]),ISNUMBER(SlopeY7)),tblY7[[#This Row],[Mean Stanine]]-(InterceptY7+SlopeY7*tblY7[[#This Row],[Avg KS2 Band]]),"")</f>
        <v>-0.0634093619558733</v>
      </c>
      <c r="N111" s="66" t="n">
        <v>15</v>
      </c>
      <c r="O111" s="67">
        <f>IF(ISNUMBER(tblY7[[#This Row],[7B01 - Cells
Raw Score]]),IFERROR(VLOOKUP(ROUND(STANDARDIZE(tblY7[[#This Row],[7B01 - Cells
Raw Score]],AVERAGE(tblY7[[7B01 - Cells
Raw Score]]),_xlfn.STDEV.P(tblY7[[7B01 - Cells
Raw Score]])),9),_Stanine,2),5),"")</f>
        <v>4</v>
      </c>
      <c r="P111" s="66" t="n">
        <v>19</v>
      </c>
      <c r="Q111" s="67">
        <f>IF(ISNUMBER(tblY7[[#This Row],[7C01 - Particles
Raw Score]]),IFERROR(VLOOKUP(ROUND(STANDARDIZE(tblY7[[#This Row],[7C01 - Particles
Raw Score]],AVERAGE(tblY7[[7C01 - Particles
Raw Score]]),_xlfn.STDEV.P(tblY7[[7C01 - Particles
Raw Score]])),9),_Stanine,2),5),"")</f>
        <v>5</v>
      </c>
      <c r="R111" s="66" t="n">
        <v>20</v>
      </c>
      <c r="S111" s="67">
        <f>IF(ISNUMBER(tblY7[[#This Row],[7P01 - Forces
Raw Score]]),IFERROR(VLOOKUP(ROUND(STANDARDIZE(tblY7[[#This Row],[7P01 - Forces
Raw Score]],AVERAGE(tblY7[[7P01 - Forces
Raw Score]]),_xlfn.STDEV.P(tblY7[[7P01 - Forces
Raw Score]])),9),_Stanine,2),5),"")</f>
        <v>4</v>
      </c>
      <c r="T111" s="66" t="n">
        <v>14</v>
      </c>
      <c r="U111" s="67">
        <f>IF(ISNUMBER(tblY7[[#This Row],[7B02 - Organ Systems
Raw Score]]),IFERROR(VLOOKUP(ROUND(STANDARDIZE(tblY7[[#This Row],[7B02 - Organ Systems
Raw Score]],AVERAGE(tblY7[[7B02 - Organ Systems
Raw Score]]),_xlfn.STDEV.P(tblY7[[7B02 - Organ Systems
Raw Score]])),9),_Stanine,2),5),"")</f>
        <v>4</v>
      </c>
    </row>
    <row r="112">
      <c r="A112" s="65" t="inlineStr">
        <is>
          <t>X909729412803</t>
        </is>
      </c>
      <c r="B112" s="65" t="inlineStr">
        <is>
          <t>Wilson</t>
        </is>
      </c>
      <c r="C112" s="65" t="inlineStr">
        <is>
          <t>Mia</t>
        </is>
      </c>
      <c r="D112" s="66" t="inlineStr">
        <is>
          <t>F</t>
        </is>
      </c>
      <c r="E112" s="66" t="inlineStr">
        <is>
          <t>N</t>
        </is>
      </c>
      <c r="F112" s="66" t="inlineStr">
        <is>
          <t>N</t>
        </is>
      </c>
      <c r="G112" s="34" t="n">
        <v>93.40000000000001</v>
      </c>
      <c r="H112" s="34" t="n">
        <v>102</v>
      </c>
      <c r="I112" s="67">
        <f>IF(ISNUMBER(tblY7[[#This Row],[Avg KS2]]),IFERROR(VLOOKUP(ROUND(STANDARDIZE(tblY7[[#This Row],[Avg KS2]],AVERAGE(tblY7[[Avg KS2]]),_xlfn.STDEV.P(tblY7[[Avg KS2]])),9),_Stanine,2),5),"")</f>
        <v>3</v>
      </c>
      <c r="J112" s="66" t="inlineStr">
        <is>
          <t>7B/Sc2</t>
        </is>
      </c>
      <c r="K112" s="67">
        <f>IF(tblY7[[#This Row],[Preferred Last name]]="","",COUNTIFS($N$1:$ZZ$1,"*"&amp;CHAR(10)&amp;"Stanine",$N112:$ZZ112,"&gt;=1"))</f>
        <v>4</v>
      </c>
      <c r="L112" s="68">
        <f>IFERROR(AVERAGEIF($N$1:$ZZ$1,"*"&amp;CHAR(10)&amp;"Stanine",$N112:$ZZ112),"")</f>
        <v>2.25</v>
      </c>
      <c r="M112" s="69">
        <f>IF(AND(ISNUMBER(tblY7[[#This Row],[Mean Stanine]]),ISNUMBER(tblY7[[#This Row],[Avg KS2 Band]]),ISNUMBER(SlopeY7)),tblY7[[#This Row],[Mean Stanine]]-(InterceptY7+SlopeY7*tblY7[[#This Row],[Avg KS2 Band]]),"")</f>
        <v>-1.36912641621944</v>
      </c>
      <c r="N112" s="66" t="n">
        <v>11</v>
      </c>
      <c r="O112" s="67">
        <f>IF(ISNUMBER(tblY7[[#This Row],[7B01 - Cells
Raw Score]]),IFERROR(VLOOKUP(ROUND(STANDARDIZE(tblY7[[#This Row],[7B01 - Cells
Raw Score]],AVERAGE(tblY7[[7B01 - Cells
Raw Score]]),_xlfn.STDEV.P(tblY7[[7B01 - Cells
Raw Score]])),9),_Stanine,2),5),"")</f>
        <v>3</v>
      </c>
      <c r="P112" s="66" t="n">
        <v>11</v>
      </c>
      <c r="Q112" s="67">
        <f>IF(ISNUMBER(tblY7[[#This Row],[7C01 - Particles
Raw Score]]),IFERROR(VLOOKUP(ROUND(STANDARDIZE(tblY7[[#This Row],[7C01 - Particles
Raw Score]],AVERAGE(tblY7[[7C01 - Particles
Raw Score]]),_xlfn.STDEV.P(tblY7[[7C01 - Particles
Raw Score]])),9),_Stanine,2),5),"")</f>
        <v>1</v>
      </c>
      <c r="R112" s="66" t="n">
        <v>18</v>
      </c>
      <c r="S112" s="67">
        <f>IF(ISNUMBER(tblY7[[#This Row],[7P01 - Forces
Raw Score]]),IFERROR(VLOOKUP(ROUND(STANDARDIZE(tblY7[[#This Row],[7P01 - Forces
Raw Score]],AVERAGE(tblY7[[7P01 - Forces
Raw Score]]),_xlfn.STDEV.P(tblY7[[7P01 - Forces
Raw Score]])),9),_Stanine,2),5),"")</f>
        <v>4</v>
      </c>
      <c r="T112" s="66" t="n">
        <v>7</v>
      </c>
      <c r="U112" s="67">
        <f>IF(ISNUMBER(tblY7[[#This Row],[7B02 - Organ Systems
Raw Score]]),IFERROR(VLOOKUP(ROUND(STANDARDIZE(tblY7[[#This Row],[7B02 - Organ Systems
Raw Score]],AVERAGE(tblY7[[7B02 - Organ Systems
Raw Score]]),_xlfn.STDEV.P(tblY7[[7B02 - Organ Systems
Raw Score]])),9),_Stanine,2),5),"")</f>
        <v>1</v>
      </c>
    </row>
    <row r="113">
      <c r="A113" s="65" t="inlineStr">
        <is>
          <t>X902315778595</t>
        </is>
      </c>
      <c r="B113" s="65" t="inlineStr">
        <is>
          <t>Wood</t>
        </is>
      </c>
      <c r="C113" s="65" t="inlineStr">
        <is>
          <t>Finley</t>
        </is>
      </c>
      <c r="D113" s="66" t="inlineStr">
        <is>
          <t>M</t>
        </is>
      </c>
      <c r="E113" s="66" t="inlineStr">
        <is>
          <t>K</t>
        </is>
      </c>
      <c r="F113" s="66" t="inlineStr">
        <is>
          <t>N</t>
        </is>
      </c>
      <c r="G113" s="34" t="n">
        <v>99.59999999999999</v>
      </c>
      <c r="H113" s="34" t="n">
        <v>110</v>
      </c>
      <c r="I113" s="67">
        <f>IF(ISNUMBER(tblY7[[#This Row],[Avg KS2]]),IFERROR(VLOOKUP(ROUND(STANDARDIZE(tblY7[[#This Row],[Avg KS2]],AVERAGE(tblY7[[Avg KS2]]),_xlfn.STDEV.P(tblY7[[Avg KS2]])),9),_Stanine,2),5),"")</f>
        <v>6</v>
      </c>
      <c r="J113" s="66" t="inlineStr">
        <is>
          <t>7B/Sc2</t>
        </is>
      </c>
      <c r="K113" s="67">
        <f>IF(tblY7[[#This Row],[Preferred Last name]]="","",COUNTIFS($N$1:$ZZ$1,"*"&amp;CHAR(10)&amp;"Stanine",$N113:$ZZ113,"&gt;=1"))</f>
        <v>4</v>
      </c>
      <c r="L113" s="68">
        <f>IFERROR(AVERAGEIF($N$1:$ZZ$1,"*"&amp;CHAR(10)&amp;"Stanine",$N113:$ZZ113),"")</f>
        <v>6.5</v>
      </c>
      <c r="M113" s="69">
        <f>IF(AND(ISNUMBER(tblY7[[#This Row],[Mean Stanine]]),ISNUMBER(tblY7[[#This Row],[Avg KS2 Band]]),ISNUMBER(SlopeY7)),tblY7[[#This Row],[Mean Stanine]]-(InterceptY7+SlopeY7*tblY7[[#This Row],[Avg KS2 Band]]),"")</f>
        <v>0.798024746571259</v>
      </c>
      <c r="N113" s="66" t="n">
        <v>21</v>
      </c>
      <c r="O113" s="67">
        <f>IF(ISNUMBER(tblY7[[#This Row],[7B01 - Cells
Raw Score]]),IFERROR(VLOOKUP(ROUND(STANDARDIZE(tblY7[[#This Row],[7B01 - Cells
Raw Score]],AVERAGE(tblY7[[7B01 - Cells
Raw Score]]),_xlfn.STDEV.P(tblY7[[7B01 - Cells
Raw Score]])),9),_Stanine,2),5),"")</f>
        <v>6</v>
      </c>
      <c r="P113" s="66" t="n">
        <v>22</v>
      </c>
      <c r="Q113" s="67">
        <f>IF(ISNUMBER(tblY7[[#This Row],[7C01 - Particles
Raw Score]]),IFERROR(VLOOKUP(ROUND(STANDARDIZE(tblY7[[#This Row],[7C01 - Particles
Raw Score]],AVERAGE(tblY7[[7C01 - Particles
Raw Score]]),_xlfn.STDEV.P(tblY7[[7C01 - Particles
Raw Score]])),9),_Stanine,2),5),"")</f>
        <v>7</v>
      </c>
      <c r="R113" s="66" t="n">
        <v>23</v>
      </c>
      <c r="S113" s="67">
        <f>IF(ISNUMBER(tblY7[[#This Row],[7P01 - Forces
Raw Score]]),IFERROR(VLOOKUP(ROUND(STANDARDIZE(tblY7[[#This Row],[7P01 - Forces
Raw Score]],AVERAGE(tblY7[[7P01 - Forces
Raw Score]]),_xlfn.STDEV.P(tblY7[[7P01 - Forces
Raw Score]])),9),_Stanine,2),5),"")</f>
        <v>6</v>
      </c>
      <c r="T113" s="66" t="n">
        <v>22</v>
      </c>
      <c r="U113" s="67">
        <f>IF(ISNUMBER(tblY7[[#This Row],[7B02 - Organ Systems
Raw Score]]),IFERROR(VLOOKUP(ROUND(STANDARDIZE(tblY7[[#This Row],[7B02 - Organ Systems
Raw Score]],AVERAGE(tblY7[[7B02 - Organ Systems
Raw Score]]),_xlfn.STDEV.P(tblY7[[7B02 - Organ Systems
Raw Score]])),9),_Stanine,2),5),"")</f>
        <v>7</v>
      </c>
    </row>
    <row r="114">
      <c r="A114" s="65" t="inlineStr">
        <is>
          <t>X904442554685</t>
        </is>
      </c>
      <c r="B114" s="65" t="inlineStr">
        <is>
          <t>Wright</t>
        </is>
      </c>
      <c r="C114" s="65" t="inlineStr">
        <is>
          <t>Alfie</t>
        </is>
      </c>
      <c r="D114" s="66" t="inlineStr">
        <is>
          <t>F</t>
        </is>
      </c>
      <c r="E114" s="66" t="inlineStr">
        <is>
          <t>N</t>
        </is>
      </c>
      <c r="F114" s="66" t="inlineStr">
        <is>
          <t>N</t>
        </is>
      </c>
      <c r="G114" s="34" t="n">
        <v>88.40000000000001</v>
      </c>
      <c r="H114" s="34" t="n">
        <v>97</v>
      </c>
      <c r="I114" s="67">
        <f>IF(ISNUMBER(tblY7[[#This Row],[Avg KS2]]),IFERROR(VLOOKUP(ROUND(STANDARDIZE(tblY7[[#This Row],[Avg KS2]],AVERAGE(tblY7[[Avg KS2]]),_xlfn.STDEV.P(tblY7[[Avg KS2]])),9),_Stanine,2),5),"")</f>
        <v>1</v>
      </c>
      <c r="J114" s="66" t="inlineStr">
        <is>
          <t>7B/Sc2</t>
        </is>
      </c>
      <c r="K114" s="67">
        <f>IF(tblY7[[#This Row],[Preferred Last name]]="","",COUNTIFS($N$1:$ZZ$1,"*"&amp;CHAR(10)&amp;"Stanine",$N114:$ZZ114,"&gt;=1"))</f>
        <v>4</v>
      </c>
      <c r="L114" s="68">
        <f>IFERROR(AVERAGEIF($N$1:$ZZ$1,"*"&amp;CHAR(10)&amp;"Stanine",$N114:$ZZ114),"")</f>
        <v>1.5</v>
      </c>
      <c r="M114" s="69">
        <f>IF(AND(ISNUMBER(tblY7[[#This Row],[Mean Stanine]]),ISNUMBER(tblY7[[#This Row],[Avg KS2 Band]]),ISNUMBER(SlopeY7)),tblY7[[#This Row],[Mean Stanine]]-(InterceptY7+SlopeY7*tblY7[[#This Row],[Avg KS2 Band]]),"")</f>
        <v>-0.730560524746571</v>
      </c>
      <c r="N114" s="66" t="n">
        <v>7</v>
      </c>
      <c r="O114" s="67">
        <f>IF(ISNUMBER(tblY7[[#This Row],[7B01 - Cells
Raw Score]]),IFERROR(VLOOKUP(ROUND(STANDARDIZE(tblY7[[#This Row],[7B01 - Cells
Raw Score]],AVERAGE(tblY7[[7B01 - Cells
Raw Score]]),_xlfn.STDEV.P(tblY7[[7B01 - Cells
Raw Score]])),9),_Stanine,2),5),"")</f>
        <v>2</v>
      </c>
      <c r="P114" s="66" t="n">
        <v>13</v>
      </c>
      <c r="Q114" s="67">
        <f>IF(ISNUMBER(tblY7[[#This Row],[7C01 - Particles
Raw Score]]),IFERROR(VLOOKUP(ROUND(STANDARDIZE(tblY7[[#This Row],[7C01 - Particles
Raw Score]],AVERAGE(tblY7[[7C01 - Particles
Raw Score]]),_xlfn.STDEV.P(tblY7[[7C01 - Particles
Raw Score]])),9),_Stanine,2),5),"")</f>
        <v>2</v>
      </c>
      <c r="R114" s="66" t="n">
        <v>9</v>
      </c>
      <c r="S114" s="67">
        <f>IF(ISNUMBER(tblY7[[#This Row],[7P01 - Forces
Raw Score]]),IFERROR(VLOOKUP(ROUND(STANDARDIZE(tblY7[[#This Row],[7P01 - Forces
Raw Score]],AVERAGE(tblY7[[7P01 - Forces
Raw Score]]),_xlfn.STDEV.P(tblY7[[7P01 - Forces
Raw Score]])),9),_Stanine,2),5),"")</f>
        <v>1</v>
      </c>
      <c r="T114" s="66" t="n">
        <v>8</v>
      </c>
      <c r="U114" s="67">
        <f>IF(ISNUMBER(tblY7[[#This Row],[7B02 - Organ Systems
Raw Score]]),IFERROR(VLOOKUP(ROUND(STANDARDIZE(tblY7[[#This Row],[7B02 - Organ Systems
Raw Score]],AVERAGE(tblY7[[7B02 - Organ Systems
Raw Score]]),_xlfn.STDEV.P(tblY7[[7B02 - Organ Systems
Raw Score]])),9),_Stanine,2),5),"")</f>
        <v>1</v>
      </c>
    </row>
    <row r="115">
      <c r="A115" s="65" t="inlineStr">
        <is>
          <t>X907009119804</t>
        </is>
      </c>
      <c r="B115" s="65" t="inlineStr">
        <is>
          <t>Adeyemi</t>
        </is>
      </c>
      <c r="C115" s="65" t="inlineStr">
        <is>
          <t>Priya</t>
        </is>
      </c>
      <c r="D115" s="66" t="inlineStr">
        <is>
          <t>F</t>
        </is>
      </c>
      <c r="E115" s="66" t="n"/>
      <c r="F115" s="66" t="inlineStr">
        <is>
          <t>N</t>
        </is>
      </c>
      <c r="G115" s="34" t="n">
        <v>91.3</v>
      </c>
      <c r="H115" s="34" t="n">
        <v>102</v>
      </c>
      <c r="I115" s="67">
        <f>IF(ISNUMBER(tblY7[[#This Row],[Avg KS2]]),IFERROR(VLOOKUP(ROUND(STANDARDIZE(tblY7[[#This Row],[Avg KS2]],AVERAGE(tblY7[[Avg KS2]]),_xlfn.STDEV.P(tblY7[[Avg KS2]])),9),_Stanine,2),5),"")</f>
        <v>3</v>
      </c>
      <c r="J115" s="66" t="inlineStr">
        <is>
          <t>7B/Sc3</t>
        </is>
      </c>
      <c r="K115" s="67">
        <f>IF(tblY7[[#This Row],[Preferred Last name]]="","",COUNTIFS($N$1:$ZZ$1,"*"&amp;CHAR(10)&amp;"Stanine",$N115:$ZZ115,"&gt;=1"))</f>
        <v>4</v>
      </c>
      <c r="L115" s="68">
        <f>IFERROR(AVERAGEIF($N$1:$ZZ$1,"*"&amp;CHAR(10)&amp;"Stanine",$N115:$ZZ115),"")</f>
        <v>2.75</v>
      </c>
      <c r="M115" s="69">
        <f>IF(AND(ISNUMBER(tblY7[[#This Row],[Mean Stanine]]),ISNUMBER(tblY7[[#This Row],[Avg KS2 Band]]),ISNUMBER(SlopeY7)),tblY7[[#This Row],[Mean Stanine]]-(InterceptY7+SlopeY7*tblY7[[#This Row],[Avg KS2 Band]]),"")</f>
        <v>-0.869126416219439</v>
      </c>
      <c r="N115" s="66" t="n">
        <v>12</v>
      </c>
      <c r="O115" s="67">
        <f>IF(ISNUMBER(tblY7[[#This Row],[7B01 - Cells
Raw Score]]),IFERROR(VLOOKUP(ROUND(STANDARDIZE(tblY7[[#This Row],[7B01 - Cells
Raw Score]],AVERAGE(tblY7[[7B01 - Cells
Raw Score]]),_xlfn.STDEV.P(tblY7[[7B01 - Cells
Raw Score]])),9),_Stanine,2),5),"")</f>
        <v>3</v>
      </c>
      <c r="P115" s="66" t="n">
        <v>13</v>
      </c>
      <c r="Q115" s="67">
        <f>IF(ISNUMBER(tblY7[[#This Row],[7C01 - Particles
Raw Score]]),IFERROR(VLOOKUP(ROUND(STANDARDIZE(tblY7[[#This Row],[7C01 - Particles
Raw Score]],AVERAGE(tblY7[[7C01 - Particles
Raw Score]]),_xlfn.STDEV.P(tblY7[[7C01 - Particles
Raw Score]])),9),_Stanine,2),5),"")</f>
        <v>2</v>
      </c>
      <c r="R115" s="66" t="n">
        <v>16</v>
      </c>
      <c r="S115" s="67">
        <f>IF(ISNUMBER(tblY7[[#This Row],[7P01 - Forces
Raw Score]]),IFERROR(VLOOKUP(ROUND(STANDARDIZE(tblY7[[#This Row],[7P01 - Forces
Raw Score]],AVERAGE(tblY7[[7P01 - Forces
Raw Score]]),_xlfn.STDEV.P(tblY7[[7P01 - Forces
Raw Score]])),9),_Stanine,2),5),"")</f>
        <v>3</v>
      </c>
      <c r="T115" s="66" t="n">
        <v>13</v>
      </c>
      <c r="U115" s="67">
        <f>IF(ISNUMBER(tblY7[[#This Row],[7B02 - Organ Systems
Raw Score]]),IFERROR(VLOOKUP(ROUND(STANDARDIZE(tblY7[[#This Row],[7B02 - Organ Systems
Raw Score]],AVERAGE(tblY7[[7B02 - Organ Systems
Raw Score]]),_xlfn.STDEV.P(tblY7[[7B02 - Organ Systems
Raw Score]])),9),_Stanine,2),5),"")</f>
        <v>3</v>
      </c>
    </row>
    <row r="116">
      <c r="A116" s="65" t="inlineStr">
        <is>
          <t>X908018227438</t>
        </is>
      </c>
      <c r="B116" s="65" t="inlineStr">
        <is>
          <t>Bennett</t>
        </is>
      </c>
      <c r="C116" s="65" t="inlineStr">
        <is>
          <t>Keira</t>
        </is>
      </c>
      <c r="D116" s="66" t="inlineStr">
        <is>
          <t>M</t>
        </is>
      </c>
      <c r="E116" s="66" t="inlineStr">
        <is>
          <t>N</t>
        </is>
      </c>
      <c r="F116" s="66" t="inlineStr">
        <is>
          <t>N</t>
        </is>
      </c>
      <c r="G116" s="34" t="n">
        <v>91.8</v>
      </c>
      <c r="H116" s="34" t="n">
        <v>109</v>
      </c>
      <c r="I116" s="67">
        <f>IF(ISNUMBER(tblY7[[#This Row],[Avg KS2]]),IFERROR(VLOOKUP(ROUND(STANDARDIZE(tblY7[[#This Row],[Avg KS2]],AVERAGE(tblY7[[Avg KS2]]),_xlfn.STDEV.P(tblY7[[Avg KS2]])),9),_Stanine,2),5),"")</f>
        <v>6</v>
      </c>
      <c r="J116" s="66" t="inlineStr">
        <is>
          <t>7B/Sc3</t>
        </is>
      </c>
      <c r="K116" s="67">
        <f>IF(tblY7[[#This Row],[Preferred Last name]]="","",COUNTIFS($N$1:$ZZ$1,"*"&amp;CHAR(10)&amp;"Stanine",$N116:$ZZ116,"&gt;=1"))</f>
        <v>4</v>
      </c>
      <c r="L116" s="68">
        <f>IFERROR(AVERAGEIF($N$1:$ZZ$1,"*"&amp;CHAR(10)&amp;"Stanine",$N116:$ZZ116),"")</f>
        <v>5</v>
      </c>
      <c r="M116" s="69">
        <f>IF(AND(ISNUMBER(tblY7[[#This Row],[Mean Stanine]]),ISNUMBER(tblY7[[#This Row],[Avg KS2 Band]]),ISNUMBER(SlopeY7)),tblY7[[#This Row],[Mean Stanine]]-(InterceptY7+SlopeY7*tblY7[[#This Row],[Avg KS2 Band]]),"")</f>
        <v>-0.701975253428741</v>
      </c>
      <c r="N116" s="66" t="n">
        <v>17</v>
      </c>
      <c r="O116" s="67">
        <f>IF(ISNUMBER(tblY7[[#This Row],[7B01 - Cells
Raw Score]]),IFERROR(VLOOKUP(ROUND(STANDARDIZE(tblY7[[#This Row],[7B01 - Cells
Raw Score]],AVERAGE(tblY7[[7B01 - Cells
Raw Score]]),_xlfn.STDEV.P(tblY7[[7B01 - Cells
Raw Score]])),9),_Stanine,2),5),"")</f>
        <v>5</v>
      </c>
      <c r="P116" s="66" t="n">
        <v>19</v>
      </c>
      <c r="Q116" s="67">
        <f>IF(ISNUMBER(tblY7[[#This Row],[7C01 - Particles
Raw Score]]),IFERROR(VLOOKUP(ROUND(STANDARDIZE(tblY7[[#This Row],[7C01 - Particles
Raw Score]],AVERAGE(tblY7[[7C01 - Particles
Raw Score]]),_xlfn.STDEV.P(tblY7[[7C01 - Particles
Raw Score]])),9),_Stanine,2),5),"")</f>
        <v>5</v>
      </c>
      <c r="R116" s="66" t="n">
        <v>21</v>
      </c>
      <c r="S116" s="67">
        <f>IF(ISNUMBER(tblY7[[#This Row],[7P01 - Forces
Raw Score]]),IFERROR(VLOOKUP(ROUND(STANDARDIZE(tblY7[[#This Row],[7P01 - Forces
Raw Score]],AVERAGE(tblY7[[7P01 - Forces
Raw Score]]),_xlfn.STDEV.P(tblY7[[7P01 - Forces
Raw Score]])),9),_Stanine,2),5),"")</f>
        <v>5</v>
      </c>
      <c r="T116" s="66" t="n">
        <v>19</v>
      </c>
      <c r="U116" s="67">
        <f>IF(ISNUMBER(tblY7[[#This Row],[7B02 - Organ Systems
Raw Score]]),IFERROR(VLOOKUP(ROUND(STANDARDIZE(tblY7[[#This Row],[7B02 - Organ Systems
Raw Score]],AVERAGE(tblY7[[7B02 - Organ Systems
Raw Score]]),_xlfn.STDEV.P(tblY7[[7B02 - Organ Systems
Raw Score]])),9),_Stanine,2),5),"")</f>
        <v>5</v>
      </c>
    </row>
    <row r="117">
      <c r="A117" s="65" t="inlineStr">
        <is>
          <t>X903330895575</t>
        </is>
      </c>
      <c r="B117" s="65" t="inlineStr">
        <is>
          <t>Bennett</t>
        </is>
      </c>
      <c r="C117" s="65" t="inlineStr">
        <is>
          <t>Seren</t>
        </is>
      </c>
      <c r="D117" s="66" t="inlineStr">
        <is>
          <t>M</t>
        </is>
      </c>
      <c r="E117" s="66" t="inlineStr">
        <is>
          <t>N</t>
        </is>
      </c>
      <c r="F117" s="66" t="inlineStr">
        <is>
          <t>N</t>
        </is>
      </c>
      <c r="G117" s="34" t="n">
        <v>94.5</v>
      </c>
      <c r="H117" s="34" t="n">
        <v>105</v>
      </c>
      <c r="I117" s="67">
        <f>IF(ISNUMBER(tblY7[[#This Row],[Avg KS2]]),IFERROR(VLOOKUP(ROUND(STANDARDIZE(tblY7[[#This Row],[Avg KS2]],AVERAGE(tblY7[[Avg KS2]]),_xlfn.STDEV.P(tblY7[[Avg KS2]])),9),_Stanine,2),5),"")</f>
        <v>4</v>
      </c>
      <c r="J117" s="66" t="inlineStr">
        <is>
          <t>7B/Sc3</t>
        </is>
      </c>
      <c r="K117" s="67">
        <f>IF(tblY7[[#This Row],[Preferred Last name]]="","",COUNTIFS($N$1:$ZZ$1,"*"&amp;CHAR(10)&amp;"Stanine",$N117:$ZZ117,"&gt;=1"))</f>
        <v>4</v>
      </c>
      <c r="L117" s="68">
        <f>IFERROR(AVERAGEIF($N$1:$ZZ$1,"*"&amp;CHAR(10)&amp;"Stanine",$N117:$ZZ117),"")</f>
        <v>4</v>
      </c>
      <c r="M117" s="69">
        <f>IF(AND(ISNUMBER(tblY7[[#This Row],[Mean Stanine]]),ISNUMBER(tblY7[[#This Row],[Avg KS2 Band]]),ISNUMBER(SlopeY7)),tblY7[[#This Row],[Mean Stanine]]-(InterceptY7+SlopeY7*tblY7[[#This Row],[Avg KS2 Band]]),"")</f>
        <v>-0.313409361955873</v>
      </c>
      <c r="N117" s="66" t="n">
        <v>15</v>
      </c>
      <c r="O117" s="67">
        <f>IF(ISNUMBER(tblY7[[#This Row],[7B01 - Cells
Raw Score]]),IFERROR(VLOOKUP(ROUND(STANDARDIZE(tblY7[[#This Row],[7B01 - Cells
Raw Score]],AVERAGE(tblY7[[7B01 - Cells
Raw Score]]),_xlfn.STDEV.P(tblY7[[7B01 - Cells
Raw Score]])),9),_Stanine,2),5),"")</f>
        <v>4</v>
      </c>
      <c r="P117" s="66" t="n">
        <v>15</v>
      </c>
      <c r="Q117" s="67">
        <f>IF(ISNUMBER(tblY7[[#This Row],[7C01 - Particles
Raw Score]]),IFERROR(VLOOKUP(ROUND(STANDARDIZE(tblY7[[#This Row],[7C01 - Particles
Raw Score]],AVERAGE(tblY7[[7C01 - Particles
Raw Score]]),_xlfn.STDEV.P(tblY7[[7C01 - Particles
Raw Score]])),9),_Stanine,2),5),"")</f>
        <v>3</v>
      </c>
      <c r="R117" s="66" t="n">
        <v>22</v>
      </c>
      <c r="S117" s="67">
        <f>IF(ISNUMBER(tblY7[[#This Row],[7P01 - Forces
Raw Score]]),IFERROR(VLOOKUP(ROUND(STANDARDIZE(tblY7[[#This Row],[7P01 - Forces
Raw Score]],AVERAGE(tblY7[[7P01 - Forces
Raw Score]]),_xlfn.STDEV.P(tblY7[[7P01 - Forces
Raw Score]])),9),_Stanine,2),5),"")</f>
        <v>5</v>
      </c>
      <c r="T117" s="66" t="n">
        <v>16</v>
      </c>
      <c r="U117" s="67">
        <f>IF(ISNUMBER(tblY7[[#This Row],[7B02 - Organ Systems
Raw Score]]),IFERROR(VLOOKUP(ROUND(STANDARDIZE(tblY7[[#This Row],[7B02 - Organ Systems
Raw Score]],AVERAGE(tblY7[[7B02 - Organ Systems
Raw Score]]),_xlfn.STDEV.P(tblY7[[7B02 - Organ Systems
Raw Score]])),9),_Stanine,2),5),"")</f>
        <v>4</v>
      </c>
    </row>
    <row r="118">
      <c r="A118" s="65" t="inlineStr">
        <is>
          <t>X902105531149</t>
        </is>
      </c>
      <c r="B118" s="65" t="inlineStr">
        <is>
          <t>Davies</t>
        </is>
      </c>
      <c r="C118" s="65" t="inlineStr">
        <is>
          <t>Ella</t>
        </is>
      </c>
      <c r="D118" s="66" t="inlineStr">
        <is>
          <t>M</t>
        </is>
      </c>
      <c r="E118" s="66" t="inlineStr">
        <is>
          <t>K</t>
        </is>
      </c>
      <c r="F118" s="66" t="inlineStr">
        <is>
          <t>N</t>
        </is>
      </c>
      <c r="G118" s="34" t="n">
        <v>94.7</v>
      </c>
      <c r="H118" s="34" t="n">
        <v>105</v>
      </c>
      <c r="I118" s="67">
        <f>IF(ISNUMBER(tblY7[[#This Row],[Avg KS2]]),IFERROR(VLOOKUP(ROUND(STANDARDIZE(tblY7[[#This Row],[Avg KS2]],AVERAGE(tblY7[[Avg KS2]]),_xlfn.STDEV.P(tblY7[[Avg KS2]])),9),_Stanine,2),5),"")</f>
        <v>4</v>
      </c>
      <c r="J118" s="66" t="inlineStr">
        <is>
          <t>7B/Sc3</t>
        </is>
      </c>
      <c r="K118" s="67">
        <f>IF(tblY7[[#This Row],[Preferred Last name]]="","",COUNTIFS($N$1:$ZZ$1,"*"&amp;CHAR(10)&amp;"Stanine",$N118:$ZZ118,"&gt;=1"))</f>
        <v>2</v>
      </c>
      <c r="L118" s="68">
        <f>IFERROR(AVERAGEIF($N$1:$ZZ$1,"*"&amp;CHAR(10)&amp;"Stanine",$N118:$ZZ118),"")</f>
        <v>2.5</v>
      </c>
      <c r="M118" s="69">
        <f>IF(AND(ISNUMBER(tblY7[[#This Row],[Mean Stanine]]),ISNUMBER(tblY7[[#This Row],[Avg KS2 Band]]),ISNUMBER(SlopeY7)),tblY7[[#This Row],[Mean Stanine]]-(InterceptY7+SlopeY7*tblY7[[#This Row],[Avg KS2 Band]]),"")</f>
        <v>-1.81340936195587</v>
      </c>
      <c r="N118" s="66" t="n">
        <v>12</v>
      </c>
      <c r="O118" s="67">
        <f>IF(ISNUMBER(tblY7[[#This Row],[7B01 - Cells
Raw Score]]),IFERROR(VLOOKUP(ROUND(STANDARDIZE(tblY7[[#This Row],[7B01 - Cells
Raw Score]],AVERAGE(tblY7[[7B01 - Cells
Raw Score]]),_xlfn.STDEV.P(tblY7[[7B01 - Cells
Raw Score]])),9),_Stanine,2),5),"")</f>
        <v>3</v>
      </c>
      <c r="P118" s="66" t="inlineStr">
        <is>
          <t>A</t>
        </is>
      </c>
      <c r="Q118" s="67" t="str">
        <f>IF(ISNUMBER(tblY7[[#This Row],[7C01 - Particles
Raw Score]]),IFERROR(VLOOKUP(ROUND(STANDARDIZE(tblY7[[#This Row],[7C01 - Particles
Raw Score]],AVERAGE(tblY7[[7C01 - Particles
Raw Score]]),_xlfn.STDEV.P(tblY7[[7C01 - Particles
Raw Score]])),9),_Stanine,2),5),"")</f>
        <v/>
      </c>
      <c r="R118" s="66" t="inlineStr">
        <is>
          <t>A</t>
        </is>
      </c>
      <c r="S118" s="67" t="str">
        <f>IF(ISNUMBER(tblY7[[#This Row],[7P01 - Forces
Raw Score]]),IFERROR(VLOOKUP(ROUND(STANDARDIZE(tblY7[[#This Row],[7P01 - Forces
Raw Score]],AVERAGE(tblY7[[7P01 - Forces
Raw Score]]),_xlfn.STDEV.P(tblY7[[7P01 - Forces
Raw Score]])),9),_Stanine,2),5),"")</f>
        <v/>
      </c>
      <c r="T118" s="66" t="n">
        <v>9</v>
      </c>
      <c r="U118" s="67">
        <f>IF(ISNUMBER(tblY7[[#This Row],[7B02 - Organ Systems
Raw Score]]),IFERROR(VLOOKUP(ROUND(STANDARDIZE(tblY7[[#This Row],[7B02 - Organ Systems
Raw Score]],AVERAGE(tblY7[[7B02 - Organ Systems
Raw Score]]),_xlfn.STDEV.P(tblY7[[7B02 - Organ Systems
Raw Score]])),9),_Stanine,2),5),"")</f>
        <v>2</v>
      </c>
    </row>
    <row r="119">
      <c r="A119" s="65" t="inlineStr">
        <is>
          <t>X905077940135</t>
        </is>
      </c>
      <c r="B119" s="65" t="inlineStr">
        <is>
          <t>Harrison</t>
        </is>
      </c>
      <c r="C119" s="65" t="inlineStr">
        <is>
          <t>Reuben</t>
        </is>
      </c>
      <c r="D119" s="66" t="inlineStr">
        <is>
          <t>F</t>
        </is>
      </c>
      <c r="E119" s="66" t="inlineStr">
        <is>
          <t>K</t>
        </is>
      </c>
      <c r="F119" s="66" t="inlineStr">
        <is>
          <t>Y</t>
        </is>
      </c>
      <c r="G119" s="34" t="n">
        <v>86.2</v>
      </c>
      <c r="H119" s="34" t="n">
        <v>103</v>
      </c>
      <c r="I119" s="67">
        <f>IF(ISNUMBER(tblY7[[#This Row],[Avg KS2]]),IFERROR(VLOOKUP(ROUND(STANDARDIZE(tblY7[[#This Row],[Avg KS2]],AVERAGE(tblY7[[Avg KS2]]),_xlfn.STDEV.P(tblY7[[Avg KS2]])),9),_Stanine,2),5),"")</f>
        <v>3</v>
      </c>
      <c r="J119" s="66" t="inlineStr">
        <is>
          <t>7B/Sc3</t>
        </is>
      </c>
      <c r="K119" s="67">
        <f>IF(tblY7[[#This Row],[Preferred Last name]]="","",COUNTIFS($N$1:$ZZ$1,"*"&amp;CHAR(10)&amp;"Stanine",$N119:$ZZ119,"&gt;=1"))</f>
        <v>4</v>
      </c>
      <c r="L119" s="68">
        <f>IFERROR(AVERAGEIF($N$1:$ZZ$1,"*"&amp;CHAR(10)&amp;"Stanine",$N119:$ZZ119),"")</f>
        <v>2.25</v>
      </c>
      <c r="M119" s="69">
        <f>IF(AND(ISNUMBER(tblY7[[#This Row],[Mean Stanine]]),ISNUMBER(tblY7[[#This Row],[Avg KS2 Band]]),ISNUMBER(SlopeY7)),tblY7[[#This Row],[Mean Stanine]]-(InterceptY7+SlopeY7*tblY7[[#This Row],[Avg KS2 Band]]),"")</f>
        <v>-1.36912641621944</v>
      </c>
      <c r="N119" s="66" t="n">
        <v>7</v>
      </c>
      <c r="O119" s="67">
        <f>IF(ISNUMBER(tblY7[[#This Row],[7B01 - Cells
Raw Score]]),IFERROR(VLOOKUP(ROUND(STANDARDIZE(tblY7[[#This Row],[7B01 - Cells
Raw Score]],AVERAGE(tblY7[[7B01 - Cells
Raw Score]]),_xlfn.STDEV.P(tblY7[[7B01 - Cells
Raw Score]])),9),_Stanine,2),5),"")</f>
        <v>2</v>
      </c>
      <c r="P119" s="66" t="n">
        <v>14</v>
      </c>
      <c r="Q119" s="67">
        <f>IF(ISNUMBER(tblY7[[#This Row],[7C01 - Particles
Raw Score]]),IFERROR(VLOOKUP(ROUND(STANDARDIZE(tblY7[[#This Row],[7C01 - Particles
Raw Score]],AVERAGE(tblY7[[7C01 - Particles
Raw Score]]),_xlfn.STDEV.P(tblY7[[7C01 - Particles
Raw Score]])),9),_Stanine,2),5),"")</f>
        <v>3</v>
      </c>
      <c r="R119" s="66" t="n">
        <v>15</v>
      </c>
      <c r="S119" s="67">
        <f>IF(ISNUMBER(tblY7[[#This Row],[7P01 - Forces
Raw Score]]),IFERROR(VLOOKUP(ROUND(STANDARDIZE(tblY7[[#This Row],[7P01 - Forces
Raw Score]],AVERAGE(tblY7[[7P01 - Forces
Raw Score]]),_xlfn.STDEV.P(tblY7[[7P01 - Forces
Raw Score]])),9),_Stanine,2),5),"")</f>
        <v>2</v>
      </c>
      <c r="T119" s="66" t="n">
        <v>10</v>
      </c>
      <c r="U119" s="67">
        <f>IF(ISNUMBER(tblY7[[#This Row],[7B02 - Organ Systems
Raw Score]]),IFERROR(VLOOKUP(ROUND(STANDARDIZE(tblY7[[#This Row],[7B02 - Organ Systems
Raw Score]],AVERAGE(tblY7[[7B02 - Organ Systems
Raw Score]]),_xlfn.STDEV.P(tblY7[[7B02 - Organ Systems
Raw Score]])),9),_Stanine,2),5),"")</f>
        <v>2</v>
      </c>
    </row>
    <row r="120">
      <c r="A120" s="65" t="inlineStr">
        <is>
          <t>X906568475981</t>
        </is>
      </c>
      <c r="B120" s="65" t="inlineStr">
        <is>
          <t>Hughes</t>
        </is>
      </c>
      <c r="C120" s="65" t="inlineStr">
        <is>
          <t>Reuben</t>
        </is>
      </c>
      <c r="D120" s="66" t="inlineStr">
        <is>
          <t>F</t>
        </is>
      </c>
      <c r="E120" s="66" t="inlineStr">
        <is>
          <t>K</t>
        </is>
      </c>
      <c r="F120" s="66" t="inlineStr">
        <is>
          <t>N</t>
        </is>
      </c>
      <c r="G120" s="34" t="n">
        <v>91.3</v>
      </c>
      <c r="H120" s="34" t="n">
        <v>110</v>
      </c>
      <c r="I120" s="67">
        <f>IF(ISNUMBER(tblY7[[#This Row],[Avg KS2]]),IFERROR(VLOOKUP(ROUND(STANDARDIZE(tblY7[[#This Row],[Avg KS2]],AVERAGE(tblY7[[Avg KS2]]),_xlfn.STDEV.P(tblY7[[Avg KS2]])),9),_Stanine,2),5),"")</f>
        <v>6</v>
      </c>
      <c r="J120" s="66" t="inlineStr">
        <is>
          <t>7B/Sc3</t>
        </is>
      </c>
      <c r="K120" s="67">
        <f>IF(tblY7[[#This Row],[Preferred Last name]]="","",COUNTIFS($N$1:$ZZ$1,"*"&amp;CHAR(10)&amp;"Stanine",$N120:$ZZ120,"&gt;=1"))</f>
        <v>4</v>
      </c>
      <c r="L120" s="68">
        <f>IFERROR(AVERAGEIF($N$1:$ZZ$1,"*"&amp;CHAR(10)&amp;"Stanine",$N120:$ZZ120),"")</f>
        <v>5</v>
      </c>
      <c r="M120" s="69">
        <f>IF(AND(ISNUMBER(tblY7[[#This Row],[Mean Stanine]]),ISNUMBER(tblY7[[#This Row],[Avg KS2 Band]]),ISNUMBER(SlopeY7)),tblY7[[#This Row],[Mean Stanine]]-(InterceptY7+SlopeY7*tblY7[[#This Row],[Avg KS2 Band]]),"")</f>
        <v>-0.701975253428741</v>
      </c>
      <c r="N120" s="66" t="n">
        <v>17</v>
      </c>
      <c r="O120" s="67">
        <f>IF(ISNUMBER(tblY7[[#This Row],[7B01 - Cells
Raw Score]]),IFERROR(VLOOKUP(ROUND(STANDARDIZE(tblY7[[#This Row],[7B01 - Cells
Raw Score]],AVERAGE(tblY7[[7B01 - Cells
Raw Score]]),_xlfn.STDEV.P(tblY7[[7B01 - Cells
Raw Score]])),9),_Stanine,2),5),"")</f>
        <v>5</v>
      </c>
      <c r="P120" s="66" t="n">
        <v>18</v>
      </c>
      <c r="Q120" s="67">
        <f>IF(ISNUMBER(tblY7[[#This Row],[7C01 - Particles
Raw Score]]),IFERROR(VLOOKUP(ROUND(STANDARDIZE(tblY7[[#This Row],[7C01 - Particles
Raw Score]],AVERAGE(tblY7[[7C01 - Particles
Raw Score]]),_xlfn.STDEV.P(tblY7[[7C01 - Particles
Raw Score]])),9),_Stanine,2),5),"")</f>
        <v>5</v>
      </c>
      <c r="R120" s="66" t="n">
        <v>21</v>
      </c>
      <c r="S120" s="67">
        <f>IF(ISNUMBER(tblY7[[#This Row],[7P01 - Forces
Raw Score]]),IFERROR(VLOOKUP(ROUND(STANDARDIZE(tblY7[[#This Row],[7P01 - Forces
Raw Score]],AVERAGE(tblY7[[7P01 - Forces
Raw Score]]),_xlfn.STDEV.P(tblY7[[7P01 - Forces
Raw Score]])),9),_Stanine,2),5),"")</f>
        <v>5</v>
      </c>
      <c r="T120" s="66" t="n">
        <v>18</v>
      </c>
      <c r="U120" s="67">
        <f>IF(ISNUMBER(tblY7[[#This Row],[7B02 - Organ Systems
Raw Score]]),IFERROR(VLOOKUP(ROUND(STANDARDIZE(tblY7[[#This Row],[7B02 - Organ Systems
Raw Score]],AVERAGE(tblY7[[7B02 - Organ Systems
Raw Score]]),_xlfn.STDEV.P(tblY7[[7B02 - Organ Systems
Raw Score]])),9),_Stanine,2),5),"")</f>
        <v>5</v>
      </c>
    </row>
    <row r="121">
      <c r="A121" s="65" t="inlineStr">
        <is>
          <t>X903923052717</t>
        </is>
      </c>
      <c r="B121" s="65" t="inlineStr">
        <is>
          <t>Jones</t>
        </is>
      </c>
      <c r="C121" s="65" t="inlineStr">
        <is>
          <t>Ethan</t>
        </is>
      </c>
      <c r="D121" s="66" t="inlineStr">
        <is>
          <t>M</t>
        </is>
      </c>
      <c r="E121" s="66" t="inlineStr">
        <is>
          <t>N</t>
        </is>
      </c>
      <c r="F121" s="66" t="inlineStr">
        <is>
          <t>N</t>
        </is>
      </c>
      <c r="G121" s="34" t="n">
        <v>98.2</v>
      </c>
      <c r="H121" s="34" t="n">
        <v>98</v>
      </c>
      <c r="I121" s="67">
        <f>IF(ISNUMBER(tblY7[[#This Row],[Avg KS2]]),IFERROR(VLOOKUP(ROUND(STANDARDIZE(tblY7[[#This Row],[Avg KS2]],AVERAGE(tblY7[[Avg KS2]]),_xlfn.STDEV.P(tblY7[[Avg KS2]])),9),_Stanine,2),5),"")</f>
        <v>2</v>
      </c>
      <c r="J121" s="66" t="inlineStr">
        <is>
          <t>7B/Sc3</t>
        </is>
      </c>
      <c r="K121" s="67">
        <f>IF(tblY7[[#This Row],[Preferred Last name]]="","",COUNTIFS($N$1:$ZZ$1,"*"&amp;CHAR(10)&amp;"Stanine",$N121:$ZZ121,"&gt;=1"))</f>
        <v>4</v>
      </c>
      <c r="L121" s="68">
        <f>IFERROR(AVERAGEIF($N$1:$ZZ$1,"*"&amp;CHAR(10)&amp;"Stanine",$N121:$ZZ121),"")</f>
        <v>1</v>
      </c>
      <c r="M121" s="69">
        <f>IF(AND(ISNUMBER(tblY7[[#This Row],[Mean Stanine]]),ISNUMBER(tblY7[[#This Row],[Avg KS2 Band]]),ISNUMBER(SlopeY7)),tblY7[[#This Row],[Mean Stanine]]-(InterceptY7+SlopeY7*tblY7[[#This Row],[Avg KS2 Band]]),"")</f>
        <v>-1.92484347048301</v>
      </c>
      <c r="N121" s="66" t="n">
        <v>5</v>
      </c>
      <c r="O121" s="67">
        <f>IF(ISNUMBER(tblY7[[#This Row],[7B01 - Cells
Raw Score]]),IFERROR(VLOOKUP(ROUND(STANDARDIZE(tblY7[[#This Row],[7B01 - Cells
Raw Score]],AVERAGE(tblY7[[7B01 - Cells
Raw Score]]),_xlfn.STDEV.P(tblY7[[7B01 - Cells
Raw Score]])),9),_Stanine,2),5),"")</f>
        <v>1</v>
      </c>
      <c r="P121" s="66" t="n">
        <v>9</v>
      </c>
      <c r="Q121" s="67">
        <f>IF(ISNUMBER(tblY7[[#This Row],[7C01 - Particles
Raw Score]]),IFERROR(VLOOKUP(ROUND(STANDARDIZE(tblY7[[#This Row],[7C01 - Particles
Raw Score]],AVERAGE(tblY7[[7C01 - Particles
Raw Score]]),_xlfn.STDEV.P(tblY7[[7C01 - Particles
Raw Score]])),9),_Stanine,2),5),"")</f>
        <v>1</v>
      </c>
      <c r="R121" s="66" t="n">
        <v>10</v>
      </c>
      <c r="S121" s="67">
        <f>IF(ISNUMBER(tblY7[[#This Row],[7P01 - Forces
Raw Score]]),IFERROR(VLOOKUP(ROUND(STANDARDIZE(tblY7[[#This Row],[7P01 - Forces
Raw Score]],AVERAGE(tblY7[[7P01 - Forces
Raw Score]]),_xlfn.STDEV.P(tblY7[[7P01 - Forces
Raw Score]])),9),_Stanine,2),5),"")</f>
        <v>1</v>
      </c>
      <c r="T121" s="66" t="n">
        <v>8</v>
      </c>
      <c r="U121" s="67">
        <f>IF(ISNUMBER(tblY7[[#This Row],[7B02 - Organ Systems
Raw Score]]),IFERROR(VLOOKUP(ROUND(STANDARDIZE(tblY7[[#This Row],[7B02 - Organ Systems
Raw Score]],AVERAGE(tblY7[[7B02 - Organ Systems
Raw Score]]),_xlfn.STDEV.P(tblY7[[7B02 - Organ Systems
Raw Score]])),9),_Stanine,2),5),"")</f>
        <v>1</v>
      </c>
    </row>
    <row r="122">
      <c r="A122" s="65" t="inlineStr">
        <is>
          <t>X902645855469</t>
        </is>
      </c>
      <c r="B122" s="65" t="inlineStr">
        <is>
          <t>Jones</t>
        </is>
      </c>
      <c r="C122" s="65" t="inlineStr">
        <is>
          <t>Kai</t>
        </is>
      </c>
      <c r="D122" s="66" t="inlineStr">
        <is>
          <t>F</t>
        </is>
      </c>
      <c r="E122" s="66" t="inlineStr">
        <is>
          <t>N</t>
        </is>
      </c>
      <c r="F122" s="66" t="inlineStr">
        <is>
          <t>Y</t>
        </is>
      </c>
      <c r="G122" s="34" t="n">
        <v>96</v>
      </c>
      <c r="H122" s="34" t="n">
        <v>101</v>
      </c>
      <c r="I122" s="67">
        <f>IF(ISNUMBER(tblY7[[#This Row],[Avg KS2]]),IFERROR(VLOOKUP(ROUND(STANDARDIZE(tblY7[[#This Row],[Avg KS2]],AVERAGE(tblY7[[Avg KS2]]),_xlfn.STDEV.P(tblY7[[Avg KS2]])),9),_Stanine,2),5),"")</f>
        <v>3</v>
      </c>
      <c r="J122" s="66" t="inlineStr">
        <is>
          <t>7B/Sc3</t>
        </is>
      </c>
      <c r="K122" s="67">
        <f>IF(tblY7[[#This Row],[Preferred Last name]]="","",COUNTIFS($N$1:$ZZ$1,"*"&amp;CHAR(10)&amp;"Stanine",$N122:$ZZ122,"&gt;=1"))</f>
        <v>2</v>
      </c>
      <c r="L122" s="68">
        <f>IFERROR(AVERAGEIF($N$1:$ZZ$1,"*"&amp;CHAR(10)&amp;"Stanine",$N122:$ZZ122),"")</f>
        <v>1.5</v>
      </c>
      <c r="M122" s="69">
        <f>IF(AND(ISNUMBER(tblY7[[#This Row],[Mean Stanine]]),ISNUMBER(tblY7[[#This Row],[Avg KS2 Band]]),ISNUMBER(SlopeY7)),tblY7[[#This Row],[Mean Stanine]]-(InterceptY7+SlopeY7*tblY7[[#This Row],[Avg KS2 Band]]),"")</f>
        <v>-2.11912641621944</v>
      </c>
      <c r="N122" s="66" t="inlineStr">
        <is>
          <t>A</t>
        </is>
      </c>
      <c r="O122" s="67" t="str">
        <f>IF(ISNUMBER(tblY7[[#This Row],[7B01 - Cells
Raw Score]]),IFERROR(VLOOKUP(ROUND(STANDARDIZE(tblY7[[#This Row],[7B01 - Cells
Raw Score]],AVERAGE(tblY7[[7B01 - Cells
Raw Score]]),_xlfn.STDEV.P(tblY7[[7B01 - Cells
Raw Score]])),9),_Stanine,2),5),"")</f>
        <v/>
      </c>
      <c r="P122" s="66" t="n">
        <v>9</v>
      </c>
      <c r="Q122" s="67">
        <f>IF(ISNUMBER(tblY7[[#This Row],[7C01 - Particles
Raw Score]]),IFERROR(VLOOKUP(ROUND(STANDARDIZE(tblY7[[#This Row],[7C01 - Particles
Raw Score]],AVERAGE(tblY7[[7C01 - Particles
Raw Score]]),_xlfn.STDEV.P(tblY7[[7C01 - Particles
Raw Score]])),9),_Stanine,2),5),"")</f>
        <v>1</v>
      </c>
      <c r="R122" s="66" t="inlineStr">
        <is>
          <t>A</t>
        </is>
      </c>
      <c r="S122" s="67" t="str">
        <f>IF(ISNUMBER(tblY7[[#This Row],[7P01 - Forces
Raw Score]]),IFERROR(VLOOKUP(ROUND(STANDARDIZE(tblY7[[#This Row],[7P01 - Forces
Raw Score]],AVERAGE(tblY7[[7P01 - Forces
Raw Score]]),_xlfn.STDEV.P(tblY7[[7P01 - Forces
Raw Score]])),9),_Stanine,2),5),"")</f>
        <v/>
      </c>
      <c r="T122" s="66" t="n">
        <v>9</v>
      </c>
      <c r="U122" s="67">
        <f>IF(ISNUMBER(tblY7[[#This Row],[7B02 - Organ Systems
Raw Score]]),IFERROR(VLOOKUP(ROUND(STANDARDIZE(tblY7[[#This Row],[7B02 - Organ Systems
Raw Score]],AVERAGE(tblY7[[7B02 - Organ Systems
Raw Score]]),_xlfn.STDEV.P(tblY7[[7B02 - Organ Systems
Raw Score]])),9),_Stanine,2),5),"")</f>
        <v>2</v>
      </c>
    </row>
    <row r="123">
      <c r="A123" s="65" t="inlineStr">
        <is>
          <t>X900091821962</t>
        </is>
      </c>
      <c r="B123" s="65" t="inlineStr">
        <is>
          <t>Patel</t>
        </is>
      </c>
      <c r="C123" s="65" t="inlineStr">
        <is>
          <t>Charlie</t>
        </is>
      </c>
      <c r="D123" s="66" t="inlineStr">
        <is>
          <t>M</t>
        </is>
      </c>
      <c r="E123" s="66" t="inlineStr">
        <is>
          <t>N</t>
        </is>
      </c>
      <c r="F123" s="66" t="inlineStr">
        <is>
          <t>N</t>
        </is>
      </c>
      <c r="G123" s="34" t="n">
        <v>100</v>
      </c>
      <c r="H123" s="34" t="n">
        <v>101.5</v>
      </c>
      <c r="I123" s="67">
        <f>IF(ISNUMBER(tblY7[[#This Row],[Avg KS2]]),IFERROR(VLOOKUP(ROUND(STANDARDIZE(tblY7[[#This Row],[Avg KS2]],AVERAGE(tblY7[[Avg KS2]]),_xlfn.STDEV.P(tblY7[[Avg KS2]])),9),_Stanine,2),5),"")</f>
        <v>3</v>
      </c>
      <c r="J123" s="66" t="inlineStr">
        <is>
          <t>7B/Sc3</t>
        </is>
      </c>
      <c r="K123" s="67">
        <f>IF(tblY7[[#This Row],[Preferred Last name]]="","",COUNTIFS($N$1:$ZZ$1,"*"&amp;CHAR(10)&amp;"Stanine",$N123:$ZZ123,"&gt;=1"))</f>
        <v>3</v>
      </c>
      <c r="L123" s="68">
        <f>IFERROR(AVERAGEIF($N$1:$ZZ$1,"*"&amp;CHAR(10)&amp;"Stanine",$N123:$ZZ123),"")</f>
        <v>2</v>
      </c>
      <c r="M123" s="69">
        <f>IF(AND(ISNUMBER(tblY7[[#This Row],[Mean Stanine]]),ISNUMBER(tblY7[[#This Row],[Avg KS2 Band]]),ISNUMBER(SlopeY7)),tblY7[[#This Row],[Mean Stanine]]-(InterceptY7+SlopeY7*tblY7[[#This Row],[Avg KS2 Band]]),"")</f>
        <v>-1.61912641621944</v>
      </c>
      <c r="N123" s="66" t="n">
        <v>8</v>
      </c>
      <c r="O123" s="67">
        <f>IF(ISNUMBER(tblY7[[#This Row],[7B01 - Cells
Raw Score]]),IFERROR(VLOOKUP(ROUND(STANDARDIZE(tblY7[[#This Row],[7B01 - Cells
Raw Score]],AVERAGE(tblY7[[7B01 - Cells
Raw Score]]),_xlfn.STDEV.P(tblY7[[7B01 - Cells
Raw Score]])),9),_Stanine,2),5),"")</f>
        <v>2</v>
      </c>
      <c r="P123" s="66" t="inlineStr">
        <is>
          <t>A</t>
        </is>
      </c>
      <c r="Q123" s="67" t="str">
        <f>IF(ISNUMBER(tblY7[[#This Row],[7C01 - Particles
Raw Score]]),IFERROR(VLOOKUP(ROUND(STANDARDIZE(tblY7[[#This Row],[7C01 - Particles
Raw Score]],AVERAGE(tblY7[[7C01 - Particles
Raw Score]]),_xlfn.STDEV.P(tblY7[[7C01 - Particles
Raw Score]])),9),_Stanine,2),5),"")</f>
        <v/>
      </c>
      <c r="R123" s="66" t="n">
        <v>13</v>
      </c>
      <c r="S123" s="67">
        <f>IF(ISNUMBER(tblY7[[#This Row],[7P01 - Forces
Raw Score]]),IFERROR(VLOOKUP(ROUND(STANDARDIZE(tblY7[[#This Row],[7P01 - Forces
Raw Score]],AVERAGE(tblY7[[7P01 - Forces
Raw Score]]),_xlfn.STDEV.P(tblY7[[7P01 - Forces
Raw Score]])),9),_Stanine,2),5),"")</f>
        <v>2</v>
      </c>
      <c r="T123" s="66" t="n">
        <v>10</v>
      </c>
      <c r="U123" s="67">
        <f>IF(ISNUMBER(tblY7[[#This Row],[7B02 - Organ Systems
Raw Score]]),IFERROR(VLOOKUP(ROUND(STANDARDIZE(tblY7[[#This Row],[7B02 - Organ Systems
Raw Score]],AVERAGE(tblY7[[7B02 - Organ Systems
Raw Score]]),_xlfn.STDEV.P(tblY7[[7B02 - Organ Systems
Raw Score]])),9),_Stanine,2),5),"")</f>
        <v>2</v>
      </c>
    </row>
    <row r="124">
      <c r="A124" s="65" t="inlineStr">
        <is>
          <t>X907657882995</t>
        </is>
      </c>
      <c r="B124" s="65" t="inlineStr">
        <is>
          <t>Price</t>
        </is>
      </c>
      <c r="C124" s="65" t="inlineStr">
        <is>
          <t>Harry</t>
        </is>
      </c>
      <c r="D124" s="66" t="inlineStr">
        <is>
          <t>F</t>
        </is>
      </c>
      <c r="E124" s="66" t="n"/>
      <c r="F124" s="66" t="inlineStr">
        <is>
          <t>N</t>
        </is>
      </c>
      <c r="G124" s="34" t="n">
        <v>89.2</v>
      </c>
      <c r="H124" s="34" t="n">
        <v>108</v>
      </c>
      <c r="I124" s="67">
        <f>IF(ISNUMBER(tblY7[[#This Row],[Avg KS2]]),IFERROR(VLOOKUP(ROUND(STANDARDIZE(tblY7[[#This Row],[Avg KS2]],AVERAGE(tblY7[[Avg KS2]]),_xlfn.STDEV.P(tblY7[[Avg KS2]])),9),_Stanine,2),5),"")</f>
        <v>5</v>
      </c>
      <c r="J124" s="66" t="inlineStr">
        <is>
          <t>7B/Sc3</t>
        </is>
      </c>
      <c r="K124" s="67">
        <f>IF(tblY7[[#This Row],[Preferred Last name]]="","",COUNTIFS($N$1:$ZZ$1,"*"&amp;CHAR(10)&amp;"Stanine",$N124:$ZZ124,"&gt;=1"))</f>
        <v>3</v>
      </c>
      <c r="L124" s="68">
        <f>IFERROR(AVERAGEIF($N$1:$ZZ$1,"*"&amp;CHAR(10)&amp;"Stanine",$N124:$ZZ124),"")</f>
        <v>4.66666666666667</v>
      </c>
      <c r="M124" s="69">
        <f>IF(AND(ISNUMBER(tblY7[[#This Row],[Mean Stanine]]),ISNUMBER(tblY7[[#This Row],[Avg KS2 Band]]),ISNUMBER(SlopeY7)),tblY7[[#This Row],[Mean Stanine]]-(InterceptY7+SlopeY7*tblY7[[#This Row],[Avg KS2 Band]]),"")</f>
        <v>-0.341025641025641</v>
      </c>
      <c r="N124" s="66" t="n">
        <v>17</v>
      </c>
      <c r="O124" s="67">
        <f>IF(ISNUMBER(tblY7[[#This Row],[7B01 - Cells
Raw Score]]),IFERROR(VLOOKUP(ROUND(STANDARDIZE(tblY7[[#This Row],[7B01 - Cells
Raw Score]],AVERAGE(tblY7[[7B01 - Cells
Raw Score]]),_xlfn.STDEV.P(tblY7[[7B01 - Cells
Raw Score]])),9),_Stanine,2),5),"")</f>
        <v>5</v>
      </c>
      <c r="P124" s="66" t="n">
        <v>17</v>
      </c>
      <c r="Q124" s="67">
        <f>IF(ISNUMBER(tblY7[[#This Row],[7C01 - Particles
Raw Score]]),IFERROR(VLOOKUP(ROUND(STANDARDIZE(tblY7[[#This Row],[7C01 - Particles
Raw Score]],AVERAGE(tblY7[[7C01 - Particles
Raw Score]]),_xlfn.STDEV.P(tblY7[[7C01 - Particles
Raw Score]])),9),_Stanine,2),5),"")</f>
        <v>4</v>
      </c>
      <c r="R124" s="66" t="inlineStr">
        <is>
          <t>A</t>
        </is>
      </c>
      <c r="S124" s="67" t="str">
        <f>IF(ISNUMBER(tblY7[[#This Row],[7P01 - Forces
Raw Score]]),IFERROR(VLOOKUP(ROUND(STANDARDIZE(tblY7[[#This Row],[7P01 - Forces
Raw Score]],AVERAGE(tblY7[[7P01 - Forces
Raw Score]]),_xlfn.STDEV.P(tblY7[[7P01 - Forces
Raw Score]])),9),_Stanine,2),5),"")</f>
        <v/>
      </c>
      <c r="T124" s="66" t="n">
        <v>18</v>
      </c>
      <c r="U124" s="67">
        <f>IF(ISNUMBER(tblY7[[#This Row],[7B02 - Organ Systems
Raw Score]]),IFERROR(VLOOKUP(ROUND(STANDARDIZE(tblY7[[#This Row],[7B02 - Organ Systems
Raw Score]],AVERAGE(tblY7[[7B02 - Organ Systems
Raw Score]]),_xlfn.STDEV.P(tblY7[[7B02 - Organ Systems
Raw Score]])),9),_Stanine,2),5),"")</f>
        <v>5</v>
      </c>
    </row>
    <row r="125">
      <c r="A125" s="65" t="inlineStr">
        <is>
          <t>X908311674961</t>
        </is>
      </c>
      <c r="B125" s="65" t="inlineStr">
        <is>
          <t>Roberts</t>
        </is>
      </c>
      <c r="C125" s="65" t="inlineStr">
        <is>
          <t>Ava</t>
        </is>
      </c>
      <c r="D125" s="66" t="inlineStr">
        <is>
          <t>M</t>
        </is>
      </c>
      <c r="E125" s="66" t="inlineStr">
        <is>
          <t>K</t>
        </is>
      </c>
      <c r="F125" s="66" t="inlineStr">
        <is>
          <t>N</t>
        </is>
      </c>
      <c r="G125" s="34" t="n">
        <v>92</v>
      </c>
      <c r="H125" s="34" t="n">
        <v>100.5</v>
      </c>
      <c r="I125" s="67">
        <f>IF(ISNUMBER(tblY7[[#This Row],[Avg KS2]]),IFERROR(VLOOKUP(ROUND(STANDARDIZE(tblY7[[#This Row],[Avg KS2]],AVERAGE(tblY7[[Avg KS2]]),_xlfn.STDEV.P(tblY7[[Avg KS2]])),9),_Stanine,2),5),"")</f>
        <v>3</v>
      </c>
      <c r="J125" s="66" t="inlineStr">
        <is>
          <t>7B/Sc3</t>
        </is>
      </c>
      <c r="K125" s="67">
        <f>IF(tblY7[[#This Row],[Preferred Last name]]="","",COUNTIFS($N$1:$ZZ$1,"*"&amp;CHAR(10)&amp;"Stanine",$N125:$ZZ125,"&gt;=1"))</f>
        <v>4</v>
      </c>
      <c r="L125" s="68">
        <f>IFERROR(AVERAGEIF($N$1:$ZZ$1,"*"&amp;CHAR(10)&amp;"Stanine",$N125:$ZZ125),"")</f>
        <v>2.75</v>
      </c>
      <c r="M125" s="69">
        <f>IF(AND(ISNUMBER(tblY7[[#This Row],[Mean Stanine]]),ISNUMBER(tblY7[[#This Row],[Avg KS2 Band]]),ISNUMBER(SlopeY7)),tblY7[[#This Row],[Mean Stanine]]-(InterceptY7+SlopeY7*tblY7[[#This Row],[Avg KS2 Band]]),"")</f>
        <v>-0.869126416219439</v>
      </c>
      <c r="N125" s="66" t="n">
        <v>7</v>
      </c>
      <c r="O125" s="67">
        <f>IF(ISNUMBER(tblY7[[#This Row],[7B01 - Cells
Raw Score]]),IFERROR(VLOOKUP(ROUND(STANDARDIZE(tblY7[[#This Row],[7B01 - Cells
Raw Score]],AVERAGE(tblY7[[7B01 - Cells
Raw Score]]),_xlfn.STDEV.P(tblY7[[7B01 - Cells
Raw Score]])),9),_Stanine,2),5),"")</f>
        <v>2</v>
      </c>
      <c r="P125" s="66" t="n">
        <v>15</v>
      </c>
      <c r="Q125" s="67">
        <f>IF(ISNUMBER(tblY7[[#This Row],[7C01 - Particles
Raw Score]]),IFERROR(VLOOKUP(ROUND(STANDARDIZE(tblY7[[#This Row],[7C01 - Particles
Raw Score]],AVERAGE(tblY7[[7C01 - Particles
Raw Score]]),_xlfn.STDEV.P(tblY7[[7C01 - Particles
Raw Score]])),9),_Stanine,2),5),"")</f>
        <v>3</v>
      </c>
      <c r="R125" s="66" t="n">
        <v>18</v>
      </c>
      <c r="S125" s="67">
        <f>IF(ISNUMBER(tblY7[[#This Row],[7P01 - Forces
Raw Score]]),IFERROR(VLOOKUP(ROUND(STANDARDIZE(tblY7[[#This Row],[7P01 - Forces
Raw Score]],AVERAGE(tblY7[[7P01 - Forces
Raw Score]]),_xlfn.STDEV.P(tblY7[[7P01 - Forces
Raw Score]])),9),_Stanine,2),5),"")</f>
        <v>4</v>
      </c>
      <c r="T125" s="66" t="n">
        <v>10</v>
      </c>
      <c r="U125" s="67">
        <f>IF(ISNUMBER(tblY7[[#This Row],[7B02 - Organ Systems
Raw Score]]),IFERROR(VLOOKUP(ROUND(STANDARDIZE(tblY7[[#This Row],[7B02 - Organ Systems
Raw Score]],AVERAGE(tblY7[[7B02 - Organ Systems
Raw Score]]),_xlfn.STDEV.P(tblY7[[7B02 - Organ Systems
Raw Score]])),9),_Stanine,2),5),"")</f>
        <v>2</v>
      </c>
    </row>
    <row r="126">
      <c r="A126" s="65" t="inlineStr">
        <is>
          <t>X905095293298</t>
        </is>
      </c>
      <c r="B126" s="65" t="inlineStr">
        <is>
          <t>Roberts</t>
        </is>
      </c>
      <c r="C126" s="65" t="inlineStr">
        <is>
          <t>Ivy</t>
        </is>
      </c>
      <c r="D126" s="66" t="inlineStr">
        <is>
          <t>F</t>
        </is>
      </c>
      <c r="E126" s="66" t="n"/>
      <c r="F126" s="66" t="inlineStr">
        <is>
          <t>N</t>
        </is>
      </c>
      <c r="G126" s="34" t="n">
        <v>91.8</v>
      </c>
      <c r="H126" s="34" t="n">
        <v>114.5</v>
      </c>
      <c r="I126" s="67">
        <f>IF(ISNUMBER(tblY7[[#This Row],[Avg KS2]]),IFERROR(VLOOKUP(ROUND(STANDARDIZE(tblY7[[#This Row],[Avg KS2]],AVERAGE(tblY7[[Avg KS2]]),_xlfn.STDEV.P(tblY7[[Avg KS2]])),9),_Stanine,2),5),"")</f>
        <v>8</v>
      </c>
      <c r="J126" s="66" t="inlineStr">
        <is>
          <t>7B/Sc3</t>
        </is>
      </c>
      <c r="K126" s="67">
        <f>IF(tblY7[[#This Row],[Preferred Last name]]="","",COUNTIFS($N$1:$ZZ$1,"*"&amp;CHAR(10)&amp;"Stanine",$N126:$ZZ126,"&gt;=1"))</f>
        <v>4</v>
      </c>
      <c r="L126" s="68">
        <f>IFERROR(AVERAGEIF($N$1:$ZZ$1,"*"&amp;CHAR(10)&amp;"Stanine",$N126:$ZZ126),"")</f>
        <v>7.5</v>
      </c>
      <c r="M126" s="69">
        <f>IF(AND(ISNUMBER(tblY7[[#This Row],[Mean Stanine]]),ISNUMBER(tblY7[[#This Row],[Avg KS2 Band]]),ISNUMBER(SlopeY7)),tblY7[[#This Row],[Mean Stanine]]-(InterceptY7+SlopeY7*tblY7[[#This Row],[Avg KS2 Band]]),"")</f>
        <v>0.40945885509839</v>
      </c>
      <c r="N126" s="66" t="n">
        <v>26</v>
      </c>
      <c r="O126" s="67">
        <f>IF(ISNUMBER(tblY7[[#This Row],[7B01 - Cells
Raw Score]]),IFERROR(VLOOKUP(ROUND(STANDARDIZE(tblY7[[#This Row],[7B01 - Cells
Raw Score]],AVERAGE(tblY7[[7B01 - Cells
Raw Score]]),_xlfn.STDEV.P(tblY7[[7B01 - Cells
Raw Score]])),9),_Stanine,2),5),"")</f>
        <v>8</v>
      </c>
      <c r="P126" s="66" t="n">
        <v>23</v>
      </c>
      <c r="Q126" s="67">
        <f>IF(ISNUMBER(tblY7[[#This Row],[7C01 - Particles
Raw Score]]),IFERROR(VLOOKUP(ROUND(STANDARDIZE(tblY7[[#This Row],[7C01 - Particles
Raw Score]],AVERAGE(tblY7[[7C01 - Particles
Raw Score]]),_xlfn.STDEV.P(tblY7[[7C01 - Particles
Raw Score]])),9),_Stanine,2),5),"")</f>
        <v>7</v>
      </c>
      <c r="R126" s="66" t="n">
        <v>28</v>
      </c>
      <c r="S126" s="67">
        <f>IF(ISNUMBER(tblY7[[#This Row],[7P01 - Forces
Raw Score]]),IFERROR(VLOOKUP(ROUND(STANDARDIZE(tblY7[[#This Row],[7P01 - Forces
Raw Score]],AVERAGE(tblY7[[7P01 - Forces
Raw Score]]),_xlfn.STDEV.P(tblY7[[7P01 - Forces
Raw Score]])),9),_Stanine,2),5),"")</f>
        <v>8</v>
      </c>
      <c r="T126" s="66" t="n">
        <v>24</v>
      </c>
      <c r="U126" s="67">
        <f>IF(ISNUMBER(tblY7[[#This Row],[7B02 - Organ Systems
Raw Score]]),IFERROR(VLOOKUP(ROUND(STANDARDIZE(tblY7[[#This Row],[7B02 - Organ Systems
Raw Score]],AVERAGE(tblY7[[7B02 - Organ Systems
Raw Score]]),_xlfn.STDEV.P(tblY7[[7B02 - Organ Systems
Raw Score]])),9),_Stanine,2),5),"")</f>
        <v>7</v>
      </c>
    </row>
    <row r="127">
      <c r="A127" s="65" t="inlineStr">
        <is>
          <t>X904889840072</t>
        </is>
      </c>
      <c r="B127" s="65" t="inlineStr">
        <is>
          <t>Robinson</t>
        </is>
      </c>
      <c r="C127" s="65" t="inlineStr">
        <is>
          <t>Callum</t>
        </is>
      </c>
      <c r="D127" s="66" t="inlineStr">
        <is>
          <t>F</t>
        </is>
      </c>
      <c r="E127" s="66" t="n"/>
      <c r="F127" s="66" t="inlineStr">
        <is>
          <t>N</t>
        </is>
      </c>
      <c r="G127" s="34" t="n">
        <v>95</v>
      </c>
      <c r="H127" s="34" t="n">
        <v>101.5</v>
      </c>
      <c r="I127" s="67">
        <f>IF(ISNUMBER(tblY7[[#This Row],[Avg KS2]]),IFERROR(VLOOKUP(ROUND(STANDARDIZE(tblY7[[#This Row],[Avg KS2]],AVERAGE(tblY7[[Avg KS2]]),_xlfn.STDEV.P(tblY7[[Avg KS2]])),9),_Stanine,2),5),"")</f>
        <v>3</v>
      </c>
      <c r="J127" s="66" t="inlineStr">
        <is>
          <t>7B/Sc3</t>
        </is>
      </c>
      <c r="K127" s="67">
        <f>IF(tblY7[[#This Row],[Preferred Last name]]="","",COUNTIFS($N$1:$ZZ$1,"*"&amp;CHAR(10)&amp;"Stanine",$N127:$ZZ127,"&gt;=1"))</f>
        <v>4</v>
      </c>
      <c r="L127" s="68">
        <f>IFERROR(AVERAGEIF($N$1:$ZZ$1,"*"&amp;CHAR(10)&amp;"Stanine",$N127:$ZZ127),"")</f>
        <v>4.25</v>
      </c>
      <c r="M127" s="69">
        <f>IF(AND(ISNUMBER(tblY7[[#This Row],[Mean Stanine]]),ISNUMBER(tblY7[[#This Row],[Avg KS2 Band]]),ISNUMBER(SlopeY7)),tblY7[[#This Row],[Mean Stanine]]-(InterceptY7+SlopeY7*tblY7[[#This Row],[Avg KS2 Band]]),"")</f>
        <v>0.630873583780561</v>
      </c>
      <c r="N127" s="66" t="n">
        <v>18</v>
      </c>
      <c r="O127" s="67">
        <f>IF(ISNUMBER(tblY7[[#This Row],[7B01 - Cells
Raw Score]]),IFERROR(VLOOKUP(ROUND(STANDARDIZE(tblY7[[#This Row],[7B01 - Cells
Raw Score]],AVERAGE(tblY7[[7B01 - Cells
Raw Score]]),_xlfn.STDEV.P(tblY7[[7B01 - Cells
Raw Score]])),9),_Stanine,2),5),"")</f>
        <v>5</v>
      </c>
      <c r="P127" s="66" t="n">
        <v>15</v>
      </c>
      <c r="Q127" s="67">
        <f>IF(ISNUMBER(tblY7[[#This Row],[7C01 - Particles
Raw Score]]),IFERROR(VLOOKUP(ROUND(STANDARDIZE(tblY7[[#This Row],[7C01 - Particles
Raw Score]],AVERAGE(tblY7[[7C01 - Particles
Raw Score]]),_xlfn.STDEV.P(tblY7[[7C01 - Particles
Raw Score]])),9),_Stanine,2),5),"")</f>
        <v>3</v>
      </c>
      <c r="R127" s="66" t="n">
        <v>22</v>
      </c>
      <c r="S127" s="67">
        <f>IF(ISNUMBER(tblY7[[#This Row],[7P01 - Forces
Raw Score]]),IFERROR(VLOOKUP(ROUND(STANDARDIZE(tblY7[[#This Row],[7P01 - Forces
Raw Score]],AVERAGE(tblY7[[7P01 - Forces
Raw Score]]),_xlfn.STDEV.P(tblY7[[7P01 - Forces
Raw Score]])),9),_Stanine,2),5),"")</f>
        <v>5</v>
      </c>
      <c r="T127" s="66" t="n">
        <v>14</v>
      </c>
      <c r="U127" s="67">
        <f>IF(ISNUMBER(tblY7[[#This Row],[7B02 - Organ Systems
Raw Score]]),IFERROR(VLOOKUP(ROUND(STANDARDIZE(tblY7[[#This Row],[7B02 - Organ Systems
Raw Score]],AVERAGE(tblY7[[7B02 - Organ Systems
Raw Score]]),_xlfn.STDEV.P(tblY7[[7B02 - Organ Systems
Raw Score]])),9),_Stanine,2),5),"")</f>
        <v>4</v>
      </c>
    </row>
    <row r="128">
      <c r="A128" s="65" t="inlineStr">
        <is>
          <t>X901665412783</t>
        </is>
      </c>
      <c r="B128" s="65" t="inlineStr">
        <is>
          <t>Smith</t>
        </is>
      </c>
      <c r="C128" s="65" t="inlineStr">
        <is>
          <t>Chidi</t>
        </is>
      </c>
      <c r="D128" s="66" t="inlineStr">
        <is>
          <t>F</t>
        </is>
      </c>
      <c r="E128" s="66" t="n"/>
      <c r="F128" s="66" t="inlineStr">
        <is>
          <t>Y</t>
        </is>
      </c>
      <c r="G128" s="34" t="n">
        <v>100</v>
      </c>
      <c r="H128" s="34" t="n">
        <v>108</v>
      </c>
      <c r="I128" s="67">
        <f>IF(ISNUMBER(tblY7[[#This Row],[Avg KS2]]),IFERROR(VLOOKUP(ROUND(STANDARDIZE(tblY7[[#This Row],[Avg KS2]],AVERAGE(tblY7[[Avg KS2]]),_xlfn.STDEV.P(tblY7[[Avg KS2]])),9),_Stanine,2),5),"")</f>
        <v>5</v>
      </c>
      <c r="J128" s="66" t="inlineStr">
        <is>
          <t>7B/Sc3</t>
        </is>
      </c>
      <c r="K128" s="67">
        <f>IF(tblY7[[#This Row],[Preferred Last name]]="","",COUNTIFS($N$1:$ZZ$1,"*"&amp;CHAR(10)&amp;"Stanine",$N128:$ZZ128,"&gt;=1"))</f>
        <v>3</v>
      </c>
      <c r="L128" s="68">
        <f>IFERROR(AVERAGEIF($N$1:$ZZ$1,"*"&amp;CHAR(10)&amp;"Stanine",$N128:$ZZ128),"")</f>
        <v>6.66666666666667</v>
      </c>
      <c r="M128" s="69">
        <f>IF(AND(ISNUMBER(tblY7[[#This Row],[Mean Stanine]]),ISNUMBER(tblY7[[#This Row],[Avg KS2 Band]]),ISNUMBER(SlopeY7)),tblY7[[#This Row],[Mean Stanine]]-(InterceptY7+SlopeY7*tblY7[[#This Row],[Avg KS2 Band]]),"")</f>
        <v>1.65897435897436</v>
      </c>
      <c r="N128" s="66" t="n">
        <v>23</v>
      </c>
      <c r="O128" s="67">
        <f>IF(ISNUMBER(tblY7[[#This Row],[7B01 - Cells
Raw Score]]),IFERROR(VLOOKUP(ROUND(STANDARDIZE(tblY7[[#This Row],[7B01 - Cells
Raw Score]],AVERAGE(tblY7[[7B01 - Cells
Raw Score]]),_xlfn.STDEV.P(tblY7[[7B01 - Cells
Raw Score]])),9),_Stanine,2),5),"")</f>
        <v>7</v>
      </c>
      <c r="P128" s="66" t="n">
        <v>21</v>
      </c>
      <c r="Q128" s="67">
        <f>IF(ISNUMBER(tblY7[[#This Row],[7C01 - Particles
Raw Score]]),IFERROR(VLOOKUP(ROUND(STANDARDIZE(tblY7[[#This Row],[7C01 - Particles
Raw Score]],AVERAGE(tblY7[[7C01 - Particles
Raw Score]]),_xlfn.STDEV.P(tblY7[[7C01 - Particles
Raw Score]])),9),_Stanine,2),5),"")</f>
        <v>6</v>
      </c>
      <c r="R128" s="66" t="inlineStr">
        <is>
          <t>A</t>
        </is>
      </c>
      <c r="S128" s="67" t="str">
        <f>IF(ISNUMBER(tblY7[[#This Row],[7P01 - Forces
Raw Score]]),IFERROR(VLOOKUP(ROUND(STANDARDIZE(tblY7[[#This Row],[7P01 - Forces
Raw Score]],AVERAGE(tblY7[[7P01 - Forces
Raw Score]]),_xlfn.STDEV.P(tblY7[[7P01 - Forces
Raw Score]])),9),_Stanine,2),5),"")</f>
        <v/>
      </c>
      <c r="T128" s="66" t="n">
        <v>22</v>
      </c>
      <c r="U128" s="67">
        <f>IF(ISNUMBER(tblY7[[#This Row],[7B02 - Organ Systems
Raw Score]]),IFERROR(VLOOKUP(ROUND(STANDARDIZE(tblY7[[#This Row],[7B02 - Organ Systems
Raw Score]],AVERAGE(tblY7[[7B02 - Organ Systems
Raw Score]]),_xlfn.STDEV.P(tblY7[[7B02 - Organ Systems
Raw Score]])),9),_Stanine,2),5),"")</f>
        <v>7</v>
      </c>
    </row>
    <row r="129">
      <c r="A129" s="65" t="inlineStr">
        <is>
          <t>X903746841268</t>
        </is>
      </c>
      <c r="B129" s="65" t="inlineStr">
        <is>
          <t>Taylor</t>
        </is>
      </c>
      <c r="C129" s="65" t="inlineStr">
        <is>
          <t>Maisie</t>
        </is>
      </c>
      <c r="D129" s="66" t="inlineStr">
        <is>
          <t>F</t>
        </is>
      </c>
      <c r="E129" s="66" t="inlineStr">
        <is>
          <t>N</t>
        </is>
      </c>
      <c r="F129" s="66" t="inlineStr">
        <is>
          <t>N</t>
        </is>
      </c>
      <c r="G129" s="34" t="n">
        <v>94.09999999999999</v>
      </c>
      <c r="H129" s="34" t="n">
        <v>102.5</v>
      </c>
      <c r="I129" s="67">
        <f>IF(ISNUMBER(tblY7[[#This Row],[Avg KS2]]),IFERROR(VLOOKUP(ROUND(STANDARDIZE(tblY7[[#This Row],[Avg KS2]],AVERAGE(tblY7[[Avg KS2]]),_xlfn.STDEV.P(tblY7[[Avg KS2]])),9),_Stanine,2),5),"")</f>
        <v>3</v>
      </c>
      <c r="J129" s="66" t="inlineStr">
        <is>
          <t>7B/Sc3</t>
        </is>
      </c>
      <c r="K129" s="67">
        <f>IF(tblY7[[#This Row],[Preferred Last name]]="","",COUNTIFS($N$1:$ZZ$1,"*"&amp;CHAR(10)&amp;"Stanine",$N129:$ZZ129,"&gt;=1"))</f>
        <v>4</v>
      </c>
      <c r="L129" s="68">
        <f>IFERROR(AVERAGEIF($N$1:$ZZ$1,"*"&amp;CHAR(10)&amp;"Stanine",$N129:$ZZ129),"")</f>
        <v>3.5</v>
      </c>
      <c r="M129" s="69">
        <f>IF(AND(ISNUMBER(tblY7[[#This Row],[Mean Stanine]]),ISNUMBER(tblY7[[#This Row],[Avg KS2 Band]]),ISNUMBER(SlopeY7)),tblY7[[#This Row],[Mean Stanine]]-(InterceptY7+SlopeY7*tblY7[[#This Row],[Avg KS2 Band]]),"")</f>
        <v>-0.119126416219439</v>
      </c>
      <c r="N129" s="66" t="n">
        <v>13</v>
      </c>
      <c r="O129" s="67">
        <f>IF(ISNUMBER(tblY7[[#This Row],[7B01 - Cells
Raw Score]]),IFERROR(VLOOKUP(ROUND(STANDARDIZE(tblY7[[#This Row],[7B01 - Cells
Raw Score]],AVERAGE(tblY7[[7B01 - Cells
Raw Score]]),_xlfn.STDEV.P(tblY7[[7B01 - Cells
Raw Score]])),9),_Stanine,2),5),"")</f>
        <v>4</v>
      </c>
      <c r="P129" s="66" t="n">
        <v>13</v>
      </c>
      <c r="Q129" s="67">
        <f>IF(ISNUMBER(tblY7[[#This Row],[7C01 - Particles
Raw Score]]),IFERROR(VLOOKUP(ROUND(STANDARDIZE(tblY7[[#This Row],[7C01 - Particles
Raw Score]],AVERAGE(tblY7[[7C01 - Particles
Raw Score]]),_xlfn.STDEV.P(tblY7[[7C01 - Particles
Raw Score]])),9),_Stanine,2),5),"")</f>
        <v>2</v>
      </c>
      <c r="R129" s="66" t="n">
        <v>18</v>
      </c>
      <c r="S129" s="67">
        <f>IF(ISNUMBER(tblY7[[#This Row],[7P01 - Forces
Raw Score]]),IFERROR(VLOOKUP(ROUND(STANDARDIZE(tblY7[[#This Row],[7P01 - Forces
Raw Score]],AVERAGE(tblY7[[7P01 - Forces
Raw Score]]),_xlfn.STDEV.P(tblY7[[7P01 - Forces
Raw Score]])),9),_Stanine,2),5),"")</f>
        <v>4</v>
      </c>
      <c r="T129" s="66" t="n">
        <v>15</v>
      </c>
      <c r="U129" s="67">
        <f>IF(ISNUMBER(tblY7[[#This Row],[7B02 - Organ Systems
Raw Score]]),IFERROR(VLOOKUP(ROUND(STANDARDIZE(tblY7[[#This Row],[7B02 - Organ Systems
Raw Score]],AVERAGE(tblY7[[7B02 - Organ Systems
Raw Score]]),_xlfn.STDEV.P(tblY7[[7B02 - Organ Systems
Raw Score]])),9),_Stanine,2),5),"")</f>
        <v>4</v>
      </c>
    </row>
    <row r="130">
      <c r="A130" s="65" t="inlineStr">
        <is>
          <t>X909548331158</t>
        </is>
      </c>
      <c r="B130" s="65" t="inlineStr">
        <is>
          <t>White</t>
        </is>
      </c>
      <c r="C130" s="65" t="inlineStr">
        <is>
          <t>Ibrahim</t>
        </is>
      </c>
      <c r="D130" s="66" t="inlineStr">
        <is>
          <t>M</t>
        </is>
      </c>
      <c r="E130" s="66" t="inlineStr">
        <is>
          <t>N</t>
        </is>
      </c>
      <c r="F130" s="66" t="inlineStr">
        <is>
          <t>N</t>
        </is>
      </c>
      <c r="G130" s="34" t="n">
        <v>92.2</v>
      </c>
      <c r="H130" s="34" t="n">
        <v>100</v>
      </c>
      <c r="I130" s="67">
        <f>IF(ISNUMBER(tblY7[[#This Row],[Avg KS2]]),IFERROR(VLOOKUP(ROUND(STANDARDIZE(tblY7[[#This Row],[Avg KS2]],AVERAGE(tblY7[[Avg KS2]]),_xlfn.STDEV.P(tblY7[[Avg KS2]])),9),_Stanine,2),5),"")</f>
        <v>2</v>
      </c>
      <c r="J130" s="66" t="inlineStr">
        <is>
          <t>7B/Sc3</t>
        </is>
      </c>
      <c r="K130" s="67">
        <f>IF(tblY7[[#This Row],[Preferred Last name]]="","",COUNTIFS($N$1:$ZZ$1,"*"&amp;CHAR(10)&amp;"Stanine",$N130:$ZZ130,"&gt;=1"))</f>
        <v>3</v>
      </c>
      <c r="L130" s="68">
        <f>IFERROR(AVERAGEIF($N$1:$ZZ$1,"*"&amp;CHAR(10)&amp;"Stanine",$N130:$ZZ130),"")</f>
        <v>1</v>
      </c>
      <c r="M130" s="69">
        <f>IF(AND(ISNUMBER(tblY7[[#This Row],[Mean Stanine]]),ISNUMBER(tblY7[[#This Row],[Avg KS2 Band]]),ISNUMBER(SlopeY7)),tblY7[[#This Row],[Mean Stanine]]-(InterceptY7+SlopeY7*tblY7[[#This Row],[Avg KS2 Band]]),"")</f>
        <v>-1.92484347048301</v>
      </c>
      <c r="N130" s="66" t="n">
        <v>6</v>
      </c>
      <c r="O130" s="67">
        <f>IF(ISNUMBER(tblY7[[#This Row],[7B01 - Cells
Raw Score]]),IFERROR(VLOOKUP(ROUND(STANDARDIZE(tblY7[[#This Row],[7B01 - Cells
Raw Score]],AVERAGE(tblY7[[7B01 - Cells
Raw Score]]),_xlfn.STDEV.P(tblY7[[7B01 - Cells
Raw Score]])),9),_Stanine,2),5),"")</f>
        <v>1</v>
      </c>
      <c r="P130" s="66" t="n">
        <v>8</v>
      </c>
      <c r="Q130" s="67">
        <f>IF(ISNUMBER(tblY7[[#This Row],[7C01 - Particles
Raw Score]]),IFERROR(VLOOKUP(ROUND(STANDARDIZE(tblY7[[#This Row],[7C01 - Particles
Raw Score]],AVERAGE(tblY7[[7C01 - Particles
Raw Score]]),_xlfn.STDEV.P(tblY7[[7C01 - Particles
Raw Score]])),9),_Stanine,2),5),"")</f>
        <v>1</v>
      </c>
      <c r="R130" s="66" t="n">
        <v>10</v>
      </c>
      <c r="S130" s="67">
        <f>IF(ISNUMBER(tblY7[[#This Row],[7P01 - Forces
Raw Score]]),IFERROR(VLOOKUP(ROUND(STANDARDIZE(tblY7[[#This Row],[7P01 - Forces
Raw Score]],AVERAGE(tblY7[[7P01 - Forces
Raw Score]]),_xlfn.STDEV.P(tblY7[[7P01 - Forces
Raw Score]])),9),_Stanine,2),5),"")</f>
        <v>1</v>
      </c>
      <c r="T130" s="66" t="inlineStr">
        <is>
          <t>A</t>
        </is>
      </c>
      <c r="U130" s="67" t="str">
        <f>IF(ISNUMBER(tblY7[[#This Row],[7B02 - Organ Systems
Raw Score]]),IFERROR(VLOOKUP(ROUND(STANDARDIZE(tblY7[[#This Row],[7B02 - Organ Systems
Raw Score]],AVERAGE(tblY7[[7B02 - Organ Systems
Raw Score]]),_xlfn.STDEV.P(tblY7[[7B02 - Organ Systems
Raw Score]])),9),_Stanine,2),5),"")</f>
        <v/>
      </c>
    </row>
    <row r="131">
      <c r="A131" s="65" t="inlineStr">
        <is>
          <t>X905045697123</t>
        </is>
      </c>
      <c r="B131" s="65" t="inlineStr">
        <is>
          <t>White</t>
        </is>
      </c>
      <c r="C131" s="65" t="inlineStr">
        <is>
          <t>Niamh</t>
        </is>
      </c>
      <c r="D131" s="66" t="inlineStr">
        <is>
          <t>M</t>
        </is>
      </c>
      <c r="E131" s="66" t="inlineStr">
        <is>
          <t>N</t>
        </is>
      </c>
      <c r="F131" s="66" t="inlineStr">
        <is>
          <t>Y</t>
        </is>
      </c>
      <c r="G131" s="34" t="n">
        <v>88.09999999999999</v>
      </c>
      <c r="H131" s="34" t="n">
        <v>113</v>
      </c>
      <c r="I131" s="67">
        <f>IF(ISNUMBER(tblY7[[#This Row],[Avg KS2]]),IFERROR(VLOOKUP(ROUND(STANDARDIZE(tblY7[[#This Row],[Avg KS2]],AVERAGE(tblY7[[Avg KS2]]),_xlfn.STDEV.P(tblY7[[Avg KS2]])),9),_Stanine,2),5),"")</f>
        <v>7</v>
      </c>
      <c r="J131" s="66" t="inlineStr">
        <is>
          <t>7B/Sc3</t>
        </is>
      </c>
      <c r="K131" s="67">
        <f>IF(tblY7[[#This Row],[Preferred Last name]]="","",COUNTIFS($N$1:$ZZ$1,"*"&amp;CHAR(10)&amp;"Stanine",$N131:$ZZ131,"&gt;=1"))</f>
        <v>4</v>
      </c>
      <c r="L131" s="68">
        <f>IFERROR(AVERAGEIF($N$1:$ZZ$1,"*"&amp;CHAR(10)&amp;"Stanine",$N131:$ZZ131),"")</f>
        <v>7.25</v>
      </c>
      <c r="M131" s="69">
        <f>IF(AND(ISNUMBER(tblY7[[#This Row],[Mean Stanine]]),ISNUMBER(tblY7[[#This Row],[Avg KS2 Band]]),ISNUMBER(SlopeY7)),tblY7[[#This Row],[Mean Stanine]]-(InterceptY7+SlopeY7*tblY7[[#This Row],[Avg KS2 Band]]),"")</f>
        <v>0.853741800834825</v>
      </c>
      <c r="N131" s="66" t="n">
        <v>26</v>
      </c>
      <c r="O131" s="67">
        <f>IF(ISNUMBER(tblY7[[#This Row],[7B01 - Cells
Raw Score]]),IFERROR(VLOOKUP(ROUND(STANDARDIZE(tblY7[[#This Row],[7B01 - Cells
Raw Score]],AVERAGE(tblY7[[7B01 - Cells
Raw Score]]),_xlfn.STDEV.P(tblY7[[7B01 - Cells
Raw Score]])),9),_Stanine,2),5),"")</f>
        <v>8</v>
      </c>
      <c r="P131" s="66" t="n">
        <v>23</v>
      </c>
      <c r="Q131" s="67">
        <f>IF(ISNUMBER(tblY7[[#This Row],[7C01 - Particles
Raw Score]]),IFERROR(VLOOKUP(ROUND(STANDARDIZE(tblY7[[#This Row],[7C01 - Particles
Raw Score]],AVERAGE(tblY7[[7C01 - Particles
Raw Score]]),_xlfn.STDEV.P(tblY7[[7C01 - Particles
Raw Score]])),9),_Stanine,2),5),"")</f>
        <v>7</v>
      </c>
      <c r="R131" s="66" t="n">
        <v>27</v>
      </c>
      <c r="S131" s="67">
        <f>IF(ISNUMBER(tblY7[[#This Row],[7P01 - Forces
Raw Score]]),IFERROR(VLOOKUP(ROUND(STANDARDIZE(tblY7[[#This Row],[7P01 - Forces
Raw Score]],AVERAGE(tblY7[[7P01 - Forces
Raw Score]]),_xlfn.STDEV.P(tblY7[[7P01 - Forces
Raw Score]])),9),_Stanine,2),5),"")</f>
        <v>7</v>
      </c>
      <c r="T131" s="66" t="n">
        <v>23</v>
      </c>
      <c r="U131" s="67">
        <f>IF(ISNUMBER(tblY7[[#This Row],[7B02 - Organ Systems
Raw Score]]),IFERROR(VLOOKUP(ROUND(STANDARDIZE(tblY7[[#This Row],[7B02 - Organ Systems
Raw Score]],AVERAGE(tblY7[[7B02 - Organ Systems
Raw Score]]),_xlfn.STDEV.P(tblY7[[7B02 - Organ Systems
Raw Score]])),9),_Stanine,2),5),"")</f>
        <v>7</v>
      </c>
    </row>
    <row r="132">
      <c r="A132" s="65" t="inlineStr">
        <is>
          <t>X904388173014</t>
        </is>
      </c>
      <c r="B132" s="65" t="inlineStr">
        <is>
          <t>Williams</t>
        </is>
      </c>
      <c r="C132" s="65" t="inlineStr">
        <is>
          <t>Tomasz</t>
        </is>
      </c>
      <c r="D132" s="66" t="inlineStr">
        <is>
          <t>M</t>
        </is>
      </c>
      <c r="E132" s="66" t="n"/>
      <c r="F132" s="66" t="inlineStr">
        <is>
          <t>N</t>
        </is>
      </c>
      <c r="G132" s="34" t="n">
        <v>100</v>
      </c>
      <c r="H132" s="34" t="n">
        <v>108.5</v>
      </c>
      <c r="I132" s="67">
        <f>IF(ISNUMBER(tblY7[[#This Row],[Avg KS2]]),IFERROR(VLOOKUP(ROUND(STANDARDIZE(tblY7[[#This Row],[Avg KS2]],AVERAGE(tblY7[[Avg KS2]]),_xlfn.STDEV.P(tblY7[[Avg KS2]])),9),_Stanine,2),5),"")</f>
        <v>6</v>
      </c>
      <c r="J132" s="66" t="inlineStr">
        <is>
          <t>7B/Sc3</t>
        </is>
      </c>
      <c r="K132" s="67">
        <f>IF(tblY7[[#This Row],[Preferred Last name]]="","",COUNTIFS($N$1:$ZZ$1,"*"&amp;CHAR(10)&amp;"Stanine",$N132:$ZZ132,"&gt;=1"))</f>
        <v>3</v>
      </c>
      <c r="L132" s="68">
        <f>IFERROR(AVERAGEIF($N$1:$ZZ$1,"*"&amp;CHAR(10)&amp;"Stanine",$N132:$ZZ132),"")</f>
        <v>4</v>
      </c>
      <c r="M132" s="69">
        <f>IF(AND(ISNUMBER(tblY7[[#This Row],[Mean Stanine]]),ISNUMBER(tblY7[[#This Row],[Avg KS2 Band]]),ISNUMBER(SlopeY7)),tblY7[[#This Row],[Mean Stanine]]-(InterceptY7+SlopeY7*tblY7[[#This Row],[Avg KS2 Band]]),"")</f>
        <v>-1.70197525342874</v>
      </c>
      <c r="N132" s="66" t="n">
        <v>14</v>
      </c>
      <c r="O132" s="67">
        <f>IF(ISNUMBER(tblY7[[#This Row],[7B01 - Cells
Raw Score]]),IFERROR(VLOOKUP(ROUND(STANDARDIZE(tblY7[[#This Row],[7B01 - Cells
Raw Score]],AVERAGE(tblY7[[7B01 - Cells
Raw Score]]),_xlfn.STDEV.P(tblY7[[7B01 - Cells
Raw Score]])),9),_Stanine,2),5),"")</f>
        <v>4</v>
      </c>
      <c r="P132" s="66" t="inlineStr">
        <is>
          <t>A</t>
        </is>
      </c>
      <c r="Q132" s="67" t="str">
        <f>IF(ISNUMBER(tblY7[[#This Row],[7C01 - Particles
Raw Score]]),IFERROR(VLOOKUP(ROUND(STANDARDIZE(tblY7[[#This Row],[7C01 - Particles
Raw Score]],AVERAGE(tblY7[[7C01 - Particles
Raw Score]]),_xlfn.STDEV.P(tblY7[[7C01 - Particles
Raw Score]])),9),_Stanine,2),5),"")</f>
        <v/>
      </c>
      <c r="R132" s="66" t="n">
        <v>19</v>
      </c>
      <c r="S132" s="67">
        <f>IF(ISNUMBER(tblY7[[#This Row],[7P01 - Forces
Raw Score]]),IFERROR(VLOOKUP(ROUND(STANDARDIZE(tblY7[[#This Row],[7P01 - Forces
Raw Score]],AVERAGE(tblY7[[7P01 - Forces
Raw Score]]),_xlfn.STDEV.P(tblY7[[7P01 - Forces
Raw Score]])),9),_Stanine,2),5),"")</f>
        <v>4</v>
      </c>
      <c r="T132" s="66" t="n">
        <v>15</v>
      </c>
      <c r="U132" s="67">
        <f>IF(ISNUMBER(tblY7[[#This Row],[7B02 - Organ Systems
Raw Score]]),IFERROR(VLOOKUP(ROUND(STANDARDIZE(tblY7[[#This Row],[7B02 - Organ Systems
Raw Score]],AVERAGE(tblY7[[7B02 - Organ Systems
Raw Score]]),_xlfn.STDEV.P(tblY7[[7B02 - Organ Systems
Raw Score]])),9),_Stanine,2),5),"")</f>
        <v>4</v>
      </c>
    </row>
  </sheetData>
  <conditionalFormatting sqref="I2:I132">
    <cfRule type="iconSet" priority="1">
      <iconSet iconSet="3TrafficLights1">
        <cfvo type="percent" val="0"/>
        <cfvo type="num" val="4"/>
        <cfvo type="num" val="7"/>
      </iconSet>
    </cfRule>
  </conditionalFormatting>
  <conditionalFormatting sqref="L2:L132">
    <cfRule type="iconSet" priority="2">
      <iconSet iconSet="3TrafficLights1">
        <cfvo type="percent" val="0"/>
        <cfvo type="num" val="3.5"/>
        <cfvo type="num" val="6.5"/>
      </iconSet>
    </cfRule>
  </conditionalFormatting>
  <conditionalFormatting sqref="M2:M132">
    <cfRule type="iconSet" priority="3">
      <iconSet iconSet="3Arrows">
        <cfvo type="percent" val="0"/>
        <cfvo type="num" val="-0.99"/>
        <cfvo type="num" val="1"/>
      </iconSet>
    </cfRule>
  </conditionalFormatting>
  <conditionalFormatting sqref="O2:O132">
    <cfRule type="iconSet" priority="4">
      <iconSet iconSet="3TrafficLights1">
        <cfvo type="percent" val="0"/>
        <cfvo type="num" val="4"/>
        <cfvo type="num" val="7"/>
      </iconSet>
    </cfRule>
  </conditionalFormatting>
  <conditionalFormatting sqref="Q2:Q132">
    <cfRule type="iconSet" priority="5">
      <iconSet iconSet="3TrafficLights1">
        <cfvo type="percent" val="0"/>
        <cfvo type="num" val="4"/>
        <cfvo type="num" val="7"/>
      </iconSet>
    </cfRule>
  </conditionalFormatting>
  <conditionalFormatting sqref="S2:S132">
    <cfRule type="iconSet" priority="6">
      <iconSet iconSet="3TrafficLights1">
        <cfvo type="percent" val="0"/>
        <cfvo type="num" val="4"/>
        <cfvo type="num" val="7"/>
      </iconSet>
    </cfRule>
  </conditionalFormatting>
  <conditionalFormatting sqref="U2:U132">
    <cfRule type="iconSet" priority="7">
      <iconSet iconSet="3TrafficLights1">
        <cfvo type="percent" val="0"/>
        <cfvo type="num" val="4"/>
        <cfvo type="num" val="7"/>
      </iconSet>
    </cfRule>
  </conditionalFormatting>
  <dataValidations count="4">
    <dataValidation sqref="N2:N132" showDropDown="0" showInputMessage="0" showErrorMessage="1" allowBlank="1" errorTitle="Score out of range" error="Type a mark from 0 to 30, or A for absent. Leave the cell blank if the student has not sat the test yet." type="custom">
      <formula1>OR(UPPER(N2)="A",AND(ISNUMBER(N2),N2&gt;=0,N2&lt;=30))</formula1>
    </dataValidation>
    <dataValidation sqref="P2:P132" showDropDown="0" showInputMessage="0" showErrorMessage="1" allowBlank="1" errorTitle="Score out of range" error="Type a mark from 0 to 25, or A for absent. Leave the cell blank if the student has not sat the test yet." type="custom">
      <formula1>OR(UPPER(P2)="A",AND(ISNUMBER(P2),P2&gt;=0,P2&lt;=25))</formula1>
    </dataValidation>
    <dataValidation sqref="R2:R132" showDropDown="0" showInputMessage="0" showErrorMessage="1" allowBlank="1" errorTitle="Score out of range" error="Type a mark from 0 to 30, or A for absent. Leave the cell blank if the student has not sat the test yet." type="custom">
      <formula1>OR(UPPER(R2)="A",AND(ISNUMBER(R2),R2&gt;=0,R2&lt;=30))</formula1>
    </dataValidation>
    <dataValidation sqref="T2:T132" showDropDown="0" showInputMessage="0" showErrorMessage="1" allowBlank="1" errorTitle="Score out of range" error="Type a mark from 0 to 28, or A for absent. Leave the cell blank if the student has not sat the test yet." type="custom">
      <formula1>OR(UPPER(T2)="A",AND(ISNUMBER(T2),T2&gt;=0,T2&lt;=28))</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6.xml><?xml version="1.0" encoding="utf-8"?>
<worksheet xmlns="http://schemas.openxmlformats.org/spreadsheetml/2006/main">
  <sheetPr codeName="shY8">
    <outlinePr summaryBelow="1" summaryRight="1"/>
    <pageSetUpPr/>
  </sheetPr>
  <dimension ref="A1:W94"/>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 width="6.7" customWidth="1" min="22" max="22"/>
    <col width="6.7" customWidth="1" min="23" max="23"/>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8C01 - Periodic Table
Raw Score</t>
        </is>
      </c>
      <c r="O1" s="63" t="inlineStr">
        <is>
          <t>8C01 - Periodic Table
Stanine</t>
        </is>
      </c>
      <c r="P1" s="64" t="inlineStr">
        <is>
          <t>8P01 - Energy
Raw Score</t>
        </is>
      </c>
      <c r="Q1" s="64" t="inlineStr">
        <is>
          <t>8P01 - Energy
Stanine</t>
        </is>
      </c>
      <c r="R1" s="63" t="inlineStr">
        <is>
          <t>8B01 - Digestion
Raw Score</t>
        </is>
      </c>
      <c r="S1" s="63" t="inlineStr">
        <is>
          <t>8B01 - Digestion
Stanine</t>
        </is>
      </c>
      <c r="T1" s="64" t="inlineStr">
        <is>
          <t>8C02 - Metals and Acids
Raw Score</t>
        </is>
      </c>
      <c r="U1" s="64" t="inlineStr">
        <is>
          <t>8C02 - Metals and Acids
Stanine</t>
        </is>
      </c>
      <c r="V1" s="63" t="inlineStr">
        <is>
          <t>8P02 - Light
Raw Score</t>
        </is>
      </c>
      <c r="W1" s="63" t="inlineStr">
        <is>
          <t>8P02 - Light
Stanine</t>
        </is>
      </c>
    </row>
    <row r="2">
      <c r="A2" s="65" t="inlineStr">
        <is>
          <t>X906863152979</t>
        </is>
      </c>
      <c r="B2" s="65" t="inlineStr">
        <is>
          <t>Adeyemi</t>
        </is>
      </c>
      <c r="C2" s="65" t="inlineStr">
        <is>
          <t>Hannah</t>
        </is>
      </c>
      <c r="D2" s="66" t="inlineStr">
        <is>
          <t>M</t>
        </is>
      </c>
      <c r="E2" s="66" t="n"/>
      <c r="F2" s="66" t="inlineStr">
        <is>
          <t>N</t>
        </is>
      </c>
      <c r="G2" s="34" t="n">
        <v>89.40000000000001</v>
      </c>
      <c r="H2" s="34" t="n">
        <v>112.5</v>
      </c>
      <c r="I2" s="67">
        <f>IF(ISNUMBER(tblY8[[#This Row],[Avg KS2]]),IFERROR(VLOOKUP(ROUND(STANDARDIZE(tblY8[[#This Row],[Avg KS2]],AVERAGE(tblY8[[Avg KS2]]),_xlfn.STDEV.P(tblY8[[Avg KS2]])),9),_Stanine,2),5),"")</f>
        <v>8</v>
      </c>
      <c r="J2" s="66" t="inlineStr">
        <is>
          <t>8A/Sc1</t>
        </is>
      </c>
      <c r="K2" s="67">
        <f>IF(tblY8[[#This Row],[Preferred Last name]]="","",COUNTIFS($N$1:$ZZ$1,"*"&amp;CHAR(10)&amp;"Stanine",$N2:$ZZ2,"&gt;=1"))</f>
        <v>5</v>
      </c>
      <c r="L2" s="68">
        <f>IFERROR(AVERAGEIF($N$1:$ZZ$1,"*"&amp;CHAR(10)&amp;"Stanine",$N2:$ZZ2),"")</f>
        <v>8.4</v>
      </c>
      <c r="M2" s="69">
        <f>IF(AND(ISNUMBER(tblY8[[#This Row],[Mean Stanine]]),ISNUMBER(tblY8[[#This Row],[Avg KS2 Band]]),ISNUMBER(SlopeY8)),tblY8[[#This Row],[Mean Stanine]]-(InterceptY8+SlopeY8*tblY8[[#This Row],[Avg KS2 Band]]),"")</f>
        <v>1.1214071136746</v>
      </c>
      <c r="N2" s="66" t="n">
        <v>27</v>
      </c>
      <c r="O2" s="67">
        <f>IF(ISNUMBER(tblY8[[#This Row],[8C01 - Periodic Table
Raw Score]]),IFERROR(VLOOKUP(ROUND(STANDARDIZE(tblY8[[#This Row],[8C01 - Periodic Table
Raw Score]],AVERAGE(tblY8[[8C01 - Periodic Table
Raw Score]]),_xlfn.STDEV.P(tblY8[[8C01 - Periodic Table
Raw Score]])),9),_Stanine,2),5),"")</f>
        <v>8</v>
      </c>
      <c r="P2" s="66" t="n">
        <v>19</v>
      </c>
      <c r="Q2" s="67">
        <f>IF(ISNUMBER(tblY8[[#This Row],[8P01 - Energy
Raw Score]]),IFERROR(VLOOKUP(ROUND(STANDARDIZE(tblY8[[#This Row],[8P01 - Energy
Raw Score]],AVERAGE(tblY8[[8P01 - Energy
Raw Score]]),_xlfn.STDEV.P(tblY8[[8P01 - Energy
Raw Score]])),9),_Stanine,2),5),"")</f>
        <v>8</v>
      </c>
      <c r="R2" s="66" t="n">
        <v>26</v>
      </c>
      <c r="S2" s="67">
        <f>IF(ISNUMBER(tblY8[[#This Row],[8B01 - Digestion
Raw Score]]),IFERROR(VLOOKUP(ROUND(STANDARDIZE(tblY8[[#This Row],[8B01 - Digestion
Raw Score]],AVERAGE(tblY8[[8B01 - Digestion
Raw Score]]),_xlfn.STDEV.P(tblY8[[8B01 - Digestion
Raw Score]])),9),_Stanine,2),5),"")</f>
        <v>9</v>
      </c>
      <c r="T2" s="66" t="n">
        <v>21</v>
      </c>
      <c r="U2" s="67">
        <f>IF(ISNUMBER(tblY8[[#This Row],[8C02 - Metals and Acids
Raw Score]]),IFERROR(VLOOKUP(ROUND(STANDARDIZE(tblY8[[#This Row],[8C02 - Metals and Acids
Raw Score]],AVERAGE(tblY8[[8C02 - Metals and Acids
Raw Score]]),_xlfn.STDEV.P(tblY8[[8C02 - Metals and Acids
Raw Score]])),9),_Stanine,2),5),"")</f>
        <v>9</v>
      </c>
      <c r="V2" s="66" t="n">
        <v>21</v>
      </c>
      <c r="W2" s="67">
        <f>IF(ISNUMBER(tblY8[[#This Row],[8P02 - Light
Raw Score]]),IFERROR(VLOOKUP(ROUND(STANDARDIZE(tblY8[[#This Row],[8P02 - Light
Raw Score]],AVERAGE(tblY8[[8P02 - Light
Raw Score]]),_xlfn.STDEV.P(tblY8[[8P02 - Light
Raw Score]])),9),_Stanine,2),5),"")</f>
        <v>8</v>
      </c>
    </row>
    <row r="3">
      <c r="A3" s="65" t="inlineStr">
        <is>
          <t>X903495682420</t>
        </is>
      </c>
      <c r="B3" s="65" t="inlineStr">
        <is>
          <t>Ahmed</t>
        </is>
      </c>
      <c r="C3" s="65" t="inlineStr">
        <is>
          <t>Evie</t>
        </is>
      </c>
      <c r="D3" s="66" t="inlineStr">
        <is>
          <t>F</t>
        </is>
      </c>
      <c r="E3" s="66" t="n"/>
      <c r="F3" s="66" t="inlineStr">
        <is>
          <t>N</t>
        </is>
      </c>
      <c r="G3" s="34" t="n">
        <v>92.90000000000001</v>
      </c>
      <c r="H3" s="34" t="n">
        <v>116</v>
      </c>
      <c r="I3" s="67">
        <f>IF(ISNUMBER(tblY8[[#This Row],[Avg KS2]]),IFERROR(VLOOKUP(ROUND(STANDARDIZE(tblY8[[#This Row],[Avg KS2]],AVERAGE(tblY8[[Avg KS2]]),_xlfn.STDEV.P(tblY8[[Avg KS2]])),9),_Stanine,2),5),"")</f>
        <v>9</v>
      </c>
      <c r="J3" s="66" t="inlineStr">
        <is>
          <t>8A/Sc1</t>
        </is>
      </c>
      <c r="K3" s="67">
        <f>IF(tblY8[[#This Row],[Preferred Last name]]="","",COUNTIFS($N$1:$ZZ$1,"*"&amp;CHAR(10)&amp;"Stanine",$N3:$ZZ3,"&gt;=1"))</f>
        <v>5</v>
      </c>
      <c r="L3" s="68">
        <f>IFERROR(AVERAGEIF($N$1:$ZZ$1,"*"&amp;CHAR(10)&amp;"Stanine",$N3:$ZZ3),"")</f>
        <v>7.8</v>
      </c>
      <c r="M3" s="69">
        <f>IF(AND(ISNUMBER(tblY8[[#This Row],[Mean Stanine]]),ISNUMBER(tblY8[[#This Row],[Avg KS2 Band]]),ISNUMBER(SlopeY8)),tblY8[[#This Row],[Mean Stanine]]-(InterceptY8+SlopeY8*tblY8[[#This Row],[Avg KS2 Band]]),"")</f>
        <v>-0.257504205719779</v>
      </c>
      <c r="N3" s="66" t="n">
        <v>28</v>
      </c>
      <c r="O3" s="67">
        <f>IF(ISNUMBER(tblY8[[#This Row],[8C01 - Periodic Table
Raw Score]]),IFERROR(VLOOKUP(ROUND(STANDARDIZE(tblY8[[#This Row],[8C01 - Periodic Table
Raw Score]],AVERAGE(tblY8[[8C01 - Periodic Table
Raw Score]]),_xlfn.STDEV.P(tblY8[[8C01 - Periodic Table
Raw Score]])),9),_Stanine,2),5),"")</f>
        <v>8</v>
      </c>
      <c r="P3" s="66" t="n">
        <v>18</v>
      </c>
      <c r="Q3" s="67">
        <f>IF(ISNUMBER(tblY8[[#This Row],[8P01 - Energy
Raw Score]]),IFERROR(VLOOKUP(ROUND(STANDARDIZE(tblY8[[#This Row],[8P01 - Energy
Raw Score]],AVERAGE(tblY8[[8P01 - Energy
Raw Score]]),_xlfn.STDEV.P(tblY8[[8P01 - Energy
Raw Score]])),9),_Stanine,2),5),"")</f>
        <v>8</v>
      </c>
      <c r="R3" s="66" t="n">
        <v>22</v>
      </c>
      <c r="S3" s="67">
        <f>IF(ISNUMBER(tblY8[[#This Row],[8B01 - Digestion
Raw Score]]),IFERROR(VLOOKUP(ROUND(STANDARDIZE(tblY8[[#This Row],[8B01 - Digestion
Raw Score]],AVERAGE(tblY8[[8B01 - Digestion
Raw Score]]),_xlfn.STDEV.P(tblY8[[8B01 - Digestion
Raw Score]])),9),_Stanine,2),5),"")</f>
        <v>8</v>
      </c>
      <c r="T3" s="66" t="n">
        <v>19</v>
      </c>
      <c r="U3" s="67">
        <f>IF(ISNUMBER(tblY8[[#This Row],[8C02 - Metals and Acids
Raw Score]]),IFERROR(VLOOKUP(ROUND(STANDARDIZE(tblY8[[#This Row],[8C02 - Metals and Acids
Raw Score]],AVERAGE(tblY8[[8C02 - Metals and Acids
Raw Score]]),_xlfn.STDEV.P(tblY8[[8C02 - Metals and Acids
Raw Score]])),9),_Stanine,2),5),"")</f>
        <v>8</v>
      </c>
      <c r="V3" s="66" t="n">
        <v>20</v>
      </c>
      <c r="W3" s="67">
        <f>IF(ISNUMBER(tblY8[[#This Row],[8P02 - Light
Raw Score]]),IFERROR(VLOOKUP(ROUND(STANDARDIZE(tblY8[[#This Row],[8P02 - Light
Raw Score]],AVERAGE(tblY8[[8P02 - Light
Raw Score]]),_xlfn.STDEV.P(tblY8[[8P02 - Light
Raw Score]])),9),_Stanine,2),5),"")</f>
        <v>7</v>
      </c>
    </row>
    <row r="4">
      <c r="A4" s="65" t="inlineStr">
        <is>
          <t>X909722358870</t>
        </is>
      </c>
      <c r="B4" s="65" t="inlineStr">
        <is>
          <t>Bennett</t>
        </is>
      </c>
      <c r="C4" s="65" t="inlineStr">
        <is>
          <t>Lily</t>
        </is>
      </c>
      <c r="D4" s="66" t="inlineStr">
        <is>
          <t>M</t>
        </is>
      </c>
      <c r="E4" s="66" t="inlineStr">
        <is>
          <t>N</t>
        </is>
      </c>
      <c r="F4" s="66" t="inlineStr">
        <is>
          <t>N</t>
        </is>
      </c>
      <c r="G4" s="34" t="n">
        <v>85.2</v>
      </c>
      <c r="H4" s="34" t="n">
        <v>103</v>
      </c>
      <c r="I4" s="67">
        <f>IF(ISNUMBER(tblY8[[#This Row],[Avg KS2]]),IFERROR(VLOOKUP(ROUND(STANDARDIZE(tblY8[[#This Row],[Avg KS2]],AVERAGE(tblY8[[Avg KS2]]),_xlfn.STDEV.P(tblY8[[Avg KS2]])),9),_Stanine,2),5),"")</f>
        <v>4</v>
      </c>
      <c r="J4" s="66" t="inlineStr">
        <is>
          <t>8A/Sc1</t>
        </is>
      </c>
      <c r="K4" s="67">
        <f>IF(tblY8[[#This Row],[Preferred Last name]]="","",COUNTIFS($N$1:$ZZ$1,"*"&amp;CHAR(10)&amp;"Stanine",$N4:$ZZ4,"&gt;=1"))</f>
        <v>5</v>
      </c>
      <c r="L4" s="68">
        <f>IFERROR(AVERAGEIF($N$1:$ZZ$1,"*"&amp;CHAR(10)&amp;"Stanine",$N4:$ZZ4),"")</f>
        <v>6</v>
      </c>
      <c r="M4" s="69">
        <f>IF(AND(ISNUMBER(tblY8[[#This Row],[Mean Stanine]]),ISNUMBER(tblY8[[#This Row],[Avg KS2 Band]]),ISNUMBER(SlopeY8)),tblY8[[#This Row],[Mean Stanine]]-(InterceptY8+SlopeY8*tblY8[[#This Row],[Avg KS2 Band]]),"")</f>
        <v>1.8370523912521</v>
      </c>
      <c r="N4" s="66" t="n">
        <v>21</v>
      </c>
      <c r="O4" s="67">
        <f>IF(ISNUMBER(tblY8[[#This Row],[8C01 - Periodic Table
Raw Score]]),IFERROR(VLOOKUP(ROUND(STANDARDIZE(tblY8[[#This Row],[8C01 - Periodic Table
Raw Score]],AVERAGE(tblY8[[8C01 - Periodic Table
Raw Score]]),_xlfn.STDEV.P(tblY8[[8C01 - Periodic Table
Raw Score]])),9),_Stanine,2),5),"")</f>
        <v>6</v>
      </c>
      <c r="P4" s="66" t="n">
        <v>10</v>
      </c>
      <c r="Q4" s="67">
        <f>IF(ISNUMBER(tblY8[[#This Row],[8P01 - Energy
Raw Score]]),IFERROR(VLOOKUP(ROUND(STANDARDIZE(tblY8[[#This Row],[8P01 - Energy
Raw Score]],AVERAGE(tblY8[[8P01 - Energy
Raw Score]]),_xlfn.STDEV.P(tblY8[[8P01 - Energy
Raw Score]])),9),_Stanine,2),5),"")</f>
        <v>5</v>
      </c>
      <c r="R4" s="66" t="n">
        <v>15</v>
      </c>
      <c r="S4" s="67">
        <f>IF(ISNUMBER(tblY8[[#This Row],[8B01 - Digestion
Raw Score]]),IFERROR(VLOOKUP(ROUND(STANDARDIZE(tblY8[[#This Row],[8B01 - Digestion
Raw Score]],AVERAGE(tblY8[[8B01 - Digestion
Raw Score]]),_xlfn.STDEV.P(tblY8[[8B01 - Digestion
Raw Score]])),9),_Stanine,2),5),"")</f>
        <v>5</v>
      </c>
      <c r="T4" s="66" t="n">
        <v>16</v>
      </c>
      <c r="U4" s="67">
        <f>IF(ISNUMBER(tblY8[[#This Row],[8C02 - Metals and Acids
Raw Score]]),IFERROR(VLOOKUP(ROUND(STANDARDIZE(tblY8[[#This Row],[8C02 - Metals and Acids
Raw Score]],AVERAGE(tblY8[[8C02 - Metals and Acids
Raw Score]]),_xlfn.STDEV.P(tblY8[[8C02 - Metals and Acids
Raw Score]])),9),_Stanine,2),5),"")</f>
        <v>7</v>
      </c>
      <c r="V4" s="66" t="n">
        <v>19</v>
      </c>
      <c r="W4" s="67">
        <f>IF(ISNUMBER(tblY8[[#This Row],[8P02 - Light
Raw Score]]),IFERROR(VLOOKUP(ROUND(STANDARDIZE(tblY8[[#This Row],[8P02 - Light
Raw Score]],AVERAGE(tblY8[[8P02 - Light
Raw Score]]),_xlfn.STDEV.P(tblY8[[8P02 - Light
Raw Score]])),9),_Stanine,2),5),"")</f>
        <v>7</v>
      </c>
    </row>
    <row r="5">
      <c r="A5" s="65" t="inlineStr">
        <is>
          <t>X900604320344</t>
        </is>
      </c>
      <c r="B5" s="65" t="inlineStr">
        <is>
          <t>Bennett</t>
        </is>
      </c>
      <c r="C5" s="65" t="inlineStr">
        <is>
          <t>Seren</t>
        </is>
      </c>
      <c r="D5" s="66" t="inlineStr">
        <is>
          <t>F</t>
        </is>
      </c>
      <c r="E5" s="66" t="inlineStr">
        <is>
          <t>N</t>
        </is>
      </c>
      <c r="F5" s="66" t="inlineStr">
        <is>
          <t>N</t>
        </is>
      </c>
      <c r="G5" s="34" t="n">
        <v>87.3</v>
      </c>
      <c r="H5" s="34" t="n">
        <v>107</v>
      </c>
      <c r="I5" s="67">
        <f>IF(ISNUMBER(tblY8[[#This Row],[Avg KS2]]),IFERROR(VLOOKUP(ROUND(STANDARDIZE(tblY8[[#This Row],[Avg KS2]],AVERAGE(tblY8[[Avg KS2]]),_xlfn.STDEV.P(tblY8[[Avg KS2]])),9),_Stanine,2),5),"")</f>
        <v>6</v>
      </c>
      <c r="J5" s="66" t="inlineStr">
        <is>
          <t>8A/Sc1</t>
        </is>
      </c>
      <c r="K5" s="67">
        <f>IF(tblY8[[#This Row],[Preferred Last name]]="","",COUNTIFS($N$1:$ZZ$1,"*"&amp;CHAR(10)&amp;"Stanine",$N5:$ZZ5,"&gt;=1"))</f>
        <v>5</v>
      </c>
      <c r="L5" s="68">
        <f>IFERROR(AVERAGEIF($N$1:$ZZ$1,"*"&amp;CHAR(10)&amp;"Stanine",$N5:$ZZ5),"")</f>
        <v>6</v>
      </c>
      <c r="M5" s="69">
        <f>IF(AND(ISNUMBER(tblY8[[#This Row],[Mean Stanine]]),ISNUMBER(tblY8[[#This Row],[Avg KS2 Band]]),ISNUMBER(SlopeY8)),tblY8[[#This Row],[Mean Stanine]]-(InterceptY8+SlopeY8*tblY8[[#This Row],[Avg KS2 Band]]),"")</f>
        <v>0.27922975246335</v>
      </c>
      <c r="N5" s="66" t="n">
        <v>20</v>
      </c>
      <c r="O5" s="67">
        <f>IF(ISNUMBER(tblY8[[#This Row],[8C01 - Periodic Table
Raw Score]]),IFERROR(VLOOKUP(ROUND(STANDARDIZE(tblY8[[#This Row],[8C01 - Periodic Table
Raw Score]],AVERAGE(tblY8[[8C01 - Periodic Table
Raw Score]]),_xlfn.STDEV.P(tblY8[[8C01 - Periodic Table
Raw Score]])),9),_Stanine,2),5),"")</f>
        <v>6</v>
      </c>
      <c r="P5" s="66" t="n">
        <v>15</v>
      </c>
      <c r="Q5" s="67">
        <f>IF(ISNUMBER(tblY8[[#This Row],[8P01 - Energy
Raw Score]]),IFERROR(VLOOKUP(ROUND(STANDARDIZE(tblY8[[#This Row],[8P01 - Energy
Raw Score]],AVERAGE(tblY8[[8P01 - Energy
Raw Score]]),_xlfn.STDEV.P(tblY8[[8P01 - Energy
Raw Score]])),9),_Stanine,2),5),"")</f>
        <v>7</v>
      </c>
      <c r="R5" s="66" t="n">
        <v>13</v>
      </c>
      <c r="S5" s="67">
        <f>IF(ISNUMBER(tblY8[[#This Row],[8B01 - Digestion
Raw Score]]),IFERROR(VLOOKUP(ROUND(STANDARDIZE(tblY8[[#This Row],[8B01 - Digestion
Raw Score]],AVERAGE(tblY8[[8B01 - Digestion
Raw Score]]),_xlfn.STDEV.P(tblY8[[8B01 - Digestion
Raw Score]])),9),_Stanine,2),5),"")</f>
        <v>5</v>
      </c>
      <c r="T5" s="66" t="n">
        <v>16</v>
      </c>
      <c r="U5" s="67">
        <f>IF(ISNUMBER(tblY8[[#This Row],[8C02 - Metals and Acids
Raw Score]]),IFERROR(VLOOKUP(ROUND(STANDARDIZE(tblY8[[#This Row],[8C02 - Metals and Acids
Raw Score]],AVERAGE(tblY8[[8C02 - Metals and Acids
Raw Score]]),_xlfn.STDEV.P(tblY8[[8C02 - Metals and Acids
Raw Score]])),9),_Stanine,2),5),"")</f>
        <v>7</v>
      </c>
      <c r="V5" s="66" t="n">
        <v>16</v>
      </c>
      <c r="W5" s="67">
        <f>IF(ISNUMBER(tblY8[[#This Row],[8P02 - Light
Raw Score]]),IFERROR(VLOOKUP(ROUND(STANDARDIZE(tblY8[[#This Row],[8P02 - Light
Raw Score]],AVERAGE(tblY8[[8P02 - Light
Raw Score]]),_xlfn.STDEV.P(tblY8[[8P02 - Light
Raw Score]])),9),_Stanine,2),5),"")</f>
        <v>5</v>
      </c>
    </row>
    <row r="6">
      <c r="A6" s="65" t="inlineStr">
        <is>
          <t>X908699107732</t>
        </is>
      </c>
      <c r="B6" s="65" t="inlineStr">
        <is>
          <t>Bennett</t>
        </is>
      </c>
      <c r="C6" s="65" t="inlineStr">
        <is>
          <t>Seren</t>
        </is>
      </c>
      <c r="D6" s="66" t="inlineStr">
        <is>
          <t>F</t>
        </is>
      </c>
      <c r="E6" s="66" t="inlineStr">
        <is>
          <t>N</t>
        </is>
      </c>
      <c r="F6" s="66" t="inlineStr">
        <is>
          <t>N</t>
        </is>
      </c>
      <c r="G6" s="34" t="n">
        <v>91.8</v>
      </c>
      <c r="H6" s="34" t="n">
        <v>107</v>
      </c>
      <c r="I6" s="67">
        <f>IF(ISNUMBER(tblY8[[#This Row],[Avg KS2]]),IFERROR(VLOOKUP(ROUND(STANDARDIZE(tblY8[[#This Row],[Avg KS2]],AVERAGE(tblY8[[Avg KS2]]),_xlfn.STDEV.P(tblY8[[Avg KS2]])),9),_Stanine,2),5),"")</f>
        <v>6</v>
      </c>
      <c r="J6" s="66" t="inlineStr">
        <is>
          <t>8A/Sc1</t>
        </is>
      </c>
      <c r="K6" s="67">
        <f>IF(tblY8[[#This Row],[Preferred Last name]]="","",COUNTIFS($N$1:$ZZ$1,"*"&amp;CHAR(10)&amp;"Stanine",$N6:$ZZ6,"&gt;=1"))</f>
        <v>4</v>
      </c>
      <c r="L6" s="68">
        <f>IFERROR(AVERAGEIF($N$1:$ZZ$1,"*"&amp;CHAR(10)&amp;"Stanine",$N6:$ZZ6),"")</f>
        <v>6</v>
      </c>
      <c r="M6" s="69">
        <f>IF(AND(ISNUMBER(tblY8[[#This Row],[Mean Stanine]]),ISNUMBER(tblY8[[#This Row],[Avg KS2 Band]]),ISNUMBER(SlopeY8)),tblY8[[#This Row],[Mean Stanine]]-(InterceptY8+SlopeY8*tblY8[[#This Row],[Avg KS2 Band]]),"")</f>
        <v>0.27922975246335</v>
      </c>
      <c r="N6" s="66" t="inlineStr">
        <is>
          <t>A</t>
        </is>
      </c>
      <c r="O6" s="67" t="str">
        <f>IF(ISNUMBER(tblY8[[#This Row],[8C01 - Periodic Table
Raw Score]]),IFERROR(VLOOKUP(ROUND(STANDARDIZE(tblY8[[#This Row],[8C01 - Periodic Table
Raw Score]],AVERAGE(tblY8[[8C01 - Periodic Table
Raw Score]]),_xlfn.STDEV.P(tblY8[[8C01 - Periodic Table
Raw Score]])),9),_Stanine,2),5),"")</f>
        <v/>
      </c>
      <c r="P6" s="66" t="n">
        <v>13</v>
      </c>
      <c r="Q6" s="67">
        <f>IF(ISNUMBER(tblY8[[#This Row],[8P01 - Energy
Raw Score]]),IFERROR(VLOOKUP(ROUND(STANDARDIZE(tblY8[[#This Row],[8P01 - Energy
Raw Score]],AVERAGE(tblY8[[8P01 - Energy
Raw Score]]),_xlfn.STDEV.P(tblY8[[8P01 - Energy
Raw Score]])),9),_Stanine,2),5),"")</f>
        <v>6</v>
      </c>
      <c r="R6" s="66" t="n">
        <v>16</v>
      </c>
      <c r="S6" s="67">
        <f>IF(ISNUMBER(tblY8[[#This Row],[8B01 - Digestion
Raw Score]]),IFERROR(VLOOKUP(ROUND(STANDARDIZE(tblY8[[#This Row],[8B01 - Digestion
Raw Score]],AVERAGE(tblY8[[8B01 - Digestion
Raw Score]]),_xlfn.STDEV.P(tblY8[[8B01 - Digestion
Raw Score]])),9),_Stanine,2),5),"")</f>
        <v>6</v>
      </c>
      <c r="T6" s="66" t="n">
        <v>14</v>
      </c>
      <c r="U6" s="67">
        <f>IF(ISNUMBER(tblY8[[#This Row],[8C02 - Metals and Acids
Raw Score]]),IFERROR(VLOOKUP(ROUND(STANDARDIZE(tblY8[[#This Row],[8C02 - Metals and Acids
Raw Score]],AVERAGE(tblY8[[8C02 - Metals and Acids
Raw Score]]),_xlfn.STDEV.P(tblY8[[8C02 - Metals and Acids
Raw Score]])),9),_Stanine,2),5),"")</f>
        <v>6</v>
      </c>
      <c r="V6" s="66" t="n">
        <v>18</v>
      </c>
      <c r="W6" s="67">
        <f>IF(ISNUMBER(tblY8[[#This Row],[8P02 - Light
Raw Score]]),IFERROR(VLOOKUP(ROUND(STANDARDIZE(tblY8[[#This Row],[8P02 - Light
Raw Score]],AVERAGE(tblY8[[8P02 - Light
Raw Score]]),_xlfn.STDEV.P(tblY8[[8P02 - Light
Raw Score]])),9),_Stanine,2),5),"")</f>
        <v>6</v>
      </c>
    </row>
    <row r="7">
      <c r="A7" s="65" t="inlineStr">
        <is>
          <t>X907267711206</t>
        </is>
      </c>
      <c r="B7" s="65" t="inlineStr">
        <is>
          <t>Brown</t>
        </is>
      </c>
      <c r="C7" s="65" t="inlineStr">
        <is>
          <t>Megan</t>
        </is>
      </c>
      <c r="D7" s="66" t="inlineStr">
        <is>
          <t>F</t>
        </is>
      </c>
      <c r="E7" s="66" t="inlineStr">
        <is>
          <t>K</t>
        </is>
      </c>
      <c r="F7" s="66" t="inlineStr">
        <is>
          <t>Y</t>
        </is>
      </c>
      <c r="G7" s="34" t="n">
        <v>90.8</v>
      </c>
      <c r="H7" s="34" t="n">
        <v>117</v>
      </c>
      <c r="I7" s="67">
        <f>IF(ISNUMBER(tblY8[[#This Row],[Avg KS2]]),IFERROR(VLOOKUP(ROUND(STANDARDIZE(tblY8[[#This Row],[Avg KS2]],AVERAGE(tblY8[[Avg KS2]]),_xlfn.STDEV.P(tblY8[[Avg KS2]])),9),_Stanine,2),5),"")</f>
        <v>9</v>
      </c>
      <c r="J7" s="66" t="inlineStr">
        <is>
          <t>8A/Sc1</t>
        </is>
      </c>
      <c r="K7" s="67">
        <f>IF(tblY8[[#This Row],[Preferred Last name]]="","",COUNTIFS($N$1:$ZZ$1,"*"&amp;CHAR(10)&amp;"Stanine",$N7:$ZZ7,"&gt;=1"))</f>
        <v>5</v>
      </c>
      <c r="L7" s="68">
        <f>IFERROR(AVERAGEIF($N$1:$ZZ$1,"*"&amp;CHAR(10)&amp;"Stanine",$N7:$ZZ7),"")</f>
        <v>8.4</v>
      </c>
      <c r="M7" s="69">
        <f>IF(AND(ISNUMBER(tblY8[[#This Row],[Mean Stanine]]),ISNUMBER(tblY8[[#This Row],[Avg KS2 Band]]),ISNUMBER(SlopeY8)),tblY8[[#This Row],[Mean Stanine]]-(InterceptY8+SlopeY8*tblY8[[#This Row],[Avg KS2 Band]]),"")</f>
        <v>0.342495794280222</v>
      </c>
      <c r="N7" s="66" t="n">
        <v>27</v>
      </c>
      <c r="O7" s="67">
        <f>IF(ISNUMBER(tblY8[[#This Row],[8C01 - Periodic Table
Raw Score]]),IFERROR(VLOOKUP(ROUND(STANDARDIZE(tblY8[[#This Row],[8C01 - Periodic Table
Raw Score]],AVERAGE(tblY8[[8C01 - Periodic Table
Raw Score]]),_xlfn.STDEV.P(tblY8[[8C01 - Periodic Table
Raw Score]])),9),_Stanine,2),5),"")</f>
        <v>8</v>
      </c>
      <c r="P7" s="66" t="n">
        <v>20</v>
      </c>
      <c r="Q7" s="67">
        <f>IF(ISNUMBER(tblY8[[#This Row],[8P01 - Energy
Raw Score]]),IFERROR(VLOOKUP(ROUND(STANDARDIZE(tblY8[[#This Row],[8P01 - Energy
Raw Score]],AVERAGE(tblY8[[8P01 - Energy
Raw Score]]),_xlfn.STDEV.P(tblY8[[8P01 - Energy
Raw Score]])),9),_Stanine,2),5),"")</f>
        <v>9</v>
      </c>
      <c r="R7" s="66" t="n">
        <v>25</v>
      </c>
      <c r="S7" s="67">
        <f>IF(ISNUMBER(tblY8[[#This Row],[8B01 - Digestion
Raw Score]]),IFERROR(VLOOKUP(ROUND(STANDARDIZE(tblY8[[#This Row],[8B01 - Digestion
Raw Score]],AVERAGE(tblY8[[8B01 - Digestion
Raw Score]]),_xlfn.STDEV.P(tblY8[[8B01 - Digestion
Raw Score]])),9),_Stanine,2),5),"")</f>
        <v>9</v>
      </c>
      <c r="T7" s="66" t="n">
        <v>21</v>
      </c>
      <c r="U7" s="67">
        <f>IF(ISNUMBER(tblY8[[#This Row],[8C02 - Metals and Acids
Raw Score]]),IFERROR(VLOOKUP(ROUND(STANDARDIZE(tblY8[[#This Row],[8C02 - Metals and Acids
Raw Score]],AVERAGE(tblY8[[8C02 - Metals and Acids
Raw Score]]),_xlfn.STDEV.P(tblY8[[8C02 - Metals and Acids
Raw Score]])),9),_Stanine,2),5),"")</f>
        <v>9</v>
      </c>
      <c r="V7" s="66" t="n">
        <v>20</v>
      </c>
      <c r="W7" s="67">
        <f>IF(ISNUMBER(tblY8[[#This Row],[8P02 - Light
Raw Score]]),IFERROR(VLOOKUP(ROUND(STANDARDIZE(tblY8[[#This Row],[8P02 - Light
Raw Score]],AVERAGE(tblY8[[8P02 - Light
Raw Score]]),_xlfn.STDEV.P(tblY8[[8P02 - Light
Raw Score]])),9),_Stanine,2),5),"")</f>
        <v>7</v>
      </c>
    </row>
    <row r="8">
      <c r="A8" s="65" t="inlineStr">
        <is>
          <t>X901647503146</t>
        </is>
      </c>
      <c r="B8" s="65" t="inlineStr">
        <is>
          <t>Edwards</t>
        </is>
      </c>
      <c r="C8" s="65" t="inlineStr">
        <is>
          <t>Theo</t>
        </is>
      </c>
      <c r="D8" s="66" t="inlineStr">
        <is>
          <t>M</t>
        </is>
      </c>
      <c r="E8" s="66" t="inlineStr">
        <is>
          <t>N</t>
        </is>
      </c>
      <c r="F8" s="66" t="inlineStr">
        <is>
          <t>Y</t>
        </is>
      </c>
      <c r="G8" s="34" t="n">
        <v>95.40000000000001</v>
      </c>
      <c r="H8" s="34" t="n">
        <v>115</v>
      </c>
      <c r="I8" s="67">
        <f>IF(ISNUMBER(tblY8[[#This Row],[Avg KS2]]),IFERROR(VLOOKUP(ROUND(STANDARDIZE(tblY8[[#This Row],[Avg KS2]],AVERAGE(tblY8[[Avg KS2]]),_xlfn.STDEV.P(tblY8[[Avg KS2]])),9),_Stanine,2),5),"")</f>
        <v>9</v>
      </c>
      <c r="J8" s="66" t="inlineStr">
        <is>
          <t>8A/Sc1</t>
        </is>
      </c>
      <c r="K8" s="67">
        <f>IF(tblY8[[#This Row],[Preferred Last name]]="","",COUNTIFS($N$1:$ZZ$1,"*"&amp;CHAR(10)&amp;"Stanine",$N8:$ZZ8,"&gt;=1"))</f>
        <v>5</v>
      </c>
      <c r="L8" s="68">
        <f>IFERROR(AVERAGEIF($N$1:$ZZ$1,"*"&amp;CHAR(10)&amp;"Stanine",$N8:$ZZ8),"")</f>
        <v>8.8</v>
      </c>
      <c r="M8" s="69">
        <f>IF(AND(ISNUMBER(tblY8[[#This Row],[Mean Stanine]]),ISNUMBER(tblY8[[#This Row],[Avg KS2 Band]]),ISNUMBER(SlopeY8)),tblY8[[#This Row],[Mean Stanine]]-(InterceptY8+SlopeY8*tblY8[[#This Row],[Avg KS2 Band]]),"")</f>
        <v>0.742495794280222</v>
      </c>
      <c r="N8" s="66" t="n">
        <v>27</v>
      </c>
      <c r="O8" s="67">
        <f>IF(ISNUMBER(tblY8[[#This Row],[8C01 - Periodic Table
Raw Score]]),IFERROR(VLOOKUP(ROUND(STANDARDIZE(tblY8[[#This Row],[8C01 - Periodic Table
Raw Score]],AVERAGE(tblY8[[8C01 - Periodic Table
Raw Score]]),_xlfn.STDEV.P(tblY8[[8C01 - Periodic Table
Raw Score]])),9),_Stanine,2),5),"")</f>
        <v>8</v>
      </c>
      <c r="P8" s="66" t="n">
        <v>22</v>
      </c>
      <c r="Q8" s="67">
        <f>IF(ISNUMBER(tblY8[[#This Row],[8P01 - Energy
Raw Score]]),IFERROR(VLOOKUP(ROUND(STANDARDIZE(tblY8[[#This Row],[8P01 - Energy
Raw Score]],AVERAGE(tblY8[[8P01 - Energy
Raw Score]]),_xlfn.STDEV.P(tblY8[[8P01 - Energy
Raw Score]])),9),_Stanine,2),5),"")</f>
        <v>9</v>
      </c>
      <c r="R8" s="66" t="n">
        <v>28</v>
      </c>
      <c r="S8" s="67">
        <f>IF(ISNUMBER(tblY8[[#This Row],[8B01 - Digestion
Raw Score]]),IFERROR(VLOOKUP(ROUND(STANDARDIZE(tblY8[[#This Row],[8B01 - Digestion
Raw Score]],AVERAGE(tblY8[[8B01 - Digestion
Raw Score]]),_xlfn.STDEV.P(tblY8[[8B01 - Digestion
Raw Score]])),9),_Stanine,2),5),"")</f>
        <v>9</v>
      </c>
      <c r="T8" s="66" t="n">
        <v>24</v>
      </c>
      <c r="U8" s="67">
        <f>IF(ISNUMBER(tblY8[[#This Row],[8C02 - Metals and Acids
Raw Score]]),IFERROR(VLOOKUP(ROUND(STANDARDIZE(tblY8[[#This Row],[8C02 - Metals and Acids
Raw Score]],AVERAGE(tblY8[[8C02 - Metals and Acids
Raw Score]]),_xlfn.STDEV.P(tblY8[[8C02 - Metals and Acids
Raw Score]])),9),_Stanine,2),5),"")</f>
        <v>9</v>
      </c>
      <c r="V8" s="66" t="n">
        <v>23</v>
      </c>
      <c r="W8" s="67">
        <f>IF(ISNUMBER(tblY8[[#This Row],[8P02 - Light
Raw Score]]),IFERROR(VLOOKUP(ROUND(STANDARDIZE(tblY8[[#This Row],[8P02 - Light
Raw Score]],AVERAGE(tblY8[[8P02 - Light
Raw Score]]),_xlfn.STDEV.P(tblY8[[8P02 - Light
Raw Score]])),9),_Stanine,2),5),"")</f>
        <v>9</v>
      </c>
    </row>
    <row r="9">
      <c r="A9" s="65" t="inlineStr">
        <is>
          <t>X908942539851</t>
        </is>
      </c>
      <c r="B9" s="65" t="inlineStr">
        <is>
          <t>Green</t>
        </is>
      </c>
      <c r="C9" s="65" t="inlineStr">
        <is>
          <t>Kai</t>
        </is>
      </c>
      <c r="D9" s="66" t="inlineStr">
        <is>
          <t>M</t>
        </is>
      </c>
      <c r="E9" s="66" t="inlineStr">
        <is>
          <t>N</t>
        </is>
      </c>
      <c r="F9" s="66" t="inlineStr">
        <is>
          <t>Y</t>
        </is>
      </c>
      <c r="G9" s="34" t="n">
        <v>94.7</v>
      </c>
      <c r="H9" s="34" t="n">
        <v>115.5</v>
      </c>
      <c r="I9" s="67">
        <f>IF(ISNUMBER(tblY8[[#This Row],[Avg KS2]]),IFERROR(VLOOKUP(ROUND(STANDARDIZE(tblY8[[#This Row],[Avg KS2]],AVERAGE(tblY8[[Avg KS2]]),_xlfn.STDEV.P(tblY8[[Avg KS2]])),9),_Stanine,2),5),"")</f>
        <v>9</v>
      </c>
      <c r="J9" s="66" t="inlineStr">
        <is>
          <t>8A/Sc1</t>
        </is>
      </c>
      <c r="K9" s="67">
        <f>IF(tblY8[[#This Row],[Preferred Last name]]="","",COUNTIFS($N$1:$ZZ$1,"*"&amp;CHAR(10)&amp;"Stanine",$N9:$ZZ9,"&gt;=1"))</f>
        <v>5</v>
      </c>
      <c r="L9" s="68">
        <f>IFERROR(AVERAGEIF($N$1:$ZZ$1,"*"&amp;CHAR(10)&amp;"Stanine",$N9:$ZZ9),"")</f>
        <v>6.6</v>
      </c>
      <c r="M9" s="69">
        <f>IF(AND(ISNUMBER(tblY8[[#This Row],[Mean Stanine]]),ISNUMBER(tblY8[[#This Row],[Avg KS2 Band]]),ISNUMBER(SlopeY8)),tblY8[[#This Row],[Mean Stanine]]-(InterceptY8+SlopeY8*tblY8[[#This Row],[Avg KS2 Band]]),"")</f>
        <v>-1.45750420571978</v>
      </c>
      <c r="N9" s="66" t="n">
        <v>24</v>
      </c>
      <c r="O9" s="67">
        <f>IF(ISNUMBER(tblY8[[#This Row],[8C01 - Periodic Table
Raw Score]]),IFERROR(VLOOKUP(ROUND(STANDARDIZE(tblY8[[#This Row],[8C01 - Periodic Table
Raw Score]],AVERAGE(tblY8[[8C01 - Periodic Table
Raw Score]]),_xlfn.STDEV.P(tblY8[[8C01 - Periodic Table
Raw Score]])),9),_Stanine,2),5),"")</f>
        <v>7</v>
      </c>
      <c r="P9" s="66" t="n">
        <v>12</v>
      </c>
      <c r="Q9" s="67">
        <f>IF(ISNUMBER(tblY8[[#This Row],[8P01 - Energy
Raw Score]]),IFERROR(VLOOKUP(ROUND(STANDARDIZE(tblY8[[#This Row],[8P01 - Energy
Raw Score]],AVERAGE(tblY8[[8P01 - Energy
Raw Score]]),_xlfn.STDEV.P(tblY8[[8P01 - Energy
Raw Score]])),9),_Stanine,2),5),"")</f>
        <v>6</v>
      </c>
      <c r="R9" s="66" t="n">
        <v>19</v>
      </c>
      <c r="S9" s="67">
        <f>IF(ISNUMBER(tblY8[[#This Row],[8B01 - Digestion
Raw Score]]),IFERROR(VLOOKUP(ROUND(STANDARDIZE(tblY8[[#This Row],[8B01 - Digestion
Raw Score]],AVERAGE(tblY8[[8B01 - Digestion
Raw Score]]),_xlfn.STDEV.P(tblY8[[8B01 - Digestion
Raw Score]])),9),_Stanine,2),5),"")</f>
        <v>7</v>
      </c>
      <c r="T9" s="66" t="n">
        <v>16</v>
      </c>
      <c r="U9" s="67">
        <f>IF(ISNUMBER(tblY8[[#This Row],[8C02 - Metals and Acids
Raw Score]]),IFERROR(VLOOKUP(ROUND(STANDARDIZE(tblY8[[#This Row],[8C02 - Metals and Acids
Raw Score]],AVERAGE(tblY8[[8C02 - Metals and Acids
Raw Score]]),_xlfn.STDEV.P(tblY8[[8C02 - Metals and Acids
Raw Score]])),9),_Stanine,2),5),"")</f>
        <v>7</v>
      </c>
      <c r="V9" s="66" t="n">
        <v>17</v>
      </c>
      <c r="W9" s="67">
        <f>IF(ISNUMBER(tblY8[[#This Row],[8P02 - Light
Raw Score]]),IFERROR(VLOOKUP(ROUND(STANDARDIZE(tblY8[[#This Row],[8P02 - Light
Raw Score]],AVERAGE(tblY8[[8P02 - Light
Raw Score]]),_xlfn.STDEV.P(tblY8[[8P02 - Light
Raw Score]])),9),_Stanine,2),5),"")</f>
        <v>6</v>
      </c>
    </row>
    <row r="10">
      <c r="A10" s="65" t="inlineStr">
        <is>
          <t>X903363526024</t>
        </is>
      </c>
      <c r="B10" s="65" t="inlineStr">
        <is>
          <t>Griffiths</t>
        </is>
      </c>
      <c r="C10" s="65" t="inlineStr">
        <is>
          <t>Megan</t>
        </is>
      </c>
      <c r="D10" s="66" t="inlineStr">
        <is>
          <t>F</t>
        </is>
      </c>
      <c r="E10" s="66" t="inlineStr">
        <is>
          <t>N</t>
        </is>
      </c>
      <c r="F10" s="66" t="inlineStr">
        <is>
          <t>Y</t>
        </is>
      </c>
      <c r="G10" s="34" t="n">
        <v>91.5</v>
      </c>
      <c r="H10" s="34" t="n">
        <v>100</v>
      </c>
      <c r="I10" s="67">
        <f>IF(ISNUMBER(tblY8[[#This Row],[Avg KS2]]),IFERROR(VLOOKUP(ROUND(STANDARDIZE(tblY8[[#This Row],[Avg KS2]],AVERAGE(tblY8[[Avg KS2]]),_xlfn.STDEV.P(tblY8[[Avg KS2]])),9),_Stanine,2),5),"")</f>
        <v>3</v>
      </c>
      <c r="J10" s="66" t="inlineStr">
        <is>
          <t>8A/Sc1</t>
        </is>
      </c>
      <c r="K10" s="67">
        <f>IF(tblY8[[#This Row],[Preferred Last name]]="","",COUNTIFS($N$1:$ZZ$1,"*"&amp;CHAR(10)&amp;"Stanine",$N10:$ZZ10,"&gt;=1"))</f>
        <v>5</v>
      </c>
      <c r="L10" s="68">
        <f>IFERROR(AVERAGEIF($N$1:$ZZ$1,"*"&amp;CHAR(10)&amp;"Stanine",$N10:$ZZ10),"")</f>
        <v>3</v>
      </c>
      <c r="M10" s="69">
        <f>IF(AND(ISNUMBER(tblY8[[#This Row],[Mean Stanine]]),ISNUMBER(tblY8[[#This Row],[Avg KS2 Band]]),ISNUMBER(SlopeY8)),tblY8[[#This Row],[Mean Stanine]]-(InterceptY8+SlopeY8*tblY8[[#This Row],[Avg KS2 Band]]),"")</f>
        <v>-0.384036289353521</v>
      </c>
      <c r="N10" s="66" t="n">
        <v>14</v>
      </c>
      <c r="O10" s="67">
        <f>IF(ISNUMBER(tblY8[[#This Row],[8C01 - Periodic Table
Raw Score]]),IFERROR(VLOOKUP(ROUND(STANDARDIZE(tblY8[[#This Row],[8C01 - Periodic Table
Raw Score]],AVERAGE(tblY8[[8C01 - Periodic Table
Raw Score]]),_xlfn.STDEV.P(tblY8[[8C01 - Periodic Table
Raw Score]])),9),_Stanine,2),5),"")</f>
        <v>4</v>
      </c>
      <c r="P10" s="66" t="n">
        <v>5</v>
      </c>
      <c r="Q10" s="67">
        <f>IF(ISNUMBER(tblY8[[#This Row],[8P01 - Energy
Raw Score]]),IFERROR(VLOOKUP(ROUND(STANDARDIZE(tblY8[[#This Row],[8P01 - Energy
Raw Score]],AVERAGE(tblY8[[8P01 - Energy
Raw Score]]),_xlfn.STDEV.P(tblY8[[8P01 - Energy
Raw Score]])),9),_Stanine,2),5),"")</f>
        <v>3</v>
      </c>
      <c r="R10" s="66" t="n">
        <v>8</v>
      </c>
      <c r="S10" s="67">
        <f>IF(ISNUMBER(tblY8[[#This Row],[8B01 - Digestion
Raw Score]]),IFERROR(VLOOKUP(ROUND(STANDARDIZE(tblY8[[#This Row],[8B01 - Digestion
Raw Score]],AVERAGE(tblY8[[8B01 - Digestion
Raw Score]]),_xlfn.STDEV.P(tblY8[[8B01 - Digestion
Raw Score]])),9),_Stanine,2),5),"")</f>
        <v>3</v>
      </c>
      <c r="T10" s="66" t="n">
        <v>9</v>
      </c>
      <c r="U10" s="67">
        <f>IF(ISNUMBER(tblY8[[#This Row],[8C02 - Metals and Acids
Raw Score]]),IFERROR(VLOOKUP(ROUND(STANDARDIZE(tblY8[[#This Row],[8C02 - Metals and Acids
Raw Score]],AVERAGE(tblY8[[8C02 - Metals and Acids
Raw Score]]),_xlfn.STDEV.P(tblY8[[8C02 - Metals and Acids
Raw Score]])),9),_Stanine,2),5),"")</f>
        <v>4</v>
      </c>
      <c r="V10" s="66" t="n">
        <v>8</v>
      </c>
      <c r="W10" s="67">
        <f>IF(ISNUMBER(tblY8[[#This Row],[8P02 - Light
Raw Score]]),IFERROR(VLOOKUP(ROUND(STANDARDIZE(tblY8[[#This Row],[8P02 - Light
Raw Score]],AVERAGE(tblY8[[8P02 - Light
Raw Score]]),_xlfn.STDEV.P(tblY8[[8P02 - Light
Raw Score]])),9),_Stanine,2),5),"")</f>
        <v>1</v>
      </c>
    </row>
    <row r="11">
      <c r="A11" s="65" t="inlineStr">
        <is>
          <t>X908714529660</t>
        </is>
      </c>
      <c r="B11" s="65" t="inlineStr">
        <is>
          <t>Harrison</t>
        </is>
      </c>
      <c r="C11" s="65" t="inlineStr">
        <is>
          <t>Evie</t>
        </is>
      </c>
      <c r="D11" s="66" t="inlineStr">
        <is>
          <t>M</t>
        </is>
      </c>
      <c r="E11" s="66" t="n"/>
      <c r="F11" s="66" t="inlineStr">
        <is>
          <t>N</t>
        </is>
      </c>
      <c r="G11" s="34" t="n">
        <v>99.3</v>
      </c>
      <c r="H11" s="34" t="n">
        <v>113</v>
      </c>
      <c r="I11" s="67">
        <f>IF(ISNUMBER(tblY8[[#This Row],[Avg KS2]]),IFERROR(VLOOKUP(ROUND(STANDARDIZE(tblY8[[#This Row],[Avg KS2]],AVERAGE(tblY8[[Avg KS2]]),_xlfn.STDEV.P(tblY8[[Avg KS2]])),9),_Stanine,2),5),"")</f>
        <v>8</v>
      </c>
      <c r="J11" s="66" t="inlineStr">
        <is>
          <t>8A/Sc1</t>
        </is>
      </c>
      <c r="K11" s="67">
        <f>IF(tblY8[[#This Row],[Preferred Last name]]="","",COUNTIFS($N$1:$ZZ$1,"*"&amp;CHAR(10)&amp;"Stanine",$N11:$ZZ11,"&gt;=1"))</f>
        <v>5</v>
      </c>
      <c r="L11" s="68">
        <f>IFERROR(AVERAGEIF($N$1:$ZZ$1,"*"&amp;CHAR(10)&amp;"Stanine",$N11:$ZZ11),"")</f>
        <v>7.6</v>
      </c>
      <c r="M11" s="69">
        <f>IF(AND(ISNUMBER(tblY8[[#This Row],[Mean Stanine]]),ISNUMBER(tblY8[[#This Row],[Avg KS2 Band]]),ISNUMBER(SlopeY8)),tblY8[[#This Row],[Mean Stanine]]-(InterceptY8+SlopeY8*tblY8[[#This Row],[Avg KS2 Band]]),"")</f>
        <v>0.321407113674598</v>
      </c>
      <c r="N11" s="66" t="n">
        <v>25</v>
      </c>
      <c r="O11" s="67">
        <f>IF(ISNUMBER(tblY8[[#This Row],[8C01 - Periodic Table
Raw Score]]),IFERROR(VLOOKUP(ROUND(STANDARDIZE(tblY8[[#This Row],[8C01 - Periodic Table
Raw Score]],AVERAGE(tblY8[[8C01 - Periodic Table
Raw Score]]),_xlfn.STDEV.P(tblY8[[8C01 - Periodic Table
Raw Score]])),9),_Stanine,2),5),"")</f>
        <v>7</v>
      </c>
      <c r="P11" s="66" t="n">
        <v>16</v>
      </c>
      <c r="Q11" s="67">
        <f>IF(ISNUMBER(tblY8[[#This Row],[8P01 - Energy
Raw Score]]),IFERROR(VLOOKUP(ROUND(STANDARDIZE(tblY8[[#This Row],[8P01 - Energy
Raw Score]],AVERAGE(tblY8[[8P01 - Energy
Raw Score]]),_xlfn.STDEV.P(tblY8[[8P01 - Energy
Raw Score]])),9),_Stanine,2),5),"")</f>
        <v>7</v>
      </c>
      <c r="R11" s="66" t="n">
        <v>22</v>
      </c>
      <c r="S11" s="67">
        <f>IF(ISNUMBER(tblY8[[#This Row],[8B01 - Digestion
Raw Score]]),IFERROR(VLOOKUP(ROUND(STANDARDIZE(tblY8[[#This Row],[8B01 - Digestion
Raw Score]],AVERAGE(tblY8[[8B01 - Digestion
Raw Score]]),_xlfn.STDEV.P(tblY8[[8B01 - Digestion
Raw Score]])),9),_Stanine,2),5),"")</f>
        <v>8</v>
      </c>
      <c r="T11" s="66" t="n">
        <v>21</v>
      </c>
      <c r="U11" s="67">
        <f>IF(ISNUMBER(tblY8[[#This Row],[8C02 - Metals and Acids
Raw Score]]),IFERROR(VLOOKUP(ROUND(STANDARDIZE(tblY8[[#This Row],[8C02 - Metals and Acids
Raw Score]],AVERAGE(tblY8[[8C02 - Metals and Acids
Raw Score]]),_xlfn.STDEV.P(tblY8[[8C02 - Metals and Acids
Raw Score]])),9),_Stanine,2),5),"")</f>
        <v>9</v>
      </c>
      <c r="V11" s="66" t="n">
        <v>20</v>
      </c>
      <c r="W11" s="67">
        <f>IF(ISNUMBER(tblY8[[#This Row],[8P02 - Light
Raw Score]]),IFERROR(VLOOKUP(ROUND(STANDARDIZE(tblY8[[#This Row],[8P02 - Light
Raw Score]],AVERAGE(tblY8[[8P02 - Light
Raw Score]]),_xlfn.STDEV.P(tblY8[[8P02 - Light
Raw Score]])),9),_Stanine,2),5),"")</f>
        <v>7</v>
      </c>
    </row>
    <row r="12">
      <c r="A12" s="65" t="inlineStr">
        <is>
          <t>X908981793003</t>
        </is>
      </c>
      <c r="B12" s="65" t="inlineStr">
        <is>
          <t>Hughes</t>
        </is>
      </c>
      <c r="C12" s="65" t="inlineStr">
        <is>
          <t>Sophie</t>
        </is>
      </c>
      <c r="D12" s="66" t="inlineStr">
        <is>
          <t>F</t>
        </is>
      </c>
      <c r="E12" s="66" t="n"/>
      <c r="F12" s="66" t="inlineStr">
        <is>
          <t>N</t>
        </is>
      </c>
      <c r="G12" s="34" t="n">
        <v>95.3</v>
      </c>
      <c r="H12" s="34" t="n">
        <v>110</v>
      </c>
      <c r="I12" s="67">
        <f>IF(ISNUMBER(tblY8[[#This Row],[Avg KS2]]),IFERROR(VLOOKUP(ROUND(STANDARDIZE(tblY8[[#This Row],[Avg KS2]],AVERAGE(tblY8[[Avg KS2]]),_xlfn.STDEV.P(tblY8[[Avg KS2]])),9),_Stanine,2),5),"")</f>
        <v>7</v>
      </c>
      <c r="J12" s="66" t="inlineStr">
        <is>
          <t>8A/Sc1</t>
        </is>
      </c>
      <c r="K12" s="67">
        <f>IF(tblY8[[#This Row],[Preferred Last name]]="","",COUNTIFS($N$1:$ZZ$1,"*"&amp;CHAR(10)&amp;"Stanine",$N12:$ZZ12,"&gt;=1"))</f>
        <v>5</v>
      </c>
      <c r="L12" s="68">
        <f>IFERROR(AVERAGEIF($N$1:$ZZ$1,"*"&amp;CHAR(10)&amp;"Stanine",$N12:$ZZ12),"")</f>
        <v>7.4</v>
      </c>
      <c r="M12" s="69">
        <f>IF(AND(ISNUMBER(tblY8[[#This Row],[Mean Stanine]]),ISNUMBER(tblY8[[#This Row],[Avg KS2 Band]]),ISNUMBER(SlopeY8)),tblY8[[#This Row],[Mean Stanine]]-(InterceptY8+SlopeY8*tblY8[[#This Row],[Avg KS2 Band]]),"")</f>
        <v>0.900318433068975</v>
      </c>
      <c r="N12" s="66" t="n">
        <v>25</v>
      </c>
      <c r="O12" s="67">
        <f>IF(ISNUMBER(tblY8[[#This Row],[8C01 - Periodic Table
Raw Score]]),IFERROR(VLOOKUP(ROUND(STANDARDIZE(tblY8[[#This Row],[8C01 - Periodic Table
Raw Score]],AVERAGE(tblY8[[8C01 - Periodic Table
Raw Score]]),_xlfn.STDEV.P(tblY8[[8C01 - Periodic Table
Raw Score]])),9),_Stanine,2),5),"")</f>
        <v>7</v>
      </c>
      <c r="P12" s="66" t="n">
        <v>17</v>
      </c>
      <c r="Q12" s="67">
        <f>IF(ISNUMBER(tblY8[[#This Row],[8P01 - Energy
Raw Score]]),IFERROR(VLOOKUP(ROUND(STANDARDIZE(tblY8[[#This Row],[8P01 - Energy
Raw Score]],AVERAGE(tblY8[[8P01 - Energy
Raw Score]]),_xlfn.STDEV.P(tblY8[[8P01 - Energy
Raw Score]])),9),_Stanine,2),5),"")</f>
        <v>8</v>
      </c>
      <c r="R12" s="66" t="n">
        <v>21</v>
      </c>
      <c r="S12" s="67">
        <f>IF(ISNUMBER(tblY8[[#This Row],[8B01 - Digestion
Raw Score]]),IFERROR(VLOOKUP(ROUND(STANDARDIZE(tblY8[[#This Row],[8B01 - Digestion
Raw Score]],AVERAGE(tblY8[[8B01 - Digestion
Raw Score]]),_xlfn.STDEV.P(tblY8[[8B01 - Digestion
Raw Score]])),9),_Stanine,2),5),"")</f>
        <v>7</v>
      </c>
      <c r="T12" s="66" t="n">
        <v>19</v>
      </c>
      <c r="U12" s="67">
        <f>IF(ISNUMBER(tblY8[[#This Row],[8C02 - Metals and Acids
Raw Score]]),IFERROR(VLOOKUP(ROUND(STANDARDIZE(tblY8[[#This Row],[8C02 - Metals and Acids
Raw Score]],AVERAGE(tblY8[[8C02 - Metals and Acids
Raw Score]]),_xlfn.STDEV.P(tblY8[[8C02 - Metals and Acids
Raw Score]])),9),_Stanine,2),5),"")</f>
        <v>8</v>
      </c>
      <c r="V12" s="66" t="n">
        <v>20</v>
      </c>
      <c r="W12" s="67">
        <f>IF(ISNUMBER(tblY8[[#This Row],[8P02 - Light
Raw Score]]),IFERROR(VLOOKUP(ROUND(STANDARDIZE(tblY8[[#This Row],[8P02 - Light
Raw Score]],AVERAGE(tblY8[[8P02 - Light
Raw Score]]),_xlfn.STDEV.P(tblY8[[8P02 - Light
Raw Score]])),9),_Stanine,2),5),"")</f>
        <v>7</v>
      </c>
    </row>
    <row r="13">
      <c r="A13" s="65" t="inlineStr">
        <is>
          <t>X901371565485</t>
        </is>
      </c>
      <c r="B13" s="65" t="inlineStr">
        <is>
          <t>Jackson</t>
        </is>
      </c>
      <c r="C13" s="65" t="inlineStr">
        <is>
          <t>Noah</t>
        </is>
      </c>
      <c r="D13" s="66" t="inlineStr">
        <is>
          <t>F</t>
        </is>
      </c>
      <c r="E13" s="66" t="inlineStr">
        <is>
          <t>N</t>
        </is>
      </c>
      <c r="F13" s="66" t="inlineStr">
        <is>
          <t>Y</t>
        </is>
      </c>
      <c r="G13" s="34" t="n">
        <v>85.3</v>
      </c>
      <c r="H13" s="34" t="n">
        <v>111</v>
      </c>
      <c r="I13" s="67">
        <f>IF(ISNUMBER(tblY8[[#This Row],[Avg KS2]]),IFERROR(VLOOKUP(ROUND(STANDARDIZE(tblY8[[#This Row],[Avg KS2]],AVERAGE(tblY8[[Avg KS2]]),_xlfn.STDEV.P(tblY8[[Avg KS2]])),9),_Stanine,2),5),"")</f>
        <v>7</v>
      </c>
      <c r="J13" s="66" t="inlineStr">
        <is>
          <t>8A/Sc1</t>
        </is>
      </c>
      <c r="K13" s="67">
        <f>IF(tblY8[[#This Row],[Preferred Last name]]="","",COUNTIFS($N$1:$ZZ$1,"*"&amp;CHAR(10)&amp;"Stanine",$N13:$ZZ13,"&gt;=1"))</f>
        <v>4</v>
      </c>
      <c r="L13" s="68">
        <f>IFERROR(AVERAGEIF($N$1:$ZZ$1,"*"&amp;CHAR(10)&amp;"Stanine",$N13:$ZZ13),"")</f>
        <v>8.25</v>
      </c>
      <c r="M13" s="69">
        <f>IF(AND(ISNUMBER(tblY8[[#This Row],[Mean Stanine]]),ISNUMBER(tblY8[[#This Row],[Avg KS2 Band]]),ISNUMBER(SlopeY8)),tblY8[[#This Row],[Mean Stanine]]-(InterceptY8+SlopeY8*tblY8[[#This Row],[Avg KS2 Band]]),"")</f>
        <v>1.75031843306897</v>
      </c>
      <c r="N13" s="66" t="inlineStr">
        <is>
          <t>A</t>
        </is>
      </c>
      <c r="O13" s="67" t="str">
        <f>IF(ISNUMBER(tblY8[[#This Row],[8C01 - Periodic Table
Raw Score]]),IFERROR(VLOOKUP(ROUND(STANDARDIZE(tblY8[[#This Row],[8C01 - Periodic Table
Raw Score]],AVERAGE(tblY8[[8C01 - Periodic Table
Raw Score]]),_xlfn.STDEV.P(tblY8[[8C01 - Periodic Table
Raw Score]])),9),_Stanine,2),5),"")</f>
        <v/>
      </c>
      <c r="P13" s="66" t="n">
        <v>17</v>
      </c>
      <c r="Q13" s="67">
        <f>IF(ISNUMBER(tblY8[[#This Row],[8P01 - Energy
Raw Score]]),IFERROR(VLOOKUP(ROUND(STANDARDIZE(tblY8[[#This Row],[8P01 - Energy
Raw Score]],AVERAGE(tblY8[[8P01 - Energy
Raw Score]]),_xlfn.STDEV.P(tblY8[[8P01 - Energy
Raw Score]])),9),_Stanine,2),5),"")</f>
        <v>8</v>
      </c>
      <c r="R13" s="66" t="n">
        <v>23</v>
      </c>
      <c r="S13" s="67">
        <f>IF(ISNUMBER(tblY8[[#This Row],[8B01 - Digestion
Raw Score]]),IFERROR(VLOOKUP(ROUND(STANDARDIZE(tblY8[[#This Row],[8B01 - Digestion
Raw Score]],AVERAGE(tblY8[[8B01 - Digestion
Raw Score]]),_xlfn.STDEV.P(tblY8[[8B01 - Digestion
Raw Score]])),9),_Stanine,2),5),"")</f>
        <v>8</v>
      </c>
      <c r="T13" s="66" t="n">
        <v>21</v>
      </c>
      <c r="U13" s="67">
        <f>IF(ISNUMBER(tblY8[[#This Row],[8C02 - Metals and Acids
Raw Score]]),IFERROR(VLOOKUP(ROUND(STANDARDIZE(tblY8[[#This Row],[8C02 - Metals and Acids
Raw Score]],AVERAGE(tblY8[[8C02 - Metals and Acids
Raw Score]]),_xlfn.STDEV.P(tblY8[[8C02 - Metals and Acids
Raw Score]])),9),_Stanine,2),5),"")</f>
        <v>9</v>
      </c>
      <c r="V13" s="66" t="n">
        <v>21</v>
      </c>
      <c r="W13" s="67">
        <f>IF(ISNUMBER(tblY8[[#This Row],[8P02 - Light
Raw Score]]),IFERROR(VLOOKUP(ROUND(STANDARDIZE(tblY8[[#This Row],[8P02 - Light
Raw Score]],AVERAGE(tblY8[[8P02 - Light
Raw Score]]),_xlfn.STDEV.P(tblY8[[8P02 - Light
Raw Score]])),9),_Stanine,2),5),"")</f>
        <v>8</v>
      </c>
    </row>
    <row r="14">
      <c r="A14" s="65" t="inlineStr">
        <is>
          <t>X909852596604</t>
        </is>
      </c>
      <c r="B14" s="65" t="inlineStr">
        <is>
          <t>Kowalski</t>
        </is>
      </c>
      <c r="C14" s="65" t="inlineStr">
        <is>
          <t>Ibrahim</t>
        </is>
      </c>
      <c r="D14" s="66" t="inlineStr">
        <is>
          <t>F</t>
        </is>
      </c>
      <c r="E14" s="66" t="n"/>
      <c r="F14" s="66" t="inlineStr">
        <is>
          <t>N</t>
        </is>
      </c>
      <c r="G14" s="34" t="n">
        <v>100</v>
      </c>
      <c r="H14" s="34" t="n">
        <v>104</v>
      </c>
      <c r="I14" s="67">
        <f>IF(ISNUMBER(tblY8[[#This Row],[Avg KS2]]),IFERROR(VLOOKUP(ROUND(STANDARDIZE(tblY8[[#This Row],[Avg KS2]],AVERAGE(tblY8[[Avg KS2]]),_xlfn.STDEV.P(tblY8[[Avg KS2]])),9),_Stanine,2),5),"")</f>
        <v>5</v>
      </c>
      <c r="J14" s="66" t="inlineStr">
        <is>
          <t>8A/Sc1</t>
        </is>
      </c>
      <c r="K14" s="67">
        <f>IF(tblY8[[#This Row],[Preferred Last name]]="","",COUNTIFS($N$1:$ZZ$1,"*"&amp;CHAR(10)&amp;"Stanine",$N14:$ZZ14,"&gt;=1"))</f>
        <v>5</v>
      </c>
      <c r="L14" s="68">
        <f>IFERROR(AVERAGEIF($N$1:$ZZ$1,"*"&amp;CHAR(10)&amp;"Stanine",$N14:$ZZ14),"")</f>
        <v>5.6</v>
      </c>
      <c r="M14" s="69">
        <f>IF(AND(ISNUMBER(tblY8[[#This Row],[Mean Stanine]]),ISNUMBER(tblY8[[#This Row],[Avg KS2 Band]]),ISNUMBER(SlopeY8)),tblY8[[#This Row],[Mean Stanine]]-(InterceptY8+SlopeY8*tblY8[[#This Row],[Avg KS2 Band]]),"")</f>
        <v>0.658141071857727</v>
      </c>
      <c r="N14" s="66" t="n">
        <v>22</v>
      </c>
      <c r="O14" s="67">
        <f>IF(ISNUMBER(tblY8[[#This Row],[8C01 - Periodic Table
Raw Score]]),IFERROR(VLOOKUP(ROUND(STANDARDIZE(tblY8[[#This Row],[8C01 - Periodic Table
Raw Score]],AVERAGE(tblY8[[8C01 - Periodic Table
Raw Score]]),_xlfn.STDEV.P(tblY8[[8C01 - Periodic Table
Raw Score]])),9),_Stanine,2),5),"")</f>
        <v>6</v>
      </c>
      <c r="P14" s="66" t="n">
        <v>11</v>
      </c>
      <c r="Q14" s="67">
        <f>IF(ISNUMBER(tblY8[[#This Row],[8P01 - Energy
Raw Score]]),IFERROR(VLOOKUP(ROUND(STANDARDIZE(tblY8[[#This Row],[8P01 - Energy
Raw Score]],AVERAGE(tblY8[[8P01 - Energy
Raw Score]]),_xlfn.STDEV.P(tblY8[[8P01 - Energy
Raw Score]])),9),_Stanine,2),5),"")</f>
        <v>5</v>
      </c>
      <c r="R14" s="66" t="n">
        <v>13</v>
      </c>
      <c r="S14" s="67">
        <f>IF(ISNUMBER(tblY8[[#This Row],[8B01 - Digestion
Raw Score]]),IFERROR(VLOOKUP(ROUND(STANDARDIZE(tblY8[[#This Row],[8B01 - Digestion
Raw Score]],AVERAGE(tblY8[[8B01 - Digestion
Raw Score]]),_xlfn.STDEV.P(tblY8[[8B01 - Digestion
Raw Score]])),9),_Stanine,2),5),"")</f>
        <v>5</v>
      </c>
      <c r="T14" s="66" t="n">
        <v>13</v>
      </c>
      <c r="U14" s="67">
        <f>IF(ISNUMBER(tblY8[[#This Row],[8C02 - Metals and Acids
Raw Score]]),IFERROR(VLOOKUP(ROUND(STANDARDIZE(tblY8[[#This Row],[8C02 - Metals and Acids
Raw Score]],AVERAGE(tblY8[[8C02 - Metals and Acids
Raw Score]]),_xlfn.STDEV.P(tblY8[[8C02 - Metals and Acids
Raw Score]])),9),_Stanine,2),5),"")</f>
        <v>6</v>
      </c>
      <c r="V14" s="66" t="n">
        <v>17</v>
      </c>
      <c r="W14" s="67">
        <f>IF(ISNUMBER(tblY8[[#This Row],[8P02 - Light
Raw Score]]),IFERROR(VLOOKUP(ROUND(STANDARDIZE(tblY8[[#This Row],[8P02 - Light
Raw Score]],AVERAGE(tblY8[[8P02 - Light
Raw Score]]),_xlfn.STDEV.P(tblY8[[8P02 - Light
Raw Score]])),9),_Stanine,2),5),"")</f>
        <v>6</v>
      </c>
    </row>
    <row r="15">
      <c r="A15" s="65" t="inlineStr">
        <is>
          <t>X904945341746</t>
        </is>
      </c>
      <c r="B15" s="65" t="inlineStr">
        <is>
          <t>Mistry</t>
        </is>
      </c>
      <c r="C15" s="65" t="inlineStr">
        <is>
          <t>Ava</t>
        </is>
      </c>
      <c r="D15" s="66" t="inlineStr">
        <is>
          <t>M</t>
        </is>
      </c>
      <c r="E15" s="66" t="inlineStr">
        <is>
          <t>K</t>
        </is>
      </c>
      <c r="F15" s="66" t="inlineStr">
        <is>
          <t>Y</t>
        </is>
      </c>
      <c r="G15" s="34" t="n">
        <v>86.8</v>
      </c>
      <c r="H15" s="34" t="n">
        <v>111.5</v>
      </c>
      <c r="I15" s="67">
        <f>IF(ISNUMBER(tblY8[[#This Row],[Avg KS2]]),IFERROR(VLOOKUP(ROUND(STANDARDIZE(tblY8[[#This Row],[Avg KS2]],AVERAGE(tblY8[[Avg KS2]]),_xlfn.STDEV.P(tblY8[[Avg KS2]])),9),_Stanine,2),5),"")</f>
        <v>7</v>
      </c>
      <c r="J15" s="66" t="inlineStr">
        <is>
          <t>8A/Sc1</t>
        </is>
      </c>
      <c r="K15" s="67">
        <f>IF(tblY8[[#This Row],[Preferred Last name]]="","",COUNTIFS($N$1:$ZZ$1,"*"&amp;CHAR(10)&amp;"Stanine",$N15:$ZZ15,"&gt;=1"))</f>
        <v>4</v>
      </c>
      <c r="L15" s="68">
        <f>IFERROR(AVERAGEIF($N$1:$ZZ$1,"*"&amp;CHAR(10)&amp;"Stanine",$N15:$ZZ15),"")</f>
        <v>7.25</v>
      </c>
      <c r="M15" s="69">
        <f>IF(AND(ISNUMBER(tblY8[[#This Row],[Mean Stanine]]),ISNUMBER(tblY8[[#This Row],[Avg KS2 Band]]),ISNUMBER(SlopeY8)),tblY8[[#This Row],[Mean Stanine]]-(InterceptY8+SlopeY8*tblY8[[#This Row],[Avg KS2 Band]]),"")</f>
        <v>0.750318433068975</v>
      </c>
      <c r="N15" s="66" t="n">
        <v>27</v>
      </c>
      <c r="O15" s="67">
        <f>IF(ISNUMBER(tblY8[[#This Row],[8C01 - Periodic Table
Raw Score]]),IFERROR(VLOOKUP(ROUND(STANDARDIZE(tblY8[[#This Row],[8C01 - Periodic Table
Raw Score]],AVERAGE(tblY8[[8C01 - Periodic Table
Raw Score]]),_xlfn.STDEV.P(tblY8[[8C01 - Periodic Table
Raw Score]])),9),_Stanine,2),5),"")</f>
        <v>8</v>
      </c>
      <c r="P15" s="66" t="inlineStr">
        <is>
          <t>A</t>
        </is>
      </c>
      <c r="Q15" s="67" t="str">
        <f>IF(ISNUMBER(tblY8[[#This Row],[8P01 - Energy
Raw Score]]),IFERROR(VLOOKUP(ROUND(STANDARDIZE(tblY8[[#This Row],[8P01 - Energy
Raw Score]],AVERAGE(tblY8[[8P01 - Energy
Raw Score]]),_xlfn.STDEV.P(tblY8[[8P01 - Energy
Raw Score]])),9),_Stanine,2),5),"")</f>
        <v/>
      </c>
      <c r="R15" s="66" t="n">
        <v>17</v>
      </c>
      <c r="S15" s="67">
        <f>IF(ISNUMBER(tblY8[[#This Row],[8B01 - Digestion
Raw Score]]),IFERROR(VLOOKUP(ROUND(STANDARDIZE(tblY8[[#This Row],[8B01 - Digestion
Raw Score]],AVERAGE(tblY8[[8B01 - Digestion
Raw Score]]),_xlfn.STDEV.P(tblY8[[8B01 - Digestion
Raw Score]])),9),_Stanine,2),5),"")</f>
        <v>6</v>
      </c>
      <c r="T15" s="66" t="n">
        <v>20</v>
      </c>
      <c r="U15" s="67">
        <f>IF(ISNUMBER(tblY8[[#This Row],[8C02 - Metals and Acids
Raw Score]]),IFERROR(VLOOKUP(ROUND(STANDARDIZE(tblY8[[#This Row],[8C02 - Metals and Acids
Raw Score]],AVERAGE(tblY8[[8C02 - Metals and Acids
Raw Score]]),_xlfn.STDEV.P(tblY8[[8C02 - Metals and Acids
Raw Score]])),9),_Stanine,2),5),"")</f>
        <v>8</v>
      </c>
      <c r="V15" s="66" t="n">
        <v>20</v>
      </c>
      <c r="W15" s="67">
        <f>IF(ISNUMBER(tblY8[[#This Row],[8P02 - Light
Raw Score]]),IFERROR(VLOOKUP(ROUND(STANDARDIZE(tblY8[[#This Row],[8P02 - Light
Raw Score]],AVERAGE(tblY8[[8P02 - Light
Raw Score]]),_xlfn.STDEV.P(tblY8[[8P02 - Light
Raw Score]])),9),_Stanine,2),5),"")</f>
        <v>7</v>
      </c>
    </row>
    <row r="16">
      <c r="A16" s="65" t="inlineStr">
        <is>
          <t>X906539072460</t>
        </is>
      </c>
      <c r="B16" s="65" t="inlineStr">
        <is>
          <t>Mistry</t>
        </is>
      </c>
      <c r="C16" s="65" t="inlineStr">
        <is>
          <t>Hollie</t>
        </is>
      </c>
      <c r="D16" s="66" t="inlineStr">
        <is>
          <t>M</t>
        </is>
      </c>
      <c r="E16" s="66" t="inlineStr">
        <is>
          <t>N</t>
        </is>
      </c>
      <c r="F16" s="66" t="inlineStr">
        <is>
          <t>N</t>
        </is>
      </c>
      <c r="G16" s="34" t="n">
        <v>95</v>
      </c>
      <c r="H16" s="34" t="n">
        <v>107</v>
      </c>
      <c r="I16" s="67">
        <f>IF(ISNUMBER(tblY8[[#This Row],[Avg KS2]]),IFERROR(VLOOKUP(ROUND(STANDARDIZE(tblY8[[#This Row],[Avg KS2]],AVERAGE(tblY8[[Avg KS2]]),_xlfn.STDEV.P(tblY8[[Avg KS2]])),9),_Stanine,2),5),"")</f>
        <v>6</v>
      </c>
      <c r="J16" s="66" t="inlineStr">
        <is>
          <t>8A/Sc1</t>
        </is>
      </c>
      <c r="K16" s="67">
        <f>IF(tblY8[[#This Row],[Preferred Last name]]="","",COUNTIFS($N$1:$ZZ$1,"*"&amp;CHAR(10)&amp;"Stanine",$N16:$ZZ16,"&gt;=1"))</f>
        <v>5</v>
      </c>
      <c r="L16" s="68">
        <f>IFERROR(AVERAGEIF($N$1:$ZZ$1,"*"&amp;CHAR(10)&amp;"Stanine",$N16:$ZZ16),"")</f>
        <v>6.2</v>
      </c>
      <c r="M16" s="69">
        <f>IF(AND(ISNUMBER(tblY8[[#This Row],[Mean Stanine]]),ISNUMBER(tblY8[[#This Row],[Avg KS2 Band]]),ISNUMBER(SlopeY8)),tblY8[[#This Row],[Mean Stanine]]-(InterceptY8+SlopeY8*tblY8[[#This Row],[Avg KS2 Band]]),"")</f>
        <v>0.47922975246335</v>
      </c>
      <c r="N16" s="66" t="n">
        <v>22</v>
      </c>
      <c r="O16" s="67">
        <f>IF(ISNUMBER(tblY8[[#This Row],[8C01 - Periodic Table
Raw Score]]),IFERROR(VLOOKUP(ROUND(STANDARDIZE(tblY8[[#This Row],[8C01 - Periodic Table
Raw Score]],AVERAGE(tblY8[[8C01 - Periodic Table
Raw Score]]),_xlfn.STDEV.P(tblY8[[8C01 - Periodic Table
Raw Score]])),9),_Stanine,2),5),"")</f>
        <v>6</v>
      </c>
      <c r="P16" s="66" t="n">
        <v>13</v>
      </c>
      <c r="Q16" s="67">
        <f>IF(ISNUMBER(tblY8[[#This Row],[8P01 - Energy
Raw Score]]),IFERROR(VLOOKUP(ROUND(STANDARDIZE(tblY8[[#This Row],[8P01 - Energy
Raw Score]],AVERAGE(tblY8[[8P01 - Energy
Raw Score]]),_xlfn.STDEV.P(tblY8[[8P01 - Energy
Raw Score]])),9),_Stanine,2),5),"")</f>
        <v>6</v>
      </c>
      <c r="R16" s="66" t="n">
        <v>18</v>
      </c>
      <c r="S16" s="67">
        <f>IF(ISNUMBER(tblY8[[#This Row],[8B01 - Digestion
Raw Score]]),IFERROR(VLOOKUP(ROUND(STANDARDIZE(tblY8[[#This Row],[8B01 - Digestion
Raw Score]],AVERAGE(tblY8[[8B01 - Digestion
Raw Score]]),_xlfn.STDEV.P(tblY8[[8B01 - Digestion
Raw Score]])),9),_Stanine,2),5),"")</f>
        <v>6</v>
      </c>
      <c r="T16" s="66" t="n">
        <v>16</v>
      </c>
      <c r="U16" s="67">
        <f>IF(ISNUMBER(tblY8[[#This Row],[8C02 - Metals and Acids
Raw Score]]),IFERROR(VLOOKUP(ROUND(STANDARDIZE(tblY8[[#This Row],[8C02 - Metals and Acids
Raw Score]],AVERAGE(tblY8[[8C02 - Metals and Acids
Raw Score]]),_xlfn.STDEV.P(tblY8[[8C02 - Metals and Acids
Raw Score]])),9),_Stanine,2),5),"")</f>
        <v>7</v>
      </c>
      <c r="V16" s="66" t="n">
        <v>17</v>
      </c>
      <c r="W16" s="67">
        <f>IF(ISNUMBER(tblY8[[#This Row],[8P02 - Light
Raw Score]]),IFERROR(VLOOKUP(ROUND(STANDARDIZE(tblY8[[#This Row],[8P02 - Light
Raw Score]],AVERAGE(tblY8[[8P02 - Light
Raw Score]]),_xlfn.STDEV.P(tblY8[[8P02 - Light
Raw Score]])),9),_Stanine,2),5),"")</f>
        <v>6</v>
      </c>
    </row>
    <row r="17">
      <c r="A17" s="65" t="inlineStr">
        <is>
          <t>X903594142402</t>
        </is>
      </c>
      <c r="B17" s="65" t="inlineStr">
        <is>
          <t>Morgan</t>
        </is>
      </c>
      <c r="C17" s="65" t="inlineStr">
        <is>
          <t>Freya</t>
        </is>
      </c>
      <c r="D17" s="66" t="inlineStr">
        <is>
          <t>F</t>
        </is>
      </c>
      <c r="E17" s="66" t="inlineStr">
        <is>
          <t>N</t>
        </is>
      </c>
      <c r="F17" s="66" t="inlineStr">
        <is>
          <t>Y</t>
        </is>
      </c>
      <c r="G17" s="34" t="n">
        <v>100</v>
      </c>
      <c r="H17" s="34" t="n">
        <v>113</v>
      </c>
      <c r="I17" s="67">
        <f>IF(ISNUMBER(tblY8[[#This Row],[Avg KS2]]),IFERROR(VLOOKUP(ROUND(STANDARDIZE(tblY8[[#This Row],[Avg KS2]],AVERAGE(tblY8[[Avg KS2]]),_xlfn.STDEV.P(tblY8[[Avg KS2]])),9),_Stanine,2),5),"")</f>
        <v>8</v>
      </c>
      <c r="J17" s="66" t="inlineStr">
        <is>
          <t>8A/Sc1</t>
        </is>
      </c>
      <c r="K17" s="67">
        <f>IF(tblY8[[#This Row],[Preferred Last name]]="","",COUNTIFS($N$1:$ZZ$1,"*"&amp;CHAR(10)&amp;"Stanine",$N17:$ZZ17,"&gt;=1"))</f>
        <v>5</v>
      </c>
      <c r="L17" s="68">
        <f>IFERROR(AVERAGEIF($N$1:$ZZ$1,"*"&amp;CHAR(10)&amp;"Stanine",$N17:$ZZ17),"")</f>
        <v>8.2</v>
      </c>
      <c r="M17" s="69">
        <f>IF(AND(ISNUMBER(tblY8[[#This Row],[Mean Stanine]]),ISNUMBER(tblY8[[#This Row],[Avg KS2 Band]]),ISNUMBER(SlopeY8)),tblY8[[#This Row],[Mean Stanine]]-(InterceptY8+SlopeY8*tblY8[[#This Row],[Avg KS2 Band]]),"")</f>
        <v>0.921407113674597</v>
      </c>
      <c r="N17" s="66" t="n">
        <v>27</v>
      </c>
      <c r="O17" s="67">
        <f>IF(ISNUMBER(tblY8[[#This Row],[8C01 - Periodic Table
Raw Score]]),IFERROR(VLOOKUP(ROUND(STANDARDIZE(tblY8[[#This Row],[8C01 - Periodic Table
Raw Score]],AVERAGE(tblY8[[8C01 - Periodic Table
Raw Score]]),_xlfn.STDEV.P(tblY8[[8C01 - Periodic Table
Raw Score]])),9),_Stanine,2),5),"")</f>
        <v>8</v>
      </c>
      <c r="P17" s="66" t="n">
        <v>21</v>
      </c>
      <c r="Q17" s="67">
        <f>IF(ISNUMBER(tblY8[[#This Row],[8P01 - Energy
Raw Score]]),IFERROR(VLOOKUP(ROUND(STANDARDIZE(tblY8[[#This Row],[8P01 - Energy
Raw Score]],AVERAGE(tblY8[[8P01 - Energy
Raw Score]]),_xlfn.STDEV.P(tblY8[[8P01 - Energy
Raw Score]])),9),_Stanine,2),5),"")</f>
        <v>9</v>
      </c>
      <c r="R17" s="66" t="n">
        <v>24</v>
      </c>
      <c r="S17" s="67">
        <f>IF(ISNUMBER(tblY8[[#This Row],[8B01 - Digestion
Raw Score]]),IFERROR(VLOOKUP(ROUND(STANDARDIZE(tblY8[[#This Row],[8B01 - Digestion
Raw Score]],AVERAGE(tblY8[[8B01 - Digestion
Raw Score]]),_xlfn.STDEV.P(tblY8[[8B01 - Digestion
Raw Score]])),9),_Stanine,2),5),"")</f>
        <v>8</v>
      </c>
      <c r="T17" s="66" t="n">
        <v>20</v>
      </c>
      <c r="U17" s="67">
        <f>IF(ISNUMBER(tblY8[[#This Row],[8C02 - Metals and Acids
Raw Score]]),IFERROR(VLOOKUP(ROUND(STANDARDIZE(tblY8[[#This Row],[8C02 - Metals and Acids
Raw Score]],AVERAGE(tblY8[[8C02 - Metals and Acids
Raw Score]]),_xlfn.STDEV.P(tblY8[[8C02 - Metals and Acids
Raw Score]])),9),_Stanine,2),5),"")</f>
        <v>8</v>
      </c>
      <c r="V17" s="66" t="n">
        <v>22</v>
      </c>
      <c r="W17" s="67">
        <f>IF(ISNUMBER(tblY8[[#This Row],[8P02 - Light
Raw Score]]),IFERROR(VLOOKUP(ROUND(STANDARDIZE(tblY8[[#This Row],[8P02 - Light
Raw Score]],AVERAGE(tblY8[[8P02 - Light
Raw Score]]),_xlfn.STDEV.P(tblY8[[8P02 - Light
Raw Score]])),9),_Stanine,2),5),"")</f>
        <v>8</v>
      </c>
    </row>
    <row r="18">
      <c r="A18" s="65" t="inlineStr">
        <is>
          <t>X905756499107</t>
        </is>
      </c>
      <c r="B18" s="65" t="inlineStr">
        <is>
          <t>Nowak</t>
        </is>
      </c>
      <c r="C18" s="65" t="inlineStr">
        <is>
          <t>Arjun</t>
        </is>
      </c>
      <c r="D18" s="66" t="inlineStr">
        <is>
          <t>M</t>
        </is>
      </c>
      <c r="E18" s="66" t="inlineStr">
        <is>
          <t>N</t>
        </is>
      </c>
      <c r="F18" s="66" t="inlineStr">
        <is>
          <t>Y</t>
        </is>
      </c>
      <c r="G18" s="34" t="n">
        <v>100</v>
      </c>
      <c r="H18" s="34" t="n">
        <v>109.5</v>
      </c>
      <c r="I18" s="67">
        <f>IF(ISNUMBER(tblY8[[#This Row],[Avg KS2]]),IFERROR(VLOOKUP(ROUND(STANDARDIZE(tblY8[[#This Row],[Avg KS2]],AVERAGE(tblY8[[Avg KS2]]),_xlfn.STDEV.P(tblY8[[Avg KS2]])),9),_Stanine,2),5),"")</f>
        <v>7</v>
      </c>
      <c r="J18" s="66" t="inlineStr">
        <is>
          <t>8A/Sc1</t>
        </is>
      </c>
      <c r="K18" s="67">
        <f>IF(tblY8[[#This Row],[Preferred Last name]]="","",COUNTIFS($N$1:$ZZ$1,"*"&amp;CHAR(10)&amp;"Stanine",$N18:$ZZ18,"&gt;=1"))</f>
        <v>5</v>
      </c>
      <c r="L18" s="68">
        <f>IFERROR(AVERAGEIF($N$1:$ZZ$1,"*"&amp;CHAR(10)&amp;"Stanine",$N18:$ZZ18),"")</f>
        <v>6.8</v>
      </c>
      <c r="M18" s="69">
        <f>IF(AND(ISNUMBER(tblY8[[#This Row],[Mean Stanine]]),ISNUMBER(tblY8[[#This Row],[Avg KS2 Band]]),ISNUMBER(SlopeY8)),tblY8[[#This Row],[Mean Stanine]]-(InterceptY8+SlopeY8*tblY8[[#This Row],[Avg KS2 Band]]),"")</f>
        <v>0.300318433068974</v>
      </c>
      <c r="N18" s="66" t="n">
        <v>23</v>
      </c>
      <c r="O18" s="67">
        <f>IF(ISNUMBER(tblY8[[#This Row],[8C01 - Periodic Table
Raw Score]]),IFERROR(VLOOKUP(ROUND(STANDARDIZE(tblY8[[#This Row],[8C01 - Periodic Table
Raw Score]],AVERAGE(tblY8[[8C01 - Periodic Table
Raw Score]]),_xlfn.STDEV.P(tblY8[[8C01 - Periodic Table
Raw Score]])),9),_Stanine,2),5),"")</f>
        <v>7</v>
      </c>
      <c r="P18" s="66" t="n">
        <v>15</v>
      </c>
      <c r="Q18" s="67">
        <f>IF(ISNUMBER(tblY8[[#This Row],[8P01 - Energy
Raw Score]]),IFERROR(VLOOKUP(ROUND(STANDARDIZE(tblY8[[#This Row],[8P01 - Energy
Raw Score]],AVERAGE(tblY8[[8P01 - Energy
Raw Score]]),_xlfn.STDEV.P(tblY8[[8P01 - Energy
Raw Score]])),9),_Stanine,2),5),"")</f>
        <v>7</v>
      </c>
      <c r="R18" s="66" t="n">
        <v>19</v>
      </c>
      <c r="S18" s="67">
        <f>IF(ISNUMBER(tblY8[[#This Row],[8B01 - Digestion
Raw Score]]),IFERROR(VLOOKUP(ROUND(STANDARDIZE(tblY8[[#This Row],[8B01 - Digestion
Raw Score]],AVERAGE(tblY8[[8B01 - Digestion
Raw Score]]),_xlfn.STDEV.P(tblY8[[8B01 - Digestion
Raw Score]])),9),_Stanine,2),5),"")</f>
        <v>7</v>
      </c>
      <c r="T18" s="66" t="n">
        <v>15</v>
      </c>
      <c r="U18" s="67">
        <f>IF(ISNUMBER(tblY8[[#This Row],[8C02 - Metals and Acids
Raw Score]]),IFERROR(VLOOKUP(ROUND(STANDARDIZE(tblY8[[#This Row],[8C02 - Metals and Acids
Raw Score]],AVERAGE(tblY8[[8C02 - Metals and Acids
Raw Score]]),_xlfn.STDEV.P(tblY8[[8C02 - Metals and Acids
Raw Score]])),9),_Stanine,2),5),"")</f>
        <v>6</v>
      </c>
      <c r="V18" s="66" t="n">
        <v>19</v>
      </c>
      <c r="W18" s="67">
        <f>IF(ISNUMBER(tblY8[[#This Row],[8P02 - Light
Raw Score]]),IFERROR(VLOOKUP(ROUND(STANDARDIZE(tblY8[[#This Row],[8P02 - Light
Raw Score]],AVERAGE(tblY8[[8P02 - Light
Raw Score]]),_xlfn.STDEV.P(tblY8[[8P02 - Light
Raw Score]])),9),_Stanine,2),5),"")</f>
        <v>7</v>
      </c>
    </row>
    <row r="19">
      <c r="A19" s="65" t="inlineStr">
        <is>
          <t>X906388959437</t>
        </is>
      </c>
      <c r="B19" s="65" t="inlineStr">
        <is>
          <t>Nowak</t>
        </is>
      </c>
      <c r="C19" s="65" t="inlineStr">
        <is>
          <t>Nia</t>
        </is>
      </c>
      <c r="D19" s="66" t="inlineStr">
        <is>
          <t>F</t>
        </is>
      </c>
      <c r="E19" s="66" t="n"/>
      <c r="F19" s="66" t="inlineStr">
        <is>
          <t>N</t>
        </is>
      </c>
      <c r="G19" s="34" t="n">
        <v>97.3</v>
      </c>
      <c r="H19" s="34" t="n">
        <v>108</v>
      </c>
      <c r="I19" s="67">
        <f>IF(ISNUMBER(tblY8[[#This Row],[Avg KS2]]),IFERROR(VLOOKUP(ROUND(STANDARDIZE(tblY8[[#This Row],[Avg KS2]],AVERAGE(tblY8[[Avg KS2]]),_xlfn.STDEV.P(tblY8[[Avg KS2]])),9),_Stanine,2),5),"")</f>
        <v>6</v>
      </c>
      <c r="J19" s="66" t="inlineStr">
        <is>
          <t>8A/Sc1</t>
        </is>
      </c>
      <c r="K19" s="67">
        <f>IF(tblY8[[#This Row],[Preferred Last name]]="","",COUNTIFS($N$1:$ZZ$1,"*"&amp;CHAR(10)&amp;"Stanine",$N19:$ZZ19,"&gt;=1"))</f>
        <v>5</v>
      </c>
      <c r="L19" s="68">
        <f>IFERROR(AVERAGEIF($N$1:$ZZ$1,"*"&amp;CHAR(10)&amp;"Stanine",$N19:$ZZ19),"")</f>
        <v>4.8</v>
      </c>
      <c r="M19" s="69">
        <f>IF(AND(ISNUMBER(tblY8[[#This Row],[Mean Stanine]]),ISNUMBER(tblY8[[#This Row],[Avg KS2 Band]]),ISNUMBER(SlopeY8)),tblY8[[#This Row],[Mean Stanine]]-(InterceptY8+SlopeY8*tblY8[[#This Row],[Avg KS2 Band]]),"")</f>
        <v>-0.92077024753665</v>
      </c>
      <c r="N19" s="66" t="n">
        <v>15</v>
      </c>
      <c r="O19" s="67">
        <f>IF(ISNUMBER(tblY8[[#This Row],[8C01 - Periodic Table
Raw Score]]),IFERROR(VLOOKUP(ROUND(STANDARDIZE(tblY8[[#This Row],[8C01 - Periodic Table
Raw Score]],AVERAGE(tblY8[[8C01 - Periodic Table
Raw Score]]),_xlfn.STDEV.P(tblY8[[8C01 - Periodic Table
Raw Score]])),9),_Stanine,2),5),"")</f>
        <v>4</v>
      </c>
      <c r="P19" s="66" t="n">
        <v>12</v>
      </c>
      <c r="Q19" s="67">
        <f>IF(ISNUMBER(tblY8[[#This Row],[8P01 - Energy
Raw Score]]),IFERROR(VLOOKUP(ROUND(STANDARDIZE(tblY8[[#This Row],[8P01 - Energy
Raw Score]],AVERAGE(tblY8[[8P01 - Energy
Raw Score]]),_xlfn.STDEV.P(tblY8[[8P01 - Energy
Raw Score]])),9),_Stanine,2),5),"")</f>
        <v>6</v>
      </c>
      <c r="R19" s="66" t="n">
        <v>15</v>
      </c>
      <c r="S19" s="67">
        <f>IF(ISNUMBER(tblY8[[#This Row],[8B01 - Digestion
Raw Score]]),IFERROR(VLOOKUP(ROUND(STANDARDIZE(tblY8[[#This Row],[8B01 - Digestion
Raw Score]],AVERAGE(tblY8[[8B01 - Digestion
Raw Score]]),_xlfn.STDEV.P(tblY8[[8B01 - Digestion
Raw Score]])),9),_Stanine,2),5),"")</f>
        <v>5</v>
      </c>
      <c r="T19" s="66" t="n">
        <v>11</v>
      </c>
      <c r="U19" s="67">
        <f>IF(ISNUMBER(tblY8[[#This Row],[8C02 - Metals and Acids
Raw Score]]),IFERROR(VLOOKUP(ROUND(STANDARDIZE(tblY8[[#This Row],[8C02 - Metals and Acids
Raw Score]],AVERAGE(tblY8[[8C02 - Metals and Acids
Raw Score]]),_xlfn.STDEV.P(tblY8[[8C02 - Metals and Acids
Raw Score]])),9),_Stanine,2),5),"")</f>
        <v>5</v>
      </c>
      <c r="V19" s="66" t="n">
        <v>13</v>
      </c>
      <c r="W19" s="67">
        <f>IF(ISNUMBER(tblY8[[#This Row],[8P02 - Light
Raw Score]]),IFERROR(VLOOKUP(ROUND(STANDARDIZE(tblY8[[#This Row],[8P02 - Light
Raw Score]],AVERAGE(tblY8[[8P02 - Light
Raw Score]]),_xlfn.STDEV.P(tblY8[[8P02 - Light
Raw Score]])),9),_Stanine,2),5),"")</f>
        <v>4</v>
      </c>
    </row>
    <row r="20">
      <c r="A20" s="65" t="inlineStr">
        <is>
          <t>X909473519278</t>
        </is>
      </c>
      <c r="B20" s="65" t="inlineStr">
        <is>
          <t>Nowak</t>
        </is>
      </c>
      <c r="C20" s="65" t="inlineStr">
        <is>
          <t>Rhys</t>
        </is>
      </c>
      <c r="D20" s="66" t="inlineStr">
        <is>
          <t>F</t>
        </is>
      </c>
      <c r="E20" s="66" t="inlineStr">
        <is>
          <t>N</t>
        </is>
      </c>
      <c r="F20" s="66" t="inlineStr">
        <is>
          <t>N</t>
        </is>
      </c>
      <c r="G20" s="34" t="n">
        <v>95.8</v>
      </c>
      <c r="H20" s="34" t="n">
        <v>109</v>
      </c>
      <c r="I20" s="67">
        <f>IF(ISNUMBER(tblY8[[#This Row],[Avg KS2]]),IFERROR(VLOOKUP(ROUND(STANDARDIZE(tblY8[[#This Row],[Avg KS2]],AVERAGE(tblY8[[Avg KS2]]),_xlfn.STDEV.P(tblY8[[Avg KS2]])),9),_Stanine,2),5),"")</f>
        <v>6</v>
      </c>
      <c r="J20" s="66" t="inlineStr">
        <is>
          <t>8A/Sc1</t>
        </is>
      </c>
      <c r="K20" s="67">
        <f>IF(tblY8[[#This Row],[Preferred Last name]]="","",COUNTIFS($N$1:$ZZ$1,"*"&amp;CHAR(10)&amp;"Stanine",$N20:$ZZ20,"&gt;=1"))</f>
        <v>5</v>
      </c>
      <c r="L20" s="68">
        <f>IFERROR(AVERAGEIF($N$1:$ZZ$1,"*"&amp;CHAR(10)&amp;"Stanine",$N20:$ZZ20),"")</f>
        <v>4.4</v>
      </c>
      <c r="M20" s="69">
        <f>IF(AND(ISNUMBER(tblY8[[#This Row],[Mean Stanine]]),ISNUMBER(tblY8[[#This Row],[Avg KS2 Band]]),ISNUMBER(SlopeY8)),tblY8[[#This Row],[Mean Stanine]]-(InterceptY8+SlopeY8*tblY8[[#This Row],[Avg KS2 Band]]),"")</f>
        <v>-1.32077024753665</v>
      </c>
      <c r="N20" s="66" t="n">
        <v>18</v>
      </c>
      <c r="O20" s="67">
        <f>IF(ISNUMBER(tblY8[[#This Row],[8C01 - Periodic Table
Raw Score]]),IFERROR(VLOOKUP(ROUND(STANDARDIZE(tblY8[[#This Row],[8C01 - Periodic Table
Raw Score]],AVERAGE(tblY8[[8C01 - Periodic Table
Raw Score]]),_xlfn.STDEV.P(tblY8[[8C01 - Periodic Table
Raw Score]])),9),_Stanine,2),5),"")</f>
        <v>5</v>
      </c>
      <c r="P20" s="66" t="n">
        <v>8</v>
      </c>
      <c r="Q20" s="67">
        <f>IF(ISNUMBER(tblY8[[#This Row],[8P01 - Energy
Raw Score]]),IFERROR(VLOOKUP(ROUND(STANDARDIZE(tblY8[[#This Row],[8P01 - Energy
Raw Score]],AVERAGE(tblY8[[8P01 - Energy
Raw Score]]),_xlfn.STDEV.P(tblY8[[8P01 - Energy
Raw Score]])),9),_Stanine,2),5),"")</f>
        <v>4</v>
      </c>
      <c r="R20" s="66" t="n">
        <v>12</v>
      </c>
      <c r="S20" s="67">
        <f>IF(ISNUMBER(tblY8[[#This Row],[8B01 - Digestion
Raw Score]]),IFERROR(VLOOKUP(ROUND(STANDARDIZE(tblY8[[#This Row],[8B01 - Digestion
Raw Score]],AVERAGE(tblY8[[8B01 - Digestion
Raw Score]]),_xlfn.STDEV.P(tblY8[[8B01 - Digestion
Raw Score]])),9),_Stanine,2),5),"")</f>
        <v>4</v>
      </c>
      <c r="T20" s="66" t="n">
        <v>10</v>
      </c>
      <c r="U20" s="67">
        <f>IF(ISNUMBER(tblY8[[#This Row],[8C02 - Metals and Acids
Raw Score]]),IFERROR(VLOOKUP(ROUND(STANDARDIZE(tblY8[[#This Row],[8C02 - Metals and Acids
Raw Score]],AVERAGE(tblY8[[8C02 - Metals and Acids
Raw Score]]),_xlfn.STDEV.P(tblY8[[8C02 - Metals and Acids
Raw Score]])),9),_Stanine,2),5),"")</f>
        <v>4</v>
      </c>
      <c r="V20" s="66" t="n">
        <v>15</v>
      </c>
      <c r="W20" s="67">
        <f>IF(ISNUMBER(tblY8[[#This Row],[8P02 - Light
Raw Score]]),IFERROR(VLOOKUP(ROUND(STANDARDIZE(tblY8[[#This Row],[8P02 - Light
Raw Score]],AVERAGE(tblY8[[8P02 - Light
Raw Score]]),_xlfn.STDEV.P(tblY8[[8P02 - Light
Raw Score]])),9),_Stanine,2),5),"")</f>
        <v>5</v>
      </c>
    </row>
    <row r="21">
      <c r="A21" s="65" t="inlineStr">
        <is>
          <t>X907318145186</t>
        </is>
      </c>
      <c r="B21" s="65" t="inlineStr">
        <is>
          <t>Patel</t>
        </is>
      </c>
      <c r="C21" s="65" t="inlineStr">
        <is>
          <t>Chidi</t>
        </is>
      </c>
      <c r="D21" s="66" t="inlineStr">
        <is>
          <t>M</t>
        </is>
      </c>
      <c r="E21" s="66" t="inlineStr">
        <is>
          <t>N</t>
        </is>
      </c>
      <c r="F21" s="66" t="inlineStr">
        <is>
          <t>N</t>
        </is>
      </c>
      <c r="G21" s="34" t="n">
        <v>91.7</v>
      </c>
      <c r="H21" s="34" t="n">
        <v>111</v>
      </c>
      <c r="I21" s="67">
        <f>IF(ISNUMBER(tblY8[[#This Row],[Avg KS2]]),IFERROR(VLOOKUP(ROUND(STANDARDIZE(tblY8[[#This Row],[Avg KS2]],AVERAGE(tblY8[[Avg KS2]]),_xlfn.STDEV.P(tblY8[[Avg KS2]])),9),_Stanine,2),5),"")</f>
        <v>7</v>
      </c>
      <c r="J21" s="66" t="inlineStr">
        <is>
          <t>8A/Sc1</t>
        </is>
      </c>
      <c r="K21" s="67">
        <f>IF(tblY8[[#This Row],[Preferred Last name]]="","",COUNTIFS($N$1:$ZZ$1,"*"&amp;CHAR(10)&amp;"Stanine",$N21:$ZZ21,"&gt;=1"))</f>
        <v>5</v>
      </c>
      <c r="L21" s="68">
        <f>IFERROR(AVERAGEIF($N$1:$ZZ$1,"*"&amp;CHAR(10)&amp;"Stanine",$N21:$ZZ21),"")</f>
        <v>7</v>
      </c>
      <c r="M21" s="69">
        <f>IF(AND(ISNUMBER(tblY8[[#This Row],[Mean Stanine]]),ISNUMBER(tblY8[[#This Row],[Avg KS2 Band]]),ISNUMBER(SlopeY8)),tblY8[[#This Row],[Mean Stanine]]-(InterceptY8+SlopeY8*tblY8[[#This Row],[Avg KS2 Band]]),"")</f>
        <v>0.500318433068975</v>
      </c>
      <c r="N21" s="66" t="n">
        <v>23</v>
      </c>
      <c r="O21" s="67">
        <f>IF(ISNUMBER(tblY8[[#This Row],[8C01 - Periodic Table
Raw Score]]),IFERROR(VLOOKUP(ROUND(STANDARDIZE(tblY8[[#This Row],[8C01 - Periodic Table
Raw Score]],AVERAGE(tblY8[[8C01 - Periodic Table
Raw Score]]),_xlfn.STDEV.P(tblY8[[8C01 - Periodic Table
Raw Score]])),9),_Stanine,2),5),"")</f>
        <v>7</v>
      </c>
      <c r="P21" s="66" t="n">
        <v>15</v>
      </c>
      <c r="Q21" s="67">
        <f>IF(ISNUMBER(tblY8[[#This Row],[8P01 - Energy
Raw Score]]),IFERROR(VLOOKUP(ROUND(STANDARDIZE(tblY8[[#This Row],[8P01 - Energy
Raw Score]],AVERAGE(tblY8[[8P01 - Energy
Raw Score]]),_xlfn.STDEV.P(tblY8[[8P01 - Energy
Raw Score]])),9),_Stanine,2),5),"")</f>
        <v>7</v>
      </c>
      <c r="R21" s="66" t="n">
        <v>21</v>
      </c>
      <c r="S21" s="67">
        <f>IF(ISNUMBER(tblY8[[#This Row],[8B01 - Digestion
Raw Score]]),IFERROR(VLOOKUP(ROUND(STANDARDIZE(tblY8[[#This Row],[8B01 - Digestion
Raw Score]],AVERAGE(tblY8[[8B01 - Digestion
Raw Score]]),_xlfn.STDEV.P(tblY8[[8B01 - Digestion
Raw Score]])),9),_Stanine,2),5),"")</f>
        <v>7</v>
      </c>
      <c r="T21" s="66" t="n">
        <v>16</v>
      </c>
      <c r="U21" s="67">
        <f>IF(ISNUMBER(tblY8[[#This Row],[8C02 - Metals and Acids
Raw Score]]),IFERROR(VLOOKUP(ROUND(STANDARDIZE(tblY8[[#This Row],[8C02 - Metals and Acids
Raw Score]],AVERAGE(tblY8[[8C02 - Metals and Acids
Raw Score]]),_xlfn.STDEV.P(tblY8[[8C02 - Metals and Acids
Raw Score]])),9),_Stanine,2),5),"")</f>
        <v>7</v>
      </c>
      <c r="V21" s="66" t="n">
        <v>19</v>
      </c>
      <c r="W21" s="67">
        <f>IF(ISNUMBER(tblY8[[#This Row],[8P02 - Light
Raw Score]]),IFERROR(VLOOKUP(ROUND(STANDARDIZE(tblY8[[#This Row],[8P02 - Light
Raw Score]],AVERAGE(tblY8[[8P02 - Light
Raw Score]]),_xlfn.STDEV.P(tblY8[[8P02 - Light
Raw Score]])),9),_Stanine,2),5),"")</f>
        <v>7</v>
      </c>
    </row>
    <row r="22">
      <c r="A22" s="65" t="inlineStr">
        <is>
          <t>X901743486137</t>
        </is>
      </c>
      <c r="B22" s="65" t="inlineStr">
        <is>
          <t>Shaw</t>
        </is>
      </c>
      <c r="C22" s="65" t="inlineStr">
        <is>
          <t>Finley</t>
        </is>
      </c>
      <c r="D22" s="66" t="inlineStr">
        <is>
          <t>F</t>
        </is>
      </c>
      <c r="E22" s="66" t="n"/>
      <c r="F22" s="66" t="inlineStr">
        <is>
          <t>Y</t>
        </is>
      </c>
      <c r="G22" s="34" t="n">
        <v>88.09999999999999</v>
      </c>
      <c r="H22" s="34" t="n">
        <v>110</v>
      </c>
      <c r="I22" s="67">
        <f>IF(ISNUMBER(tblY8[[#This Row],[Avg KS2]]),IFERROR(VLOOKUP(ROUND(STANDARDIZE(tblY8[[#This Row],[Avg KS2]],AVERAGE(tblY8[[Avg KS2]]),_xlfn.STDEV.P(tblY8[[Avg KS2]])),9),_Stanine,2),5),"")</f>
        <v>7</v>
      </c>
      <c r="J22" s="66" t="inlineStr">
        <is>
          <t>8A/Sc1</t>
        </is>
      </c>
      <c r="K22" s="67">
        <f>IF(tblY8[[#This Row],[Preferred Last name]]="","",COUNTIFS($N$1:$ZZ$1,"*"&amp;CHAR(10)&amp;"Stanine",$N22:$ZZ22,"&gt;=1"))</f>
        <v>5</v>
      </c>
      <c r="L22" s="68">
        <f>IFERROR(AVERAGEIF($N$1:$ZZ$1,"*"&amp;CHAR(10)&amp;"Stanine",$N22:$ZZ22),"")</f>
        <v>8</v>
      </c>
      <c r="M22" s="69">
        <f>IF(AND(ISNUMBER(tblY8[[#This Row],[Mean Stanine]]),ISNUMBER(tblY8[[#This Row],[Avg KS2 Band]]),ISNUMBER(SlopeY8)),tblY8[[#This Row],[Mean Stanine]]-(InterceptY8+SlopeY8*tblY8[[#This Row],[Avg KS2 Band]]),"")</f>
        <v>1.50031843306897</v>
      </c>
      <c r="N22" s="66" t="n">
        <v>27</v>
      </c>
      <c r="O22" s="67">
        <f>IF(ISNUMBER(tblY8[[#This Row],[8C01 - Periodic Table
Raw Score]]),IFERROR(VLOOKUP(ROUND(STANDARDIZE(tblY8[[#This Row],[8C01 - Periodic Table
Raw Score]],AVERAGE(tblY8[[8C01 - Periodic Table
Raw Score]]),_xlfn.STDEV.P(tblY8[[8C01 - Periodic Table
Raw Score]])),9),_Stanine,2),5),"")</f>
        <v>8</v>
      </c>
      <c r="P22" s="66" t="n">
        <v>19</v>
      </c>
      <c r="Q22" s="67">
        <f>IF(ISNUMBER(tblY8[[#This Row],[8P01 - Energy
Raw Score]]),IFERROR(VLOOKUP(ROUND(STANDARDIZE(tblY8[[#This Row],[8P01 - Energy
Raw Score]],AVERAGE(tblY8[[8P01 - Energy
Raw Score]]),_xlfn.STDEV.P(tblY8[[8P01 - Energy
Raw Score]])),9),_Stanine,2),5),"")</f>
        <v>8</v>
      </c>
      <c r="R22" s="66" t="n">
        <v>24</v>
      </c>
      <c r="S22" s="67">
        <f>IF(ISNUMBER(tblY8[[#This Row],[8B01 - Digestion
Raw Score]]),IFERROR(VLOOKUP(ROUND(STANDARDIZE(tblY8[[#This Row],[8B01 - Digestion
Raw Score]],AVERAGE(tblY8[[8B01 - Digestion
Raw Score]]),_xlfn.STDEV.P(tblY8[[8B01 - Digestion
Raw Score]])),9),_Stanine,2),5),"")</f>
        <v>8</v>
      </c>
      <c r="T22" s="66" t="n">
        <v>19</v>
      </c>
      <c r="U22" s="67">
        <f>IF(ISNUMBER(tblY8[[#This Row],[8C02 - Metals and Acids
Raw Score]]),IFERROR(VLOOKUP(ROUND(STANDARDIZE(tblY8[[#This Row],[8C02 - Metals and Acids
Raw Score]],AVERAGE(tblY8[[8C02 - Metals and Acids
Raw Score]]),_xlfn.STDEV.P(tblY8[[8C02 - Metals and Acids
Raw Score]])),9),_Stanine,2),5),"")</f>
        <v>8</v>
      </c>
      <c r="V22" s="66" t="n">
        <v>22</v>
      </c>
      <c r="W22" s="67">
        <f>IF(ISNUMBER(tblY8[[#This Row],[8P02 - Light
Raw Score]]),IFERROR(VLOOKUP(ROUND(STANDARDIZE(tblY8[[#This Row],[8P02 - Light
Raw Score]],AVERAGE(tblY8[[8P02 - Light
Raw Score]]),_xlfn.STDEV.P(tblY8[[8P02 - Light
Raw Score]])),9),_Stanine,2),5),"")</f>
        <v>8</v>
      </c>
    </row>
    <row r="23">
      <c r="A23" s="65" t="inlineStr">
        <is>
          <t>X900166787806</t>
        </is>
      </c>
      <c r="B23" s="65" t="inlineStr">
        <is>
          <t>Thompson</t>
        </is>
      </c>
      <c r="C23" s="65" t="inlineStr">
        <is>
          <t>Oliver</t>
        </is>
      </c>
      <c r="D23" s="66" t="inlineStr">
        <is>
          <t>M</t>
        </is>
      </c>
      <c r="E23" s="66" t="inlineStr">
        <is>
          <t>N</t>
        </is>
      </c>
      <c r="F23" s="66" t="inlineStr">
        <is>
          <t>Y</t>
        </is>
      </c>
      <c r="G23" s="34" t="n">
        <v>92.5</v>
      </c>
      <c r="H23" s="34" t="n">
        <v>110</v>
      </c>
      <c r="I23" s="67">
        <f>IF(ISNUMBER(tblY8[[#This Row],[Avg KS2]]),IFERROR(VLOOKUP(ROUND(STANDARDIZE(tblY8[[#This Row],[Avg KS2]],AVERAGE(tblY8[[Avg KS2]]),_xlfn.STDEV.P(tblY8[[Avg KS2]])),9),_Stanine,2),5),"")</f>
        <v>7</v>
      </c>
      <c r="J23" s="66" t="inlineStr">
        <is>
          <t>8A/Sc1</t>
        </is>
      </c>
      <c r="K23" s="67">
        <f>IF(tblY8[[#This Row],[Preferred Last name]]="","",COUNTIFS($N$1:$ZZ$1,"*"&amp;CHAR(10)&amp;"Stanine",$N23:$ZZ23,"&gt;=1"))</f>
        <v>4</v>
      </c>
      <c r="L23" s="68">
        <f>IFERROR(AVERAGEIF($N$1:$ZZ$1,"*"&amp;CHAR(10)&amp;"Stanine",$N23:$ZZ23),"")</f>
        <v>6</v>
      </c>
      <c r="M23" s="69">
        <f>IF(AND(ISNUMBER(tblY8[[#This Row],[Mean Stanine]]),ISNUMBER(tblY8[[#This Row],[Avg KS2 Band]]),ISNUMBER(SlopeY8)),tblY8[[#This Row],[Mean Stanine]]-(InterceptY8+SlopeY8*tblY8[[#This Row],[Avg KS2 Band]]),"")</f>
        <v>-0.499681566931026</v>
      </c>
      <c r="N23" s="66" t="inlineStr">
        <is>
          <t>A</t>
        </is>
      </c>
      <c r="O23" s="67" t="str">
        <f>IF(ISNUMBER(tblY8[[#This Row],[8C01 - Periodic Table
Raw Score]]),IFERROR(VLOOKUP(ROUND(STANDARDIZE(tblY8[[#This Row],[8C01 - Periodic Table
Raw Score]],AVERAGE(tblY8[[8C01 - Periodic Table
Raw Score]]),_xlfn.STDEV.P(tblY8[[8C01 - Periodic Table
Raw Score]])),9),_Stanine,2),5),"")</f>
        <v/>
      </c>
      <c r="P23" s="66" t="n">
        <v>16</v>
      </c>
      <c r="Q23" s="67">
        <f>IF(ISNUMBER(tblY8[[#This Row],[8P01 - Energy
Raw Score]]),IFERROR(VLOOKUP(ROUND(STANDARDIZE(tblY8[[#This Row],[8P01 - Energy
Raw Score]],AVERAGE(tblY8[[8P01 - Energy
Raw Score]]),_xlfn.STDEV.P(tblY8[[8P01 - Energy
Raw Score]])),9),_Stanine,2),5),"")</f>
        <v>7</v>
      </c>
      <c r="R23" s="66" t="n">
        <v>17</v>
      </c>
      <c r="S23" s="67">
        <f>IF(ISNUMBER(tblY8[[#This Row],[8B01 - Digestion
Raw Score]]),IFERROR(VLOOKUP(ROUND(STANDARDIZE(tblY8[[#This Row],[8B01 - Digestion
Raw Score]],AVERAGE(tblY8[[8B01 - Digestion
Raw Score]]),_xlfn.STDEV.P(tblY8[[8B01 - Digestion
Raw Score]])),9),_Stanine,2),5),"")</f>
        <v>6</v>
      </c>
      <c r="T23" s="66" t="n">
        <v>12</v>
      </c>
      <c r="U23" s="67">
        <f>IF(ISNUMBER(tblY8[[#This Row],[8C02 - Metals and Acids
Raw Score]]),IFERROR(VLOOKUP(ROUND(STANDARDIZE(tblY8[[#This Row],[8C02 - Metals and Acids
Raw Score]],AVERAGE(tblY8[[8C02 - Metals and Acids
Raw Score]]),_xlfn.STDEV.P(tblY8[[8C02 - Metals and Acids
Raw Score]])),9),_Stanine,2),5),"")</f>
        <v>5</v>
      </c>
      <c r="V23" s="66" t="n">
        <v>17</v>
      </c>
      <c r="W23" s="67">
        <f>IF(ISNUMBER(tblY8[[#This Row],[8P02 - Light
Raw Score]]),IFERROR(VLOOKUP(ROUND(STANDARDIZE(tblY8[[#This Row],[8P02 - Light
Raw Score]],AVERAGE(tblY8[[8P02 - Light
Raw Score]]),_xlfn.STDEV.P(tblY8[[8P02 - Light
Raw Score]])),9),_Stanine,2),5),"")</f>
        <v>6</v>
      </c>
    </row>
    <row r="24">
      <c r="A24" s="65" t="inlineStr">
        <is>
          <t>X901879732919</t>
        </is>
      </c>
      <c r="B24" s="65" t="inlineStr">
        <is>
          <t>Turner</t>
        </is>
      </c>
      <c r="C24" s="65" t="inlineStr">
        <is>
          <t>Ethan</t>
        </is>
      </c>
      <c r="D24" s="66" t="inlineStr">
        <is>
          <t>F</t>
        </is>
      </c>
      <c r="E24" s="66" t="inlineStr">
        <is>
          <t>N</t>
        </is>
      </c>
      <c r="F24" s="66" t="inlineStr">
        <is>
          <t>N</t>
        </is>
      </c>
      <c r="G24" s="34" t="n">
        <v>91.59999999999999</v>
      </c>
      <c r="H24" s="34" t="n">
        <v>106</v>
      </c>
      <c r="I24" s="67">
        <f>IF(ISNUMBER(tblY8[[#This Row],[Avg KS2]]),IFERROR(VLOOKUP(ROUND(STANDARDIZE(tblY8[[#This Row],[Avg KS2]],AVERAGE(tblY8[[Avg KS2]]),_xlfn.STDEV.P(tblY8[[Avg KS2]])),9),_Stanine,2),5),"")</f>
        <v>5</v>
      </c>
      <c r="J24" s="66" t="inlineStr">
        <is>
          <t>8A/Sc1</t>
        </is>
      </c>
      <c r="K24" s="67">
        <f>IF(tblY8[[#This Row],[Preferred Last name]]="","",COUNTIFS($N$1:$ZZ$1,"*"&amp;CHAR(10)&amp;"Stanine",$N24:$ZZ24,"&gt;=1"))</f>
        <v>3</v>
      </c>
      <c r="L24" s="68">
        <f>IFERROR(AVERAGEIF($N$1:$ZZ$1,"*"&amp;CHAR(10)&amp;"Stanine",$N24:$ZZ24),"")</f>
        <v>5.33333333333333</v>
      </c>
      <c r="M24" s="69">
        <f>IF(AND(ISNUMBER(tblY8[[#This Row],[Mean Stanine]]),ISNUMBER(tblY8[[#This Row],[Avg KS2 Band]]),ISNUMBER(SlopeY8)),tblY8[[#This Row],[Mean Stanine]]-(InterceptY8+SlopeY8*tblY8[[#This Row],[Avg KS2 Band]]),"")</f>
        <v>0.39147440519106</v>
      </c>
      <c r="N24" s="66" t="inlineStr">
        <is>
          <t>A</t>
        </is>
      </c>
      <c r="O24" s="67" t="str">
        <f>IF(ISNUMBER(tblY8[[#This Row],[8C01 - Periodic Table
Raw Score]]),IFERROR(VLOOKUP(ROUND(STANDARDIZE(tblY8[[#This Row],[8C01 - Periodic Table
Raw Score]],AVERAGE(tblY8[[8C01 - Periodic Table
Raw Score]]),_xlfn.STDEV.P(tblY8[[8C01 - Periodic Table
Raw Score]])),9),_Stanine,2),5),"")</f>
        <v/>
      </c>
      <c r="P24" s="66" t="n">
        <v>13</v>
      </c>
      <c r="Q24" s="67">
        <f>IF(ISNUMBER(tblY8[[#This Row],[8P01 - Energy
Raw Score]]),IFERROR(VLOOKUP(ROUND(STANDARDIZE(tblY8[[#This Row],[8P01 - Energy
Raw Score]],AVERAGE(tblY8[[8P01 - Energy
Raw Score]]),_xlfn.STDEV.P(tblY8[[8P01 - Energy
Raw Score]])),9),_Stanine,2),5),"")</f>
        <v>6</v>
      </c>
      <c r="R24" s="66" t="n">
        <v>12</v>
      </c>
      <c r="S24" s="67">
        <f>IF(ISNUMBER(tblY8[[#This Row],[8B01 - Digestion
Raw Score]]),IFERROR(VLOOKUP(ROUND(STANDARDIZE(tblY8[[#This Row],[8B01 - Digestion
Raw Score]],AVERAGE(tblY8[[8B01 - Digestion
Raw Score]]),_xlfn.STDEV.P(tblY8[[8B01 - Digestion
Raw Score]])),9),_Stanine,2),5),"")</f>
        <v>4</v>
      </c>
      <c r="T24" s="66" t="inlineStr">
        <is>
          <t>A</t>
        </is>
      </c>
      <c r="U24" s="67" t="str">
        <f>IF(ISNUMBER(tblY8[[#This Row],[8C02 - Metals and Acids
Raw Score]]),IFERROR(VLOOKUP(ROUND(STANDARDIZE(tblY8[[#This Row],[8C02 - Metals and Acids
Raw Score]],AVERAGE(tblY8[[8C02 - Metals and Acids
Raw Score]]),_xlfn.STDEV.P(tblY8[[8C02 - Metals and Acids
Raw Score]])),9),_Stanine,2),5),"")</f>
        <v/>
      </c>
      <c r="V24" s="66" t="n">
        <v>18</v>
      </c>
      <c r="W24" s="67">
        <f>IF(ISNUMBER(tblY8[[#This Row],[8P02 - Light
Raw Score]]),IFERROR(VLOOKUP(ROUND(STANDARDIZE(tblY8[[#This Row],[8P02 - Light
Raw Score]],AVERAGE(tblY8[[8P02 - Light
Raw Score]]),_xlfn.STDEV.P(tblY8[[8P02 - Light
Raw Score]])),9),_Stanine,2),5),"")</f>
        <v>6</v>
      </c>
    </row>
    <row r="25">
      <c r="A25" s="65" t="inlineStr">
        <is>
          <t>X902547368454</t>
        </is>
      </c>
      <c r="B25" s="65" t="inlineStr">
        <is>
          <t>Ward</t>
        </is>
      </c>
      <c r="C25" s="65" t="inlineStr">
        <is>
          <t>Poppy</t>
        </is>
      </c>
      <c r="D25" s="66" t="inlineStr">
        <is>
          <t>F</t>
        </is>
      </c>
      <c r="E25" s="66" t="n"/>
      <c r="F25" s="66" t="inlineStr">
        <is>
          <t>N</t>
        </is>
      </c>
      <c r="G25" s="34" t="n">
        <v>99</v>
      </c>
      <c r="H25" s="34" t="n">
        <v>110</v>
      </c>
      <c r="I25" s="67">
        <f>IF(ISNUMBER(tblY8[[#This Row],[Avg KS2]]),IFERROR(VLOOKUP(ROUND(STANDARDIZE(tblY8[[#This Row],[Avg KS2]],AVERAGE(tblY8[[Avg KS2]]),_xlfn.STDEV.P(tblY8[[Avg KS2]])),9),_Stanine,2),5),"")</f>
        <v>7</v>
      </c>
      <c r="J25" s="66" t="inlineStr">
        <is>
          <t>8A/Sc1</t>
        </is>
      </c>
      <c r="K25" s="67">
        <f>IF(tblY8[[#This Row],[Preferred Last name]]="","",COUNTIFS($N$1:$ZZ$1,"*"&amp;CHAR(10)&amp;"Stanine",$N25:$ZZ25,"&gt;=1"))</f>
        <v>4</v>
      </c>
      <c r="L25" s="68">
        <f>IFERROR(AVERAGEIF($N$1:$ZZ$1,"*"&amp;CHAR(10)&amp;"Stanine",$N25:$ZZ25),"")</f>
        <v>7.25</v>
      </c>
      <c r="M25" s="69">
        <f>IF(AND(ISNUMBER(tblY8[[#This Row],[Mean Stanine]]),ISNUMBER(tblY8[[#This Row],[Avg KS2 Band]]),ISNUMBER(SlopeY8)),tblY8[[#This Row],[Mean Stanine]]-(InterceptY8+SlopeY8*tblY8[[#This Row],[Avg KS2 Band]]),"")</f>
        <v>0.750318433068975</v>
      </c>
      <c r="N25" s="66" t="inlineStr">
        <is>
          <t>A</t>
        </is>
      </c>
      <c r="O25" s="67" t="str">
        <f>IF(ISNUMBER(tblY8[[#This Row],[8C01 - Periodic Table
Raw Score]]),IFERROR(VLOOKUP(ROUND(STANDARDIZE(tblY8[[#This Row],[8C01 - Periodic Table
Raw Score]],AVERAGE(tblY8[[8C01 - Periodic Table
Raw Score]]),_xlfn.STDEV.P(tblY8[[8C01 - Periodic Table
Raw Score]])),9),_Stanine,2),5),"")</f>
        <v/>
      </c>
      <c r="P25" s="66" t="n">
        <v>20</v>
      </c>
      <c r="Q25" s="67">
        <f>IF(ISNUMBER(tblY8[[#This Row],[8P01 - Energy
Raw Score]]),IFERROR(VLOOKUP(ROUND(STANDARDIZE(tblY8[[#This Row],[8P01 - Energy
Raw Score]],AVERAGE(tblY8[[8P01 - Energy
Raw Score]]),_xlfn.STDEV.P(tblY8[[8P01 - Energy
Raw Score]])),9),_Stanine,2),5),"")</f>
        <v>9</v>
      </c>
      <c r="R25" s="66" t="n">
        <v>18</v>
      </c>
      <c r="S25" s="67">
        <f>IF(ISNUMBER(tblY8[[#This Row],[8B01 - Digestion
Raw Score]]),IFERROR(VLOOKUP(ROUND(STANDARDIZE(tblY8[[#This Row],[8B01 - Digestion
Raw Score]],AVERAGE(tblY8[[8B01 - Digestion
Raw Score]]),_xlfn.STDEV.P(tblY8[[8B01 - Digestion
Raw Score]])),9),_Stanine,2),5),"")</f>
        <v>6</v>
      </c>
      <c r="T25" s="66" t="n">
        <v>16</v>
      </c>
      <c r="U25" s="67">
        <f>IF(ISNUMBER(tblY8[[#This Row],[8C02 - Metals and Acids
Raw Score]]),IFERROR(VLOOKUP(ROUND(STANDARDIZE(tblY8[[#This Row],[8C02 - Metals and Acids
Raw Score]],AVERAGE(tblY8[[8C02 - Metals and Acids
Raw Score]]),_xlfn.STDEV.P(tblY8[[8C02 - Metals and Acids
Raw Score]])),9),_Stanine,2),5),"")</f>
        <v>7</v>
      </c>
      <c r="V25" s="66" t="n">
        <v>19</v>
      </c>
      <c r="W25" s="67">
        <f>IF(ISNUMBER(tblY8[[#This Row],[8P02 - Light
Raw Score]]),IFERROR(VLOOKUP(ROUND(STANDARDIZE(tblY8[[#This Row],[8P02 - Light
Raw Score]],AVERAGE(tblY8[[8P02 - Light
Raw Score]]),_xlfn.STDEV.P(tblY8[[8P02 - Light
Raw Score]])),9),_Stanine,2),5),"")</f>
        <v>7</v>
      </c>
    </row>
    <row r="26">
      <c r="A26" s="65" t="inlineStr">
        <is>
          <t>X905869080032</t>
        </is>
      </c>
      <c r="B26" s="65" t="inlineStr">
        <is>
          <t>White</t>
        </is>
      </c>
      <c r="C26" s="65" t="inlineStr">
        <is>
          <t>Niamh</t>
        </is>
      </c>
      <c r="D26" s="66" t="inlineStr">
        <is>
          <t>M</t>
        </is>
      </c>
      <c r="E26" s="66" t="n"/>
      <c r="F26" s="66" t="inlineStr">
        <is>
          <t>N</t>
        </is>
      </c>
      <c r="G26" s="34" t="n">
        <v>98.7</v>
      </c>
      <c r="H26" s="34" t="n">
        <v>108</v>
      </c>
      <c r="I26" s="67">
        <f>IF(ISNUMBER(tblY8[[#This Row],[Avg KS2]]),IFERROR(VLOOKUP(ROUND(STANDARDIZE(tblY8[[#This Row],[Avg KS2]],AVERAGE(tblY8[[Avg KS2]]),_xlfn.STDEV.P(tblY8[[Avg KS2]])),9),_Stanine,2),5),"")</f>
        <v>6</v>
      </c>
      <c r="J26" s="66" t="inlineStr">
        <is>
          <t>8A/Sc1</t>
        </is>
      </c>
      <c r="K26" s="67">
        <f>IF(tblY8[[#This Row],[Preferred Last name]]="","",COUNTIFS($N$1:$ZZ$1,"*"&amp;CHAR(10)&amp;"Stanine",$N26:$ZZ26,"&gt;=1"))</f>
        <v>3</v>
      </c>
      <c r="L26" s="68">
        <f>IFERROR(AVERAGEIF($N$1:$ZZ$1,"*"&amp;CHAR(10)&amp;"Stanine",$N26:$ZZ26),"")</f>
        <v>8.33333333333333</v>
      </c>
      <c r="M26" s="69">
        <f>IF(AND(ISNUMBER(tblY8[[#This Row],[Mean Stanine]]),ISNUMBER(tblY8[[#This Row],[Avg KS2 Band]]),ISNUMBER(SlopeY8)),tblY8[[#This Row],[Mean Stanine]]-(InterceptY8+SlopeY8*tblY8[[#This Row],[Avg KS2 Band]]),"")</f>
        <v>2.61256308579668</v>
      </c>
      <c r="N26" s="66" t="inlineStr">
        <is>
          <t>A</t>
        </is>
      </c>
      <c r="O26" s="67" t="str">
        <f>IF(ISNUMBER(tblY8[[#This Row],[8C01 - Periodic Table
Raw Score]]),IFERROR(VLOOKUP(ROUND(STANDARDIZE(tblY8[[#This Row],[8C01 - Periodic Table
Raw Score]],AVERAGE(tblY8[[8C01 - Periodic Table
Raw Score]]),_xlfn.STDEV.P(tblY8[[8C01 - Periodic Table
Raw Score]])),9),_Stanine,2),5),"")</f>
        <v/>
      </c>
      <c r="P26" s="66" t="n">
        <v>18</v>
      </c>
      <c r="Q26" s="67">
        <f>IF(ISNUMBER(tblY8[[#This Row],[8P01 - Energy
Raw Score]]),IFERROR(VLOOKUP(ROUND(STANDARDIZE(tblY8[[#This Row],[8P01 - Energy
Raw Score]],AVERAGE(tblY8[[8P01 - Energy
Raw Score]]),_xlfn.STDEV.P(tblY8[[8P01 - Energy
Raw Score]])),9),_Stanine,2),5),"")</f>
        <v>8</v>
      </c>
      <c r="R26" s="66" t="n">
        <v>26</v>
      </c>
      <c r="S26" s="67">
        <f>IF(ISNUMBER(tblY8[[#This Row],[8B01 - Digestion
Raw Score]]),IFERROR(VLOOKUP(ROUND(STANDARDIZE(tblY8[[#This Row],[8B01 - Digestion
Raw Score]],AVERAGE(tblY8[[8B01 - Digestion
Raw Score]]),_xlfn.STDEV.P(tblY8[[8B01 - Digestion
Raw Score]])),9),_Stanine,2),5),"")</f>
        <v>9</v>
      </c>
      <c r="T26" s="66" t="inlineStr">
        <is>
          <t>A</t>
        </is>
      </c>
      <c r="U26" s="67" t="str">
        <f>IF(ISNUMBER(tblY8[[#This Row],[8C02 - Metals and Acids
Raw Score]]),IFERROR(VLOOKUP(ROUND(STANDARDIZE(tblY8[[#This Row],[8C02 - Metals and Acids
Raw Score]],AVERAGE(tblY8[[8C02 - Metals and Acids
Raw Score]]),_xlfn.STDEV.P(tblY8[[8C02 - Metals and Acids
Raw Score]])),9),_Stanine,2),5),"")</f>
        <v/>
      </c>
      <c r="V26" s="66" t="n">
        <v>21</v>
      </c>
      <c r="W26" s="67">
        <f>IF(ISNUMBER(tblY8[[#This Row],[8P02 - Light
Raw Score]]),IFERROR(VLOOKUP(ROUND(STANDARDIZE(tblY8[[#This Row],[8P02 - Light
Raw Score]],AVERAGE(tblY8[[8P02 - Light
Raw Score]]),_xlfn.STDEV.P(tblY8[[8P02 - Light
Raw Score]])),9),_Stanine,2),5),"")</f>
        <v>8</v>
      </c>
    </row>
    <row r="27">
      <c r="A27" s="65" t="inlineStr">
        <is>
          <t>X901480356570</t>
        </is>
      </c>
      <c r="B27" s="65" t="inlineStr">
        <is>
          <t>Williams</t>
        </is>
      </c>
      <c r="C27" s="65" t="inlineStr">
        <is>
          <t>Dylan</t>
        </is>
      </c>
      <c r="D27" s="66" t="inlineStr">
        <is>
          <t>F</t>
        </is>
      </c>
      <c r="E27" s="66" t="inlineStr">
        <is>
          <t>N</t>
        </is>
      </c>
      <c r="F27" s="66" t="inlineStr">
        <is>
          <t>N</t>
        </is>
      </c>
      <c r="G27" s="34" t="n">
        <v>78.8</v>
      </c>
      <c r="H27" s="34" t="n">
        <v>101.5</v>
      </c>
      <c r="I27" s="67">
        <f>IF(ISNUMBER(tblY8[[#This Row],[Avg KS2]]),IFERROR(VLOOKUP(ROUND(STANDARDIZE(tblY8[[#This Row],[Avg KS2]],AVERAGE(tblY8[[Avg KS2]]),_xlfn.STDEV.P(tblY8[[Avg KS2]])),9),_Stanine,2),5),"")</f>
        <v>4</v>
      </c>
      <c r="J27" s="66" t="inlineStr">
        <is>
          <t>8A/Sc1</t>
        </is>
      </c>
      <c r="K27" s="67">
        <f>IF(tblY8[[#This Row],[Preferred Last name]]="","",COUNTIFS($N$1:$ZZ$1,"*"&amp;CHAR(10)&amp;"Stanine",$N27:$ZZ27,"&gt;=1"))</f>
        <v>5</v>
      </c>
      <c r="L27" s="68">
        <f>IFERROR(AVERAGEIF($N$1:$ZZ$1,"*"&amp;CHAR(10)&amp;"Stanine",$N27:$ZZ27),"")</f>
        <v>5</v>
      </c>
      <c r="M27" s="69">
        <f>IF(AND(ISNUMBER(tblY8[[#This Row],[Mean Stanine]]),ISNUMBER(tblY8[[#This Row],[Avg KS2 Band]]),ISNUMBER(SlopeY8)),tblY8[[#This Row],[Mean Stanine]]-(InterceptY8+SlopeY8*tblY8[[#This Row],[Avg KS2 Band]]),"")</f>
        <v>0.837052391252103</v>
      </c>
      <c r="N27" s="66" t="n">
        <v>22</v>
      </c>
      <c r="O27" s="67">
        <f>IF(ISNUMBER(tblY8[[#This Row],[8C01 - Periodic Table
Raw Score]]),IFERROR(VLOOKUP(ROUND(STANDARDIZE(tblY8[[#This Row],[8C01 - Periodic Table
Raw Score]],AVERAGE(tblY8[[8C01 - Periodic Table
Raw Score]]),_xlfn.STDEV.P(tblY8[[8C01 - Periodic Table
Raw Score]])),9),_Stanine,2),5),"")</f>
        <v>6</v>
      </c>
      <c r="P27" s="66" t="n">
        <v>9</v>
      </c>
      <c r="Q27" s="67">
        <f>IF(ISNUMBER(tblY8[[#This Row],[8P01 - Energy
Raw Score]]),IFERROR(VLOOKUP(ROUND(STANDARDIZE(tblY8[[#This Row],[8P01 - Energy
Raw Score]],AVERAGE(tblY8[[8P01 - Energy
Raw Score]]),_xlfn.STDEV.P(tblY8[[8P01 - Energy
Raw Score]])),9),_Stanine,2),5),"")</f>
        <v>4</v>
      </c>
      <c r="R27" s="66" t="n">
        <v>16</v>
      </c>
      <c r="S27" s="67">
        <f>IF(ISNUMBER(tblY8[[#This Row],[8B01 - Digestion
Raw Score]]),IFERROR(VLOOKUP(ROUND(STANDARDIZE(tblY8[[#This Row],[8B01 - Digestion
Raw Score]],AVERAGE(tblY8[[8B01 - Digestion
Raw Score]]),_xlfn.STDEV.P(tblY8[[8B01 - Digestion
Raw Score]])),9),_Stanine,2),5),"")</f>
        <v>6</v>
      </c>
      <c r="T27" s="66" t="n">
        <v>11</v>
      </c>
      <c r="U27" s="67">
        <f>IF(ISNUMBER(tblY8[[#This Row],[8C02 - Metals and Acids
Raw Score]]),IFERROR(VLOOKUP(ROUND(STANDARDIZE(tblY8[[#This Row],[8C02 - Metals and Acids
Raw Score]],AVERAGE(tblY8[[8C02 - Metals and Acids
Raw Score]]),_xlfn.STDEV.P(tblY8[[8C02 - Metals and Acids
Raw Score]])),9),_Stanine,2),5),"")</f>
        <v>5</v>
      </c>
      <c r="V27" s="66" t="n">
        <v>14</v>
      </c>
      <c r="W27" s="67">
        <f>IF(ISNUMBER(tblY8[[#This Row],[8P02 - Light
Raw Score]]),IFERROR(VLOOKUP(ROUND(STANDARDIZE(tblY8[[#This Row],[8P02 - Light
Raw Score]],AVERAGE(tblY8[[8P02 - Light
Raw Score]]),_xlfn.STDEV.P(tblY8[[8P02 - Light
Raw Score]])),9),_Stanine,2),5),"")</f>
        <v>4</v>
      </c>
    </row>
    <row r="28">
      <c r="A28" s="65" t="inlineStr">
        <is>
          <t>X900661281452</t>
        </is>
      </c>
      <c r="B28" s="65" t="inlineStr">
        <is>
          <t>Williams</t>
        </is>
      </c>
      <c r="C28" s="65" t="inlineStr">
        <is>
          <t>Noah</t>
        </is>
      </c>
      <c r="D28" s="66" t="inlineStr">
        <is>
          <t>F</t>
        </is>
      </c>
      <c r="E28" s="66" t="inlineStr">
        <is>
          <t>N</t>
        </is>
      </c>
      <c r="F28" s="66" t="inlineStr">
        <is>
          <t>N</t>
        </is>
      </c>
      <c r="G28" s="34" t="n">
        <v>90.8</v>
      </c>
      <c r="H28" s="34" t="n">
        <v>103</v>
      </c>
      <c r="I28" s="67">
        <f>IF(ISNUMBER(tblY8[[#This Row],[Avg KS2]]),IFERROR(VLOOKUP(ROUND(STANDARDIZE(tblY8[[#This Row],[Avg KS2]],AVERAGE(tblY8[[Avg KS2]]),_xlfn.STDEV.P(tblY8[[Avg KS2]])),9),_Stanine,2),5),"")</f>
        <v>4</v>
      </c>
      <c r="J28" s="66" t="inlineStr">
        <is>
          <t>8A/Sc1</t>
        </is>
      </c>
      <c r="K28" s="67">
        <f>IF(tblY8[[#This Row],[Preferred Last name]]="","",COUNTIFS($N$1:$ZZ$1,"*"&amp;CHAR(10)&amp;"Stanine",$N28:$ZZ28,"&gt;=1"))</f>
        <v>5</v>
      </c>
      <c r="L28" s="68">
        <f>IFERROR(AVERAGEIF($N$1:$ZZ$1,"*"&amp;CHAR(10)&amp;"Stanine",$N28:$ZZ28),"")</f>
        <v>4.4</v>
      </c>
      <c r="M28" s="69">
        <f>IF(AND(ISNUMBER(tblY8[[#This Row],[Mean Stanine]]),ISNUMBER(tblY8[[#This Row],[Avg KS2 Band]]),ISNUMBER(SlopeY8)),tblY8[[#This Row],[Mean Stanine]]-(InterceptY8+SlopeY8*tblY8[[#This Row],[Avg KS2 Band]]),"")</f>
        <v>0.237052391252103</v>
      </c>
      <c r="N28" s="66" t="n">
        <v>15</v>
      </c>
      <c r="O28" s="67">
        <f>IF(ISNUMBER(tblY8[[#This Row],[8C01 - Periodic Table
Raw Score]]),IFERROR(VLOOKUP(ROUND(STANDARDIZE(tblY8[[#This Row],[8C01 - Periodic Table
Raw Score]],AVERAGE(tblY8[[8C01 - Periodic Table
Raw Score]]),_xlfn.STDEV.P(tblY8[[8C01 - Periodic Table
Raw Score]])),9),_Stanine,2),5),"")</f>
        <v>4</v>
      </c>
      <c r="P28" s="66" t="n">
        <v>7</v>
      </c>
      <c r="Q28" s="67">
        <f>IF(ISNUMBER(tblY8[[#This Row],[8P01 - Energy
Raw Score]]),IFERROR(VLOOKUP(ROUND(STANDARDIZE(tblY8[[#This Row],[8P01 - Energy
Raw Score]],AVERAGE(tblY8[[8P01 - Energy
Raw Score]]),_xlfn.STDEV.P(tblY8[[8P01 - Energy
Raw Score]])),9),_Stanine,2),5),"")</f>
        <v>4</v>
      </c>
      <c r="R28" s="66" t="n">
        <v>15</v>
      </c>
      <c r="S28" s="67">
        <f>IF(ISNUMBER(tblY8[[#This Row],[8B01 - Digestion
Raw Score]]),IFERROR(VLOOKUP(ROUND(STANDARDIZE(tblY8[[#This Row],[8B01 - Digestion
Raw Score]],AVERAGE(tblY8[[8B01 - Digestion
Raw Score]]),_xlfn.STDEV.P(tblY8[[8B01 - Digestion
Raw Score]])),9),_Stanine,2),5),"")</f>
        <v>5</v>
      </c>
      <c r="T28" s="66" t="n">
        <v>12</v>
      </c>
      <c r="U28" s="67">
        <f>IF(ISNUMBER(tblY8[[#This Row],[8C02 - Metals and Acids
Raw Score]]),IFERROR(VLOOKUP(ROUND(STANDARDIZE(tblY8[[#This Row],[8C02 - Metals and Acids
Raw Score]],AVERAGE(tblY8[[8C02 - Metals and Acids
Raw Score]]),_xlfn.STDEV.P(tblY8[[8C02 - Metals and Acids
Raw Score]])),9),_Stanine,2),5),"")</f>
        <v>5</v>
      </c>
      <c r="V28" s="66" t="n">
        <v>14</v>
      </c>
      <c r="W28" s="67">
        <f>IF(ISNUMBER(tblY8[[#This Row],[8P02 - Light
Raw Score]]),IFERROR(VLOOKUP(ROUND(STANDARDIZE(tblY8[[#This Row],[8P02 - Light
Raw Score]],AVERAGE(tblY8[[8P02 - Light
Raw Score]]),_xlfn.STDEV.P(tblY8[[8P02 - Light
Raw Score]])),9),_Stanine,2),5),"")</f>
        <v>4</v>
      </c>
    </row>
    <row r="29">
      <c r="A29" s="65" t="inlineStr">
        <is>
          <t>X909501948450</t>
        </is>
      </c>
      <c r="B29" s="65" t="inlineStr">
        <is>
          <t>Wilson</t>
        </is>
      </c>
      <c r="C29" s="65" t="inlineStr">
        <is>
          <t>Ella</t>
        </is>
      </c>
      <c r="D29" s="66" t="inlineStr">
        <is>
          <t>M</t>
        </is>
      </c>
      <c r="E29" s="66" t="inlineStr">
        <is>
          <t>K</t>
        </is>
      </c>
      <c r="F29" s="66" t="inlineStr">
        <is>
          <t>Y</t>
        </is>
      </c>
      <c r="G29" s="34" t="n">
        <v>100</v>
      </c>
      <c r="H29" s="34" t="n">
        <v>100</v>
      </c>
      <c r="I29" s="67">
        <f>IF(ISNUMBER(tblY8[[#This Row],[Avg KS2]]),IFERROR(VLOOKUP(ROUND(STANDARDIZE(tblY8[[#This Row],[Avg KS2]],AVERAGE(tblY8[[Avg KS2]]),_xlfn.STDEV.P(tblY8[[Avg KS2]])),9),_Stanine,2),5),"")</f>
        <v>3</v>
      </c>
      <c r="J29" s="66" t="inlineStr">
        <is>
          <t>8A/Sc1</t>
        </is>
      </c>
      <c r="K29" s="67">
        <f>IF(tblY8[[#This Row],[Preferred Last name]]="","",COUNTIFS($N$1:$ZZ$1,"*"&amp;CHAR(10)&amp;"Stanine",$N29:$ZZ29,"&gt;=1"))</f>
        <v>4</v>
      </c>
      <c r="L29" s="68">
        <f>IFERROR(AVERAGEIF($N$1:$ZZ$1,"*"&amp;CHAR(10)&amp;"Stanine",$N29:$ZZ29),"")</f>
        <v>4.25</v>
      </c>
      <c r="M29" s="69">
        <f>IF(AND(ISNUMBER(tblY8[[#This Row],[Mean Stanine]]),ISNUMBER(tblY8[[#This Row],[Avg KS2 Band]]),ISNUMBER(SlopeY8)),tblY8[[#This Row],[Mean Stanine]]-(InterceptY8+SlopeY8*tblY8[[#This Row],[Avg KS2 Band]]),"")</f>
        <v>0.865963710646479</v>
      </c>
      <c r="N29" s="66" t="inlineStr">
        <is>
          <t>A</t>
        </is>
      </c>
      <c r="O29" s="67" t="str">
        <f>IF(ISNUMBER(tblY8[[#This Row],[8C01 - Periodic Table
Raw Score]]),IFERROR(VLOOKUP(ROUND(STANDARDIZE(tblY8[[#This Row],[8C01 - Periodic Table
Raw Score]],AVERAGE(tblY8[[8C01 - Periodic Table
Raw Score]]),_xlfn.STDEV.P(tblY8[[8C01 - Periodic Table
Raw Score]])),9),_Stanine,2),5),"")</f>
        <v/>
      </c>
      <c r="P29" s="66" t="n">
        <v>7</v>
      </c>
      <c r="Q29" s="67">
        <f>IF(ISNUMBER(tblY8[[#This Row],[8P01 - Energy
Raw Score]]),IFERROR(VLOOKUP(ROUND(STANDARDIZE(tblY8[[#This Row],[8P01 - Energy
Raw Score]],AVERAGE(tblY8[[8P01 - Energy
Raw Score]]),_xlfn.STDEV.P(tblY8[[8P01 - Energy
Raw Score]])),9),_Stanine,2),5),"")</f>
        <v>4</v>
      </c>
      <c r="R29" s="66" t="n">
        <v>11</v>
      </c>
      <c r="S29" s="67">
        <f>IF(ISNUMBER(tblY8[[#This Row],[8B01 - Digestion
Raw Score]]),IFERROR(VLOOKUP(ROUND(STANDARDIZE(tblY8[[#This Row],[8B01 - Digestion
Raw Score]],AVERAGE(tblY8[[8B01 - Digestion
Raw Score]]),_xlfn.STDEV.P(tblY8[[8B01 - Digestion
Raw Score]])),9),_Stanine,2),5),"")</f>
        <v>4</v>
      </c>
      <c r="T29" s="66" t="n">
        <v>9</v>
      </c>
      <c r="U29" s="67">
        <f>IF(ISNUMBER(tblY8[[#This Row],[8C02 - Metals and Acids
Raw Score]]),IFERROR(VLOOKUP(ROUND(STANDARDIZE(tblY8[[#This Row],[8C02 - Metals and Acids
Raw Score]],AVERAGE(tblY8[[8C02 - Metals and Acids
Raw Score]]),_xlfn.STDEV.P(tblY8[[8C02 - Metals and Acids
Raw Score]])),9),_Stanine,2),5),"")</f>
        <v>4</v>
      </c>
      <c r="V29" s="66" t="n">
        <v>16</v>
      </c>
      <c r="W29" s="67">
        <f>IF(ISNUMBER(tblY8[[#This Row],[8P02 - Light
Raw Score]]),IFERROR(VLOOKUP(ROUND(STANDARDIZE(tblY8[[#This Row],[8P02 - Light
Raw Score]],AVERAGE(tblY8[[8P02 - Light
Raw Score]]),_xlfn.STDEV.P(tblY8[[8P02 - Light
Raw Score]])),9),_Stanine,2),5),"")</f>
        <v>5</v>
      </c>
    </row>
    <row r="30">
      <c r="A30" s="65" t="inlineStr">
        <is>
          <t>X901970444227</t>
        </is>
      </c>
      <c r="B30" s="65" t="inlineStr">
        <is>
          <t>Begum</t>
        </is>
      </c>
      <c r="C30" s="65" t="inlineStr">
        <is>
          <t>Callum</t>
        </is>
      </c>
      <c r="D30" s="66" t="inlineStr">
        <is>
          <t>M</t>
        </is>
      </c>
      <c r="E30" s="66" t="inlineStr">
        <is>
          <t>N</t>
        </is>
      </c>
      <c r="F30" s="66" t="inlineStr">
        <is>
          <t>Y</t>
        </is>
      </c>
      <c r="G30" s="34" t="n">
        <v>93</v>
      </c>
      <c r="H30" s="34" t="n">
        <v>104.5</v>
      </c>
      <c r="I30" s="67">
        <f>IF(ISNUMBER(tblY8[[#This Row],[Avg KS2]]),IFERROR(VLOOKUP(ROUND(STANDARDIZE(tblY8[[#This Row],[Avg KS2]],AVERAGE(tblY8[[Avg KS2]]),_xlfn.STDEV.P(tblY8[[Avg KS2]])),9),_Stanine,2),5),"")</f>
        <v>5</v>
      </c>
      <c r="J30" s="66" t="inlineStr">
        <is>
          <t>8A/Sc2</t>
        </is>
      </c>
      <c r="K30" s="67">
        <f>IF(tblY8[[#This Row],[Preferred Last name]]="","",COUNTIFS($N$1:$ZZ$1,"*"&amp;CHAR(10)&amp;"Stanine",$N30:$ZZ30,"&gt;=1"))</f>
        <v>4</v>
      </c>
      <c r="L30" s="68">
        <f>IFERROR(AVERAGEIF($N$1:$ZZ$1,"*"&amp;CHAR(10)&amp;"Stanine",$N30:$ZZ30),"")</f>
        <v>4</v>
      </c>
      <c r="M30" s="69">
        <f>IF(AND(ISNUMBER(tblY8[[#This Row],[Mean Stanine]]),ISNUMBER(tblY8[[#This Row],[Avg KS2 Band]]),ISNUMBER(SlopeY8)),tblY8[[#This Row],[Mean Stanine]]-(InterceptY8+SlopeY8*tblY8[[#This Row],[Avg KS2 Band]]),"")</f>
        <v>-0.941858928142273</v>
      </c>
      <c r="N30" s="66" t="n">
        <v>10</v>
      </c>
      <c r="O30" s="67">
        <f>IF(ISNUMBER(tblY8[[#This Row],[8C01 - Periodic Table
Raw Score]]),IFERROR(VLOOKUP(ROUND(STANDARDIZE(tblY8[[#This Row],[8C01 - Periodic Table
Raw Score]],AVERAGE(tblY8[[8C01 - Periodic Table
Raw Score]]),_xlfn.STDEV.P(tblY8[[8C01 - Periodic Table
Raw Score]])),9),_Stanine,2),5),"")</f>
        <v>2</v>
      </c>
      <c r="P30" s="66" t="inlineStr">
        <is>
          <t>A</t>
        </is>
      </c>
      <c r="Q30" s="67" t="str">
        <f>IF(ISNUMBER(tblY8[[#This Row],[8P01 - Energy
Raw Score]]),IFERROR(VLOOKUP(ROUND(STANDARDIZE(tblY8[[#This Row],[8P01 - Energy
Raw Score]],AVERAGE(tblY8[[8P01 - Energy
Raw Score]]),_xlfn.STDEV.P(tblY8[[8P01 - Energy
Raw Score]])),9),_Stanine,2),5),"")</f>
        <v/>
      </c>
      <c r="R30" s="66" t="n">
        <v>10</v>
      </c>
      <c r="S30" s="67">
        <f>IF(ISNUMBER(tblY8[[#This Row],[8B01 - Digestion
Raw Score]]),IFERROR(VLOOKUP(ROUND(STANDARDIZE(tblY8[[#This Row],[8B01 - Digestion
Raw Score]],AVERAGE(tblY8[[8B01 - Digestion
Raw Score]]),_xlfn.STDEV.P(tblY8[[8B01 - Digestion
Raw Score]])),9),_Stanine,2),5),"")</f>
        <v>4</v>
      </c>
      <c r="T30" s="66" t="n">
        <v>13</v>
      </c>
      <c r="U30" s="67">
        <f>IF(ISNUMBER(tblY8[[#This Row],[8C02 - Metals and Acids
Raw Score]]),IFERROR(VLOOKUP(ROUND(STANDARDIZE(tblY8[[#This Row],[8C02 - Metals and Acids
Raw Score]],AVERAGE(tblY8[[8C02 - Metals and Acids
Raw Score]]),_xlfn.STDEV.P(tblY8[[8C02 - Metals and Acids
Raw Score]])),9),_Stanine,2),5),"")</f>
        <v>6</v>
      </c>
      <c r="V30" s="66" t="n">
        <v>13</v>
      </c>
      <c r="W30" s="67">
        <f>IF(ISNUMBER(tblY8[[#This Row],[8P02 - Light
Raw Score]]),IFERROR(VLOOKUP(ROUND(STANDARDIZE(tblY8[[#This Row],[8P02 - Light
Raw Score]],AVERAGE(tblY8[[8P02 - Light
Raw Score]]),_xlfn.STDEV.P(tblY8[[8P02 - Light
Raw Score]])),9),_Stanine,2),5),"")</f>
        <v>4</v>
      </c>
    </row>
    <row r="31">
      <c r="A31" s="65" t="inlineStr">
        <is>
          <t>X908821102118</t>
        </is>
      </c>
      <c r="B31" s="65" t="inlineStr">
        <is>
          <t>Clarke</t>
        </is>
      </c>
      <c r="C31" s="65" t="inlineStr">
        <is>
          <t>Maya</t>
        </is>
      </c>
      <c r="D31" s="66" t="inlineStr">
        <is>
          <t>F</t>
        </is>
      </c>
      <c r="E31" s="66" t="inlineStr">
        <is>
          <t>K</t>
        </is>
      </c>
      <c r="F31" s="66" t="inlineStr">
        <is>
          <t>Y</t>
        </is>
      </c>
      <c r="G31" s="34" t="n">
        <v>91.8</v>
      </c>
      <c r="H31" s="34" t="n">
        <v>110</v>
      </c>
      <c r="I31" s="67">
        <f>IF(ISNUMBER(tblY8[[#This Row],[Avg KS2]]),IFERROR(VLOOKUP(ROUND(STANDARDIZE(tblY8[[#This Row],[Avg KS2]],AVERAGE(tblY8[[Avg KS2]]),_xlfn.STDEV.P(tblY8[[Avg KS2]])),9),_Stanine,2),5),"")</f>
        <v>7</v>
      </c>
      <c r="J31" s="66" t="inlineStr">
        <is>
          <t>8A/Sc2</t>
        </is>
      </c>
      <c r="K31" s="67">
        <f>IF(tblY8[[#This Row],[Preferred Last name]]="","",COUNTIFS($N$1:$ZZ$1,"*"&amp;CHAR(10)&amp;"Stanine",$N31:$ZZ31,"&gt;=1"))</f>
        <v>4</v>
      </c>
      <c r="L31" s="68">
        <f>IFERROR(AVERAGEIF($N$1:$ZZ$1,"*"&amp;CHAR(10)&amp;"Stanine",$N31:$ZZ31),"")</f>
        <v>6</v>
      </c>
      <c r="M31" s="69">
        <f>IF(AND(ISNUMBER(tblY8[[#This Row],[Mean Stanine]]),ISNUMBER(tblY8[[#This Row],[Avg KS2 Band]]),ISNUMBER(SlopeY8)),tblY8[[#This Row],[Mean Stanine]]-(InterceptY8+SlopeY8*tblY8[[#This Row],[Avg KS2 Band]]),"")</f>
        <v>-0.499681566931026</v>
      </c>
      <c r="N31" s="66" t="inlineStr">
        <is>
          <t>A</t>
        </is>
      </c>
      <c r="O31" s="67" t="str">
        <f>IF(ISNUMBER(tblY8[[#This Row],[8C01 - Periodic Table
Raw Score]]),IFERROR(VLOOKUP(ROUND(STANDARDIZE(tblY8[[#This Row],[8C01 - Periodic Table
Raw Score]],AVERAGE(tblY8[[8C01 - Periodic Table
Raw Score]]),_xlfn.STDEV.P(tblY8[[8C01 - Periodic Table
Raw Score]])),9),_Stanine,2),5),"")</f>
        <v/>
      </c>
      <c r="P31" s="66" t="n">
        <v>14</v>
      </c>
      <c r="Q31" s="67">
        <f>IF(ISNUMBER(tblY8[[#This Row],[8P01 - Energy
Raw Score]]),IFERROR(VLOOKUP(ROUND(STANDARDIZE(tblY8[[#This Row],[8P01 - Energy
Raw Score]],AVERAGE(tblY8[[8P01 - Energy
Raw Score]]),_xlfn.STDEV.P(tblY8[[8P01 - Energy
Raw Score]])),9),_Stanine,2),5),"")</f>
        <v>6</v>
      </c>
      <c r="R31" s="66" t="n">
        <v>19</v>
      </c>
      <c r="S31" s="67">
        <f>IF(ISNUMBER(tblY8[[#This Row],[8B01 - Digestion
Raw Score]]),IFERROR(VLOOKUP(ROUND(STANDARDIZE(tblY8[[#This Row],[8B01 - Digestion
Raw Score]],AVERAGE(tblY8[[8B01 - Digestion
Raw Score]]),_xlfn.STDEV.P(tblY8[[8B01 - Digestion
Raw Score]])),9),_Stanine,2),5),"")</f>
        <v>7</v>
      </c>
      <c r="T31" s="66" t="n">
        <v>10</v>
      </c>
      <c r="U31" s="67">
        <f>IF(ISNUMBER(tblY8[[#This Row],[8C02 - Metals and Acids
Raw Score]]),IFERROR(VLOOKUP(ROUND(STANDARDIZE(tblY8[[#This Row],[8C02 - Metals and Acids
Raw Score]],AVERAGE(tblY8[[8C02 - Metals and Acids
Raw Score]]),_xlfn.STDEV.P(tblY8[[8C02 - Metals and Acids
Raw Score]])),9),_Stanine,2),5),"")</f>
        <v>4</v>
      </c>
      <c r="V31" s="66" t="n">
        <v>20</v>
      </c>
      <c r="W31" s="67">
        <f>IF(ISNUMBER(tblY8[[#This Row],[8P02 - Light
Raw Score]]),IFERROR(VLOOKUP(ROUND(STANDARDIZE(tblY8[[#This Row],[8P02 - Light
Raw Score]],AVERAGE(tblY8[[8P02 - Light
Raw Score]]),_xlfn.STDEV.P(tblY8[[8P02 - Light
Raw Score]])),9),_Stanine,2),5),"")</f>
        <v>7</v>
      </c>
    </row>
    <row r="32">
      <c r="A32" s="65" t="inlineStr">
        <is>
          <t>X900544089078</t>
        </is>
      </c>
      <c r="B32" s="65" t="inlineStr">
        <is>
          <t>Cooper</t>
        </is>
      </c>
      <c r="C32" s="65" t="inlineStr">
        <is>
          <t>Ethan</t>
        </is>
      </c>
      <c r="D32" s="66" t="inlineStr">
        <is>
          <t>M</t>
        </is>
      </c>
      <c r="E32" s="66" t="inlineStr">
        <is>
          <t>K</t>
        </is>
      </c>
      <c r="F32" s="66" t="inlineStr">
        <is>
          <t>N</t>
        </is>
      </c>
      <c r="G32" s="34" t="n">
        <v>91.3</v>
      </c>
      <c r="H32" s="34" t="n">
        <v>106</v>
      </c>
      <c r="I32" s="67">
        <f>IF(ISNUMBER(tblY8[[#This Row],[Avg KS2]]),IFERROR(VLOOKUP(ROUND(STANDARDIZE(tblY8[[#This Row],[Avg KS2]],AVERAGE(tblY8[[Avg KS2]]),_xlfn.STDEV.P(tblY8[[Avg KS2]])),9),_Stanine,2),5),"")</f>
        <v>5</v>
      </c>
      <c r="J32" s="66" t="inlineStr">
        <is>
          <t>8A/Sc2</t>
        </is>
      </c>
      <c r="K32" s="67">
        <f>IF(tblY8[[#This Row],[Preferred Last name]]="","",COUNTIFS($N$1:$ZZ$1,"*"&amp;CHAR(10)&amp;"Stanine",$N32:$ZZ32,"&gt;=1"))</f>
        <v>5</v>
      </c>
      <c r="L32" s="68">
        <f>IFERROR(AVERAGEIF($N$1:$ZZ$1,"*"&amp;CHAR(10)&amp;"Stanine",$N32:$ZZ32),"")</f>
        <v>5.6</v>
      </c>
      <c r="M32" s="69">
        <f>IF(AND(ISNUMBER(tblY8[[#This Row],[Mean Stanine]]),ISNUMBER(tblY8[[#This Row],[Avg KS2 Band]]),ISNUMBER(SlopeY8)),tblY8[[#This Row],[Mean Stanine]]-(InterceptY8+SlopeY8*tblY8[[#This Row],[Avg KS2 Band]]),"")</f>
        <v>0.658141071857727</v>
      </c>
      <c r="N32" s="66" t="n">
        <v>22</v>
      </c>
      <c r="O32" s="67">
        <f>IF(ISNUMBER(tblY8[[#This Row],[8C01 - Periodic Table
Raw Score]]),IFERROR(VLOOKUP(ROUND(STANDARDIZE(tblY8[[#This Row],[8C01 - Periodic Table
Raw Score]],AVERAGE(tblY8[[8C01 - Periodic Table
Raw Score]]),_xlfn.STDEV.P(tblY8[[8C01 - Periodic Table
Raw Score]])),9),_Stanine,2),5),"")</f>
        <v>6</v>
      </c>
      <c r="P32" s="66" t="n">
        <v>14</v>
      </c>
      <c r="Q32" s="67">
        <f>IF(ISNUMBER(tblY8[[#This Row],[8P01 - Energy
Raw Score]]),IFERROR(VLOOKUP(ROUND(STANDARDIZE(tblY8[[#This Row],[8P01 - Energy
Raw Score]],AVERAGE(tblY8[[8P01 - Energy
Raw Score]]),_xlfn.STDEV.P(tblY8[[8P01 - Energy
Raw Score]])),9),_Stanine,2),5),"")</f>
        <v>6</v>
      </c>
      <c r="R32" s="66" t="n">
        <v>16</v>
      </c>
      <c r="S32" s="67">
        <f>IF(ISNUMBER(tblY8[[#This Row],[8B01 - Digestion
Raw Score]]),IFERROR(VLOOKUP(ROUND(STANDARDIZE(tblY8[[#This Row],[8B01 - Digestion
Raw Score]],AVERAGE(tblY8[[8B01 - Digestion
Raw Score]]),_xlfn.STDEV.P(tblY8[[8B01 - Digestion
Raw Score]])),9),_Stanine,2),5),"")</f>
        <v>6</v>
      </c>
      <c r="T32" s="66" t="n">
        <v>12</v>
      </c>
      <c r="U32" s="67">
        <f>IF(ISNUMBER(tblY8[[#This Row],[8C02 - Metals and Acids
Raw Score]]),IFERROR(VLOOKUP(ROUND(STANDARDIZE(tblY8[[#This Row],[8C02 - Metals and Acids
Raw Score]],AVERAGE(tblY8[[8C02 - Metals and Acids
Raw Score]]),_xlfn.STDEV.P(tblY8[[8C02 - Metals and Acids
Raw Score]])),9),_Stanine,2),5),"")</f>
        <v>5</v>
      </c>
      <c r="V32" s="66" t="n">
        <v>16</v>
      </c>
      <c r="W32" s="67">
        <f>IF(ISNUMBER(tblY8[[#This Row],[8P02 - Light
Raw Score]]),IFERROR(VLOOKUP(ROUND(STANDARDIZE(tblY8[[#This Row],[8P02 - Light
Raw Score]],AVERAGE(tblY8[[8P02 - Light
Raw Score]]),_xlfn.STDEV.P(tblY8[[8P02 - Light
Raw Score]])),9),_Stanine,2),5),"")</f>
        <v>5</v>
      </c>
    </row>
    <row r="33">
      <c r="A33" s="65" t="inlineStr">
        <is>
          <t>X903941689298</t>
        </is>
      </c>
      <c r="B33" s="65" t="inlineStr">
        <is>
          <t>Davies</t>
        </is>
      </c>
      <c r="C33" s="65" t="inlineStr">
        <is>
          <t>Arjun</t>
        </is>
      </c>
      <c r="D33" s="66" t="inlineStr">
        <is>
          <t>F</t>
        </is>
      </c>
      <c r="E33" s="66" t="inlineStr">
        <is>
          <t>N</t>
        </is>
      </c>
      <c r="F33" s="66" t="inlineStr">
        <is>
          <t>Y</t>
        </is>
      </c>
      <c r="G33" s="34" t="n">
        <v>86.3</v>
      </c>
      <c r="H33" s="34" t="n">
        <v>102</v>
      </c>
      <c r="I33" s="67">
        <f>IF(ISNUMBER(tblY8[[#This Row],[Avg KS2]]),IFERROR(VLOOKUP(ROUND(STANDARDIZE(tblY8[[#This Row],[Avg KS2]],AVERAGE(tblY8[[Avg KS2]]),_xlfn.STDEV.P(tblY8[[Avg KS2]])),9),_Stanine,2),5),"")</f>
        <v>4</v>
      </c>
      <c r="J33" s="66" t="inlineStr">
        <is>
          <t>8A/Sc2</t>
        </is>
      </c>
      <c r="K33" s="67">
        <f>IF(tblY8[[#This Row],[Preferred Last name]]="","",COUNTIFS($N$1:$ZZ$1,"*"&amp;CHAR(10)&amp;"Stanine",$N33:$ZZ33,"&gt;=1"))</f>
        <v>5</v>
      </c>
      <c r="L33" s="68">
        <f>IFERROR(AVERAGEIF($N$1:$ZZ$1,"*"&amp;CHAR(10)&amp;"Stanine",$N33:$ZZ33),"")</f>
        <v>4.8</v>
      </c>
      <c r="M33" s="69">
        <f>IF(AND(ISNUMBER(tblY8[[#This Row],[Mean Stanine]]),ISNUMBER(tblY8[[#This Row],[Avg KS2 Band]]),ISNUMBER(SlopeY8)),tblY8[[#This Row],[Mean Stanine]]-(InterceptY8+SlopeY8*tblY8[[#This Row],[Avg KS2 Band]]),"")</f>
        <v>0.637052391252102</v>
      </c>
      <c r="N33" s="66" t="n">
        <v>17</v>
      </c>
      <c r="O33" s="67">
        <f>IF(ISNUMBER(tblY8[[#This Row],[8C01 - Periodic Table
Raw Score]]),IFERROR(VLOOKUP(ROUND(STANDARDIZE(tblY8[[#This Row],[8C01 - Periodic Table
Raw Score]],AVERAGE(tblY8[[8C01 - Periodic Table
Raw Score]]),_xlfn.STDEV.P(tblY8[[8C01 - Periodic Table
Raw Score]])),9),_Stanine,2),5),"")</f>
        <v>5</v>
      </c>
      <c r="P33" s="66" t="n">
        <v>10</v>
      </c>
      <c r="Q33" s="67">
        <f>IF(ISNUMBER(tblY8[[#This Row],[8P01 - Energy
Raw Score]]),IFERROR(VLOOKUP(ROUND(STANDARDIZE(tblY8[[#This Row],[8P01 - Energy
Raw Score]],AVERAGE(tblY8[[8P01 - Energy
Raw Score]]),_xlfn.STDEV.P(tblY8[[8P01 - Energy
Raw Score]])),9),_Stanine,2),5),"")</f>
        <v>5</v>
      </c>
      <c r="R33" s="66" t="n">
        <v>15</v>
      </c>
      <c r="S33" s="67">
        <f>IF(ISNUMBER(tblY8[[#This Row],[8B01 - Digestion
Raw Score]]),IFERROR(VLOOKUP(ROUND(STANDARDIZE(tblY8[[#This Row],[8B01 - Digestion
Raw Score]],AVERAGE(tblY8[[8B01 - Digestion
Raw Score]]),_xlfn.STDEV.P(tblY8[[8B01 - Digestion
Raw Score]])),9),_Stanine,2),5),"")</f>
        <v>5</v>
      </c>
      <c r="T33" s="66" t="n">
        <v>14</v>
      </c>
      <c r="U33" s="67">
        <f>IF(ISNUMBER(tblY8[[#This Row],[8C02 - Metals and Acids
Raw Score]]),IFERROR(VLOOKUP(ROUND(STANDARDIZE(tblY8[[#This Row],[8C02 - Metals and Acids
Raw Score]],AVERAGE(tblY8[[8C02 - Metals and Acids
Raw Score]]),_xlfn.STDEV.P(tblY8[[8C02 - Metals and Acids
Raw Score]])),9),_Stanine,2),5),"")</f>
        <v>6</v>
      </c>
      <c r="V33" s="66" t="n">
        <v>11</v>
      </c>
      <c r="W33" s="67">
        <f>IF(ISNUMBER(tblY8[[#This Row],[8P02 - Light
Raw Score]]),IFERROR(VLOOKUP(ROUND(STANDARDIZE(tblY8[[#This Row],[8P02 - Light
Raw Score]],AVERAGE(tblY8[[8P02 - Light
Raw Score]]),_xlfn.STDEV.P(tblY8[[8P02 - Light
Raw Score]])),9),_Stanine,2),5),"")</f>
        <v>3</v>
      </c>
    </row>
    <row r="34">
      <c r="A34" s="65" t="inlineStr">
        <is>
          <t>X901503034555</t>
        </is>
      </c>
      <c r="B34" s="65" t="inlineStr">
        <is>
          <t>Fletcher</t>
        </is>
      </c>
      <c r="C34" s="65" t="inlineStr">
        <is>
          <t>Noah</t>
        </is>
      </c>
      <c r="D34" s="66" t="inlineStr">
        <is>
          <t>M</t>
        </is>
      </c>
      <c r="E34" s="66" t="n"/>
      <c r="F34" s="66" t="inlineStr">
        <is>
          <t>N</t>
        </is>
      </c>
      <c r="G34" s="34" t="n">
        <v>95.59999999999999</v>
      </c>
      <c r="H34" s="34" t="n">
        <v>106</v>
      </c>
      <c r="I34" s="67">
        <f>IF(ISNUMBER(tblY8[[#This Row],[Avg KS2]]),IFERROR(VLOOKUP(ROUND(STANDARDIZE(tblY8[[#This Row],[Avg KS2]],AVERAGE(tblY8[[Avg KS2]]),_xlfn.STDEV.P(tblY8[[Avg KS2]])),9),_Stanine,2),5),"")</f>
        <v>5</v>
      </c>
      <c r="J34" s="66" t="inlineStr">
        <is>
          <t>8A/Sc2</t>
        </is>
      </c>
      <c r="K34" s="67">
        <f>IF(tblY8[[#This Row],[Preferred Last name]]="","",COUNTIFS($N$1:$ZZ$1,"*"&amp;CHAR(10)&amp;"Stanine",$N34:$ZZ34,"&gt;=1"))</f>
        <v>4</v>
      </c>
      <c r="L34" s="68">
        <f>IFERROR(AVERAGEIF($N$1:$ZZ$1,"*"&amp;CHAR(10)&amp;"Stanine",$N34:$ZZ34),"")</f>
        <v>7.25</v>
      </c>
      <c r="M34" s="69">
        <f>IF(AND(ISNUMBER(tblY8[[#This Row],[Mean Stanine]]),ISNUMBER(tblY8[[#This Row],[Avg KS2 Band]]),ISNUMBER(SlopeY8)),tblY8[[#This Row],[Mean Stanine]]-(InterceptY8+SlopeY8*tblY8[[#This Row],[Avg KS2 Band]]),"")</f>
        <v>2.30814107185773</v>
      </c>
      <c r="N34" s="66" t="n">
        <v>23</v>
      </c>
      <c r="O34" s="67">
        <f>IF(ISNUMBER(tblY8[[#This Row],[8C01 - Periodic Table
Raw Score]]),IFERROR(VLOOKUP(ROUND(STANDARDIZE(tblY8[[#This Row],[8C01 - Periodic Table
Raw Score]],AVERAGE(tblY8[[8C01 - Periodic Table
Raw Score]]),_xlfn.STDEV.P(tblY8[[8C01 - Periodic Table
Raw Score]])),9),_Stanine,2),5),"")</f>
        <v>7</v>
      </c>
      <c r="P34" s="66" t="n">
        <v>16</v>
      </c>
      <c r="Q34" s="67">
        <f>IF(ISNUMBER(tblY8[[#This Row],[8P01 - Energy
Raw Score]]),IFERROR(VLOOKUP(ROUND(STANDARDIZE(tblY8[[#This Row],[8P01 - Energy
Raw Score]],AVERAGE(tblY8[[8P01 - Energy
Raw Score]]),_xlfn.STDEV.P(tblY8[[8P01 - Energy
Raw Score]])),9),_Stanine,2),5),"")</f>
        <v>7</v>
      </c>
      <c r="R34" s="66" t="n">
        <v>23</v>
      </c>
      <c r="S34" s="67">
        <f>IF(ISNUMBER(tblY8[[#This Row],[8B01 - Digestion
Raw Score]]),IFERROR(VLOOKUP(ROUND(STANDARDIZE(tblY8[[#This Row],[8B01 - Digestion
Raw Score]],AVERAGE(tblY8[[8B01 - Digestion
Raw Score]]),_xlfn.STDEV.P(tblY8[[8B01 - Digestion
Raw Score]])),9),_Stanine,2),5),"")</f>
        <v>8</v>
      </c>
      <c r="T34" s="66" t="n">
        <v>16</v>
      </c>
      <c r="U34" s="67">
        <f>IF(ISNUMBER(tblY8[[#This Row],[8C02 - Metals and Acids
Raw Score]]),IFERROR(VLOOKUP(ROUND(STANDARDIZE(tblY8[[#This Row],[8C02 - Metals and Acids
Raw Score]],AVERAGE(tblY8[[8C02 - Metals and Acids
Raw Score]]),_xlfn.STDEV.P(tblY8[[8C02 - Metals and Acids
Raw Score]])),9),_Stanine,2),5),"")</f>
        <v>7</v>
      </c>
      <c r="V34" s="66" t="inlineStr">
        <is>
          <t>A</t>
        </is>
      </c>
      <c r="W34" s="67" t="str">
        <f>IF(ISNUMBER(tblY8[[#This Row],[8P02 - Light
Raw Score]]),IFERROR(VLOOKUP(ROUND(STANDARDIZE(tblY8[[#This Row],[8P02 - Light
Raw Score]],AVERAGE(tblY8[[8P02 - Light
Raw Score]]),_xlfn.STDEV.P(tblY8[[8P02 - Light
Raw Score]])),9),_Stanine,2),5),"")</f>
        <v/>
      </c>
    </row>
    <row r="35">
      <c r="A35" s="65" t="inlineStr">
        <is>
          <t>X901697649052</t>
        </is>
      </c>
      <c r="B35" s="65" t="inlineStr">
        <is>
          <t>Fletcher</t>
        </is>
      </c>
      <c r="C35" s="65" t="inlineStr">
        <is>
          <t>Rosie</t>
        </is>
      </c>
      <c r="D35" s="66" t="inlineStr">
        <is>
          <t>F</t>
        </is>
      </c>
      <c r="E35" s="66" t="inlineStr">
        <is>
          <t>N</t>
        </is>
      </c>
      <c r="F35" s="66" t="inlineStr">
        <is>
          <t>N</t>
        </is>
      </c>
      <c r="G35" s="34" t="n">
        <v>98.2</v>
      </c>
      <c r="H35" s="34" t="n">
        <v>109.5</v>
      </c>
      <c r="I35" s="67">
        <f>IF(ISNUMBER(tblY8[[#This Row],[Avg KS2]]),IFERROR(VLOOKUP(ROUND(STANDARDIZE(tblY8[[#This Row],[Avg KS2]],AVERAGE(tblY8[[Avg KS2]]),_xlfn.STDEV.P(tblY8[[Avg KS2]])),9),_Stanine,2),5),"")</f>
        <v>7</v>
      </c>
      <c r="J35" s="66" t="inlineStr">
        <is>
          <t>8A/Sc2</t>
        </is>
      </c>
      <c r="K35" s="67">
        <f>IF(tblY8[[#This Row],[Preferred Last name]]="","",COUNTIFS($N$1:$ZZ$1,"*"&amp;CHAR(10)&amp;"Stanine",$N35:$ZZ35,"&gt;=1"))</f>
        <v>5</v>
      </c>
      <c r="L35" s="68">
        <f>IFERROR(AVERAGEIF($N$1:$ZZ$1,"*"&amp;CHAR(10)&amp;"Stanine",$N35:$ZZ35),"")</f>
        <v>8</v>
      </c>
      <c r="M35" s="69">
        <f>IF(AND(ISNUMBER(tblY8[[#This Row],[Mean Stanine]]),ISNUMBER(tblY8[[#This Row],[Avg KS2 Band]]),ISNUMBER(SlopeY8)),tblY8[[#This Row],[Mean Stanine]]-(InterceptY8+SlopeY8*tblY8[[#This Row],[Avg KS2 Band]]),"")</f>
        <v>1.50031843306897</v>
      </c>
      <c r="N35" s="66" t="n">
        <v>27</v>
      </c>
      <c r="O35" s="67">
        <f>IF(ISNUMBER(tblY8[[#This Row],[8C01 - Periodic Table
Raw Score]]),IFERROR(VLOOKUP(ROUND(STANDARDIZE(tblY8[[#This Row],[8C01 - Periodic Table
Raw Score]],AVERAGE(tblY8[[8C01 - Periodic Table
Raw Score]]),_xlfn.STDEV.P(tblY8[[8C01 - Periodic Table
Raw Score]])),9),_Stanine,2),5),"")</f>
        <v>8</v>
      </c>
      <c r="P35" s="66" t="n">
        <v>19</v>
      </c>
      <c r="Q35" s="67">
        <f>IF(ISNUMBER(tblY8[[#This Row],[8P01 - Energy
Raw Score]]),IFERROR(VLOOKUP(ROUND(STANDARDIZE(tblY8[[#This Row],[8P01 - Energy
Raw Score]],AVERAGE(tblY8[[8P01 - Energy
Raw Score]]),_xlfn.STDEV.P(tblY8[[8P01 - Energy
Raw Score]])),9),_Stanine,2),5),"")</f>
        <v>8</v>
      </c>
      <c r="R35" s="66" t="n">
        <v>25</v>
      </c>
      <c r="S35" s="67">
        <f>IF(ISNUMBER(tblY8[[#This Row],[8B01 - Digestion
Raw Score]]),IFERROR(VLOOKUP(ROUND(STANDARDIZE(tblY8[[#This Row],[8B01 - Digestion
Raw Score]],AVERAGE(tblY8[[8B01 - Digestion
Raw Score]]),_xlfn.STDEV.P(tblY8[[8B01 - Digestion
Raw Score]])),9),_Stanine,2),5),"")</f>
        <v>9</v>
      </c>
      <c r="T35" s="66" t="n">
        <v>18</v>
      </c>
      <c r="U35" s="67">
        <f>IF(ISNUMBER(tblY8[[#This Row],[8C02 - Metals and Acids
Raw Score]]),IFERROR(VLOOKUP(ROUND(STANDARDIZE(tblY8[[#This Row],[8C02 - Metals and Acids
Raw Score]],AVERAGE(tblY8[[8C02 - Metals and Acids
Raw Score]]),_xlfn.STDEV.P(tblY8[[8C02 - Metals and Acids
Raw Score]])),9),_Stanine,2),5),"")</f>
        <v>7</v>
      </c>
      <c r="V35" s="66" t="n">
        <v>21</v>
      </c>
      <c r="W35" s="67">
        <f>IF(ISNUMBER(tblY8[[#This Row],[8P02 - Light
Raw Score]]),IFERROR(VLOOKUP(ROUND(STANDARDIZE(tblY8[[#This Row],[8P02 - Light
Raw Score]],AVERAGE(tblY8[[8P02 - Light
Raw Score]]),_xlfn.STDEV.P(tblY8[[8P02 - Light
Raw Score]])),9),_Stanine,2),5),"")</f>
        <v>8</v>
      </c>
    </row>
    <row r="36">
      <c r="A36" s="65" t="inlineStr">
        <is>
          <t>X909752290917</t>
        </is>
      </c>
      <c r="B36" s="65" t="inlineStr">
        <is>
          <t>Green</t>
        </is>
      </c>
      <c r="C36" s="65" t="inlineStr">
        <is>
          <t>Keira</t>
        </is>
      </c>
      <c r="D36" s="66" t="inlineStr">
        <is>
          <t>F</t>
        </is>
      </c>
      <c r="E36" s="66" t="inlineStr">
        <is>
          <t>K</t>
        </is>
      </c>
      <c r="F36" s="66" t="inlineStr">
        <is>
          <t>N</t>
        </is>
      </c>
      <c r="G36" s="34" t="n">
        <v>94.3</v>
      </c>
      <c r="H36" s="34" t="n">
        <v>110</v>
      </c>
      <c r="I36" s="67">
        <f>IF(ISNUMBER(tblY8[[#This Row],[Avg KS2]]),IFERROR(VLOOKUP(ROUND(STANDARDIZE(tblY8[[#This Row],[Avg KS2]],AVERAGE(tblY8[[Avg KS2]]),_xlfn.STDEV.P(tblY8[[Avg KS2]])),9),_Stanine,2),5),"")</f>
        <v>7</v>
      </c>
      <c r="J36" s="66" t="inlineStr">
        <is>
          <t>8A/Sc2</t>
        </is>
      </c>
      <c r="K36" s="67">
        <f>IF(tblY8[[#This Row],[Preferred Last name]]="","",COUNTIFS($N$1:$ZZ$1,"*"&amp;CHAR(10)&amp;"Stanine",$N36:$ZZ36,"&gt;=1"))</f>
        <v>5</v>
      </c>
      <c r="L36" s="68">
        <f>IFERROR(AVERAGEIF($N$1:$ZZ$1,"*"&amp;CHAR(10)&amp;"Stanine",$N36:$ZZ36),"")</f>
        <v>4.8</v>
      </c>
      <c r="M36" s="69">
        <f>IF(AND(ISNUMBER(tblY8[[#This Row],[Mean Stanine]]),ISNUMBER(tblY8[[#This Row],[Avg KS2 Band]]),ISNUMBER(SlopeY8)),tblY8[[#This Row],[Mean Stanine]]-(InterceptY8+SlopeY8*tblY8[[#This Row],[Avg KS2 Band]]),"")</f>
        <v>-1.69968156693103</v>
      </c>
      <c r="N36" s="66" t="n">
        <v>16</v>
      </c>
      <c r="O36" s="67">
        <f>IF(ISNUMBER(tblY8[[#This Row],[8C01 - Periodic Table
Raw Score]]),IFERROR(VLOOKUP(ROUND(STANDARDIZE(tblY8[[#This Row],[8C01 - Periodic Table
Raw Score]],AVERAGE(tblY8[[8C01 - Periodic Table
Raw Score]]),_xlfn.STDEV.P(tblY8[[8C01 - Periodic Table
Raw Score]])),9),_Stanine,2),5),"")</f>
        <v>4</v>
      </c>
      <c r="P36" s="66" t="n">
        <v>11</v>
      </c>
      <c r="Q36" s="67">
        <f>IF(ISNUMBER(tblY8[[#This Row],[8P01 - Energy
Raw Score]]),IFERROR(VLOOKUP(ROUND(STANDARDIZE(tblY8[[#This Row],[8P01 - Energy
Raw Score]],AVERAGE(tblY8[[8P01 - Energy
Raw Score]]),_xlfn.STDEV.P(tblY8[[8P01 - Energy
Raw Score]])),9),_Stanine,2),5),"")</f>
        <v>5</v>
      </c>
      <c r="R36" s="66" t="n">
        <v>12</v>
      </c>
      <c r="S36" s="67">
        <f>IF(ISNUMBER(tblY8[[#This Row],[8B01 - Digestion
Raw Score]]),IFERROR(VLOOKUP(ROUND(STANDARDIZE(tblY8[[#This Row],[8B01 - Digestion
Raw Score]],AVERAGE(tblY8[[8B01 - Digestion
Raw Score]]),_xlfn.STDEV.P(tblY8[[8B01 - Digestion
Raw Score]])),9),_Stanine,2),5),"")</f>
        <v>4</v>
      </c>
      <c r="T36" s="66" t="n">
        <v>14</v>
      </c>
      <c r="U36" s="67">
        <f>IF(ISNUMBER(tblY8[[#This Row],[8C02 - Metals and Acids
Raw Score]]),IFERROR(VLOOKUP(ROUND(STANDARDIZE(tblY8[[#This Row],[8C02 - Metals and Acids
Raw Score]],AVERAGE(tblY8[[8C02 - Metals and Acids
Raw Score]]),_xlfn.STDEV.P(tblY8[[8C02 - Metals and Acids
Raw Score]])),9),_Stanine,2),5),"")</f>
        <v>6</v>
      </c>
      <c r="V36" s="66" t="n">
        <v>15</v>
      </c>
      <c r="W36" s="67">
        <f>IF(ISNUMBER(tblY8[[#This Row],[8P02 - Light
Raw Score]]),IFERROR(VLOOKUP(ROUND(STANDARDIZE(tblY8[[#This Row],[8P02 - Light
Raw Score]],AVERAGE(tblY8[[8P02 - Light
Raw Score]]),_xlfn.STDEV.P(tblY8[[8P02 - Light
Raw Score]])),9),_Stanine,2),5),"")</f>
        <v>5</v>
      </c>
    </row>
    <row r="37">
      <c r="A37" s="65" t="inlineStr">
        <is>
          <t>X904857958786</t>
        </is>
      </c>
      <c r="B37" s="65" t="inlineStr">
        <is>
          <t>Griffiths</t>
        </is>
      </c>
      <c r="C37" s="65" t="inlineStr">
        <is>
          <t>Arthur</t>
        </is>
      </c>
      <c r="D37" s="66" t="inlineStr">
        <is>
          <t>M</t>
        </is>
      </c>
      <c r="E37" s="66" t="n"/>
      <c r="F37" s="66" t="inlineStr">
        <is>
          <t>Y</t>
        </is>
      </c>
      <c r="G37" s="34" t="n">
        <v>100</v>
      </c>
      <c r="H37" s="34" t="n">
        <v>113</v>
      </c>
      <c r="I37" s="67">
        <f>IF(ISNUMBER(tblY8[[#This Row],[Avg KS2]]),IFERROR(VLOOKUP(ROUND(STANDARDIZE(tblY8[[#This Row],[Avg KS2]],AVERAGE(tblY8[[Avg KS2]]),_xlfn.STDEV.P(tblY8[[Avg KS2]])),9),_Stanine,2),5),"")</f>
        <v>8</v>
      </c>
      <c r="J37" s="66" t="inlineStr">
        <is>
          <t>8A/Sc2</t>
        </is>
      </c>
      <c r="K37" s="67">
        <f>IF(tblY8[[#This Row],[Preferred Last name]]="","",COUNTIFS($N$1:$ZZ$1,"*"&amp;CHAR(10)&amp;"Stanine",$N37:$ZZ37,"&gt;=1"))</f>
        <v>5</v>
      </c>
      <c r="L37" s="68">
        <f>IFERROR(AVERAGEIF($N$1:$ZZ$1,"*"&amp;CHAR(10)&amp;"Stanine",$N37:$ZZ37),"")</f>
        <v>6.8</v>
      </c>
      <c r="M37" s="69">
        <f>IF(AND(ISNUMBER(tblY8[[#This Row],[Mean Stanine]]),ISNUMBER(tblY8[[#This Row],[Avg KS2 Band]]),ISNUMBER(SlopeY8)),tblY8[[#This Row],[Mean Stanine]]-(InterceptY8+SlopeY8*tblY8[[#This Row],[Avg KS2 Band]]),"")</f>
        <v>-0.478592886325402</v>
      </c>
      <c r="N37" s="66" t="n">
        <v>23</v>
      </c>
      <c r="O37" s="67">
        <f>IF(ISNUMBER(tblY8[[#This Row],[8C01 - Periodic Table
Raw Score]]),IFERROR(VLOOKUP(ROUND(STANDARDIZE(tblY8[[#This Row],[8C01 - Periodic Table
Raw Score]],AVERAGE(tblY8[[8C01 - Periodic Table
Raw Score]]),_xlfn.STDEV.P(tblY8[[8C01 - Periodic Table
Raw Score]])),9),_Stanine,2),5),"")</f>
        <v>7</v>
      </c>
      <c r="P37" s="66" t="n">
        <v>18</v>
      </c>
      <c r="Q37" s="67">
        <f>IF(ISNUMBER(tblY8[[#This Row],[8P01 - Energy
Raw Score]]),IFERROR(VLOOKUP(ROUND(STANDARDIZE(tblY8[[#This Row],[8P01 - Energy
Raw Score]],AVERAGE(tblY8[[8P01 - Energy
Raw Score]]),_xlfn.STDEV.P(tblY8[[8P01 - Energy
Raw Score]])),9),_Stanine,2),5),"")</f>
        <v>8</v>
      </c>
      <c r="R37" s="66" t="n">
        <v>20</v>
      </c>
      <c r="S37" s="67">
        <f>IF(ISNUMBER(tblY8[[#This Row],[8B01 - Digestion
Raw Score]]),IFERROR(VLOOKUP(ROUND(STANDARDIZE(tblY8[[#This Row],[8B01 - Digestion
Raw Score]],AVERAGE(tblY8[[8B01 - Digestion
Raw Score]]),_xlfn.STDEV.P(tblY8[[8B01 - Digestion
Raw Score]])),9),_Stanine,2),5),"")</f>
        <v>7</v>
      </c>
      <c r="T37" s="66" t="n">
        <v>14</v>
      </c>
      <c r="U37" s="67">
        <f>IF(ISNUMBER(tblY8[[#This Row],[8C02 - Metals and Acids
Raw Score]]),IFERROR(VLOOKUP(ROUND(STANDARDIZE(tblY8[[#This Row],[8C02 - Metals and Acids
Raw Score]],AVERAGE(tblY8[[8C02 - Metals and Acids
Raw Score]]),_xlfn.STDEV.P(tblY8[[8C02 - Metals and Acids
Raw Score]])),9),_Stanine,2),5),"")</f>
        <v>6</v>
      </c>
      <c r="V37" s="66" t="n">
        <v>18</v>
      </c>
      <c r="W37" s="67">
        <f>IF(ISNUMBER(tblY8[[#This Row],[8P02 - Light
Raw Score]]),IFERROR(VLOOKUP(ROUND(STANDARDIZE(tblY8[[#This Row],[8P02 - Light
Raw Score]],AVERAGE(tblY8[[8P02 - Light
Raw Score]]),_xlfn.STDEV.P(tblY8[[8P02 - Light
Raw Score]])),9),_Stanine,2),5),"")</f>
        <v>6</v>
      </c>
    </row>
    <row r="38">
      <c r="A38" s="65" t="inlineStr">
        <is>
          <t>X903185482309</t>
        </is>
      </c>
      <c r="B38" s="65" t="inlineStr">
        <is>
          <t>Hall</t>
        </is>
      </c>
      <c r="C38" s="65" t="inlineStr">
        <is>
          <t>Callum</t>
        </is>
      </c>
      <c r="D38" s="66" t="inlineStr">
        <is>
          <t>M</t>
        </is>
      </c>
      <c r="E38" s="66" t="n"/>
      <c r="F38" s="66" t="inlineStr">
        <is>
          <t>N</t>
        </is>
      </c>
      <c r="G38" s="34" t="n">
        <v>100</v>
      </c>
      <c r="H38" s="34" t="n">
        <v>106</v>
      </c>
      <c r="I38" s="67">
        <f>IF(ISNUMBER(tblY8[[#This Row],[Avg KS2]]),IFERROR(VLOOKUP(ROUND(STANDARDIZE(tblY8[[#This Row],[Avg KS2]],AVERAGE(tblY8[[Avg KS2]]),_xlfn.STDEV.P(tblY8[[Avg KS2]])),9),_Stanine,2),5),"")</f>
        <v>5</v>
      </c>
      <c r="J38" s="66" t="inlineStr">
        <is>
          <t>8A/Sc2</t>
        </is>
      </c>
      <c r="K38" s="67">
        <f>IF(tblY8[[#This Row],[Preferred Last name]]="","",COUNTIFS($N$1:$ZZ$1,"*"&amp;CHAR(10)&amp;"Stanine",$N38:$ZZ38,"&gt;=1"))</f>
        <v>5</v>
      </c>
      <c r="L38" s="68">
        <f>IFERROR(AVERAGEIF($N$1:$ZZ$1,"*"&amp;CHAR(10)&amp;"Stanine",$N38:$ZZ38),"")</f>
        <v>6.4</v>
      </c>
      <c r="M38" s="69">
        <f>IF(AND(ISNUMBER(tblY8[[#This Row],[Mean Stanine]]),ISNUMBER(tblY8[[#This Row],[Avg KS2 Band]]),ISNUMBER(SlopeY8)),tblY8[[#This Row],[Mean Stanine]]-(InterceptY8+SlopeY8*tblY8[[#This Row],[Avg KS2 Band]]),"")</f>
        <v>1.45814107185773</v>
      </c>
      <c r="N38" s="66" t="n">
        <v>23</v>
      </c>
      <c r="O38" s="67">
        <f>IF(ISNUMBER(tblY8[[#This Row],[8C01 - Periodic Table
Raw Score]]),IFERROR(VLOOKUP(ROUND(STANDARDIZE(tblY8[[#This Row],[8C01 - Periodic Table
Raw Score]],AVERAGE(tblY8[[8C01 - Periodic Table
Raw Score]]),_xlfn.STDEV.P(tblY8[[8C01 - Periodic Table
Raw Score]])),9),_Stanine,2),5),"")</f>
        <v>7</v>
      </c>
      <c r="P38" s="66" t="n">
        <v>11</v>
      </c>
      <c r="Q38" s="67">
        <f>IF(ISNUMBER(tblY8[[#This Row],[8P01 - Energy
Raw Score]]),IFERROR(VLOOKUP(ROUND(STANDARDIZE(tblY8[[#This Row],[8P01 - Energy
Raw Score]],AVERAGE(tblY8[[8P01 - Energy
Raw Score]]),_xlfn.STDEV.P(tblY8[[8P01 - Energy
Raw Score]])),9),_Stanine,2),5),"")</f>
        <v>5</v>
      </c>
      <c r="R38" s="66" t="n">
        <v>22</v>
      </c>
      <c r="S38" s="67">
        <f>IF(ISNUMBER(tblY8[[#This Row],[8B01 - Digestion
Raw Score]]),IFERROR(VLOOKUP(ROUND(STANDARDIZE(tblY8[[#This Row],[8B01 - Digestion
Raw Score]],AVERAGE(tblY8[[8B01 - Digestion
Raw Score]]),_xlfn.STDEV.P(tblY8[[8B01 - Digestion
Raw Score]])),9),_Stanine,2),5),"")</f>
        <v>8</v>
      </c>
      <c r="T38" s="66" t="n">
        <v>16</v>
      </c>
      <c r="U38" s="67">
        <f>IF(ISNUMBER(tblY8[[#This Row],[8C02 - Metals and Acids
Raw Score]]),IFERROR(VLOOKUP(ROUND(STANDARDIZE(tblY8[[#This Row],[8C02 - Metals and Acids
Raw Score]],AVERAGE(tblY8[[8C02 - Metals and Acids
Raw Score]]),_xlfn.STDEV.P(tblY8[[8C02 - Metals and Acids
Raw Score]])),9),_Stanine,2),5),"")</f>
        <v>7</v>
      </c>
      <c r="V38" s="66" t="n">
        <v>15</v>
      </c>
      <c r="W38" s="67">
        <f>IF(ISNUMBER(tblY8[[#This Row],[8P02 - Light
Raw Score]]),IFERROR(VLOOKUP(ROUND(STANDARDIZE(tblY8[[#This Row],[8P02 - Light
Raw Score]],AVERAGE(tblY8[[8P02 - Light
Raw Score]]),_xlfn.STDEV.P(tblY8[[8P02 - Light
Raw Score]])),9),_Stanine,2),5),"")</f>
        <v>5</v>
      </c>
    </row>
    <row r="39">
      <c r="A39" s="65" t="inlineStr">
        <is>
          <t>X901792546778</t>
        </is>
      </c>
      <c r="B39" s="65" t="inlineStr">
        <is>
          <t>Hall</t>
        </is>
      </c>
      <c r="C39" s="65" t="inlineStr">
        <is>
          <t>Muhammad</t>
        </is>
      </c>
      <c r="D39" s="66" t="inlineStr">
        <is>
          <t>F</t>
        </is>
      </c>
      <c r="E39" s="66" t="inlineStr">
        <is>
          <t>K</t>
        </is>
      </c>
      <c r="F39" s="66" t="inlineStr">
        <is>
          <t>N</t>
        </is>
      </c>
      <c r="G39" s="34" t="n">
        <v>100</v>
      </c>
      <c r="H39" s="34" t="n">
        <v>107.5</v>
      </c>
      <c r="I39" s="67">
        <f>IF(ISNUMBER(tblY8[[#This Row],[Avg KS2]]),IFERROR(VLOOKUP(ROUND(STANDARDIZE(tblY8[[#This Row],[Avg KS2]],AVERAGE(tblY8[[Avg KS2]]),_xlfn.STDEV.P(tblY8[[Avg KS2]])),9),_Stanine,2),5),"")</f>
        <v>6</v>
      </c>
      <c r="J39" s="66" t="inlineStr">
        <is>
          <t>8A/Sc2</t>
        </is>
      </c>
      <c r="K39" s="67">
        <f>IF(tblY8[[#This Row],[Preferred Last name]]="","",COUNTIFS($N$1:$ZZ$1,"*"&amp;CHAR(10)&amp;"Stanine",$N39:$ZZ39,"&gt;=1"))</f>
        <v>5</v>
      </c>
      <c r="L39" s="68">
        <f>IFERROR(AVERAGEIF($N$1:$ZZ$1,"*"&amp;CHAR(10)&amp;"Stanine",$N39:$ZZ39),"")</f>
        <v>6.2</v>
      </c>
      <c r="M39" s="69">
        <f>IF(AND(ISNUMBER(tblY8[[#This Row],[Mean Stanine]]),ISNUMBER(tblY8[[#This Row],[Avg KS2 Band]]),ISNUMBER(SlopeY8)),tblY8[[#This Row],[Mean Stanine]]-(InterceptY8+SlopeY8*tblY8[[#This Row],[Avg KS2 Band]]),"")</f>
        <v>0.47922975246335</v>
      </c>
      <c r="N39" s="66" t="n">
        <v>21</v>
      </c>
      <c r="O39" s="67">
        <f>IF(ISNUMBER(tblY8[[#This Row],[8C01 - Periodic Table
Raw Score]]),IFERROR(VLOOKUP(ROUND(STANDARDIZE(tblY8[[#This Row],[8C01 - Periodic Table
Raw Score]],AVERAGE(tblY8[[8C01 - Periodic Table
Raw Score]]),_xlfn.STDEV.P(tblY8[[8C01 - Periodic Table
Raw Score]])),9),_Stanine,2),5),"")</f>
        <v>6</v>
      </c>
      <c r="P39" s="66" t="n">
        <v>16</v>
      </c>
      <c r="Q39" s="67">
        <f>IF(ISNUMBER(tblY8[[#This Row],[8P01 - Energy
Raw Score]]),IFERROR(VLOOKUP(ROUND(STANDARDIZE(tblY8[[#This Row],[8P01 - Energy
Raw Score]],AVERAGE(tblY8[[8P01 - Energy
Raw Score]]),_xlfn.STDEV.P(tblY8[[8P01 - Energy
Raw Score]])),9),_Stanine,2),5),"")</f>
        <v>7</v>
      </c>
      <c r="R39" s="66" t="n">
        <v>19</v>
      </c>
      <c r="S39" s="67">
        <f>IF(ISNUMBER(tblY8[[#This Row],[8B01 - Digestion
Raw Score]]),IFERROR(VLOOKUP(ROUND(STANDARDIZE(tblY8[[#This Row],[8B01 - Digestion
Raw Score]],AVERAGE(tblY8[[8B01 - Digestion
Raw Score]]),_xlfn.STDEV.P(tblY8[[8B01 - Digestion
Raw Score]])),9),_Stanine,2),5),"")</f>
        <v>7</v>
      </c>
      <c r="T39" s="66" t="n">
        <v>11</v>
      </c>
      <c r="U39" s="67">
        <f>IF(ISNUMBER(tblY8[[#This Row],[8C02 - Metals and Acids
Raw Score]]),IFERROR(VLOOKUP(ROUND(STANDARDIZE(tblY8[[#This Row],[8C02 - Metals and Acids
Raw Score]],AVERAGE(tblY8[[8C02 - Metals and Acids
Raw Score]]),_xlfn.STDEV.P(tblY8[[8C02 - Metals and Acids
Raw Score]])),9),_Stanine,2),5),"")</f>
        <v>5</v>
      </c>
      <c r="V39" s="66" t="n">
        <v>18</v>
      </c>
      <c r="W39" s="67">
        <f>IF(ISNUMBER(tblY8[[#This Row],[8P02 - Light
Raw Score]]),IFERROR(VLOOKUP(ROUND(STANDARDIZE(tblY8[[#This Row],[8P02 - Light
Raw Score]],AVERAGE(tblY8[[8P02 - Light
Raw Score]]),_xlfn.STDEV.P(tblY8[[8P02 - Light
Raw Score]])),9),_Stanine,2),5),"")</f>
        <v>6</v>
      </c>
    </row>
    <row r="40">
      <c r="A40" s="65" t="inlineStr">
        <is>
          <t>X901840811914</t>
        </is>
      </c>
      <c r="B40" s="65" t="inlineStr">
        <is>
          <t>Hall</t>
        </is>
      </c>
      <c r="C40" s="65" t="inlineStr">
        <is>
          <t>Noah</t>
        </is>
      </c>
      <c r="D40" s="66" t="inlineStr">
        <is>
          <t>M</t>
        </is>
      </c>
      <c r="E40" s="66" t="n"/>
      <c r="F40" s="66" t="inlineStr">
        <is>
          <t>Y</t>
        </is>
      </c>
      <c r="G40" s="34" t="n">
        <v>100</v>
      </c>
      <c r="H40" s="34" t="n">
        <v>97</v>
      </c>
      <c r="I40" s="67">
        <f>IF(ISNUMBER(tblY8[[#This Row],[Avg KS2]]),IFERROR(VLOOKUP(ROUND(STANDARDIZE(tblY8[[#This Row],[Avg KS2]],AVERAGE(tblY8[[Avg KS2]]),_xlfn.STDEV.P(tblY8[[Avg KS2]])),9),_Stanine,2),5),"")</f>
        <v>2</v>
      </c>
      <c r="J40" s="66" t="inlineStr">
        <is>
          <t>8A/Sc2</t>
        </is>
      </c>
      <c r="K40" s="67">
        <f>IF(tblY8[[#This Row],[Preferred Last name]]="","",COUNTIFS($N$1:$ZZ$1,"*"&amp;CHAR(10)&amp;"Stanine",$N40:$ZZ40,"&gt;=1"))</f>
        <v>5</v>
      </c>
      <c r="L40" s="68">
        <f>IFERROR(AVERAGEIF($N$1:$ZZ$1,"*"&amp;CHAR(10)&amp;"Stanine",$N40:$ZZ40),"")</f>
        <v>3.6</v>
      </c>
      <c r="M40" s="69">
        <f>IF(AND(ISNUMBER(tblY8[[#This Row],[Mean Stanine]]),ISNUMBER(tblY8[[#This Row],[Avg KS2 Band]]),ISNUMBER(SlopeY8)),tblY8[[#This Row],[Mean Stanine]]-(InterceptY8+SlopeY8*tblY8[[#This Row],[Avg KS2 Band]]),"")</f>
        <v>0.994875030040855</v>
      </c>
      <c r="N40" s="66" t="n">
        <v>14</v>
      </c>
      <c r="O40" s="67">
        <f>IF(ISNUMBER(tblY8[[#This Row],[8C01 - Periodic Table
Raw Score]]),IFERROR(VLOOKUP(ROUND(STANDARDIZE(tblY8[[#This Row],[8C01 - Periodic Table
Raw Score]],AVERAGE(tblY8[[8C01 - Periodic Table
Raw Score]]),_xlfn.STDEV.P(tblY8[[8C01 - Periodic Table
Raw Score]])),9),_Stanine,2),5),"")</f>
        <v>4</v>
      </c>
      <c r="P40" s="66" t="n">
        <v>7</v>
      </c>
      <c r="Q40" s="67">
        <f>IF(ISNUMBER(tblY8[[#This Row],[8P01 - Energy
Raw Score]]),IFERROR(VLOOKUP(ROUND(STANDARDIZE(tblY8[[#This Row],[8P01 - Energy
Raw Score]],AVERAGE(tblY8[[8P01 - Energy
Raw Score]]),_xlfn.STDEV.P(tblY8[[8P01 - Energy
Raw Score]])),9),_Stanine,2),5),"")</f>
        <v>4</v>
      </c>
      <c r="R40" s="66" t="n">
        <v>10</v>
      </c>
      <c r="S40" s="67">
        <f>IF(ISNUMBER(tblY8[[#This Row],[8B01 - Digestion
Raw Score]]),IFERROR(VLOOKUP(ROUND(STANDARDIZE(tblY8[[#This Row],[8B01 - Digestion
Raw Score]],AVERAGE(tblY8[[8B01 - Digestion
Raw Score]]),_xlfn.STDEV.P(tblY8[[8B01 - Digestion
Raw Score]])),9),_Stanine,2),5),"")</f>
        <v>4</v>
      </c>
      <c r="T40" s="66" t="n">
        <v>7</v>
      </c>
      <c r="U40" s="67">
        <f>IF(ISNUMBER(tblY8[[#This Row],[8C02 - Metals and Acids
Raw Score]]),IFERROR(VLOOKUP(ROUND(STANDARDIZE(tblY8[[#This Row],[8C02 - Metals and Acids
Raw Score]],AVERAGE(tblY8[[8C02 - Metals and Acids
Raw Score]]),_xlfn.STDEV.P(tblY8[[8C02 - Metals and Acids
Raw Score]])),9),_Stanine,2),5),"")</f>
        <v>3</v>
      </c>
      <c r="V40" s="66" t="n">
        <v>11</v>
      </c>
      <c r="W40" s="67">
        <f>IF(ISNUMBER(tblY8[[#This Row],[8P02 - Light
Raw Score]]),IFERROR(VLOOKUP(ROUND(STANDARDIZE(tblY8[[#This Row],[8P02 - Light
Raw Score]],AVERAGE(tblY8[[8P02 - Light
Raw Score]]),_xlfn.STDEV.P(tblY8[[8P02 - Light
Raw Score]])),9),_Stanine,2),5),"")</f>
        <v>3</v>
      </c>
    </row>
    <row r="41">
      <c r="A41" s="65" t="inlineStr">
        <is>
          <t>X907462902239</t>
        </is>
      </c>
      <c r="B41" s="65" t="inlineStr">
        <is>
          <t>Harrison</t>
        </is>
      </c>
      <c r="C41" s="65" t="inlineStr">
        <is>
          <t>Maya</t>
        </is>
      </c>
      <c r="D41" s="66" t="inlineStr">
        <is>
          <t>M</t>
        </is>
      </c>
      <c r="E41" s="66" t="n"/>
      <c r="F41" s="66" t="inlineStr">
        <is>
          <t>Y</t>
        </is>
      </c>
      <c r="G41" s="34" t="n">
        <v>100</v>
      </c>
      <c r="H41" s="34" t="n">
        <v>106</v>
      </c>
      <c r="I41" s="67">
        <f>IF(ISNUMBER(tblY8[[#This Row],[Avg KS2]]),IFERROR(VLOOKUP(ROUND(STANDARDIZE(tblY8[[#This Row],[Avg KS2]],AVERAGE(tblY8[[Avg KS2]]),_xlfn.STDEV.P(tblY8[[Avg KS2]])),9),_Stanine,2),5),"")</f>
        <v>5</v>
      </c>
      <c r="J41" s="66" t="inlineStr">
        <is>
          <t>8A/Sc2</t>
        </is>
      </c>
      <c r="K41" s="67">
        <f>IF(tblY8[[#This Row],[Preferred Last name]]="","",COUNTIFS($N$1:$ZZ$1,"*"&amp;CHAR(10)&amp;"Stanine",$N41:$ZZ41,"&gt;=1"))</f>
        <v>5</v>
      </c>
      <c r="L41" s="68">
        <f>IFERROR(AVERAGEIF($N$1:$ZZ$1,"*"&amp;CHAR(10)&amp;"Stanine",$N41:$ZZ41),"")</f>
        <v>4.6</v>
      </c>
      <c r="M41" s="69">
        <f>IF(AND(ISNUMBER(tblY8[[#This Row],[Mean Stanine]]),ISNUMBER(tblY8[[#This Row],[Avg KS2 Band]]),ISNUMBER(SlopeY8)),tblY8[[#This Row],[Mean Stanine]]-(InterceptY8+SlopeY8*tblY8[[#This Row],[Avg KS2 Band]]),"")</f>
        <v>-0.341858928142274</v>
      </c>
      <c r="N41" s="66" t="n">
        <v>15</v>
      </c>
      <c r="O41" s="67">
        <f>IF(ISNUMBER(tblY8[[#This Row],[8C01 - Periodic Table
Raw Score]]),IFERROR(VLOOKUP(ROUND(STANDARDIZE(tblY8[[#This Row],[8C01 - Periodic Table
Raw Score]],AVERAGE(tblY8[[8C01 - Periodic Table
Raw Score]]),_xlfn.STDEV.P(tblY8[[8C01 - Periodic Table
Raw Score]])),9),_Stanine,2),5),"")</f>
        <v>4</v>
      </c>
      <c r="P41" s="66" t="n">
        <v>11</v>
      </c>
      <c r="Q41" s="67">
        <f>IF(ISNUMBER(tblY8[[#This Row],[8P01 - Energy
Raw Score]]),IFERROR(VLOOKUP(ROUND(STANDARDIZE(tblY8[[#This Row],[8P01 - Energy
Raw Score]],AVERAGE(tblY8[[8P01 - Energy
Raw Score]]),_xlfn.STDEV.P(tblY8[[8P01 - Energy
Raw Score]])),9),_Stanine,2),5),"")</f>
        <v>5</v>
      </c>
      <c r="R41" s="66" t="n">
        <v>12</v>
      </c>
      <c r="S41" s="67">
        <f>IF(ISNUMBER(tblY8[[#This Row],[8B01 - Digestion
Raw Score]]),IFERROR(VLOOKUP(ROUND(STANDARDIZE(tblY8[[#This Row],[8B01 - Digestion
Raw Score]],AVERAGE(tblY8[[8B01 - Digestion
Raw Score]]),_xlfn.STDEV.P(tblY8[[8B01 - Digestion
Raw Score]])),9),_Stanine,2),5),"")</f>
        <v>4</v>
      </c>
      <c r="T41" s="66" t="n">
        <v>14</v>
      </c>
      <c r="U41" s="67">
        <f>IF(ISNUMBER(tblY8[[#This Row],[8C02 - Metals and Acids
Raw Score]]),IFERROR(VLOOKUP(ROUND(STANDARDIZE(tblY8[[#This Row],[8C02 - Metals and Acids
Raw Score]],AVERAGE(tblY8[[8C02 - Metals and Acids
Raw Score]]),_xlfn.STDEV.P(tblY8[[8C02 - Metals and Acids
Raw Score]])),9),_Stanine,2),5),"")</f>
        <v>6</v>
      </c>
      <c r="V41" s="66" t="n">
        <v>14</v>
      </c>
      <c r="W41" s="67">
        <f>IF(ISNUMBER(tblY8[[#This Row],[8P02 - Light
Raw Score]]),IFERROR(VLOOKUP(ROUND(STANDARDIZE(tblY8[[#This Row],[8P02 - Light
Raw Score]],AVERAGE(tblY8[[8P02 - Light
Raw Score]]),_xlfn.STDEV.P(tblY8[[8P02 - Light
Raw Score]])),9),_Stanine,2),5),"")</f>
        <v>4</v>
      </c>
    </row>
    <row r="42">
      <c r="A42" s="65" t="inlineStr">
        <is>
          <t>X903276559690</t>
        </is>
      </c>
      <c r="B42" s="65" t="inlineStr">
        <is>
          <t>Johnson</t>
        </is>
      </c>
      <c r="C42" s="65" t="inlineStr">
        <is>
          <t>Amara</t>
        </is>
      </c>
      <c r="D42" s="66" t="inlineStr">
        <is>
          <t>M</t>
        </is>
      </c>
      <c r="E42" s="66" t="n"/>
      <c r="F42" s="66" t="inlineStr">
        <is>
          <t>Y</t>
        </is>
      </c>
      <c r="G42" s="34" t="n">
        <v>100</v>
      </c>
      <c r="H42" s="34" t="n">
        <v>107.5</v>
      </c>
      <c r="I42" s="67">
        <f>IF(ISNUMBER(tblY8[[#This Row],[Avg KS2]]),IFERROR(VLOOKUP(ROUND(STANDARDIZE(tblY8[[#This Row],[Avg KS2]],AVERAGE(tblY8[[Avg KS2]]),_xlfn.STDEV.P(tblY8[[Avg KS2]])),9),_Stanine,2),5),"")</f>
        <v>6</v>
      </c>
      <c r="J42" s="66" t="inlineStr">
        <is>
          <t>8A/Sc2</t>
        </is>
      </c>
      <c r="K42" s="67">
        <f>IF(tblY8[[#This Row],[Preferred Last name]]="","",COUNTIFS($N$1:$ZZ$1,"*"&amp;CHAR(10)&amp;"Stanine",$N42:$ZZ42,"&gt;=1"))</f>
        <v>4</v>
      </c>
      <c r="L42" s="68">
        <f>IFERROR(AVERAGEIF($N$1:$ZZ$1,"*"&amp;CHAR(10)&amp;"Stanine",$N42:$ZZ42),"")</f>
        <v>6</v>
      </c>
      <c r="M42" s="69">
        <f>IF(AND(ISNUMBER(tblY8[[#This Row],[Mean Stanine]]),ISNUMBER(tblY8[[#This Row],[Avg KS2 Band]]),ISNUMBER(SlopeY8)),tblY8[[#This Row],[Mean Stanine]]-(InterceptY8+SlopeY8*tblY8[[#This Row],[Avg KS2 Band]]),"")</f>
        <v>0.27922975246335</v>
      </c>
      <c r="N42" s="66" t="n">
        <v>21</v>
      </c>
      <c r="O42" s="67">
        <f>IF(ISNUMBER(tblY8[[#This Row],[8C01 - Periodic Table
Raw Score]]),IFERROR(VLOOKUP(ROUND(STANDARDIZE(tblY8[[#This Row],[8C01 - Periodic Table
Raw Score]],AVERAGE(tblY8[[8C01 - Periodic Table
Raw Score]]),_xlfn.STDEV.P(tblY8[[8C01 - Periodic Table
Raw Score]])),9),_Stanine,2),5),"")</f>
        <v>6</v>
      </c>
      <c r="P42" s="66" t="inlineStr">
        <is>
          <t>A</t>
        </is>
      </c>
      <c r="Q42" s="67" t="str">
        <f>IF(ISNUMBER(tblY8[[#This Row],[8P01 - Energy
Raw Score]]),IFERROR(VLOOKUP(ROUND(STANDARDIZE(tblY8[[#This Row],[8P01 - Energy
Raw Score]],AVERAGE(tblY8[[8P01 - Energy
Raw Score]]),_xlfn.STDEV.P(tblY8[[8P01 - Energy
Raw Score]])),9),_Stanine,2),5),"")</f>
        <v/>
      </c>
      <c r="R42" s="66" t="n">
        <v>19</v>
      </c>
      <c r="S42" s="67">
        <f>IF(ISNUMBER(tblY8[[#This Row],[8B01 - Digestion
Raw Score]]),IFERROR(VLOOKUP(ROUND(STANDARDIZE(tblY8[[#This Row],[8B01 - Digestion
Raw Score]],AVERAGE(tblY8[[8B01 - Digestion
Raw Score]]),_xlfn.STDEV.P(tblY8[[8B01 - Digestion
Raw Score]])),9),_Stanine,2),5),"")</f>
        <v>7</v>
      </c>
      <c r="T42" s="66" t="n">
        <v>15</v>
      </c>
      <c r="U42" s="67">
        <f>IF(ISNUMBER(tblY8[[#This Row],[8C02 - Metals and Acids
Raw Score]]),IFERROR(VLOOKUP(ROUND(STANDARDIZE(tblY8[[#This Row],[8C02 - Metals and Acids
Raw Score]],AVERAGE(tblY8[[8C02 - Metals and Acids
Raw Score]]),_xlfn.STDEV.P(tblY8[[8C02 - Metals and Acids
Raw Score]])),9),_Stanine,2),5),"")</f>
        <v>6</v>
      </c>
      <c r="V42" s="66" t="n">
        <v>16</v>
      </c>
      <c r="W42" s="67">
        <f>IF(ISNUMBER(tblY8[[#This Row],[8P02 - Light
Raw Score]]),IFERROR(VLOOKUP(ROUND(STANDARDIZE(tblY8[[#This Row],[8P02 - Light
Raw Score]],AVERAGE(tblY8[[8P02 - Light
Raw Score]]),_xlfn.STDEV.P(tblY8[[8P02 - Light
Raw Score]])),9),_Stanine,2),5),"")</f>
        <v>5</v>
      </c>
    </row>
    <row r="43">
      <c r="A43" s="65" t="inlineStr">
        <is>
          <t>X907762209957</t>
        </is>
      </c>
      <c r="B43" s="65" t="inlineStr">
        <is>
          <t>Kelly</t>
        </is>
      </c>
      <c r="C43" s="65" t="inlineStr">
        <is>
          <t>Jacob</t>
        </is>
      </c>
      <c r="D43" s="66" t="inlineStr">
        <is>
          <t>F</t>
        </is>
      </c>
      <c r="E43" s="66" t="inlineStr">
        <is>
          <t>N</t>
        </is>
      </c>
      <c r="F43" s="66" t="inlineStr">
        <is>
          <t>N</t>
        </is>
      </c>
      <c r="G43" s="34" t="n">
        <v>91.09999999999999</v>
      </c>
      <c r="H43" s="34" t="n">
        <v>103</v>
      </c>
      <c r="I43" s="67">
        <f>IF(ISNUMBER(tblY8[[#This Row],[Avg KS2]]),IFERROR(VLOOKUP(ROUND(STANDARDIZE(tblY8[[#This Row],[Avg KS2]],AVERAGE(tblY8[[Avg KS2]]),_xlfn.STDEV.P(tblY8[[Avg KS2]])),9),_Stanine,2),5),"")</f>
        <v>4</v>
      </c>
      <c r="J43" s="66" t="inlineStr">
        <is>
          <t>8A/Sc2</t>
        </is>
      </c>
      <c r="K43" s="67">
        <f>IF(tblY8[[#This Row],[Preferred Last name]]="","",COUNTIFS($N$1:$ZZ$1,"*"&amp;CHAR(10)&amp;"Stanine",$N43:$ZZ43,"&gt;=1"))</f>
        <v>4</v>
      </c>
      <c r="L43" s="68">
        <f>IFERROR(AVERAGEIF($N$1:$ZZ$1,"*"&amp;CHAR(10)&amp;"Stanine",$N43:$ZZ43),"")</f>
        <v>5.25</v>
      </c>
      <c r="M43" s="69">
        <f>IF(AND(ISNUMBER(tblY8[[#This Row],[Mean Stanine]]),ISNUMBER(tblY8[[#This Row],[Avg KS2 Band]]),ISNUMBER(SlopeY8)),tblY8[[#This Row],[Mean Stanine]]-(InterceptY8+SlopeY8*tblY8[[#This Row],[Avg KS2 Band]]),"")</f>
        <v>1.0870523912521</v>
      </c>
      <c r="N43" s="66" t="n">
        <v>21</v>
      </c>
      <c r="O43" s="67">
        <f>IF(ISNUMBER(tblY8[[#This Row],[8C01 - Periodic Table
Raw Score]]),IFERROR(VLOOKUP(ROUND(STANDARDIZE(tblY8[[#This Row],[8C01 - Periodic Table
Raw Score]],AVERAGE(tblY8[[8C01 - Periodic Table
Raw Score]]),_xlfn.STDEV.P(tblY8[[8C01 - Periodic Table
Raw Score]])),9),_Stanine,2),5),"")</f>
        <v>6</v>
      </c>
      <c r="P43" s="66" t="n">
        <v>12</v>
      </c>
      <c r="Q43" s="67">
        <f>IF(ISNUMBER(tblY8[[#This Row],[8P01 - Energy
Raw Score]]),IFERROR(VLOOKUP(ROUND(STANDARDIZE(tblY8[[#This Row],[8P01 - Energy
Raw Score]],AVERAGE(tblY8[[8P01 - Energy
Raw Score]]),_xlfn.STDEV.P(tblY8[[8P01 - Energy
Raw Score]])),9),_Stanine,2),5),"")</f>
        <v>6</v>
      </c>
      <c r="R43" s="66" t="n">
        <v>15</v>
      </c>
      <c r="S43" s="67">
        <f>IF(ISNUMBER(tblY8[[#This Row],[8B01 - Digestion
Raw Score]]),IFERROR(VLOOKUP(ROUND(STANDARDIZE(tblY8[[#This Row],[8B01 - Digestion
Raw Score]],AVERAGE(tblY8[[8B01 - Digestion
Raw Score]]),_xlfn.STDEV.P(tblY8[[8B01 - Digestion
Raw Score]])),9),_Stanine,2),5),"")</f>
        <v>5</v>
      </c>
      <c r="T43" s="66" t="n">
        <v>10</v>
      </c>
      <c r="U43" s="67">
        <f>IF(ISNUMBER(tblY8[[#This Row],[8C02 - Metals and Acids
Raw Score]]),IFERROR(VLOOKUP(ROUND(STANDARDIZE(tblY8[[#This Row],[8C02 - Metals and Acids
Raw Score]],AVERAGE(tblY8[[8C02 - Metals and Acids
Raw Score]]),_xlfn.STDEV.P(tblY8[[8C02 - Metals and Acids
Raw Score]])),9),_Stanine,2),5),"")</f>
        <v>4</v>
      </c>
      <c r="V43" s="66" t="inlineStr">
        <is>
          <t>A</t>
        </is>
      </c>
      <c r="W43" s="67" t="str">
        <f>IF(ISNUMBER(tblY8[[#This Row],[8P02 - Light
Raw Score]]),IFERROR(VLOOKUP(ROUND(STANDARDIZE(tblY8[[#This Row],[8P02 - Light
Raw Score]],AVERAGE(tblY8[[8P02 - Light
Raw Score]]),_xlfn.STDEV.P(tblY8[[8P02 - Light
Raw Score]])),9),_Stanine,2),5),"")</f>
        <v/>
      </c>
    </row>
    <row r="44">
      <c r="A44" s="65" t="inlineStr">
        <is>
          <t>X900504625303</t>
        </is>
      </c>
      <c r="B44" s="65" t="inlineStr">
        <is>
          <t>Kowalski</t>
        </is>
      </c>
      <c r="C44" s="65" t="inlineStr">
        <is>
          <t>Keira</t>
        </is>
      </c>
      <c r="D44" s="66" t="inlineStr">
        <is>
          <t>F</t>
        </is>
      </c>
      <c r="E44" s="66" t="inlineStr">
        <is>
          <t>N</t>
        </is>
      </c>
      <c r="F44" s="66" t="inlineStr">
        <is>
          <t>Y</t>
        </is>
      </c>
      <c r="G44" s="34" t="n">
        <v>95.09999999999999</v>
      </c>
      <c r="H44" s="34" t="n">
        <v>105.5</v>
      </c>
      <c r="I44" s="67">
        <f>IF(ISNUMBER(tblY8[[#This Row],[Avg KS2]]),IFERROR(VLOOKUP(ROUND(STANDARDIZE(tblY8[[#This Row],[Avg KS2]],AVERAGE(tblY8[[Avg KS2]]),_xlfn.STDEV.P(tblY8[[Avg KS2]])),9),_Stanine,2),5),"")</f>
        <v>5</v>
      </c>
      <c r="J44" s="66" t="inlineStr">
        <is>
          <t>8A/Sc2</t>
        </is>
      </c>
      <c r="K44" s="67">
        <f>IF(tblY8[[#This Row],[Preferred Last name]]="","",COUNTIFS($N$1:$ZZ$1,"*"&amp;CHAR(10)&amp;"Stanine",$N44:$ZZ44,"&gt;=1"))</f>
        <v>5</v>
      </c>
      <c r="L44" s="68">
        <f>IFERROR(AVERAGEIF($N$1:$ZZ$1,"*"&amp;CHAR(10)&amp;"Stanine",$N44:$ZZ44),"")</f>
        <v>3.6</v>
      </c>
      <c r="M44" s="69">
        <f>IF(AND(ISNUMBER(tblY8[[#This Row],[Mean Stanine]]),ISNUMBER(tblY8[[#This Row],[Avg KS2 Band]]),ISNUMBER(SlopeY8)),tblY8[[#This Row],[Mean Stanine]]-(InterceptY8+SlopeY8*tblY8[[#This Row],[Avg KS2 Band]]),"")</f>
        <v>-1.34185892814227</v>
      </c>
      <c r="N44" s="66" t="n">
        <v>13</v>
      </c>
      <c r="O44" s="67">
        <f>IF(ISNUMBER(tblY8[[#This Row],[8C01 - Periodic Table
Raw Score]]),IFERROR(VLOOKUP(ROUND(STANDARDIZE(tblY8[[#This Row],[8C01 - Periodic Table
Raw Score]],AVERAGE(tblY8[[8C01 - Periodic Table
Raw Score]]),_xlfn.STDEV.P(tblY8[[8C01 - Periodic Table
Raw Score]])),9),_Stanine,2),5),"")</f>
        <v>3</v>
      </c>
      <c r="P44" s="66" t="n">
        <v>5</v>
      </c>
      <c r="Q44" s="67">
        <f>IF(ISNUMBER(tblY8[[#This Row],[8P01 - Energy
Raw Score]]),IFERROR(VLOOKUP(ROUND(STANDARDIZE(tblY8[[#This Row],[8P01 - Energy
Raw Score]],AVERAGE(tblY8[[8P01 - Energy
Raw Score]]),_xlfn.STDEV.P(tblY8[[8P01 - Energy
Raw Score]])),9),_Stanine,2),5),"")</f>
        <v>3</v>
      </c>
      <c r="R44" s="66" t="n">
        <v>9</v>
      </c>
      <c r="S44" s="67">
        <f>IF(ISNUMBER(tblY8[[#This Row],[8B01 - Digestion
Raw Score]]),IFERROR(VLOOKUP(ROUND(STANDARDIZE(tblY8[[#This Row],[8B01 - Digestion
Raw Score]],AVERAGE(tblY8[[8B01 - Digestion
Raw Score]]),_xlfn.STDEV.P(tblY8[[8B01 - Digestion
Raw Score]])),9),_Stanine,2),5),"")</f>
        <v>3</v>
      </c>
      <c r="T44" s="66" t="n">
        <v>11</v>
      </c>
      <c r="U44" s="67">
        <f>IF(ISNUMBER(tblY8[[#This Row],[8C02 - Metals and Acids
Raw Score]]),IFERROR(VLOOKUP(ROUND(STANDARDIZE(tblY8[[#This Row],[8C02 - Metals and Acids
Raw Score]],AVERAGE(tblY8[[8C02 - Metals and Acids
Raw Score]]),_xlfn.STDEV.P(tblY8[[8C02 - Metals and Acids
Raw Score]])),9),_Stanine,2),5),"")</f>
        <v>5</v>
      </c>
      <c r="V44" s="66" t="n">
        <v>13</v>
      </c>
      <c r="W44" s="67">
        <f>IF(ISNUMBER(tblY8[[#This Row],[8P02 - Light
Raw Score]]),IFERROR(VLOOKUP(ROUND(STANDARDIZE(tblY8[[#This Row],[8P02 - Light
Raw Score]],AVERAGE(tblY8[[8P02 - Light
Raw Score]]),_xlfn.STDEV.P(tblY8[[8P02 - Light
Raw Score]])),9),_Stanine,2),5),"")</f>
        <v>4</v>
      </c>
    </row>
    <row r="45">
      <c r="A45" s="65" t="inlineStr">
        <is>
          <t>X907144996938</t>
        </is>
      </c>
      <c r="B45" s="65" t="inlineStr">
        <is>
          <t>Lewis</t>
        </is>
      </c>
      <c r="C45" s="65" t="inlineStr">
        <is>
          <t>Layla</t>
        </is>
      </c>
      <c r="D45" s="66" t="inlineStr">
        <is>
          <t>F</t>
        </is>
      </c>
      <c r="E45" s="66" t="inlineStr">
        <is>
          <t>N</t>
        </is>
      </c>
      <c r="F45" s="66" t="inlineStr">
        <is>
          <t>N</t>
        </is>
      </c>
      <c r="G45" s="34" t="n">
        <v>100</v>
      </c>
      <c r="H45" s="34" t="n">
        <v>108.5</v>
      </c>
      <c r="I45" s="67">
        <f>IF(ISNUMBER(tblY8[[#This Row],[Avg KS2]]),IFERROR(VLOOKUP(ROUND(STANDARDIZE(tblY8[[#This Row],[Avg KS2]],AVERAGE(tblY8[[Avg KS2]]),_xlfn.STDEV.P(tblY8[[Avg KS2]])),9),_Stanine,2),5),"")</f>
        <v>6</v>
      </c>
      <c r="J45" s="66" t="inlineStr">
        <is>
          <t>8A/Sc2</t>
        </is>
      </c>
      <c r="K45" s="67">
        <f>IF(tblY8[[#This Row],[Preferred Last name]]="","",COUNTIFS($N$1:$ZZ$1,"*"&amp;CHAR(10)&amp;"Stanine",$N45:$ZZ45,"&gt;=1"))</f>
        <v>5</v>
      </c>
      <c r="L45" s="68">
        <f>IFERROR(AVERAGEIF($N$1:$ZZ$1,"*"&amp;CHAR(10)&amp;"Stanine",$N45:$ZZ45),"")</f>
        <v>4.6</v>
      </c>
      <c r="M45" s="69">
        <f>IF(AND(ISNUMBER(tblY8[[#This Row],[Mean Stanine]]),ISNUMBER(tblY8[[#This Row],[Avg KS2 Band]]),ISNUMBER(SlopeY8)),tblY8[[#This Row],[Mean Stanine]]-(InterceptY8+SlopeY8*tblY8[[#This Row],[Avg KS2 Band]]),"")</f>
        <v>-1.12077024753665</v>
      </c>
      <c r="N45" s="66" t="n">
        <v>21</v>
      </c>
      <c r="O45" s="67">
        <f>IF(ISNUMBER(tblY8[[#This Row],[8C01 - Periodic Table
Raw Score]]),IFERROR(VLOOKUP(ROUND(STANDARDIZE(tblY8[[#This Row],[8C01 - Periodic Table
Raw Score]],AVERAGE(tblY8[[8C01 - Periodic Table
Raw Score]]),_xlfn.STDEV.P(tblY8[[8C01 - Periodic Table
Raw Score]])),9),_Stanine,2),5),"")</f>
        <v>6</v>
      </c>
      <c r="P45" s="66" t="n">
        <v>8</v>
      </c>
      <c r="Q45" s="67">
        <f>IF(ISNUMBER(tblY8[[#This Row],[8P01 - Energy
Raw Score]]),IFERROR(VLOOKUP(ROUND(STANDARDIZE(tblY8[[#This Row],[8P01 - Energy
Raw Score]],AVERAGE(tblY8[[8P01 - Energy
Raw Score]]),_xlfn.STDEV.P(tblY8[[8P01 - Energy
Raw Score]])),9),_Stanine,2),5),"")</f>
        <v>4</v>
      </c>
      <c r="R45" s="66" t="n">
        <v>10</v>
      </c>
      <c r="S45" s="67">
        <f>IF(ISNUMBER(tblY8[[#This Row],[8B01 - Digestion
Raw Score]]),IFERROR(VLOOKUP(ROUND(STANDARDIZE(tblY8[[#This Row],[8B01 - Digestion
Raw Score]],AVERAGE(tblY8[[8B01 - Digestion
Raw Score]]),_xlfn.STDEV.P(tblY8[[8B01 - Digestion
Raw Score]])),9),_Stanine,2),5),"")</f>
        <v>4</v>
      </c>
      <c r="T45" s="66" t="n">
        <v>11</v>
      </c>
      <c r="U45" s="67">
        <f>IF(ISNUMBER(tblY8[[#This Row],[8C02 - Metals and Acids
Raw Score]]),IFERROR(VLOOKUP(ROUND(STANDARDIZE(tblY8[[#This Row],[8C02 - Metals and Acids
Raw Score]],AVERAGE(tblY8[[8C02 - Metals and Acids
Raw Score]]),_xlfn.STDEV.P(tblY8[[8C02 - Metals and Acids
Raw Score]])),9),_Stanine,2),5),"")</f>
        <v>5</v>
      </c>
      <c r="V45" s="66" t="n">
        <v>14</v>
      </c>
      <c r="W45" s="67">
        <f>IF(ISNUMBER(tblY8[[#This Row],[8P02 - Light
Raw Score]]),IFERROR(VLOOKUP(ROUND(STANDARDIZE(tblY8[[#This Row],[8P02 - Light
Raw Score]],AVERAGE(tblY8[[8P02 - Light
Raw Score]]),_xlfn.STDEV.P(tblY8[[8P02 - Light
Raw Score]])),9),_Stanine,2),5),"")</f>
        <v>4</v>
      </c>
    </row>
    <row r="46">
      <c r="A46" s="65" t="inlineStr">
        <is>
          <t>X903693569526</t>
        </is>
      </c>
      <c r="B46" s="65" t="inlineStr">
        <is>
          <t>Lewis</t>
        </is>
      </c>
      <c r="C46" s="65" t="inlineStr">
        <is>
          <t>Zofia</t>
        </is>
      </c>
      <c r="D46" s="66" t="inlineStr">
        <is>
          <t>M</t>
        </is>
      </c>
      <c r="E46" s="66" t="n"/>
      <c r="F46" s="66" t="inlineStr">
        <is>
          <t>N</t>
        </is>
      </c>
      <c r="G46" s="34" t="n">
        <v>87.40000000000001</v>
      </c>
      <c r="H46" s="34" t="n">
        <v>99</v>
      </c>
      <c r="I46" s="67">
        <f>IF(ISNUMBER(tblY8[[#This Row],[Avg KS2]]),IFERROR(VLOOKUP(ROUND(STANDARDIZE(tblY8[[#This Row],[Avg KS2]],AVERAGE(tblY8[[Avg KS2]]),_xlfn.STDEV.P(tblY8[[Avg KS2]])),9),_Stanine,2),5),"")</f>
        <v>3</v>
      </c>
      <c r="J46" s="66" t="inlineStr">
        <is>
          <t>8A/Sc2</t>
        </is>
      </c>
      <c r="K46" s="67">
        <f>IF(tblY8[[#This Row],[Preferred Last name]]="","",COUNTIFS($N$1:$ZZ$1,"*"&amp;CHAR(10)&amp;"Stanine",$N46:$ZZ46,"&gt;=1"))</f>
        <v>5</v>
      </c>
      <c r="L46" s="68">
        <f>IFERROR(AVERAGEIF($N$1:$ZZ$1,"*"&amp;CHAR(10)&amp;"Stanine",$N46:$ZZ46),"")</f>
        <v>2</v>
      </c>
      <c r="M46" s="69">
        <f>IF(AND(ISNUMBER(tblY8[[#This Row],[Mean Stanine]]),ISNUMBER(tblY8[[#This Row],[Avg KS2 Band]]),ISNUMBER(SlopeY8)),tblY8[[#This Row],[Mean Stanine]]-(InterceptY8+SlopeY8*tblY8[[#This Row],[Avg KS2 Band]]),"")</f>
        <v>-1.38403628935352</v>
      </c>
      <c r="N46" s="66" t="n">
        <v>9</v>
      </c>
      <c r="O46" s="67">
        <f>IF(ISNUMBER(tblY8[[#This Row],[8C01 - Periodic Table
Raw Score]]),IFERROR(VLOOKUP(ROUND(STANDARDIZE(tblY8[[#This Row],[8C01 - Periodic Table
Raw Score]],AVERAGE(tblY8[[8C01 - Periodic Table
Raw Score]]),_xlfn.STDEV.P(tblY8[[8C01 - Periodic Table
Raw Score]])),9),_Stanine,2),5),"")</f>
        <v>2</v>
      </c>
      <c r="P46" s="66" t="n">
        <v>5</v>
      </c>
      <c r="Q46" s="67">
        <f>IF(ISNUMBER(tblY8[[#This Row],[8P01 - Energy
Raw Score]]),IFERROR(VLOOKUP(ROUND(STANDARDIZE(tblY8[[#This Row],[8P01 - Energy
Raw Score]],AVERAGE(tblY8[[8P01 - Energy
Raw Score]]),_xlfn.STDEV.P(tblY8[[8P01 - Energy
Raw Score]])),9),_Stanine,2),5),"")</f>
        <v>3</v>
      </c>
      <c r="R46" s="66" t="n">
        <v>6</v>
      </c>
      <c r="S46" s="67">
        <f>IF(ISNUMBER(tblY8[[#This Row],[8B01 - Digestion
Raw Score]]),IFERROR(VLOOKUP(ROUND(STANDARDIZE(tblY8[[#This Row],[8B01 - Digestion
Raw Score]],AVERAGE(tblY8[[8B01 - Digestion
Raw Score]]),_xlfn.STDEV.P(tblY8[[8B01 - Digestion
Raw Score]])),9),_Stanine,2),5),"")</f>
        <v>2</v>
      </c>
      <c r="T46" s="66" t="n">
        <v>3</v>
      </c>
      <c r="U46" s="67">
        <f>IF(ISNUMBER(tblY8[[#This Row],[8C02 - Metals and Acids
Raw Score]]),IFERROR(VLOOKUP(ROUND(STANDARDIZE(tblY8[[#This Row],[8C02 - Metals and Acids
Raw Score]],AVERAGE(tblY8[[8C02 - Metals and Acids
Raw Score]]),_xlfn.STDEV.P(tblY8[[8C02 - Metals and Acids
Raw Score]])),9),_Stanine,2),5),"")</f>
        <v>2</v>
      </c>
      <c r="V46" s="66" t="n">
        <v>7</v>
      </c>
      <c r="W46" s="67">
        <f>IF(ISNUMBER(tblY8[[#This Row],[8P02 - Light
Raw Score]]),IFERROR(VLOOKUP(ROUND(STANDARDIZE(tblY8[[#This Row],[8P02 - Light
Raw Score]],AVERAGE(tblY8[[8P02 - Light
Raw Score]]),_xlfn.STDEV.P(tblY8[[8P02 - Light
Raw Score]])),9),_Stanine,2),5),"")</f>
        <v>1</v>
      </c>
    </row>
    <row r="47">
      <c r="A47" s="65" t="inlineStr">
        <is>
          <t>X902069116779</t>
        </is>
      </c>
      <c r="B47" s="65" t="inlineStr">
        <is>
          <t>Lloyd</t>
        </is>
      </c>
      <c r="C47" s="65" t="inlineStr">
        <is>
          <t>Hannah</t>
        </is>
      </c>
      <c r="D47" s="66" t="inlineStr">
        <is>
          <t>F</t>
        </is>
      </c>
      <c r="E47" s="66" t="n"/>
      <c r="F47" s="66" t="inlineStr">
        <is>
          <t>N</t>
        </is>
      </c>
      <c r="G47" s="34" t="n">
        <v>100</v>
      </c>
      <c r="H47" s="34" t="n">
        <v>99</v>
      </c>
      <c r="I47" s="67">
        <f>IF(ISNUMBER(tblY8[[#This Row],[Avg KS2]]),IFERROR(VLOOKUP(ROUND(STANDARDIZE(tblY8[[#This Row],[Avg KS2]],AVERAGE(tblY8[[Avg KS2]]),_xlfn.STDEV.P(tblY8[[Avg KS2]])),9),_Stanine,2),5),"")</f>
        <v>3</v>
      </c>
      <c r="J47" s="66" t="inlineStr">
        <is>
          <t>8A/Sc2</t>
        </is>
      </c>
      <c r="K47" s="67">
        <f>IF(tblY8[[#This Row],[Preferred Last name]]="","",COUNTIFS($N$1:$ZZ$1,"*"&amp;CHAR(10)&amp;"Stanine",$N47:$ZZ47,"&gt;=1"))</f>
        <v>5</v>
      </c>
      <c r="L47" s="68">
        <f>IFERROR(AVERAGEIF($N$1:$ZZ$1,"*"&amp;CHAR(10)&amp;"Stanine",$N47:$ZZ47),"")</f>
        <v>2.8</v>
      </c>
      <c r="M47" s="69">
        <f>IF(AND(ISNUMBER(tblY8[[#This Row],[Mean Stanine]]),ISNUMBER(tblY8[[#This Row],[Avg KS2 Band]]),ISNUMBER(SlopeY8)),tblY8[[#This Row],[Mean Stanine]]-(InterceptY8+SlopeY8*tblY8[[#This Row],[Avg KS2 Band]]),"")</f>
        <v>-0.584036289353521</v>
      </c>
      <c r="N47" s="66" t="n">
        <v>17</v>
      </c>
      <c r="O47" s="67">
        <f>IF(ISNUMBER(tblY8[[#This Row],[8C01 - Periodic Table
Raw Score]]),IFERROR(VLOOKUP(ROUND(STANDARDIZE(tblY8[[#This Row],[8C01 - Periodic Table
Raw Score]],AVERAGE(tblY8[[8C01 - Periodic Table
Raw Score]]),_xlfn.STDEV.P(tblY8[[8C01 - Periodic Table
Raw Score]])),9),_Stanine,2),5),"")</f>
        <v>5</v>
      </c>
      <c r="P47" s="66" t="n">
        <v>4</v>
      </c>
      <c r="Q47" s="67">
        <f>IF(ISNUMBER(tblY8[[#This Row],[8P01 - Energy
Raw Score]]),IFERROR(VLOOKUP(ROUND(STANDARDIZE(tblY8[[#This Row],[8P01 - Energy
Raw Score]],AVERAGE(tblY8[[8P01 - Energy
Raw Score]]),_xlfn.STDEV.P(tblY8[[8P01 - Energy
Raw Score]])),9),_Stanine,2),5),"")</f>
        <v>3</v>
      </c>
      <c r="R47" s="66" t="n">
        <v>6</v>
      </c>
      <c r="S47" s="67">
        <f>IF(ISNUMBER(tblY8[[#This Row],[8B01 - Digestion
Raw Score]]),IFERROR(VLOOKUP(ROUND(STANDARDIZE(tblY8[[#This Row],[8B01 - Digestion
Raw Score]],AVERAGE(tblY8[[8B01 - Digestion
Raw Score]]),_xlfn.STDEV.P(tblY8[[8B01 - Digestion
Raw Score]])),9),_Stanine,2),5),"")</f>
        <v>2</v>
      </c>
      <c r="T47" s="66" t="n">
        <v>3</v>
      </c>
      <c r="U47" s="67">
        <f>IF(ISNUMBER(tblY8[[#This Row],[8C02 - Metals and Acids
Raw Score]]),IFERROR(VLOOKUP(ROUND(STANDARDIZE(tblY8[[#This Row],[8C02 - Metals and Acids
Raw Score]],AVERAGE(tblY8[[8C02 - Metals and Acids
Raw Score]]),_xlfn.STDEV.P(tblY8[[8C02 - Metals and Acids
Raw Score]])),9),_Stanine,2),5),"")</f>
        <v>2</v>
      </c>
      <c r="V47" s="66" t="n">
        <v>9</v>
      </c>
      <c r="W47" s="67">
        <f>IF(ISNUMBER(tblY8[[#This Row],[8P02 - Light
Raw Score]]),IFERROR(VLOOKUP(ROUND(STANDARDIZE(tblY8[[#This Row],[8P02 - Light
Raw Score]],AVERAGE(tblY8[[8P02 - Light
Raw Score]]),_xlfn.STDEV.P(tblY8[[8P02 - Light
Raw Score]])),9),_Stanine,2),5),"")</f>
        <v>2</v>
      </c>
    </row>
    <row r="48">
      <c r="A48" s="65" t="inlineStr">
        <is>
          <t>X902389690191</t>
        </is>
      </c>
      <c r="B48" s="65" t="inlineStr">
        <is>
          <t>Morgan</t>
        </is>
      </c>
      <c r="C48" s="65" t="inlineStr">
        <is>
          <t>Maya</t>
        </is>
      </c>
      <c r="D48" s="66" t="inlineStr">
        <is>
          <t>M</t>
        </is>
      </c>
      <c r="E48" s="66" t="n"/>
      <c r="F48" s="66" t="inlineStr">
        <is>
          <t>Y</t>
        </is>
      </c>
      <c r="G48" s="34" t="n">
        <v>90.5</v>
      </c>
      <c r="H48" s="34" t="n">
        <v>106.5</v>
      </c>
      <c r="I48" s="67">
        <f>IF(ISNUMBER(tblY8[[#This Row],[Avg KS2]]),IFERROR(VLOOKUP(ROUND(STANDARDIZE(tblY8[[#This Row],[Avg KS2]],AVERAGE(tblY8[[Avg KS2]]),_xlfn.STDEV.P(tblY8[[Avg KS2]])),9),_Stanine,2),5),"")</f>
        <v>6</v>
      </c>
      <c r="J48" s="66" t="inlineStr">
        <is>
          <t>8A/Sc2</t>
        </is>
      </c>
      <c r="K48" s="67">
        <f>IF(tblY8[[#This Row],[Preferred Last name]]="","",COUNTIFS($N$1:$ZZ$1,"*"&amp;CHAR(10)&amp;"Stanine",$N48:$ZZ48,"&gt;=1"))</f>
        <v>5</v>
      </c>
      <c r="L48" s="68">
        <f>IFERROR(AVERAGEIF($N$1:$ZZ$1,"*"&amp;CHAR(10)&amp;"Stanine",$N48:$ZZ48),"")</f>
        <v>4.8</v>
      </c>
      <c r="M48" s="69">
        <f>IF(AND(ISNUMBER(tblY8[[#This Row],[Mean Stanine]]),ISNUMBER(tblY8[[#This Row],[Avg KS2 Band]]),ISNUMBER(SlopeY8)),tblY8[[#This Row],[Mean Stanine]]-(InterceptY8+SlopeY8*tblY8[[#This Row],[Avg KS2 Band]]),"")</f>
        <v>-0.92077024753665</v>
      </c>
      <c r="N48" s="66" t="n">
        <v>17</v>
      </c>
      <c r="O48" s="67">
        <f>IF(ISNUMBER(tblY8[[#This Row],[8C01 - Periodic Table
Raw Score]]),IFERROR(VLOOKUP(ROUND(STANDARDIZE(tblY8[[#This Row],[8C01 - Periodic Table
Raw Score]],AVERAGE(tblY8[[8C01 - Periodic Table
Raw Score]]),_xlfn.STDEV.P(tblY8[[8C01 - Periodic Table
Raw Score]])),9),_Stanine,2),5),"")</f>
        <v>5</v>
      </c>
      <c r="P48" s="66" t="n">
        <v>10</v>
      </c>
      <c r="Q48" s="67">
        <f>IF(ISNUMBER(tblY8[[#This Row],[8P01 - Energy
Raw Score]]),IFERROR(VLOOKUP(ROUND(STANDARDIZE(tblY8[[#This Row],[8P01 - Energy
Raw Score]],AVERAGE(tblY8[[8P01 - Energy
Raw Score]]),_xlfn.STDEV.P(tblY8[[8P01 - Energy
Raw Score]])),9),_Stanine,2),5),"")</f>
        <v>5</v>
      </c>
      <c r="R48" s="66" t="n">
        <v>10</v>
      </c>
      <c r="S48" s="67">
        <f>IF(ISNUMBER(tblY8[[#This Row],[8B01 - Digestion
Raw Score]]),IFERROR(VLOOKUP(ROUND(STANDARDIZE(tblY8[[#This Row],[8B01 - Digestion
Raw Score]],AVERAGE(tblY8[[8B01 - Digestion
Raw Score]]),_xlfn.STDEV.P(tblY8[[8B01 - Digestion
Raw Score]])),9),_Stanine,2),5),"")</f>
        <v>4</v>
      </c>
      <c r="T48" s="66" t="n">
        <v>13</v>
      </c>
      <c r="U48" s="67">
        <f>IF(ISNUMBER(tblY8[[#This Row],[8C02 - Metals and Acids
Raw Score]]),IFERROR(VLOOKUP(ROUND(STANDARDIZE(tblY8[[#This Row],[8C02 - Metals and Acids
Raw Score]],AVERAGE(tblY8[[8C02 - Metals and Acids
Raw Score]]),_xlfn.STDEV.P(tblY8[[8C02 - Metals and Acids
Raw Score]])),9),_Stanine,2),5),"")</f>
        <v>6</v>
      </c>
      <c r="V48" s="66" t="n">
        <v>14</v>
      </c>
      <c r="W48" s="67">
        <f>IF(ISNUMBER(tblY8[[#This Row],[8P02 - Light
Raw Score]]),IFERROR(VLOOKUP(ROUND(STANDARDIZE(tblY8[[#This Row],[8P02 - Light
Raw Score]],AVERAGE(tblY8[[8P02 - Light
Raw Score]]),_xlfn.STDEV.P(tblY8[[8P02 - Light
Raw Score]])),9),_Stanine,2),5),"")</f>
        <v>4</v>
      </c>
    </row>
    <row r="49">
      <c r="A49" s="65" t="inlineStr">
        <is>
          <t>X901601371374</t>
        </is>
      </c>
      <c r="B49" s="65" t="inlineStr">
        <is>
          <t>Roberts</t>
        </is>
      </c>
      <c r="C49" s="65" t="inlineStr">
        <is>
          <t>Ethan</t>
        </is>
      </c>
      <c r="D49" s="66" t="inlineStr">
        <is>
          <t>M</t>
        </is>
      </c>
      <c r="E49" s="66" t="n"/>
      <c r="F49" s="66" t="inlineStr">
        <is>
          <t>N</t>
        </is>
      </c>
      <c r="G49" s="34" t="n">
        <v>89.2</v>
      </c>
      <c r="H49" s="34" t="n">
        <v>100</v>
      </c>
      <c r="I49" s="67">
        <f>IF(ISNUMBER(tblY8[[#This Row],[Avg KS2]]),IFERROR(VLOOKUP(ROUND(STANDARDIZE(tblY8[[#This Row],[Avg KS2]],AVERAGE(tblY8[[Avg KS2]]),_xlfn.STDEV.P(tblY8[[Avg KS2]])),9),_Stanine,2),5),"")</f>
        <v>3</v>
      </c>
      <c r="J49" s="66" t="inlineStr">
        <is>
          <t>8A/Sc2</t>
        </is>
      </c>
      <c r="K49" s="67">
        <f>IF(tblY8[[#This Row],[Preferred Last name]]="","",COUNTIFS($N$1:$ZZ$1,"*"&amp;CHAR(10)&amp;"Stanine",$N49:$ZZ49,"&gt;=1"))</f>
        <v>5</v>
      </c>
      <c r="L49" s="68">
        <f>IFERROR(AVERAGEIF($N$1:$ZZ$1,"*"&amp;CHAR(10)&amp;"Stanine",$N49:$ZZ49),"")</f>
        <v>6.8</v>
      </c>
      <c r="M49" s="69">
        <f>IF(AND(ISNUMBER(tblY8[[#This Row],[Mean Stanine]]),ISNUMBER(tblY8[[#This Row],[Avg KS2 Band]]),ISNUMBER(SlopeY8)),tblY8[[#This Row],[Mean Stanine]]-(InterceptY8+SlopeY8*tblY8[[#This Row],[Avg KS2 Band]]),"")</f>
        <v>3.41596371064648</v>
      </c>
      <c r="N49" s="66" t="n">
        <v>24</v>
      </c>
      <c r="O49" s="67">
        <f>IF(ISNUMBER(tblY8[[#This Row],[8C01 - Periodic Table
Raw Score]]),IFERROR(VLOOKUP(ROUND(STANDARDIZE(tblY8[[#This Row],[8C01 - Periodic Table
Raw Score]],AVERAGE(tblY8[[8C01 - Periodic Table
Raw Score]]),_xlfn.STDEV.P(tblY8[[8C01 - Periodic Table
Raw Score]])),9),_Stanine,2),5),"")</f>
        <v>7</v>
      </c>
      <c r="P49" s="66" t="n">
        <v>18</v>
      </c>
      <c r="Q49" s="67">
        <f>IF(ISNUMBER(tblY8[[#This Row],[8P01 - Energy
Raw Score]]),IFERROR(VLOOKUP(ROUND(STANDARDIZE(tblY8[[#This Row],[8P01 - Energy
Raw Score]],AVERAGE(tblY8[[8P01 - Energy
Raw Score]]),_xlfn.STDEV.P(tblY8[[8P01 - Energy
Raw Score]])),9),_Stanine,2),5),"")</f>
        <v>8</v>
      </c>
      <c r="R49" s="66" t="n">
        <v>17</v>
      </c>
      <c r="S49" s="67">
        <f>IF(ISNUMBER(tblY8[[#This Row],[8B01 - Digestion
Raw Score]]),IFERROR(VLOOKUP(ROUND(STANDARDIZE(tblY8[[#This Row],[8B01 - Digestion
Raw Score]],AVERAGE(tblY8[[8B01 - Digestion
Raw Score]]),_xlfn.STDEV.P(tblY8[[8B01 - Digestion
Raw Score]])),9),_Stanine,2),5),"")</f>
        <v>6</v>
      </c>
      <c r="T49" s="66" t="n">
        <v>15</v>
      </c>
      <c r="U49" s="67">
        <f>IF(ISNUMBER(tblY8[[#This Row],[8C02 - Metals and Acids
Raw Score]]),IFERROR(VLOOKUP(ROUND(STANDARDIZE(tblY8[[#This Row],[8C02 - Metals and Acids
Raw Score]],AVERAGE(tblY8[[8C02 - Metals and Acids
Raw Score]]),_xlfn.STDEV.P(tblY8[[8C02 - Metals and Acids
Raw Score]])),9),_Stanine,2),5),"")</f>
        <v>6</v>
      </c>
      <c r="V49" s="66" t="n">
        <v>20</v>
      </c>
      <c r="W49" s="67">
        <f>IF(ISNUMBER(tblY8[[#This Row],[8P02 - Light
Raw Score]]),IFERROR(VLOOKUP(ROUND(STANDARDIZE(tblY8[[#This Row],[8P02 - Light
Raw Score]],AVERAGE(tblY8[[8P02 - Light
Raw Score]]),_xlfn.STDEV.P(tblY8[[8P02 - Light
Raw Score]])),9),_Stanine,2),5),"")</f>
        <v>7</v>
      </c>
    </row>
    <row r="50">
      <c r="A50" s="65" t="inlineStr">
        <is>
          <t>X900804294470</t>
        </is>
      </c>
      <c r="B50" s="65" t="inlineStr">
        <is>
          <t>Thompson</t>
        </is>
      </c>
      <c r="C50" s="65" t="inlineStr">
        <is>
          <t>Rhys</t>
        </is>
      </c>
      <c r="D50" s="66" t="inlineStr">
        <is>
          <t>F</t>
        </is>
      </c>
      <c r="E50" s="66" t="inlineStr">
        <is>
          <t>N</t>
        </is>
      </c>
      <c r="F50" s="66" t="inlineStr">
        <is>
          <t>N</t>
        </is>
      </c>
      <c r="G50" s="34" t="n">
        <v>92.8</v>
      </c>
      <c r="H50" s="34" t="n">
        <v>107</v>
      </c>
      <c r="I50" s="67">
        <f>IF(ISNUMBER(tblY8[[#This Row],[Avg KS2]]),IFERROR(VLOOKUP(ROUND(STANDARDIZE(tblY8[[#This Row],[Avg KS2]],AVERAGE(tblY8[[Avg KS2]]),_xlfn.STDEV.P(tblY8[[Avg KS2]])),9),_Stanine,2),5),"")</f>
        <v>6</v>
      </c>
      <c r="J50" s="66" t="inlineStr">
        <is>
          <t>8A/Sc2</t>
        </is>
      </c>
      <c r="K50" s="67">
        <f>IF(tblY8[[#This Row],[Preferred Last name]]="","",COUNTIFS($N$1:$ZZ$1,"*"&amp;CHAR(10)&amp;"Stanine",$N50:$ZZ50,"&gt;=1"))</f>
        <v>5</v>
      </c>
      <c r="L50" s="68">
        <f>IFERROR(AVERAGEIF($N$1:$ZZ$1,"*"&amp;CHAR(10)&amp;"Stanine",$N50:$ZZ50),"")</f>
        <v>4.2</v>
      </c>
      <c r="M50" s="69">
        <f>IF(AND(ISNUMBER(tblY8[[#This Row],[Mean Stanine]]),ISNUMBER(tblY8[[#This Row],[Avg KS2 Band]]),ISNUMBER(SlopeY8)),tblY8[[#This Row],[Mean Stanine]]-(InterceptY8+SlopeY8*tblY8[[#This Row],[Avg KS2 Band]]),"")</f>
        <v>-1.52077024753665</v>
      </c>
      <c r="N50" s="66" t="n">
        <v>21</v>
      </c>
      <c r="O50" s="67">
        <f>IF(ISNUMBER(tblY8[[#This Row],[8C01 - Periodic Table
Raw Score]]),IFERROR(VLOOKUP(ROUND(STANDARDIZE(tblY8[[#This Row],[8C01 - Periodic Table
Raw Score]],AVERAGE(tblY8[[8C01 - Periodic Table
Raw Score]]),_xlfn.STDEV.P(tblY8[[8C01 - Periodic Table
Raw Score]])),9),_Stanine,2),5),"")</f>
        <v>6</v>
      </c>
      <c r="P50" s="66" t="n">
        <v>6</v>
      </c>
      <c r="Q50" s="67">
        <f>IF(ISNUMBER(tblY8[[#This Row],[8P01 - Energy
Raw Score]]),IFERROR(VLOOKUP(ROUND(STANDARDIZE(tblY8[[#This Row],[8P01 - Energy
Raw Score]],AVERAGE(tblY8[[8P01 - Energy
Raw Score]]),_xlfn.STDEV.P(tblY8[[8P01 - Energy
Raw Score]])),9),_Stanine,2),5),"")</f>
        <v>3</v>
      </c>
      <c r="R50" s="66" t="n">
        <v>14</v>
      </c>
      <c r="S50" s="67">
        <f>IF(ISNUMBER(tblY8[[#This Row],[8B01 - Digestion
Raw Score]]),IFERROR(VLOOKUP(ROUND(STANDARDIZE(tblY8[[#This Row],[8B01 - Digestion
Raw Score]],AVERAGE(tblY8[[8B01 - Digestion
Raw Score]]),_xlfn.STDEV.P(tblY8[[8B01 - Digestion
Raw Score]])),9),_Stanine,2),5),"")</f>
        <v>5</v>
      </c>
      <c r="T50" s="66" t="n">
        <v>9</v>
      </c>
      <c r="U50" s="67">
        <f>IF(ISNUMBER(tblY8[[#This Row],[8C02 - Metals and Acids
Raw Score]]),IFERROR(VLOOKUP(ROUND(STANDARDIZE(tblY8[[#This Row],[8C02 - Metals and Acids
Raw Score]],AVERAGE(tblY8[[8C02 - Metals and Acids
Raw Score]]),_xlfn.STDEV.P(tblY8[[8C02 - Metals and Acids
Raw Score]])),9),_Stanine,2),5),"")</f>
        <v>4</v>
      </c>
      <c r="V50" s="66" t="n">
        <v>11</v>
      </c>
      <c r="W50" s="67">
        <f>IF(ISNUMBER(tblY8[[#This Row],[8P02 - Light
Raw Score]]),IFERROR(VLOOKUP(ROUND(STANDARDIZE(tblY8[[#This Row],[8P02 - Light
Raw Score]],AVERAGE(tblY8[[8P02 - Light
Raw Score]]),_xlfn.STDEV.P(tblY8[[8P02 - Light
Raw Score]])),9),_Stanine,2),5),"")</f>
        <v>3</v>
      </c>
    </row>
    <row r="51">
      <c r="A51" s="65" t="inlineStr">
        <is>
          <t>X907109221692</t>
        </is>
      </c>
      <c r="B51" s="65" t="inlineStr">
        <is>
          <t>White</t>
        </is>
      </c>
      <c r="C51" s="65" t="inlineStr">
        <is>
          <t>Freya</t>
        </is>
      </c>
      <c r="D51" s="66" t="inlineStr">
        <is>
          <t>F</t>
        </is>
      </c>
      <c r="E51" s="66" t="inlineStr">
        <is>
          <t>K</t>
        </is>
      </c>
      <c r="F51" s="66" t="inlineStr">
        <is>
          <t>N</t>
        </is>
      </c>
      <c r="G51" s="34" t="n">
        <v>86.2</v>
      </c>
      <c r="H51" s="34" t="n">
        <v>110.5</v>
      </c>
      <c r="I51" s="67">
        <f>IF(ISNUMBER(tblY8[[#This Row],[Avg KS2]]),IFERROR(VLOOKUP(ROUND(STANDARDIZE(tblY8[[#This Row],[Avg KS2]],AVERAGE(tblY8[[Avg KS2]]),_xlfn.STDEV.P(tblY8[[Avg KS2]])),9),_Stanine,2),5),"")</f>
        <v>7</v>
      </c>
      <c r="J51" s="66" t="inlineStr">
        <is>
          <t>8A/Sc2</t>
        </is>
      </c>
      <c r="K51" s="67">
        <f>IF(tblY8[[#This Row],[Preferred Last name]]="","",COUNTIFS($N$1:$ZZ$1,"*"&amp;CHAR(10)&amp;"Stanine",$N51:$ZZ51,"&gt;=1"))</f>
        <v>5</v>
      </c>
      <c r="L51" s="68">
        <f>IFERROR(AVERAGEIF($N$1:$ZZ$1,"*"&amp;CHAR(10)&amp;"Stanine",$N51:$ZZ51),"")</f>
        <v>6</v>
      </c>
      <c r="M51" s="69">
        <f>IF(AND(ISNUMBER(tblY8[[#This Row],[Mean Stanine]]),ISNUMBER(tblY8[[#This Row],[Avg KS2 Band]]),ISNUMBER(SlopeY8)),tblY8[[#This Row],[Mean Stanine]]-(InterceptY8+SlopeY8*tblY8[[#This Row],[Avg KS2 Band]]),"")</f>
        <v>-0.499681566931026</v>
      </c>
      <c r="N51" s="66" t="n">
        <v>22</v>
      </c>
      <c r="O51" s="67">
        <f>IF(ISNUMBER(tblY8[[#This Row],[8C01 - Periodic Table
Raw Score]]),IFERROR(VLOOKUP(ROUND(STANDARDIZE(tblY8[[#This Row],[8C01 - Periodic Table
Raw Score]],AVERAGE(tblY8[[8C01 - Periodic Table
Raw Score]]),_xlfn.STDEV.P(tblY8[[8C01 - Periodic Table
Raw Score]])),9),_Stanine,2),5),"")</f>
        <v>6</v>
      </c>
      <c r="P51" s="66" t="n">
        <v>14</v>
      </c>
      <c r="Q51" s="67">
        <f>IF(ISNUMBER(tblY8[[#This Row],[8P01 - Energy
Raw Score]]),IFERROR(VLOOKUP(ROUND(STANDARDIZE(tblY8[[#This Row],[8P01 - Energy
Raw Score]],AVERAGE(tblY8[[8P01 - Energy
Raw Score]]),_xlfn.STDEV.P(tblY8[[8P01 - Energy
Raw Score]])),9),_Stanine,2),5),"")</f>
        <v>6</v>
      </c>
      <c r="R51" s="66" t="n">
        <v>18</v>
      </c>
      <c r="S51" s="67">
        <f>IF(ISNUMBER(tblY8[[#This Row],[8B01 - Digestion
Raw Score]]),IFERROR(VLOOKUP(ROUND(STANDARDIZE(tblY8[[#This Row],[8B01 - Digestion
Raw Score]],AVERAGE(tblY8[[8B01 - Digestion
Raw Score]]),_xlfn.STDEV.P(tblY8[[8B01 - Digestion
Raw Score]])),9),_Stanine,2),5),"")</f>
        <v>6</v>
      </c>
      <c r="T51" s="66" t="n">
        <v>18</v>
      </c>
      <c r="U51" s="67">
        <f>IF(ISNUMBER(tblY8[[#This Row],[8C02 - Metals and Acids
Raw Score]]),IFERROR(VLOOKUP(ROUND(STANDARDIZE(tblY8[[#This Row],[8C02 - Metals and Acids
Raw Score]],AVERAGE(tblY8[[8C02 - Metals and Acids
Raw Score]]),_xlfn.STDEV.P(tblY8[[8C02 - Metals and Acids
Raw Score]])),9),_Stanine,2),5),"")</f>
        <v>7</v>
      </c>
      <c r="V51" s="66" t="n">
        <v>16</v>
      </c>
      <c r="W51" s="67">
        <f>IF(ISNUMBER(tblY8[[#This Row],[8P02 - Light
Raw Score]]),IFERROR(VLOOKUP(ROUND(STANDARDIZE(tblY8[[#This Row],[8P02 - Light
Raw Score]],AVERAGE(tblY8[[8P02 - Light
Raw Score]]),_xlfn.STDEV.P(tblY8[[8P02 - Light
Raw Score]])),9),_Stanine,2),5),"")</f>
        <v>5</v>
      </c>
    </row>
    <row r="52">
      <c r="A52" s="65" t="inlineStr">
        <is>
          <t>X903411923764</t>
        </is>
      </c>
      <c r="B52" s="65" t="inlineStr">
        <is>
          <t>Williams</t>
        </is>
      </c>
      <c r="C52" s="65" t="inlineStr">
        <is>
          <t>Reuben</t>
        </is>
      </c>
      <c r="D52" s="66" t="inlineStr">
        <is>
          <t>F</t>
        </is>
      </c>
      <c r="E52" s="66" t="inlineStr">
        <is>
          <t>K</t>
        </is>
      </c>
      <c r="F52" s="66" t="inlineStr">
        <is>
          <t>N</t>
        </is>
      </c>
      <c r="G52" s="34" t="n">
        <v>99.5</v>
      </c>
      <c r="H52" s="34" t="n">
        <v>108</v>
      </c>
      <c r="I52" s="67">
        <f>IF(ISNUMBER(tblY8[[#This Row],[Avg KS2]]),IFERROR(VLOOKUP(ROUND(STANDARDIZE(tblY8[[#This Row],[Avg KS2]],AVERAGE(tblY8[[Avg KS2]]),_xlfn.STDEV.P(tblY8[[Avg KS2]])),9),_Stanine,2),5),"")</f>
        <v>6</v>
      </c>
      <c r="J52" s="66" t="inlineStr">
        <is>
          <t>8A/Sc2</t>
        </is>
      </c>
      <c r="K52" s="67">
        <f>IF(tblY8[[#This Row],[Preferred Last name]]="","",COUNTIFS($N$1:$ZZ$1,"*"&amp;CHAR(10)&amp;"Stanine",$N52:$ZZ52,"&gt;=1"))</f>
        <v>5</v>
      </c>
      <c r="L52" s="68">
        <f>IFERROR(AVERAGEIF($N$1:$ZZ$1,"*"&amp;CHAR(10)&amp;"Stanine",$N52:$ZZ52),"")</f>
        <v>5.6</v>
      </c>
      <c r="M52" s="69">
        <f>IF(AND(ISNUMBER(tblY8[[#This Row],[Mean Stanine]]),ISNUMBER(tblY8[[#This Row],[Avg KS2 Band]]),ISNUMBER(SlopeY8)),tblY8[[#This Row],[Mean Stanine]]-(InterceptY8+SlopeY8*tblY8[[#This Row],[Avg KS2 Band]]),"")</f>
        <v>-0.12077024753665</v>
      </c>
      <c r="N52" s="66" t="n">
        <v>19</v>
      </c>
      <c r="O52" s="67">
        <f>IF(ISNUMBER(tblY8[[#This Row],[8C01 - Periodic Table
Raw Score]]),IFERROR(VLOOKUP(ROUND(STANDARDIZE(tblY8[[#This Row],[8C01 - Periodic Table
Raw Score]],AVERAGE(tblY8[[8C01 - Periodic Table
Raw Score]]),_xlfn.STDEV.P(tblY8[[8C01 - Periodic Table
Raw Score]])),9),_Stanine,2),5),"")</f>
        <v>5</v>
      </c>
      <c r="P52" s="66" t="n">
        <v>12</v>
      </c>
      <c r="Q52" s="67">
        <f>IF(ISNUMBER(tblY8[[#This Row],[8P01 - Energy
Raw Score]]),IFERROR(VLOOKUP(ROUND(STANDARDIZE(tblY8[[#This Row],[8P01 - Energy
Raw Score]],AVERAGE(tblY8[[8P01 - Energy
Raw Score]]),_xlfn.STDEV.P(tblY8[[8P01 - Energy
Raw Score]])),9),_Stanine,2),5),"")</f>
        <v>6</v>
      </c>
      <c r="R52" s="66" t="n">
        <v>16</v>
      </c>
      <c r="S52" s="67">
        <f>IF(ISNUMBER(tblY8[[#This Row],[8B01 - Digestion
Raw Score]]),IFERROR(VLOOKUP(ROUND(STANDARDIZE(tblY8[[#This Row],[8B01 - Digestion
Raw Score]],AVERAGE(tblY8[[8B01 - Digestion
Raw Score]]),_xlfn.STDEV.P(tblY8[[8B01 - Digestion
Raw Score]])),9),_Stanine,2),5),"")</f>
        <v>6</v>
      </c>
      <c r="T52" s="66" t="n">
        <v>15</v>
      </c>
      <c r="U52" s="67">
        <f>IF(ISNUMBER(tblY8[[#This Row],[8C02 - Metals and Acids
Raw Score]]),IFERROR(VLOOKUP(ROUND(STANDARDIZE(tblY8[[#This Row],[8C02 - Metals and Acids
Raw Score]],AVERAGE(tblY8[[8C02 - Metals and Acids
Raw Score]]),_xlfn.STDEV.P(tblY8[[8C02 - Metals and Acids
Raw Score]])),9),_Stanine,2),5),"")</f>
        <v>6</v>
      </c>
      <c r="V52" s="66" t="n">
        <v>16</v>
      </c>
      <c r="W52" s="67">
        <f>IF(ISNUMBER(tblY8[[#This Row],[8P02 - Light
Raw Score]]),IFERROR(VLOOKUP(ROUND(STANDARDIZE(tblY8[[#This Row],[8P02 - Light
Raw Score]],AVERAGE(tblY8[[8P02 - Light
Raw Score]]),_xlfn.STDEV.P(tblY8[[8P02 - Light
Raw Score]])),9),_Stanine,2),5),"")</f>
        <v>5</v>
      </c>
    </row>
    <row r="53">
      <c r="A53" s="65" t="inlineStr">
        <is>
          <t>X904715173343</t>
        </is>
      </c>
      <c r="B53" s="65" t="inlineStr">
        <is>
          <t>Wilson</t>
        </is>
      </c>
      <c r="C53" s="65" t="inlineStr">
        <is>
          <t>Ivy</t>
        </is>
      </c>
      <c r="D53" s="66" t="inlineStr">
        <is>
          <t>M</t>
        </is>
      </c>
      <c r="E53" s="66" t="inlineStr">
        <is>
          <t>N</t>
        </is>
      </c>
      <c r="F53" s="66" t="inlineStr">
        <is>
          <t>Y</t>
        </is>
      </c>
      <c r="G53" s="34" t="n">
        <v>85.40000000000001</v>
      </c>
      <c r="H53" s="34" t="n">
        <v>108</v>
      </c>
      <c r="I53" s="67">
        <f>IF(ISNUMBER(tblY8[[#This Row],[Avg KS2]]),IFERROR(VLOOKUP(ROUND(STANDARDIZE(tblY8[[#This Row],[Avg KS2]],AVERAGE(tblY8[[Avg KS2]]),_xlfn.STDEV.P(tblY8[[Avg KS2]])),9),_Stanine,2),5),"")</f>
        <v>6</v>
      </c>
      <c r="J53" s="66" t="inlineStr">
        <is>
          <t>8A/Sc2</t>
        </is>
      </c>
      <c r="K53" s="67">
        <f>IF(tblY8[[#This Row],[Preferred Last name]]="","",COUNTIFS($N$1:$ZZ$1,"*"&amp;CHAR(10)&amp;"Stanine",$N53:$ZZ53,"&gt;=1"))</f>
        <v>4</v>
      </c>
      <c r="L53" s="68">
        <f>IFERROR(AVERAGEIF($N$1:$ZZ$1,"*"&amp;CHAR(10)&amp;"Stanine",$N53:$ZZ53),"")</f>
        <v>5</v>
      </c>
      <c r="M53" s="69">
        <f>IF(AND(ISNUMBER(tblY8[[#This Row],[Mean Stanine]]),ISNUMBER(tblY8[[#This Row],[Avg KS2 Band]]),ISNUMBER(SlopeY8)),tblY8[[#This Row],[Mean Stanine]]-(InterceptY8+SlopeY8*tblY8[[#This Row],[Avg KS2 Band]]),"")</f>
        <v>-0.72077024753665</v>
      </c>
      <c r="N53" s="66" t="n">
        <v>21</v>
      </c>
      <c r="O53" s="67">
        <f>IF(ISNUMBER(tblY8[[#This Row],[8C01 - Periodic Table
Raw Score]]),IFERROR(VLOOKUP(ROUND(STANDARDIZE(tblY8[[#This Row],[8C01 - Periodic Table
Raw Score]],AVERAGE(tblY8[[8C01 - Periodic Table
Raw Score]]),_xlfn.STDEV.P(tblY8[[8C01 - Periodic Table
Raw Score]])),9),_Stanine,2),5),"")</f>
        <v>6</v>
      </c>
      <c r="P53" s="66" t="inlineStr">
        <is>
          <t>A</t>
        </is>
      </c>
      <c r="Q53" s="67" t="str">
        <f>IF(ISNUMBER(tblY8[[#This Row],[8P01 - Energy
Raw Score]]),IFERROR(VLOOKUP(ROUND(STANDARDIZE(tblY8[[#This Row],[8P01 - Energy
Raw Score]],AVERAGE(tblY8[[8P01 - Energy
Raw Score]]),_xlfn.STDEV.P(tblY8[[8P01 - Energy
Raw Score]])),9),_Stanine,2),5),"")</f>
        <v/>
      </c>
      <c r="R53" s="66" t="n">
        <v>14</v>
      </c>
      <c r="S53" s="67">
        <f>IF(ISNUMBER(tblY8[[#This Row],[8B01 - Digestion
Raw Score]]),IFERROR(VLOOKUP(ROUND(STANDARDIZE(tblY8[[#This Row],[8B01 - Digestion
Raw Score]],AVERAGE(tblY8[[8B01 - Digestion
Raw Score]]),_xlfn.STDEV.P(tblY8[[8B01 - Digestion
Raw Score]])),9),_Stanine,2),5),"")</f>
        <v>5</v>
      </c>
      <c r="T53" s="66" t="n">
        <v>10</v>
      </c>
      <c r="U53" s="67">
        <f>IF(ISNUMBER(tblY8[[#This Row],[8C02 - Metals and Acids
Raw Score]]),IFERROR(VLOOKUP(ROUND(STANDARDIZE(tblY8[[#This Row],[8C02 - Metals and Acids
Raw Score]],AVERAGE(tblY8[[8C02 - Metals and Acids
Raw Score]]),_xlfn.STDEV.P(tblY8[[8C02 - Metals and Acids
Raw Score]])),9),_Stanine,2),5),"")</f>
        <v>4</v>
      </c>
      <c r="V53" s="66" t="n">
        <v>15</v>
      </c>
      <c r="W53" s="67">
        <f>IF(ISNUMBER(tblY8[[#This Row],[8P02 - Light
Raw Score]]),IFERROR(VLOOKUP(ROUND(STANDARDIZE(tblY8[[#This Row],[8P02 - Light
Raw Score]],AVERAGE(tblY8[[8P02 - Light
Raw Score]]),_xlfn.STDEV.P(tblY8[[8P02 - Light
Raw Score]])),9),_Stanine,2),5),"")</f>
        <v>5</v>
      </c>
    </row>
    <row r="54">
      <c r="A54" s="65" t="inlineStr">
        <is>
          <t>X906921399090</t>
        </is>
      </c>
      <c r="B54" s="65" t="inlineStr">
        <is>
          <t>Wright</t>
        </is>
      </c>
      <c r="C54" s="65" t="inlineStr">
        <is>
          <t>Arthur</t>
        </is>
      </c>
      <c r="D54" s="66" t="inlineStr">
        <is>
          <t>F</t>
        </is>
      </c>
      <c r="E54" s="66" t="inlineStr">
        <is>
          <t>N</t>
        </is>
      </c>
      <c r="F54" s="66" t="inlineStr">
        <is>
          <t>Y</t>
        </is>
      </c>
      <c r="G54" s="34" t="n">
        <v>98</v>
      </c>
      <c r="H54" s="34" t="n">
        <v>99.5</v>
      </c>
      <c r="I54" s="67">
        <f>IF(ISNUMBER(tblY8[[#This Row],[Avg KS2]]),IFERROR(VLOOKUP(ROUND(STANDARDIZE(tblY8[[#This Row],[Avg KS2]],AVERAGE(tblY8[[Avg KS2]]),_xlfn.STDEV.P(tblY8[[Avg KS2]])),9),_Stanine,2),5),"")</f>
        <v>3</v>
      </c>
      <c r="J54" s="66" t="inlineStr">
        <is>
          <t>8A/Sc2</t>
        </is>
      </c>
      <c r="K54" s="67">
        <f>IF(tblY8[[#This Row],[Preferred Last name]]="","",COUNTIFS($N$1:$ZZ$1,"*"&amp;CHAR(10)&amp;"Stanine",$N54:$ZZ54,"&gt;=1"))</f>
        <v>5</v>
      </c>
      <c r="L54" s="68">
        <f>IFERROR(AVERAGEIF($N$1:$ZZ$1,"*"&amp;CHAR(10)&amp;"Stanine",$N54:$ZZ54),"")</f>
        <v>3</v>
      </c>
      <c r="M54" s="69">
        <f>IF(AND(ISNUMBER(tblY8[[#This Row],[Mean Stanine]]),ISNUMBER(tblY8[[#This Row],[Avg KS2 Band]]),ISNUMBER(SlopeY8)),tblY8[[#This Row],[Mean Stanine]]-(InterceptY8+SlopeY8*tblY8[[#This Row],[Avg KS2 Band]]),"")</f>
        <v>-0.384036289353521</v>
      </c>
      <c r="N54" s="66" t="n">
        <v>16</v>
      </c>
      <c r="O54" s="67">
        <f>IF(ISNUMBER(tblY8[[#This Row],[8C01 - Periodic Table
Raw Score]]),IFERROR(VLOOKUP(ROUND(STANDARDIZE(tblY8[[#This Row],[8C01 - Periodic Table
Raw Score]],AVERAGE(tblY8[[8C01 - Periodic Table
Raw Score]]),_xlfn.STDEV.P(tblY8[[8C01 - Periodic Table
Raw Score]])),9),_Stanine,2),5),"")</f>
        <v>4</v>
      </c>
      <c r="P54" s="66" t="n">
        <v>6</v>
      </c>
      <c r="Q54" s="67">
        <f>IF(ISNUMBER(tblY8[[#This Row],[8P01 - Energy
Raw Score]]),IFERROR(VLOOKUP(ROUND(STANDARDIZE(tblY8[[#This Row],[8P01 - Energy
Raw Score]],AVERAGE(tblY8[[8P01 - Energy
Raw Score]]),_xlfn.STDEV.P(tblY8[[8P01 - Energy
Raw Score]])),9),_Stanine,2),5),"")</f>
        <v>3</v>
      </c>
      <c r="R54" s="66" t="n">
        <v>11</v>
      </c>
      <c r="S54" s="67">
        <f>IF(ISNUMBER(tblY8[[#This Row],[8B01 - Digestion
Raw Score]]),IFERROR(VLOOKUP(ROUND(STANDARDIZE(tblY8[[#This Row],[8B01 - Digestion
Raw Score]],AVERAGE(tblY8[[8B01 - Digestion
Raw Score]]),_xlfn.STDEV.P(tblY8[[8B01 - Digestion
Raw Score]])),9),_Stanine,2),5),"")</f>
        <v>4</v>
      </c>
      <c r="T54" s="66" t="n">
        <v>6</v>
      </c>
      <c r="U54" s="67">
        <f>IF(ISNUMBER(tblY8[[#This Row],[8C02 - Metals and Acids
Raw Score]]),IFERROR(VLOOKUP(ROUND(STANDARDIZE(tblY8[[#This Row],[8C02 - Metals and Acids
Raw Score]],AVERAGE(tblY8[[8C02 - Metals and Acids
Raw Score]]),_xlfn.STDEV.P(tblY8[[8C02 - Metals and Acids
Raw Score]])),9),_Stanine,2),5),"")</f>
        <v>3</v>
      </c>
      <c r="V54" s="66" t="n">
        <v>8</v>
      </c>
      <c r="W54" s="67">
        <f>IF(ISNUMBER(tblY8[[#This Row],[8P02 - Light
Raw Score]]),IFERROR(VLOOKUP(ROUND(STANDARDIZE(tblY8[[#This Row],[8P02 - Light
Raw Score]],AVERAGE(tblY8[[8P02 - Light
Raw Score]]),_xlfn.STDEV.P(tblY8[[8P02 - Light
Raw Score]])),9),_Stanine,2),5),"")</f>
        <v>1</v>
      </c>
    </row>
    <row r="55">
      <c r="A55" s="65" t="inlineStr">
        <is>
          <t>X908478030243</t>
        </is>
      </c>
      <c r="B55" s="65" t="inlineStr">
        <is>
          <t>Begum</t>
        </is>
      </c>
      <c r="C55" s="65" t="inlineStr">
        <is>
          <t>Ethan</t>
        </is>
      </c>
      <c r="D55" s="66" t="inlineStr">
        <is>
          <t>F</t>
        </is>
      </c>
      <c r="E55" s="66" t="inlineStr">
        <is>
          <t>K</t>
        </is>
      </c>
      <c r="F55" s="66" t="inlineStr">
        <is>
          <t>Y</t>
        </is>
      </c>
      <c r="G55" s="34" t="n">
        <v>97.5</v>
      </c>
      <c r="H55" s="34" t="n">
        <v>108</v>
      </c>
      <c r="I55" s="67">
        <f>IF(ISNUMBER(tblY8[[#This Row],[Avg KS2]]),IFERROR(VLOOKUP(ROUND(STANDARDIZE(tblY8[[#This Row],[Avg KS2]],AVERAGE(tblY8[[Avg KS2]]),_xlfn.STDEV.P(tblY8[[Avg KS2]])),9),_Stanine,2),5),"")</f>
        <v>6</v>
      </c>
      <c r="J55" s="66" t="inlineStr">
        <is>
          <t>8A/Sc3</t>
        </is>
      </c>
      <c r="K55" s="67">
        <f>IF(tblY8[[#This Row],[Preferred Last name]]="","",COUNTIFS($N$1:$ZZ$1,"*"&amp;CHAR(10)&amp;"Stanine",$N55:$ZZ55,"&gt;=1"))</f>
        <v>5</v>
      </c>
      <c r="L55" s="68">
        <f>IFERROR(AVERAGEIF($N$1:$ZZ$1,"*"&amp;CHAR(10)&amp;"Stanine",$N55:$ZZ55),"")</f>
        <v>6.6</v>
      </c>
      <c r="M55" s="69">
        <f>IF(AND(ISNUMBER(tblY8[[#This Row],[Mean Stanine]]),ISNUMBER(tblY8[[#This Row],[Avg KS2 Band]]),ISNUMBER(SlopeY8)),tblY8[[#This Row],[Mean Stanine]]-(InterceptY8+SlopeY8*tblY8[[#This Row],[Avg KS2 Band]]),"")</f>
        <v>0.87922975246335</v>
      </c>
      <c r="N55" s="66" t="n">
        <v>23</v>
      </c>
      <c r="O55" s="67">
        <f>IF(ISNUMBER(tblY8[[#This Row],[8C01 - Periodic Table
Raw Score]]),IFERROR(VLOOKUP(ROUND(STANDARDIZE(tblY8[[#This Row],[8C01 - Periodic Table
Raw Score]],AVERAGE(tblY8[[8C01 - Periodic Table
Raw Score]]),_xlfn.STDEV.P(tblY8[[8C01 - Periodic Table
Raw Score]])),9),_Stanine,2),5),"")</f>
        <v>7</v>
      </c>
      <c r="P55" s="66" t="n">
        <v>12</v>
      </c>
      <c r="Q55" s="67">
        <f>IF(ISNUMBER(tblY8[[#This Row],[8P01 - Energy
Raw Score]]),IFERROR(VLOOKUP(ROUND(STANDARDIZE(tblY8[[#This Row],[8P01 - Energy
Raw Score]],AVERAGE(tblY8[[8P01 - Energy
Raw Score]]),_xlfn.STDEV.P(tblY8[[8P01 - Energy
Raw Score]])),9),_Stanine,2),5),"")</f>
        <v>6</v>
      </c>
      <c r="R55" s="66" t="n">
        <v>19</v>
      </c>
      <c r="S55" s="67">
        <f>IF(ISNUMBER(tblY8[[#This Row],[8B01 - Digestion
Raw Score]]),IFERROR(VLOOKUP(ROUND(STANDARDIZE(tblY8[[#This Row],[8B01 - Digestion
Raw Score]],AVERAGE(tblY8[[8B01 - Digestion
Raw Score]]),_xlfn.STDEV.P(tblY8[[8B01 - Digestion
Raw Score]])),9),_Stanine,2),5),"")</f>
        <v>7</v>
      </c>
      <c r="T55" s="66" t="n">
        <v>16</v>
      </c>
      <c r="U55" s="67">
        <f>IF(ISNUMBER(tblY8[[#This Row],[8C02 - Metals and Acids
Raw Score]]),IFERROR(VLOOKUP(ROUND(STANDARDIZE(tblY8[[#This Row],[8C02 - Metals and Acids
Raw Score]],AVERAGE(tblY8[[8C02 - Metals and Acids
Raw Score]]),_xlfn.STDEV.P(tblY8[[8C02 - Metals and Acids
Raw Score]])),9),_Stanine,2),5),"")</f>
        <v>7</v>
      </c>
      <c r="V55" s="66" t="n">
        <v>18</v>
      </c>
      <c r="W55" s="67">
        <f>IF(ISNUMBER(tblY8[[#This Row],[8P02 - Light
Raw Score]]),IFERROR(VLOOKUP(ROUND(STANDARDIZE(tblY8[[#This Row],[8P02 - Light
Raw Score]],AVERAGE(tblY8[[8P02 - Light
Raw Score]]),_xlfn.STDEV.P(tblY8[[8P02 - Light
Raw Score]])),9),_Stanine,2),5),"")</f>
        <v>6</v>
      </c>
    </row>
    <row r="56">
      <c r="A56" s="65" t="inlineStr">
        <is>
          <t>X908666421864</t>
        </is>
      </c>
      <c r="B56" s="65" t="inlineStr">
        <is>
          <t>Brown</t>
        </is>
      </c>
      <c r="C56" s="65" t="inlineStr">
        <is>
          <t>George</t>
        </is>
      </c>
      <c r="D56" s="66" t="inlineStr">
        <is>
          <t>F</t>
        </is>
      </c>
      <c r="E56" s="66" t="inlineStr">
        <is>
          <t>N</t>
        </is>
      </c>
      <c r="F56" s="66" t="inlineStr">
        <is>
          <t>N</t>
        </is>
      </c>
      <c r="G56" s="34" t="n">
        <v>93.8</v>
      </c>
      <c r="H56" s="34" t="n">
        <v>104.5</v>
      </c>
      <c r="I56" s="67">
        <f>IF(ISNUMBER(tblY8[[#This Row],[Avg KS2]]),IFERROR(VLOOKUP(ROUND(STANDARDIZE(tblY8[[#This Row],[Avg KS2]],AVERAGE(tblY8[[Avg KS2]]),_xlfn.STDEV.P(tblY8[[Avg KS2]])),9),_Stanine,2),5),"")</f>
        <v>5</v>
      </c>
      <c r="J56" s="66" t="inlineStr">
        <is>
          <t>8A/Sc3</t>
        </is>
      </c>
      <c r="K56" s="67">
        <f>IF(tblY8[[#This Row],[Preferred Last name]]="","",COUNTIFS($N$1:$ZZ$1,"*"&amp;CHAR(10)&amp;"Stanine",$N56:$ZZ56,"&gt;=1"))</f>
        <v>5</v>
      </c>
      <c r="L56" s="68">
        <f>IFERROR(AVERAGEIF($N$1:$ZZ$1,"*"&amp;CHAR(10)&amp;"Stanine",$N56:$ZZ56),"")</f>
        <v>3.4</v>
      </c>
      <c r="M56" s="69">
        <f>IF(AND(ISNUMBER(tblY8[[#This Row],[Mean Stanine]]),ISNUMBER(tblY8[[#This Row],[Avg KS2 Band]]),ISNUMBER(SlopeY8)),tblY8[[#This Row],[Mean Stanine]]-(InterceptY8+SlopeY8*tblY8[[#This Row],[Avg KS2 Band]]),"")</f>
        <v>-1.54185892814227</v>
      </c>
      <c r="N56" s="66" t="n">
        <v>13</v>
      </c>
      <c r="O56" s="67">
        <f>IF(ISNUMBER(tblY8[[#This Row],[8C01 - Periodic Table
Raw Score]]),IFERROR(VLOOKUP(ROUND(STANDARDIZE(tblY8[[#This Row],[8C01 - Periodic Table
Raw Score]],AVERAGE(tblY8[[8C01 - Periodic Table
Raw Score]]),_xlfn.STDEV.P(tblY8[[8C01 - Periodic Table
Raw Score]])),9),_Stanine,2),5),"")</f>
        <v>3</v>
      </c>
      <c r="P56" s="66" t="n">
        <v>8</v>
      </c>
      <c r="Q56" s="67">
        <f>IF(ISNUMBER(tblY8[[#This Row],[8P01 - Energy
Raw Score]]),IFERROR(VLOOKUP(ROUND(STANDARDIZE(tblY8[[#This Row],[8P01 - Energy
Raw Score]],AVERAGE(tblY8[[8P01 - Energy
Raw Score]]),_xlfn.STDEV.P(tblY8[[8P01 - Energy
Raw Score]])),9),_Stanine,2),5),"")</f>
        <v>4</v>
      </c>
      <c r="R56" s="66" t="n">
        <v>9</v>
      </c>
      <c r="S56" s="67">
        <f>IF(ISNUMBER(tblY8[[#This Row],[8B01 - Digestion
Raw Score]]),IFERROR(VLOOKUP(ROUND(STANDARDIZE(tblY8[[#This Row],[8B01 - Digestion
Raw Score]],AVERAGE(tblY8[[8B01 - Digestion
Raw Score]]),_xlfn.STDEV.P(tblY8[[8B01 - Digestion
Raw Score]])),9),_Stanine,2),5),"")</f>
        <v>3</v>
      </c>
      <c r="T56" s="66" t="n">
        <v>9</v>
      </c>
      <c r="U56" s="67">
        <f>IF(ISNUMBER(tblY8[[#This Row],[8C02 - Metals and Acids
Raw Score]]),IFERROR(VLOOKUP(ROUND(STANDARDIZE(tblY8[[#This Row],[8C02 - Metals and Acids
Raw Score]],AVERAGE(tblY8[[8C02 - Metals and Acids
Raw Score]]),_xlfn.STDEV.P(tblY8[[8C02 - Metals and Acids
Raw Score]])),9),_Stanine,2),5),"")</f>
        <v>4</v>
      </c>
      <c r="V56" s="66" t="n">
        <v>12</v>
      </c>
      <c r="W56" s="67">
        <f>IF(ISNUMBER(tblY8[[#This Row],[8P02 - Light
Raw Score]]),IFERROR(VLOOKUP(ROUND(STANDARDIZE(tblY8[[#This Row],[8P02 - Light
Raw Score]],AVERAGE(tblY8[[8P02 - Light
Raw Score]]),_xlfn.STDEV.P(tblY8[[8P02 - Light
Raw Score]])),9),_Stanine,2),5),"")</f>
        <v>3</v>
      </c>
    </row>
    <row r="57">
      <c r="A57" s="65" t="inlineStr">
        <is>
          <t>X903772738381</t>
        </is>
      </c>
      <c r="B57" s="65" t="inlineStr">
        <is>
          <t>Clarke</t>
        </is>
      </c>
      <c r="C57" s="65" t="inlineStr">
        <is>
          <t>Sami</t>
        </is>
      </c>
      <c r="D57" s="66" t="inlineStr">
        <is>
          <t>M</t>
        </is>
      </c>
      <c r="E57" s="66" t="inlineStr">
        <is>
          <t>K</t>
        </is>
      </c>
      <c r="F57" s="66" t="inlineStr">
        <is>
          <t>N</t>
        </is>
      </c>
      <c r="G57" s="34" t="n">
        <v>90.09999999999999</v>
      </c>
      <c r="H57" s="34" t="n">
        <v>102</v>
      </c>
      <c r="I57" s="67">
        <f>IF(ISNUMBER(tblY8[[#This Row],[Avg KS2]]),IFERROR(VLOOKUP(ROUND(STANDARDIZE(tblY8[[#This Row],[Avg KS2]],AVERAGE(tblY8[[Avg KS2]]),_xlfn.STDEV.P(tblY8[[Avg KS2]])),9),_Stanine,2),5),"")</f>
        <v>4</v>
      </c>
      <c r="J57" s="66" t="inlineStr">
        <is>
          <t>8A/Sc3</t>
        </is>
      </c>
      <c r="K57" s="67">
        <f>IF(tblY8[[#This Row],[Preferred Last name]]="","",COUNTIFS($N$1:$ZZ$1,"*"&amp;CHAR(10)&amp;"Stanine",$N57:$ZZ57,"&gt;=1"))</f>
        <v>5</v>
      </c>
      <c r="L57" s="68">
        <f>IFERROR(AVERAGEIF($N$1:$ZZ$1,"*"&amp;CHAR(10)&amp;"Stanine",$N57:$ZZ57),"")</f>
        <v>4.2</v>
      </c>
      <c r="M57" s="69">
        <f>IF(AND(ISNUMBER(tblY8[[#This Row],[Mean Stanine]]),ISNUMBER(tblY8[[#This Row],[Avg KS2 Band]]),ISNUMBER(SlopeY8)),tblY8[[#This Row],[Mean Stanine]]-(InterceptY8+SlopeY8*tblY8[[#This Row],[Avg KS2 Band]]),"")</f>
        <v>0.0370523912521028</v>
      </c>
      <c r="N57" s="66" t="n">
        <v>18</v>
      </c>
      <c r="O57" s="67">
        <f>IF(ISNUMBER(tblY8[[#This Row],[8C01 - Periodic Table
Raw Score]]),IFERROR(VLOOKUP(ROUND(STANDARDIZE(tblY8[[#This Row],[8C01 - Periodic Table
Raw Score]],AVERAGE(tblY8[[8C01 - Periodic Table
Raw Score]]),_xlfn.STDEV.P(tblY8[[8C01 - Periodic Table
Raw Score]])),9),_Stanine,2),5),"")</f>
        <v>5</v>
      </c>
      <c r="P57" s="66" t="n">
        <v>7</v>
      </c>
      <c r="Q57" s="67">
        <f>IF(ISNUMBER(tblY8[[#This Row],[8P01 - Energy
Raw Score]]),IFERROR(VLOOKUP(ROUND(STANDARDIZE(tblY8[[#This Row],[8P01 - Energy
Raw Score]],AVERAGE(tblY8[[8P01 - Energy
Raw Score]]),_xlfn.STDEV.P(tblY8[[8P01 - Energy
Raw Score]])),9),_Stanine,2),5),"")</f>
        <v>4</v>
      </c>
      <c r="R57" s="66" t="n">
        <v>7</v>
      </c>
      <c r="S57" s="67">
        <f>IF(ISNUMBER(tblY8[[#This Row],[8B01 - Digestion
Raw Score]]),IFERROR(VLOOKUP(ROUND(STANDARDIZE(tblY8[[#This Row],[8B01 - Digestion
Raw Score]],AVERAGE(tblY8[[8B01 - Digestion
Raw Score]]),_xlfn.STDEV.P(tblY8[[8B01 - Digestion
Raw Score]])),9),_Stanine,2),5),"")</f>
        <v>3</v>
      </c>
      <c r="T57" s="66" t="n">
        <v>11</v>
      </c>
      <c r="U57" s="67">
        <f>IF(ISNUMBER(tblY8[[#This Row],[8C02 - Metals and Acids
Raw Score]]),IFERROR(VLOOKUP(ROUND(STANDARDIZE(tblY8[[#This Row],[8C02 - Metals and Acids
Raw Score]],AVERAGE(tblY8[[8C02 - Metals and Acids
Raw Score]]),_xlfn.STDEV.P(tblY8[[8C02 - Metals and Acids
Raw Score]])),9),_Stanine,2),5),"")</f>
        <v>5</v>
      </c>
      <c r="V57" s="66" t="n">
        <v>14</v>
      </c>
      <c r="W57" s="67">
        <f>IF(ISNUMBER(tblY8[[#This Row],[8P02 - Light
Raw Score]]),IFERROR(VLOOKUP(ROUND(STANDARDIZE(tblY8[[#This Row],[8P02 - Light
Raw Score]],AVERAGE(tblY8[[8P02 - Light
Raw Score]]),_xlfn.STDEV.P(tblY8[[8P02 - Light
Raw Score]])),9),_Stanine,2),5),"")</f>
        <v>4</v>
      </c>
    </row>
    <row r="58">
      <c r="A58" s="65" t="inlineStr">
        <is>
          <t>X909590344037</t>
        </is>
      </c>
      <c r="B58" s="65" t="inlineStr">
        <is>
          <t>Cooper</t>
        </is>
      </c>
      <c r="C58" s="65" t="inlineStr">
        <is>
          <t>Ava</t>
        </is>
      </c>
      <c r="D58" s="66" t="inlineStr">
        <is>
          <t>F</t>
        </is>
      </c>
      <c r="E58" s="66" t="inlineStr">
        <is>
          <t>N</t>
        </is>
      </c>
      <c r="F58" s="66" t="inlineStr">
        <is>
          <t>N</t>
        </is>
      </c>
      <c r="G58" s="34" t="n">
        <v>95.7</v>
      </c>
      <c r="H58" s="34" t="n">
        <v>105</v>
      </c>
      <c r="I58" s="67">
        <f>IF(ISNUMBER(tblY8[[#This Row],[Avg KS2]]),IFERROR(VLOOKUP(ROUND(STANDARDIZE(tblY8[[#This Row],[Avg KS2]],AVERAGE(tblY8[[Avg KS2]]),_xlfn.STDEV.P(tblY8[[Avg KS2]])),9),_Stanine,2),5),"")</f>
        <v>5</v>
      </c>
      <c r="J58" s="66" t="inlineStr">
        <is>
          <t>8A/Sc3</t>
        </is>
      </c>
      <c r="K58" s="67">
        <f>IF(tblY8[[#This Row],[Preferred Last name]]="","",COUNTIFS($N$1:$ZZ$1,"*"&amp;CHAR(10)&amp;"Stanine",$N58:$ZZ58,"&gt;=1"))</f>
        <v>5</v>
      </c>
      <c r="L58" s="68">
        <f>IFERROR(AVERAGEIF($N$1:$ZZ$1,"*"&amp;CHAR(10)&amp;"Stanine",$N58:$ZZ58),"")</f>
        <v>3.2</v>
      </c>
      <c r="M58" s="69">
        <f>IF(AND(ISNUMBER(tblY8[[#This Row],[Mean Stanine]]),ISNUMBER(tblY8[[#This Row],[Avg KS2 Band]]),ISNUMBER(SlopeY8)),tblY8[[#This Row],[Mean Stanine]]-(InterceptY8+SlopeY8*tblY8[[#This Row],[Avg KS2 Band]]),"")</f>
        <v>-1.74185892814227</v>
      </c>
      <c r="N58" s="66" t="n">
        <v>17</v>
      </c>
      <c r="O58" s="67">
        <f>IF(ISNUMBER(tblY8[[#This Row],[8C01 - Periodic Table
Raw Score]]),IFERROR(VLOOKUP(ROUND(STANDARDIZE(tblY8[[#This Row],[8C01 - Periodic Table
Raw Score]],AVERAGE(tblY8[[8C01 - Periodic Table
Raw Score]]),_xlfn.STDEV.P(tblY8[[8C01 - Periodic Table
Raw Score]])),9),_Stanine,2),5),"")</f>
        <v>5</v>
      </c>
      <c r="P58" s="66" t="n">
        <v>8</v>
      </c>
      <c r="Q58" s="67">
        <f>IF(ISNUMBER(tblY8[[#This Row],[8P01 - Energy
Raw Score]]),IFERROR(VLOOKUP(ROUND(STANDARDIZE(tblY8[[#This Row],[8P01 - Energy
Raw Score]],AVERAGE(tblY8[[8P01 - Energy
Raw Score]]),_xlfn.STDEV.P(tblY8[[8P01 - Energy
Raw Score]])),9),_Stanine,2),5),"")</f>
        <v>4</v>
      </c>
      <c r="R58" s="66" t="n">
        <v>5</v>
      </c>
      <c r="S58" s="67">
        <f>IF(ISNUMBER(tblY8[[#This Row],[8B01 - Digestion
Raw Score]]),IFERROR(VLOOKUP(ROUND(STANDARDIZE(tblY8[[#This Row],[8B01 - Digestion
Raw Score]],AVERAGE(tblY8[[8B01 - Digestion
Raw Score]]),_xlfn.STDEV.P(tblY8[[8B01 - Digestion
Raw Score]])),9),_Stanine,2),5),"")</f>
        <v>2</v>
      </c>
      <c r="T58" s="66" t="n">
        <v>5</v>
      </c>
      <c r="U58" s="67">
        <f>IF(ISNUMBER(tblY8[[#This Row],[8C02 - Metals and Acids
Raw Score]]),IFERROR(VLOOKUP(ROUND(STANDARDIZE(tblY8[[#This Row],[8C02 - Metals and Acids
Raw Score]],AVERAGE(tblY8[[8C02 - Metals and Acids
Raw Score]]),_xlfn.STDEV.P(tblY8[[8C02 - Metals and Acids
Raw Score]])),9),_Stanine,2),5),"")</f>
        <v>3</v>
      </c>
      <c r="V58" s="66" t="n">
        <v>10</v>
      </c>
      <c r="W58" s="67">
        <f>IF(ISNUMBER(tblY8[[#This Row],[8P02 - Light
Raw Score]]),IFERROR(VLOOKUP(ROUND(STANDARDIZE(tblY8[[#This Row],[8P02 - Light
Raw Score]],AVERAGE(tblY8[[8P02 - Light
Raw Score]]),_xlfn.STDEV.P(tblY8[[8P02 - Light
Raw Score]])),9),_Stanine,2),5),"")</f>
        <v>2</v>
      </c>
    </row>
    <row r="59">
      <c r="A59" s="65" t="inlineStr">
        <is>
          <t>X904097842862</t>
        </is>
      </c>
      <c r="B59" s="65" t="inlineStr">
        <is>
          <t>Cooper</t>
        </is>
      </c>
      <c r="C59" s="65" t="inlineStr">
        <is>
          <t>Reuben</t>
        </is>
      </c>
      <c r="D59" s="66" t="inlineStr">
        <is>
          <t>M</t>
        </is>
      </c>
      <c r="E59" s="66" t="n"/>
      <c r="F59" s="66" t="inlineStr">
        <is>
          <t>N</t>
        </is>
      </c>
      <c r="G59" s="34" t="n">
        <v>100</v>
      </c>
      <c r="H59" s="34" t="inlineStr">
        <is>
          <t>No Data</t>
        </is>
      </c>
      <c r="I59" s="67" t="str">
        <f>IF(ISNUMBER(tblY8[[#This Row],[Avg KS2]]),IFERROR(VLOOKUP(ROUND(STANDARDIZE(tblY8[[#This Row],[Avg KS2]],AVERAGE(tblY8[[Avg KS2]]),_xlfn.STDEV.P(tblY8[[Avg KS2]])),9),_Stanine,2),5),"")</f>
        <v/>
      </c>
      <c r="J59" s="66" t="inlineStr">
        <is>
          <t>8A/Sc3</t>
        </is>
      </c>
      <c r="K59" s="67">
        <f>IF(tblY8[[#This Row],[Preferred Last name]]="","",COUNTIFS($N$1:$ZZ$1,"*"&amp;CHAR(10)&amp;"Stanine",$N59:$ZZ59,"&gt;=1"))</f>
        <v>5</v>
      </c>
      <c r="L59" s="68">
        <f>IFERROR(AVERAGEIF($N$1:$ZZ$1,"*"&amp;CHAR(10)&amp;"Stanine",$N59:$ZZ59),"")</f>
        <v>2.8</v>
      </c>
      <c r="M59" s="69" t="str">
        <f>IF(AND(ISNUMBER(tblY8[[#This Row],[Mean Stanine]]),ISNUMBER(tblY8[[#This Row],[Avg KS2 Band]]),ISNUMBER(SlopeY8)),tblY8[[#This Row],[Mean Stanine]]-(InterceptY8+SlopeY8*tblY8[[#This Row],[Avg KS2 Band]]),"")</f>
        <v/>
      </c>
      <c r="N59" s="66" t="n">
        <v>9</v>
      </c>
      <c r="O59" s="67">
        <f>IF(ISNUMBER(tblY8[[#This Row],[8C01 - Periodic Table
Raw Score]]),IFERROR(VLOOKUP(ROUND(STANDARDIZE(tblY8[[#This Row],[8C01 - Periodic Table
Raw Score]],AVERAGE(tblY8[[8C01 - Periodic Table
Raw Score]]),_xlfn.STDEV.P(tblY8[[8C01 - Periodic Table
Raw Score]])),9),_Stanine,2),5),"")</f>
        <v>2</v>
      </c>
      <c r="P59" s="66" t="n">
        <v>6</v>
      </c>
      <c r="Q59" s="67">
        <f>IF(ISNUMBER(tblY8[[#This Row],[8P01 - Energy
Raw Score]]),IFERROR(VLOOKUP(ROUND(STANDARDIZE(tblY8[[#This Row],[8P01 - Energy
Raw Score]],AVERAGE(tblY8[[8P01 - Energy
Raw Score]]),_xlfn.STDEV.P(tblY8[[8P01 - Energy
Raw Score]])),9),_Stanine,2),5),"")</f>
        <v>3</v>
      </c>
      <c r="R59" s="66" t="n">
        <v>11</v>
      </c>
      <c r="S59" s="67">
        <f>IF(ISNUMBER(tblY8[[#This Row],[8B01 - Digestion
Raw Score]]),IFERROR(VLOOKUP(ROUND(STANDARDIZE(tblY8[[#This Row],[8B01 - Digestion
Raw Score]],AVERAGE(tblY8[[8B01 - Digestion
Raw Score]]),_xlfn.STDEV.P(tblY8[[8B01 - Digestion
Raw Score]])),9),_Stanine,2),5),"")</f>
        <v>4</v>
      </c>
      <c r="T59" s="66" t="n">
        <v>6</v>
      </c>
      <c r="U59" s="67">
        <f>IF(ISNUMBER(tblY8[[#This Row],[8C02 - Metals and Acids
Raw Score]]),IFERROR(VLOOKUP(ROUND(STANDARDIZE(tblY8[[#This Row],[8C02 - Metals and Acids
Raw Score]],AVERAGE(tblY8[[8C02 - Metals and Acids
Raw Score]]),_xlfn.STDEV.P(tblY8[[8C02 - Metals and Acids
Raw Score]])),9),_Stanine,2),5),"")</f>
        <v>3</v>
      </c>
      <c r="V59" s="66" t="n">
        <v>9</v>
      </c>
      <c r="W59" s="67">
        <f>IF(ISNUMBER(tblY8[[#This Row],[8P02 - Light
Raw Score]]),IFERROR(VLOOKUP(ROUND(STANDARDIZE(tblY8[[#This Row],[8P02 - Light
Raw Score]],AVERAGE(tblY8[[8P02 - Light
Raw Score]]),_xlfn.STDEV.P(tblY8[[8P02 - Light
Raw Score]])),9),_Stanine,2),5),"")</f>
        <v>2</v>
      </c>
    </row>
    <row r="60">
      <c r="A60" s="65" t="inlineStr">
        <is>
          <t>X903960377630</t>
        </is>
      </c>
      <c r="B60" s="65" t="inlineStr">
        <is>
          <t>Davies</t>
        </is>
      </c>
      <c r="C60" s="65" t="inlineStr">
        <is>
          <t>Isla</t>
        </is>
      </c>
      <c r="D60" s="66" t="inlineStr">
        <is>
          <t>F</t>
        </is>
      </c>
      <c r="E60" s="66" t="inlineStr">
        <is>
          <t>N</t>
        </is>
      </c>
      <c r="F60" s="66" t="inlineStr">
        <is>
          <t>Y</t>
        </is>
      </c>
      <c r="G60" s="34" t="n">
        <v>96.59999999999999</v>
      </c>
      <c r="H60" s="34" t="n">
        <v>110</v>
      </c>
      <c r="I60" s="67">
        <f>IF(ISNUMBER(tblY8[[#This Row],[Avg KS2]]),IFERROR(VLOOKUP(ROUND(STANDARDIZE(tblY8[[#This Row],[Avg KS2]],AVERAGE(tblY8[[Avg KS2]]),_xlfn.STDEV.P(tblY8[[Avg KS2]])),9),_Stanine,2),5),"")</f>
        <v>7</v>
      </c>
      <c r="J60" s="66" t="inlineStr">
        <is>
          <t>8A/Sc3</t>
        </is>
      </c>
      <c r="K60" s="67">
        <f>IF(tblY8[[#This Row],[Preferred Last name]]="","",COUNTIFS($N$1:$ZZ$1,"*"&amp;CHAR(10)&amp;"Stanine",$N60:$ZZ60,"&gt;=1"))</f>
        <v>5</v>
      </c>
      <c r="L60" s="68">
        <f>IFERROR(AVERAGEIF($N$1:$ZZ$1,"*"&amp;CHAR(10)&amp;"Stanine",$N60:$ZZ60),"")</f>
        <v>4.4</v>
      </c>
      <c r="M60" s="69">
        <f>IF(AND(ISNUMBER(tblY8[[#This Row],[Mean Stanine]]),ISNUMBER(tblY8[[#This Row],[Avg KS2 Band]]),ISNUMBER(SlopeY8)),tblY8[[#This Row],[Mean Stanine]]-(InterceptY8+SlopeY8*tblY8[[#This Row],[Avg KS2 Band]]),"")</f>
        <v>-2.09968156693103</v>
      </c>
      <c r="N60" s="66" t="n">
        <v>20</v>
      </c>
      <c r="O60" s="67">
        <f>IF(ISNUMBER(tblY8[[#This Row],[8C01 - Periodic Table
Raw Score]]),IFERROR(VLOOKUP(ROUND(STANDARDIZE(tblY8[[#This Row],[8C01 - Periodic Table
Raw Score]],AVERAGE(tblY8[[8C01 - Periodic Table
Raw Score]]),_xlfn.STDEV.P(tblY8[[8C01 - Periodic Table
Raw Score]])),9),_Stanine,2),5),"")</f>
        <v>6</v>
      </c>
      <c r="P60" s="66" t="n">
        <v>7</v>
      </c>
      <c r="Q60" s="67">
        <f>IF(ISNUMBER(tblY8[[#This Row],[8P01 - Energy
Raw Score]]),IFERROR(VLOOKUP(ROUND(STANDARDIZE(tblY8[[#This Row],[8P01 - Energy
Raw Score]],AVERAGE(tblY8[[8P01 - Energy
Raw Score]]),_xlfn.STDEV.P(tblY8[[8P01 - Energy
Raw Score]])),9),_Stanine,2),5),"")</f>
        <v>4</v>
      </c>
      <c r="R60" s="66" t="n">
        <v>14</v>
      </c>
      <c r="S60" s="67">
        <f>IF(ISNUMBER(tblY8[[#This Row],[8B01 - Digestion
Raw Score]]),IFERROR(VLOOKUP(ROUND(STANDARDIZE(tblY8[[#This Row],[8B01 - Digestion
Raw Score]],AVERAGE(tblY8[[8B01 - Digestion
Raw Score]]),_xlfn.STDEV.P(tblY8[[8B01 - Digestion
Raw Score]])),9),_Stanine,2),5),"")</f>
        <v>5</v>
      </c>
      <c r="T60" s="66" t="n">
        <v>10</v>
      </c>
      <c r="U60" s="67">
        <f>IF(ISNUMBER(tblY8[[#This Row],[8C02 - Metals and Acids
Raw Score]]),IFERROR(VLOOKUP(ROUND(STANDARDIZE(tblY8[[#This Row],[8C02 - Metals and Acids
Raw Score]],AVERAGE(tblY8[[8C02 - Metals and Acids
Raw Score]]),_xlfn.STDEV.P(tblY8[[8C02 - Metals and Acids
Raw Score]])),9),_Stanine,2),5),"")</f>
        <v>4</v>
      </c>
      <c r="V60" s="66" t="n">
        <v>12</v>
      </c>
      <c r="W60" s="67">
        <f>IF(ISNUMBER(tblY8[[#This Row],[8P02 - Light
Raw Score]]),IFERROR(VLOOKUP(ROUND(STANDARDIZE(tblY8[[#This Row],[8P02 - Light
Raw Score]],AVERAGE(tblY8[[8P02 - Light
Raw Score]]),_xlfn.STDEV.P(tblY8[[8P02 - Light
Raw Score]])),9),_Stanine,2),5),"")</f>
        <v>3</v>
      </c>
    </row>
    <row r="61">
      <c r="A61" s="65" t="inlineStr">
        <is>
          <t>X904744189952</t>
        </is>
      </c>
      <c r="B61" s="65" t="inlineStr">
        <is>
          <t>Green</t>
        </is>
      </c>
      <c r="C61" s="65" t="inlineStr">
        <is>
          <t>Oliver</t>
        </is>
      </c>
      <c r="D61" s="66" t="inlineStr">
        <is>
          <t>M</t>
        </is>
      </c>
      <c r="E61" s="66" t="n"/>
      <c r="F61" s="66" t="inlineStr">
        <is>
          <t>N</t>
        </is>
      </c>
      <c r="G61" s="34" t="n">
        <v>100</v>
      </c>
      <c r="H61" s="34" t="n">
        <v>97</v>
      </c>
      <c r="I61" s="67">
        <f>IF(ISNUMBER(tblY8[[#This Row],[Avg KS2]]),IFERROR(VLOOKUP(ROUND(STANDARDIZE(tblY8[[#This Row],[Avg KS2]],AVERAGE(tblY8[[Avg KS2]]),_xlfn.STDEV.P(tblY8[[Avg KS2]])),9),_Stanine,2),5),"")</f>
        <v>2</v>
      </c>
      <c r="J61" s="66" t="inlineStr">
        <is>
          <t>8A/Sc3</t>
        </is>
      </c>
      <c r="K61" s="67">
        <f>IF(tblY8[[#This Row],[Preferred Last name]]="","",COUNTIFS($N$1:$ZZ$1,"*"&amp;CHAR(10)&amp;"Stanine",$N61:$ZZ61,"&gt;=1"))</f>
        <v>5</v>
      </c>
      <c r="L61" s="68">
        <f>IFERROR(AVERAGEIF($N$1:$ZZ$1,"*"&amp;CHAR(10)&amp;"Stanine",$N61:$ZZ61),"")</f>
        <v>2</v>
      </c>
      <c r="M61" s="69">
        <f>IF(AND(ISNUMBER(tblY8[[#This Row],[Mean Stanine]]),ISNUMBER(tblY8[[#This Row],[Avg KS2 Band]]),ISNUMBER(SlopeY8)),tblY8[[#This Row],[Mean Stanine]]-(InterceptY8+SlopeY8*tblY8[[#This Row],[Avg KS2 Band]]),"")</f>
        <v>-0.605124969959145</v>
      </c>
      <c r="N61" s="66" t="n">
        <v>10</v>
      </c>
      <c r="O61" s="67">
        <f>IF(ISNUMBER(tblY8[[#This Row],[8C01 - Periodic Table
Raw Score]]),IFERROR(VLOOKUP(ROUND(STANDARDIZE(tblY8[[#This Row],[8C01 - Periodic Table
Raw Score]],AVERAGE(tblY8[[8C01 - Periodic Table
Raw Score]]),_xlfn.STDEV.P(tblY8[[8C01 - Periodic Table
Raw Score]])),9),_Stanine,2),5),"")</f>
        <v>2</v>
      </c>
      <c r="P61" s="66" t="n">
        <v>3</v>
      </c>
      <c r="Q61" s="67">
        <f>IF(ISNUMBER(tblY8[[#This Row],[8P01 - Energy
Raw Score]]),IFERROR(VLOOKUP(ROUND(STANDARDIZE(tblY8[[#This Row],[8P01 - Energy
Raw Score]],AVERAGE(tblY8[[8P01 - Energy
Raw Score]]),_xlfn.STDEV.P(tblY8[[8P01 - Energy
Raw Score]])),9),_Stanine,2),5),"")</f>
        <v>2</v>
      </c>
      <c r="R61" s="66" t="n">
        <v>6</v>
      </c>
      <c r="S61" s="67">
        <f>IF(ISNUMBER(tblY8[[#This Row],[8B01 - Digestion
Raw Score]]),IFERROR(VLOOKUP(ROUND(STANDARDIZE(tblY8[[#This Row],[8B01 - Digestion
Raw Score]],AVERAGE(tblY8[[8B01 - Digestion
Raw Score]]),_xlfn.STDEV.P(tblY8[[8B01 - Digestion
Raw Score]])),9),_Stanine,2),5),"")</f>
        <v>2</v>
      </c>
      <c r="T61" s="66" t="n">
        <v>4</v>
      </c>
      <c r="U61" s="67">
        <f>IF(ISNUMBER(tblY8[[#This Row],[8C02 - Metals and Acids
Raw Score]]),IFERROR(VLOOKUP(ROUND(STANDARDIZE(tblY8[[#This Row],[8C02 - Metals and Acids
Raw Score]],AVERAGE(tblY8[[8C02 - Metals and Acids
Raw Score]]),_xlfn.STDEV.P(tblY8[[8C02 - Metals and Acids
Raw Score]])),9),_Stanine,2),5),"")</f>
        <v>2</v>
      </c>
      <c r="V61" s="66" t="n">
        <v>10</v>
      </c>
      <c r="W61" s="67">
        <f>IF(ISNUMBER(tblY8[[#This Row],[8P02 - Light
Raw Score]]),IFERROR(VLOOKUP(ROUND(STANDARDIZE(tblY8[[#This Row],[8P02 - Light
Raw Score]],AVERAGE(tblY8[[8P02 - Light
Raw Score]]),_xlfn.STDEV.P(tblY8[[8P02 - Light
Raw Score]])),9),_Stanine,2),5),"")</f>
        <v>2</v>
      </c>
    </row>
    <row r="62">
      <c r="A62" s="65" t="inlineStr">
        <is>
          <t>X900199228588</t>
        </is>
      </c>
      <c r="B62" s="65" t="inlineStr">
        <is>
          <t>Harrison</t>
        </is>
      </c>
      <c r="C62" s="65" t="inlineStr">
        <is>
          <t>Zofia</t>
        </is>
      </c>
      <c r="D62" s="66" t="inlineStr">
        <is>
          <t>F</t>
        </is>
      </c>
      <c r="E62" s="66" t="inlineStr">
        <is>
          <t>N</t>
        </is>
      </c>
      <c r="F62" s="66" t="inlineStr">
        <is>
          <t>N</t>
        </is>
      </c>
      <c r="G62" s="34" t="n">
        <v>93.09999999999999</v>
      </c>
      <c r="H62" s="34" t="n">
        <v>100.5</v>
      </c>
      <c r="I62" s="67">
        <f>IF(ISNUMBER(tblY8[[#This Row],[Avg KS2]]),IFERROR(VLOOKUP(ROUND(STANDARDIZE(tblY8[[#This Row],[Avg KS2]],AVERAGE(tblY8[[Avg KS2]]),_xlfn.STDEV.P(tblY8[[Avg KS2]])),9),_Stanine,2),5),"")</f>
        <v>3</v>
      </c>
      <c r="J62" s="66" t="inlineStr">
        <is>
          <t>8A/Sc3</t>
        </is>
      </c>
      <c r="K62" s="67">
        <f>IF(tblY8[[#This Row],[Preferred Last name]]="","",COUNTIFS($N$1:$ZZ$1,"*"&amp;CHAR(10)&amp;"Stanine",$N62:$ZZ62,"&gt;=1"))</f>
        <v>5</v>
      </c>
      <c r="L62" s="68">
        <f>IFERROR(AVERAGEIF($N$1:$ZZ$1,"*"&amp;CHAR(10)&amp;"Stanine",$N62:$ZZ62),"")</f>
        <v>3.2</v>
      </c>
      <c r="M62" s="69">
        <f>IF(AND(ISNUMBER(tblY8[[#This Row],[Mean Stanine]]),ISNUMBER(tblY8[[#This Row],[Avg KS2 Band]]),ISNUMBER(SlopeY8)),tblY8[[#This Row],[Mean Stanine]]-(InterceptY8+SlopeY8*tblY8[[#This Row],[Avg KS2 Band]]),"")</f>
        <v>-0.184036289353521</v>
      </c>
      <c r="N62" s="66" t="n">
        <v>12</v>
      </c>
      <c r="O62" s="67">
        <f>IF(ISNUMBER(tblY8[[#This Row],[8C01 - Periodic Table
Raw Score]]),IFERROR(VLOOKUP(ROUND(STANDARDIZE(tblY8[[#This Row],[8C01 - Periodic Table
Raw Score]],AVERAGE(tblY8[[8C01 - Periodic Table
Raw Score]]),_xlfn.STDEV.P(tblY8[[8C01 - Periodic Table
Raw Score]])),9),_Stanine,2),5),"")</f>
        <v>3</v>
      </c>
      <c r="P62" s="66" t="n">
        <v>5</v>
      </c>
      <c r="Q62" s="67">
        <f>IF(ISNUMBER(tblY8[[#This Row],[8P01 - Energy
Raw Score]]),IFERROR(VLOOKUP(ROUND(STANDARDIZE(tblY8[[#This Row],[8P01 - Energy
Raw Score]],AVERAGE(tblY8[[8P01 - Energy
Raw Score]]),_xlfn.STDEV.P(tblY8[[8P01 - Energy
Raw Score]])),9),_Stanine,2),5),"")</f>
        <v>3</v>
      </c>
      <c r="R62" s="66" t="n">
        <v>8</v>
      </c>
      <c r="S62" s="67">
        <f>IF(ISNUMBER(tblY8[[#This Row],[8B01 - Digestion
Raw Score]]),IFERROR(VLOOKUP(ROUND(STANDARDIZE(tblY8[[#This Row],[8B01 - Digestion
Raw Score]],AVERAGE(tblY8[[8B01 - Digestion
Raw Score]]),_xlfn.STDEV.P(tblY8[[8B01 - Digestion
Raw Score]])),9),_Stanine,2),5),"")</f>
        <v>3</v>
      </c>
      <c r="T62" s="66" t="n">
        <v>9</v>
      </c>
      <c r="U62" s="67">
        <f>IF(ISNUMBER(tblY8[[#This Row],[8C02 - Metals and Acids
Raw Score]]),IFERROR(VLOOKUP(ROUND(STANDARDIZE(tblY8[[#This Row],[8C02 - Metals and Acids
Raw Score]],AVERAGE(tblY8[[8C02 - Metals and Acids
Raw Score]]),_xlfn.STDEV.P(tblY8[[8C02 - Metals and Acids
Raw Score]])),9),_Stanine,2),5),"")</f>
        <v>4</v>
      </c>
      <c r="V62" s="66" t="n">
        <v>12</v>
      </c>
      <c r="W62" s="67">
        <f>IF(ISNUMBER(tblY8[[#This Row],[8P02 - Light
Raw Score]]),IFERROR(VLOOKUP(ROUND(STANDARDIZE(tblY8[[#This Row],[8P02 - Light
Raw Score]],AVERAGE(tblY8[[8P02 - Light
Raw Score]]),_xlfn.STDEV.P(tblY8[[8P02 - Light
Raw Score]])),9),_Stanine,2),5),"")</f>
        <v>3</v>
      </c>
    </row>
    <row r="63">
      <c r="A63" s="65" t="inlineStr">
        <is>
          <t>X907480887302</t>
        </is>
      </c>
      <c r="B63" s="65" t="inlineStr">
        <is>
          <t>Hughes</t>
        </is>
      </c>
      <c r="C63" s="65" t="inlineStr">
        <is>
          <t>Layla</t>
        </is>
      </c>
      <c r="D63" s="66" t="inlineStr">
        <is>
          <t>F</t>
        </is>
      </c>
      <c r="E63" s="66" t="inlineStr">
        <is>
          <t>N</t>
        </is>
      </c>
      <c r="F63" s="66" t="inlineStr">
        <is>
          <t>N</t>
        </is>
      </c>
      <c r="G63" s="34" t="n">
        <v>86</v>
      </c>
      <c r="H63" s="34" t="n">
        <v>104</v>
      </c>
      <c r="I63" s="67">
        <f>IF(ISNUMBER(tblY8[[#This Row],[Avg KS2]]),IFERROR(VLOOKUP(ROUND(STANDARDIZE(tblY8[[#This Row],[Avg KS2]],AVERAGE(tblY8[[Avg KS2]]),_xlfn.STDEV.P(tblY8[[Avg KS2]])),9),_Stanine,2),5),"")</f>
        <v>5</v>
      </c>
      <c r="J63" s="66" t="inlineStr">
        <is>
          <t>8A/Sc3</t>
        </is>
      </c>
      <c r="K63" s="67">
        <f>IF(tblY8[[#This Row],[Preferred Last name]]="","",COUNTIFS($N$1:$ZZ$1,"*"&amp;CHAR(10)&amp;"Stanine",$N63:$ZZ63,"&gt;=1"))</f>
        <v>5</v>
      </c>
      <c r="L63" s="68">
        <f>IFERROR(AVERAGEIF($N$1:$ZZ$1,"*"&amp;CHAR(10)&amp;"Stanine",$N63:$ZZ63),"")</f>
        <v>6.8</v>
      </c>
      <c r="M63" s="69">
        <f>IF(AND(ISNUMBER(tblY8[[#This Row],[Mean Stanine]]),ISNUMBER(tblY8[[#This Row],[Avg KS2 Band]]),ISNUMBER(SlopeY8)),tblY8[[#This Row],[Mean Stanine]]-(InterceptY8+SlopeY8*tblY8[[#This Row],[Avg KS2 Band]]),"")</f>
        <v>1.85814107185773</v>
      </c>
      <c r="N63" s="66" t="n">
        <v>25</v>
      </c>
      <c r="O63" s="67">
        <f>IF(ISNUMBER(tblY8[[#This Row],[8C01 - Periodic Table
Raw Score]]),IFERROR(VLOOKUP(ROUND(STANDARDIZE(tblY8[[#This Row],[8C01 - Periodic Table
Raw Score]],AVERAGE(tblY8[[8C01 - Periodic Table
Raw Score]]),_xlfn.STDEV.P(tblY8[[8C01 - Periodic Table
Raw Score]])),9),_Stanine,2),5),"")</f>
        <v>7</v>
      </c>
      <c r="P63" s="66" t="n">
        <v>15</v>
      </c>
      <c r="Q63" s="67">
        <f>IF(ISNUMBER(tblY8[[#This Row],[8P01 - Energy
Raw Score]]),IFERROR(VLOOKUP(ROUND(STANDARDIZE(tblY8[[#This Row],[8P01 - Energy
Raw Score]],AVERAGE(tblY8[[8P01 - Energy
Raw Score]]),_xlfn.STDEV.P(tblY8[[8P01 - Energy
Raw Score]])),9),_Stanine,2),5),"")</f>
        <v>7</v>
      </c>
      <c r="R63" s="66" t="n">
        <v>18</v>
      </c>
      <c r="S63" s="67">
        <f>IF(ISNUMBER(tblY8[[#This Row],[8B01 - Digestion
Raw Score]]),IFERROR(VLOOKUP(ROUND(STANDARDIZE(tblY8[[#This Row],[8B01 - Digestion
Raw Score]],AVERAGE(tblY8[[8B01 - Digestion
Raw Score]]),_xlfn.STDEV.P(tblY8[[8B01 - Digestion
Raw Score]])),9),_Stanine,2),5),"")</f>
        <v>6</v>
      </c>
      <c r="T63" s="66" t="n">
        <v>19</v>
      </c>
      <c r="U63" s="67">
        <f>IF(ISNUMBER(tblY8[[#This Row],[8C02 - Metals and Acids
Raw Score]]),IFERROR(VLOOKUP(ROUND(STANDARDIZE(tblY8[[#This Row],[8C02 - Metals and Acids
Raw Score]],AVERAGE(tblY8[[8C02 - Metals and Acids
Raw Score]]),_xlfn.STDEV.P(tblY8[[8C02 - Metals and Acids
Raw Score]])),9),_Stanine,2),5),"")</f>
        <v>8</v>
      </c>
      <c r="V63" s="66" t="n">
        <v>17</v>
      </c>
      <c r="W63" s="67">
        <f>IF(ISNUMBER(tblY8[[#This Row],[8P02 - Light
Raw Score]]),IFERROR(VLOOKUP(ROUND(STANDARDIZE(tblY8[[#This Row],[8P02 - Light
Raw Score]],AVERAGE(tblY8[[8P02 - Light
Raw Score]]),_xlfn.STDEV.P(tblY8[[8P02 - Light
Raw Score]])),9),_Stanine,2),5),"")</f>
        <v>6</v>
      </c>
    </row>
    <row r="64">
      <c r="A64" s="65" t="inlineStr">
        <is>
          <t>X908477537997</t>
        </is>
      </c>
      <c r="B64" s="65" t="inlineStr">
        <is>
          <t>Hughes</t>
        </is>
      </c>
      <c r="C64" s="65" t="inlineStr">
        <is>
          <t>Sami</t>
        </is>
      </c>
      <c r="D64" s="66" t="inlineStr">
        <is>
          <t>F</t>
        </is>
      </c>
      <c r="E64" s="66" t="inlineStr">
        <is>
          <t>N</t>
        </is>
      </c>
      <c r="F64" s="66" t="inlineStr">
        <is>
          <t>N</t>
        </is>
      </c>
      <c r="G64" s="34" t="n">
        <v>88.90000000000001</v>
      </c>
      <c r="H64" s="34" t="n">
        <v>99</v>
      </c>
      <c r="I64" s="67">
        <f>IF(ISNUMBER(tblY8[[#This Row],[Avg KS2]]),IFERROR(VLOOKUP(ROUND(STANDARDIZE(tblY8[[#This Row],[Avg KS2]],AVERAGE(tblY8[[Avg KS2]]),_xlfn.STDEV.P(tblY8[[Avg KS2]])),9),_Stanine,2),5),"")</f>
        <v>3</v>
      </c>
      <c r="J64" s="66" t="inlineStr">
        <is>
          <t>8A/Sc3</t>
        </is>
      </c>
      <c r="K64" s="67">
        <f>IF(tblY8[[#This Row],[Preferred Last name]]="","",COUNTIFS($N$1:$ZZ$1,"*"&amp;CHAR(10)&amp;"Stanine",$N64:$ZZ64,"&gt;=1"))</f>
        <v>5</v>
      </c>
      <c r="L64" s="68">
        <f>IFERROR(AVERAGEIF($N$1:$ZZ$1,"*"&amp;CHAR(10)&amp;"Stanine",$N64:$ZZ64),"")</f>
        <v>2</v>
      </c>
      <c r="M64" s="69">
        <f>IF(AND(ISNUMBER(tblY8[[#This Row],[Mean Stanine]]),ISNUMBER(tblY8[[#This Row],[Avg KS2 Band]]),ISNUMBER(SlopeY8)),tblY8[[#This Row],[Mean Stanine]]-(InterceptY8+SlopeY8*tblY8[[#This Row],[Avg KS2 Band]]),"")</f>
        <v>-1.38403628935352</v>
      </c>
      <c r="N64" s="66" t="n">
        <v>7</v>
      </c>
      <c r="O64" s="67">
        <f>IF(ISNUMBER(tblY8[[#This Row],[8C01 - Periodic Table
Raw Score]]),IFERROR(VLOOKUP(ROUND(STANDARDIZE(tblY8[[#This Row],[8C01 - Periodic Table
Raw Score]],AVERAGE(tblY8[[8C01 - Periodic Table
Raw Score]]),_xlfn.STDEV.P(tblY8[[8C01 - Periodic Table
Raw Score]])),9),_Stanine,2),5),"")</f>
        <v>1</v>
      </c>
      <c r="P64" s="66" t="n">
        <v>5</v>
      </c>
      <c r="Q64" s="67">
        <f>IF(ISNUMBER(tblY8[[#This Row],[8P01 - Energy
Raw Score]]),IFERROR(VLOOKUP(ROUND(STANDARDIZE(tblY8[[#This Row],[8P01 - Energy
Raw Score]],AVERAGE(tblY8[[8P01 - Energy
Raw Score]]),_xlfn.STDEV.P(tblY8[[8P01 - Energy
Raw Score]])),9),_Stanine,2),5),"")</f>
        <v>3</v>
      </c>
      <c r="R64" s="66" t="n">
        <v>7</v>
      </c>
      <c r="S64" s="67">
        <f>IF(ISNUMBER(tblY8[[#This Row],[8B01 - Digestion
Raw Score]]),IFERROR(VLOOKUP(ROUND(STANDARDIZE(tblY8[[#This Row],[8B01 - Digestion
Raw Score]],AVERAGE(tblY8[[8B01 - Digestion
Raw Score]]),_xlfn.STDEV.P(tblY8[[8B01 - Digestion
Raw Score]])),9),_Stanine,2),5),"")</f>
        <v>3</v>
      </c>
      <c r="T64" s="66" t="n">
        <v>3</v>
      </c>
      <c r="U64" s="67">
        <f>IF(ISNUMBER(tblY8[[#This Row],[8C02 - Metals and Acids
Raw Score]]),IFERROR(VLOOKUP(ROUND(STANDARDIZE(tblY8[[#This Row],[8C02 - Metals and Acids
Raw Score]],AVERAGE(tblY8[[8C02 - Metals and Acids
Raw Score]]),_xlfn.STDEV.P(tblY8[[8C02 - Metals and Acids
Raw Score]])),9),_Stanine,2),5),"")</f>
        <v>2</v>
      </c>
      <c r="V64" s="66" t="n">
        <v>8</v>
      </c>
      <c r="W64" s="67">
        <f>IF(ISNUMBER(tblY8[[#This Row],[8P02 - Light
Raw Score]]),IFERROR(VLOOKUP(ROUND(STANDARDIZE(tblY8[[#This Row],[8P02 - Light
Raw Score]],AVERAGE(tblY8[[8P02 - Light
Raw Score]]),_xlfn.STDEV.P(tblY8[[8P02 - Light
Raw Score]])),9),_Stanine,2),5),"")</f>
        <v>1</v>
      </c>
    </row>
    <row r="65">
      <c r="A65" s="65" t="inlineStr">
        <is>
          <t>X908653911619</t>
        </is>
      </c>
      <c r="B65" s="65" t="inlineStr">
        <is>
          <t>Johnson</t>
        </is>
      </c>
      <c r="C65" s="65" t="inlineStr">
        <is>
          <t>Sami</t>
        </is>
      </c>
      <c r="D65" s="66" t="inlineStr">
        <is>
          <t>F</t>
        </is>
      </c>
      <c r="E65" s="66" t="inlineStr">
        <is>
          <t>K</t>
        </is>
      </c>
      <c r="F65" s="66" t="inlineStr">
        <is>
          <t>N</t>
        </is>
      </c>
      <c r="G65" s="34" t="n">
        <v>99.5</v>
      </c>
      <c r="H65" s="34" t="n">
        <v>107.5</v>
      </c>
      <c r="I65" s="67">
        <f>IF(ISNUMBER(tblY8[[#This Row],[Avg KS2]]),IFERROR(VLOOKUP(ROUND(STANDARDIZE(tblY8[[#This Row],[Avg KS2]],AVERAGE(tblY8[[Avg KS2]]),_xlfn.STDEV.P(tblY8[[Avg KS2]])),9),_Stanine,2),5),"")</f>
        <v>6</v>
      </c>
      <c r="J65" s="66" t="inlineStr">
        <is>
          <t>8A/Sc3</t>
        </is>
      </c>
      <c r="K65" s="67">
        <f>IF(tblY8[[#This Row],[Preferred Last name]]="","",COUNTIFS($N$1:$ZZ$1,"*"&amp;CHAR(10)&amp;"Stanine",$N65:$ZZ65,"&gt;=1"))</f>
        <v>5</v>
      </c>
      <c r="L65" s="68">
        <f>IFERROR(AVERAGEIF($N$1:$ZZ$1,"*"&amp;CHAR(10)&amp;"Stanine",$N65:$ZZ65),"")</f>
        <v>3.8</v>
      </c>
      <c r="M65" s="69">
        <f>IF(AND(ISNUMBER(tblY8[[#This Row],[Mean Stanine]]),ISNUMBER(tblY8[[#This Row],[Avg KS2 Band]]),ISNUMBER(SlopeY8)),tblY8[[#This Row],[Mean Stanine]]-(InterceptY8+SlopeY8*tblY8[[#This Row],[Avg KS2 Band]]),"")</f>
        <v>-1.92077024753665</v>
      </c>
      <c r="N65" s="66" t="n">
        <v>14</v>
      </c>
      <c r="O65" s="67">
        <f>IF(ISNUMBER(tblY8[[#This Row],[8C01 - Periodic Table
Raw Score]]),IFERROR(VLOOKUP(ROUND(STANDARDIZE(tblY8[[#This Row],[8C01 - Periodic Table
Raw Score]],AVERAGE(tblY8[[8C01 - Periodic Table
Raw Score]]),_xlfn.STDEV.P(tblY8[[8C01 - Periodic Table
Raw Score]])),9),_Stanine,2),5),"")</f>
        <v>4</v>
      </c>
      <c r="P65" s="66" t="n">
        <v>9</v>
      </c>
      <c r="Q65" s="67">
        <f>IF(ISNUMBER(tblY8[[#This Row],[8P01 - Energy
Raw Score]]),IFERROR(VLOOKUP(ROUND(STANDARDIZE(tblY8[[#This Row],[8P01 - Energy
Raw Score]],AVERAGE(tblY8[[8P01 - Energy
Raw Score]]),_xlfn.STDEV.P(tblY8[[8P01 - Energy
Raw Score]])),9),_Stanine,2),5),"")</f>
        <v>4</v>
      </c>
      <c r="R65" s="66" t="n">
        <v>9</v>
      </c>
      <c r="S65" s="67">
        <f>IF(ISNUMBER(tblY8[[#This Row],[8B01 - Digestion
Raw Score]]),IFERROR(VLOOKUP(ROUND(STANDARDIZE(tblY8[[#This Row],[8B01 - Digestion
Raw Score]],AVERAGE(tblY8[[8B01 - Digestion
Raw Score]]),_xlfn.STDEV.P(tblY8[[8B01 - Digestion
Raw Score]])),9),_Stanine,2),5),"")</f>
        <v>3</v>
      </c>
      <c r="T65" s="66" t="n">
        <v>8</v>
      </c>
      <c r="U65" s="67">
        <f>IF(ISNUMBER(tblY8[[#This Row],[8C02 - Metals and Acids
Raw Score]]),IFERROR(VLOOKUP(ROUND(STANDARDIZE(tblY8[[#This Row],[8C02 - Metals and Acids
Raw Score]],AVERAGE(tblY8[[8C02 - Metals and Acids
Raw Score]]),_xlfn.STDEV.P(tblY8[[8C02 - Metals and Acids
Raw Score]])),9),_Stanine,2),5),"")</f>
        <v>4</v>
      </c>
      <c r="V65" s="66" t="n">
        <v>13</v>
      </c>
      <c r="W65" s="67">
        <f>IF(ISNUMBER(tblY8[[#This Row],[8P02 - Light
Raw Score]]),IFERROR(VLOOKUP(ROUND(STANDARDIZE(tblY8[[#This Row],[8P02 - Light
Raw Score]],AVERAGE(tblY8[[8P02 - Light
Raw Score]]),_xlfn.STDEV.P(tblY8[[8P02 - Light
Raw Score]])),9),_Stanine,2),5),"")</f>
        <v>4</v>
      </c>
    </row>
    <row r="66">
      <c r="A66" s="65" t="inlineStr">
        <is>
          <t>X903061444339</t>
        </is>
      </c>
      <c r="B66" s="65" t="inlineStr">
        <is>
          <t>Kelly</t>
        </is>
      </c>
      <c r="C66" s="65" t="inlineStr">
        <is>
          <t>Dylan</t>
        </is>
      </c>
      <c r="D66" s="66" t="inlineStr">
        <is>
          <t>M</t>
        </is>
      </c>
      <c r="E66" s="66" t="n"/>
      <c r="F66" s="66" t="inlineStr">
        <is>
          <t>N</t>
        </is>
      </c>
      <c r="G66" s="34" t="n">
        <v>100</v>
      </c>
      <c r="H66" s="34" t="n">
        <v>101</v>
      </c>
      <c r="I66" s="67">
        <f>IF(ISNUMBER(tblY8[[#This Row],[Avg KS2]]),IFERROR(VLOOKUP(ROUND(STANDARDIZE(tblY8[[#This Row],[Avg KS2]],AVERAGE(tblY8[[Avg KS2]]),_xlfn.STDEV.P(tblY8[[Avg KS2]])),9),_Stanine,2),5),"")</f>
        <v>4</v>
      </c>
      <c r="J66" s="66" t="inlineStr">
        <is>
          <t>8A/Sc3</t>
        </is>
      </c>
      <c r="K66" s="67">
        <f>IF(tblY8[[#This Row],[Preferred Last name]]="","",COUNTIFS($N$1:$ZZ$1,"*"&amp;CHAR(10)&amp;"Stanine",$N66:$ZZ66,"&gt;=1"))</f>
        <v>5</v>
      </c>
      <c r="L66" s="68">
        <f>IFERROR(AVERAGEIF($N$1:$ZZ$1,"*"&amp;CHAR(10)&amp;"Stanine",$N66:$ZZ66),"")</f>
        <v>3.6</v>
      </c>
      <c r="M66" s="69">
        <f>IF(AND(ISNUMBER(tblY8[[#This Row],[Mean Stanine]]),ISNUMBER(tblY8[[#This Row],[Avg KS2 Band]]),ISNUMBER(SlopeY8)),tblY8[[#This Row],[Mean Stanine]]-(InterceptY8+SlopeY8*tblY8[[#This Row],[Avg KS2 Band]]),"")</f>
        <v>-0.562947608747897</v>
      </c>
      <c r="N66" s="66" t="n">
        <v>14</v>
      </c>
      <c r="O66" s="67">
        <f>IF(ISNUMBER(tblY8[[#This Row],[8C01 - Periodic Table
Raw Score]]),IFERROR(VLOOKUP(ROUND(STANDARDIZE(tblY8[[#This Row],[8C01 - Periodic Table
Raw Score]],AVERAGE(tblY8[[8C01 - Periodic Table
Raw Score]]),_xlfn.STDEV.P(tblY8[[8C01 - Periodic Table
Raw Score]])),9),_Stanine,2),5),"")</f>
        <v>4</v>
      </c>
      <c r="P66" s="66" t="n">
        <v>7</v>
      </c>
      <c r="Q66" s="67">
        <f>IF(ISNUMBER(tblY8[[#This Row],[8P01 - Energy
Raw Score]]),IFERROR(VLOOKUP(ROUND(STANDARDIZE(tblY8[[#This Row],[8P01 - Energy
Raw Score]],AVERAGE(tblY8[[8P01 - Energy
Raw Score]]),_xlfn.STDEV.P(tblY8[[8P01 - Energy
Raw Score]])),9),_Stanine,2),5),"")</f>
        <v>4</v>
      </c>
      <c r="R66" s="66" t="n">
        <v>7</v>
      </c>
      <c r="S66" s="67">
        <f>IF(ISNUMBER(tblY8[[#This Row],[8B01 - Digestion
Raw Score]]),IFERROR(VLOOKUP(ROUND(STANDARDIZE(tblY8[[#This Row],[8B01 - Digestion
Raw Score]],AVERAGE(tblY8[[8B01 - Digestion
Raw Score]]),_xlfn.STDEV.P(tblY8[[8B01 - Digestion
Raw Score]])),9),_Stanine,2),5),"")</f>
        <v>3</v>
      </c>
      <c r="T66" s="66" t="n">
        <v>9</v>
      </c>
      <c r="U66" s="67">
        <f>IF(ISNUMBER(tblY8[[#This Row],[8C02 - Metals and Acids
Raw Score]]),IFERROR(VLOOKUP(ROUND(STANDARDIZE(tblY8[[#This Row],[8C02 - Metals and Acids
Raw Score]],AVERAGE(tblY8[[8C02 - Metals and Acids
Raw Score]]),_xlfn.STDEV.P(tblY8[[8C02 - Metals and Acids
Raw Score]])),9),_Stanine,2),5),"")</f>
        <v>4</v>
      </c>
      <c r="V66" s="66" t="n">
        <v>11</v>
      </c>
      <c r="W66" s="67">
        <f>IF(ISNUMBER(tblY8[[#This Row],[8P02 - Light
Raw Score]]),IFERROR(VLOOKUP(ROUND(STANDARDIZE(tblY8[[#This Row],[8P02 - Light
Raw Score]],AVERAGE(tblY8[[8P02 - Light
Raw Score]]),_xlfn.STDEV.P(tblY8[[8P02 - Light
Raw Score]])),9),_Stanine,2),5),"")</f>
        <v>3</v>
      </c>
    </row>
    <row r="67">
      <c r="A67" s="65" t="inlineStr">
        <is>
          <t>X907136017624</t>
        </is>
      </c>
      <c r="B67" s="65" t="inlineStr">
        <is>
          <t>Lloyd</t>
        </is>
      </c>
      <c r="C67" s="65" t="inlineStr">
        <is>
          <t>Finley</t>
        </is>
      </c>
      <c r="D67" s="66" t="inlineStr">
        <is>
          <t>F</t>
        </is>
      </c>
      <c r="E67" s="66" t="inlineStr">
        <is>
          <t>N</t>
        </is>
      </c>
      <c r="F67" s="66" t="inlineStr">
        <is>
          <t>Y</t>
        </is>
      </c>
      <c r="G67" s="34" t="n">
        <v>98.8</v>
      </c>
      <c r="H67" s="34" t="n">
        <v>97</v>
      </c>
      <c r="I67" s="67">
        <f>IF(ISNUMBER(tblY8[[#This Row],[Avg KS2]]),IFERROR(VLOOKUP(ROUND(STANDARDIZE(tblY8[[#This Row],[Avg KS2]],AVERAGE(tblY8[[Avg KS2]]),_xlfn.STDEV.P(tblY8[[Avg KS2]])),9),_Stanine,2),5),"")</f>
        <v>2</v>
      </c>
      <c r="J67" s="66" t="inlineStr">
        <is>
          <t>8A/Sc3</t>
        </is>
      </c>
      <c r="K67" s="67">
        <f>IF(tblY8[[#This Row],[Preferred Last name]]="","",COUNTIFS($N$1:$ZZ$1,"*"&amp;CHAR(10)&amp;"Stanine",$N67:$ZZ67,"&gt;=1"))</f>
        <v>4</v>
      </c>
      <c r="L67" s="68">
        <f>IFERROR(AVERAGEIF($N$1:$ZZ$1,"*"&amp;CHAR(10)&amp;"Stanine",$N67:$ZZ67),"")</f>
        <v>4.5</v>
      </c>
      <c r="M67" s="69">
        <f>IF(AND(ISNUMBER(tblY8[[#This Row],[Mean Stanine]]),ISNUMBER(tblY8[[#This Row],[Avg KS2 Band]]),ISNUMBER(SlopeY8)),tblY8[[#This Row],[Mean Stanine]]-(InterceptY8+SlopeY8*tblY8[[#This Row],[Avg KS2 Band]]),"")</f>
        <v>1.89487503004086</v>
      </c>
      <c r="N67" s="66" t="n">
        <v>18</v>
      </c>
      <c r="O67" s="67">
        <f>IF(ISNUMBER(tblY8[[#This Row],[8C01 - Periodic Table
Raw Score]]),IFERROR(VLOOKUP(ROUND(STANDARDIZE(tblY8[[#This Row],[8C01 - Periodic Table
Raw Score]],AVERAGE(tblY8[[8C01 - Periodic Table
Raw Score]]),_xlfn.STDEV.P(tblY8[[8C01 - Periodic Table
Raw Score]])),9),_Stanine,2),5),"")</f>
        <v>5</v>
      </c>
      <c r="P67" s="66" t="n">
        <v>8</v>
      </c>
      <c r="Q67" s="67">
        <f>IF(ISNUMBER(tblY8[[#This Row],[8P01 - Energy
Raw Score]]),IFERROR(VLOOKUP(ROUND(STANDARDIZE(tblY8[[#This Row],[8P01 - Energy
Raw Score]],AVERAGE(tblY8[[8P01 - Energy
Raw Score]]),_xlfn.STDEV.P(tblY8[[8P01 - Energy
Raw Score]])),9),_Stanine,2),5),"")</f>
        <v>4</v>
      </c>
      <c r="R67" s="66" t="n">
        <v>10</v>
      </c>
      <c r="S67" s="67">
        <f>IF(ISNUMBER(tblY8[[#This Row],[8B01 - Digestion
Raw Score]]),IFERROR(VLOOKUP(ROUND(STANDARDIZE(tblY8[[#This Row],[8B01 - Digestion
Raw Score]],AVERAGE(tblY8[[8B01 - Digestion
Raw Score]]),_xlfn.STDEV.P(tblY8[[8B01 - Digestion
Raw Score]])),9),_Stanine,2),5),"")</f>
        <v>4</v>
      </c>
      <c r="T67" s="66" t="n">
        <v>11</v>
      </c>
      <c r="U67" s="67">
        <f>IF(ISNUMBER(tblY8[[#This Row],[8C02 - Metals and Acids
Raw Score]]),IFERROR(VLOOKUP(ROUND(STANDARDIZE(tblY8[[#This Row],[8C02 - Metals and Acids
Raw Score]],AVERAGE(tblY8[[8C02 - Metals and Acids
Raw Score]]),_xlfn.STDEV.P(tblY8[[8C02 - Metals and Acids
Raw Score]])),9),_Stanine,2),5),"")</f>
        <v>5</v>
      </c>
      <c r="V67" s="66" t="inlineStr">
        <is>
          <t>A</t>
        </is>
      </c>
      <c r="W67" s="67" t="str">
        <f>IF(ISNUMBER(tblY8[[#This Row],[8P02 - Light
Raw Score]]),IFERROR(VLOOKUP(ROUND(STANDARDIZE(tblY8[[#This Row],[8P02 - Light
Raw Score]],AVERAGE(tblY8[[8P02 - Light
Raw Score]]),_xlfn.STDEV.P(tblY8[[8P02 - Light
Raw Score]])),9),_Stanine,2),5),"")</f>
        <v/>
      </c>
    </row>
    <row r="68">
      <c r="A68" s="65" t="inlineStr">
        <is>
          <t>X907265158115</t>
        </is>
      </c>
      <c r="B68" s="65" t="inlineStr">
        <is>
          <t>Lloyd</t>
        </is>
      </c>
      <c r="C68" s="65" t="inlineStr">
        <is>
          <t>Ibrahim</t>
        </is>
      </c>
      <c r="D68" s="66" t="inlineStr">
        <is>
          <t>M</t>
        </is>
      </c>
      <c r="E68" s="66" t="n"/>
      <c r="F68" s="66" t="inlineStr">
        <is>
          <t>Y</t>
        </is>
      </c>
      <c r="G68" s="34" t="n">
        <v>91.8</v>
      </c>
      <c r="H68" s="34" t="n">
        <v>105.5</v>
      </c>
      <c r="I68" s="67">
        <f>IF(ISNUMBER(tblY8[[#This Row],[Avg KS2]]),IFERROR(VLOOKUP(ROUND(STANDARDIZE(tblY8[[#This Row],[Avg KS2]],AVERAGE(tblY8[[Avg KS2]]),_xlfn.STDEV.P(tblY8[[Avg KS2]])),9),_Stanine,2),5),"")</f>
        <v>5</v>
      </c>
      <c r="J68" s="66" t="inlineStr">
        <is>
          <t>8A/Sc3</t>
        </is>
      </c>
      <c r="K68" s="67">
        <f>IF(tblY8[[#This Row],[Preferred Last name]]="","",COUNTIFS($N$1:$ZZ$1,"*"&amp;CHAR(10)&amp;"Stanine",$N68:$ZZ68,"&gt;=1"))</f>
        <v>5</v>
      </c>
      <c r="L68" s="68">
        <f>IFERROR(AVERAGEIF($N$1:$ZZ$1,"*"&amp;CHAR(10)&amp;"Stanine",$N68:$ZZ68),"")</f>
        <v>4.8</v>
      </c>
      <c r="M68" s="69">
        <f>IF(AND(ISNUMBER(tblY8[[#This Row],[Mean Stanine]]),ISNUMBER(tblY8[[#This Row],[Avg KS2 Band]]),ISNUMBER(SlopeY8)),tblY8[[#This Row],[Mean Stanine]]-(InterceptY8+SlopeY8*tblY8[[#This Row],[Avg KS2 Band]]),"")</f>
        <v>-0.141858928142273</v>
      </c>
      <c r="N68" s="66" t="n">
        <v>14</v>
      </c>
      <c r="O68" s="67">
        <f>IF(ISNUMBER(tblY8[[#This Row],[8C01 - Periodic Table
Raw Score]]),IFERROR(VLOOKUP(ROUND(STANDARDIZE(tblY8[[#This Row],[8C01 - Periodic Table
Raw Score]],AVERAGE(tblY8[[8C01 - Periodic Table
Raw Score]]),_xlfn.STDEV.P(tblY8[[8C01 - Periodic Table
Raw Score]])),9),_Stanine,2),5),"")</f>
        <v>4</v>
      </c>
      <c r="P68" s="66" t="n">
        <v>11</v>
      </c>
      <c r="Q68" s="67">
        <f>IF(ISNUMBER(tblY8[[#This Row],[8P01 - Energy
Raw Score]]),IFERROR(VLOOKUP(ROUND(STANDARDIZE(tblY8[[#This Row],[8P01 - Energy
Raw Score]],AVERAGE(tblY8[[8P01 - Energy
Raw Score]]),_xlfn.STDEV.P(tblY8[[8P01 - Energy
Raw Score]])),9),_Stanine,2),5),"")</f>
        <v>5</v>
      </c>
      <c r="R68" s="66" t="n">
        <v>15</v>
      </c>
      <c r="S68" s="67">
        <f>IF(ISNUMBER(tblY8[[#This Row],[8B01 - Digestion
Raw Score]]),IFERROR(VLOOKUP(ROUND(STANDARDIZE(tblY8[[#This Row],[8B01 - Digestion
Raw Score]],AVERAGE(tblY8[[8B01 - Digestion
Raw Score]]),_xlfn.STDEV.P(tblY8[[8B01 - Digestion
Raw Score]])),9),_Stanine,2),5),"")</f>
        <v>5</v>
      </c>
      <c r="T68" s="66" t="n">
        <v>9</v>
      </c>
      <c r="U68" s="67">
        <f>IF(ISNUMBER(tblY8[[#This Row],[8C02 - Metals and Acids
Raw Score]]),IFERROR(VLOOKUP(ROUND(STANDARDIZE(tblY8[[#This Row],[8C02 - Metals and Acids
Raw Score]],AVERAGE(tblY8[[8C02 - Metals and Acids
Raw Score]]),_xlfn.STDEV.P(tblY8[[8C02 - Metals and Acids
Raw Score]])),9),_Stanine,2),5),"")</f>
        <v>4</v>
      </c>
      <c r="V68" s="66" t="n">
        <v>17</v>
      </c>
      <c r="W68" s="67">
        <f>IF(ISNUMBER(tblY8[[#This Row],[8P02 - Light
Raw Score]]),IFERROR(VLOOKUP(ROUND(STANDARDIZE(tblY8[[#This Row],[8P02 - Light
Raw Score]],AVERAGE(tblY8[[8P02 - Light
Raw Score]]),_xlfn.STDEV.P(tblY8[[8P02 - Light
Raw Score]])),9),_Stanine,2),5),"")</f>
        <v>6</v>
      </c>
    </row>
    <row r="69">
      <c r="A69" s="65" t="inlineStr">
        <is>
          <t>X909630456956</t>
        </is>
      </c>
      <c r="B69" s="65" t="inlineStr">
        <is>
          <t>Lloyd</t>
        </is>
      </c>
      <c r="C69" s="65" t="inlineStr">
        <is>
          <t>Sami</t>
        </is>
      </c>
      <c r="D69" s="66" t="inlineStr">
        <is>
          <t>M</t>
        </is>
      </c>
      <c r="E69" s="66" t="n"/>
      <c r="F69" s="66" t="inlineStr">
        <is>
          <t>N</t>
        </is>
      </c>
      <c r="G69" s="34" t="n">
        <v>88.40000000000001</v>
      </c>
      <c r="H69" s="34" t="n">
        <v>96.5</v>
      </c>
      <c r="I69" s="67">
        <f>IF(ISNUMBER(tblY8[[#This Row],[Avg KS2]]),IFERROR(VLOOKUP(ROUND(STANDARDIZE(tblY8[[#This Row],[Avg KS2]],AVERAGE(tblY8[[Avg KS2]]),_xlfn.STDEV.P(tblY8[[Avg KS2]])),9),_Stanine,2),5),"")</f>
        <v>2</v>
      </c>
      <c r="J69" s="66" t="inlineStr">
        <is>
          <t>8A/Sc3</t>
        </is>
      </c>
      <c r="K69" s="67">
        <f>IF(tblY8[[#This Row],[Preferred Last name]]="","",COUNTIFS($N$1:$ZZ$1,"*"&amp;CHAR(10)&amp;"Stanine",$N69:$ZZ69,"&gt;=1"))</f>
        <v>5</v>
      </c>
      <c r="L69" s="68">
        <f>IFERROR(AVERAGEIF($N$1:$ZZ$1,"*"&amp;CHAR(10)&amp;"Stanine",$N69:$ZZ69),"")</f>
        <v>3</v>
      </c>
      <c r="M69" s="69">
        <f>IF(AND(ISNUMBER(tblY8[[#This Row],[Mean Stanine]]),ISNUMBER(tblY8[[#This Row],[Avg KS2 Band]]),ISNUMBER(SlopeY8)),tblY8[[#This Row],[Mean Stanine]]-(InterceptY8+SlopeY8*tblY8[[#This Row],[Avg KS2 Band]]),"")</f>
        <v>0.394875030040855</v>
      </c>
      <c r="N69" s="66" t="n">
        <v>13</v>
      </c>
      <c r="O69" s="67">
        <f>IF(ISNUMBER(tblY8[[#This Row],[8C01 - Periodic Table
Raw Score]]),IFERROR(VLOOKUP(ROUND(STANDARDIZE(tblY8[[#This Row],[8C01 - Periodic Table
Raw Score]],AVERAGE(tblY8[[8C01 - Periodic Table
Raw Score]]),_xlfn.STDEV.P(tblY8[[8C01 - Periodic Table
Raw Score]])),9),_Stanine,2),5),"")</f>
        <v>3</v>
      </c>
      <c r="P69" s="66" t="n">
        <v>5</v>
      </c>
      <c r="Q69" s="67">
        <f>IF(ISNUMBER(tblY8[[#This Row],[8P01 - Energy
Raw Score]]),IFERROR(VLOOKUP(ROUND(STANDARDIZE(tblY8[[#This Row],[8P01 - Energy
Raw Score]],AVERAGE(tblY8[[8P01 - Energy
Raw Score]]),_xlfn.STDEV.P(tblY8[[8P01 - Energy
Raw Score]])),9),_Stanine,2),5),"")</f>
        <v>3</v>
      </c>
      <c r="R69" s="66" t="n">
        <v>7</v>
      </c>
      <c r="S69" s="67">
        <f>IF(ISNUMBER(tblY8[[#This Row],[8B01 - Digestion
Raw Score]]),IFERROR(VLOOKUP(ROUND(STANDARDIZE(tblY8[[#This Row],[8B01 - Digestion
Raw Score]],AVERAGE(tblY8[[8B01 - Digestion
Raw Score]]),_xlfn.STDEV.P(tblY8[[8B01 - Digestion
Raw Score]])),9),_Stanine,2),5),"")</f>
        <v>3</v>
      </c>
      <c r="T69" s="66" t="n">
        <v>5</v>
      </c>
      <c r="U69" s="67">
        <f>IF(ISNUMBER(tblY8[[#This Row],[8C02 - Metals and Acids
Raw Score]]),IFERROR(VLOOKUP(ROUND(STANDARDIZE(tblY8[[#This Row],[8C02 - Metals and Acids
Raw Score]],AVERAGE(tblY8[[8C02 - Metals and Acids
Raw Score]]),_xlfn.STDEV.P(tblY8[[8C02 - Metals and Acids
Raw Score]])),9),_Stanine,2),5),"")</f>
        <v>3</v>
      </c>
      <c r="V69" s="66" t="n">
        <v>11</v>
      </c>
      <c r="W69" s="67">
        <f>IF(ISNUMBER(tblY8[[#This Row],[8P02 - Light
Raw Score]]),IFERROR(VLOOKUP(ROUND(STANDARDIZE(tblY8[[#This Row],[8P02 - Light
Raw Score]],AVERAGE(tblY8[[8P02 - Light
Raw Score]]),_xlfn.STDEV.P(tblY8[[8P02 - Light
Raw Score]])),9),_Stanine,2),5),"")</f>
        <v>3</v>
      </c>
    </row>
    <row r="70">
      <c r="A70" s="65" t="inlineStr">
        <is>
          <t>X903127131664</t>
        </is>
      </c>
      <c r="B70" s="65" t="inlineStr">
        <is>
          <t>Pearson</t>
        </is>
      </c>
      <c r="C70" s="65" t="inlineStr">
        <is>
          <t>Callum</t>
        </is>
      </c>
      <c r="D70" s="66" t="inlineStr">
        <is>
          <t>F</t>
        </is>
      </c>
      <c r="E70" s="66" t="n"/>
      <c r="F70" s="66" t="inlineStr">
        <is>
          <t>N</t>
        </is>
      </c>
      <c r="G70" s="34" t="n">
        <v>83.2</v>
      </c>
      <c r="H70" s="34" t="n">
        <v>100.5</v>
      </c>
      <c r="I70" s="67">
        <f>IF(ISNUMBER(tblY8[[#This Row],[Avg KS2]]),IFERROR(VLOOKUP(ROUND(STANDARDIZE(tblY8[[#This Row],[Avg KS2]],AVERAGE(tblY8[[Avg KS2]]),_xlfn.STDEV.P(tblY8[[Avg KS2]])),9),_Stanine,2),5),"")</f>
        <v>3</v>
      </c>
      <c r="J70" s="66" t="inlineStr">
        <is>
          <t>8A/Sc3</t>
        </is>
      </c>
      <c r="K70" s="67">
        <f>IF(tblY8[[#This Row],[Preferred Last name]]="","",COUNTIFS($N$1:$ZZ$1,"*"&amp;CHAR(10)&amp;"Stanine",$N70:$ZZ70,"&gt;=1"))</f>
        <v>5</v>
      </c>
      <c r="L70" s="68">
        <f>IFERROR(AVERAGEIF($N$1:$ZZ$1,"*"&amp;CHAR(10)&amp;"Stanine",$N70:$ZZ70),"")</f>
        <v>1.8</v>
      </c>
      <c r="M70" s="69">
        <f>IF(AND(ISNUMBER(tblY8[[#This Row],[Mean Stanine]]),ISNUMBER(tblY8[[#This Row],[Avg KS2 Band]]),ISNUMBER(SlopeY8)),tblY8[[#This Row],[Mean Stanine]]-(InterceptY8+SlopeY8*tblY8[[#This Row],[Avg KS2 Band]]),"")</f>
        <v>-1.58403628935352</v>
      </c>
      <c r="N70" s="66" t="n">
        <v>8</v>
      </c>
      <c r="O70" s="67">
        <f>IF(ISNUMBER(tblY8[[#This Row],[8C01 - Periodic Table
Raw Score]]),IFERROR(VLOOKUP(ROUND(STANDARDIZE(tblY8[[#This Row],[8C01 - Periodic Table
Raw Score]],AVERAGE(tblY8[[8C01 - Periodic Table
Raw Score]]),_xlfn.STDEV.P(tblY8[[8C01 - Periodic Table
Raw Score]])),9),_Stanine,2),5),"")</f>
        <v>2</v>
      </c>
      <c r="P70" s="66" t="n">
        <v>2</v>
      </c>
      <c r="Q70" s="67">
        <f>IF(ISNUMBER(tblY8[[#This Row],[8P01 - Energy
Raw Score]]),IFERROR(VLOOKUP(ROUND(STANDARDIZE(tblY8[[#This Row],[8P01 - Energy
Raw Score]],AVERAGE(tblY8[[8P01 - Energy
Raw Score]]),_xlfn.STDEV.P(tblY8[[8P01 - Energy
Raw Score]])),9),_Stanine,2),5),"")</f>
        <v>2</v>
      </c>
      <c r="R70" s="66" t="n">
        <v>3</v>
      </c>
      <c r="S70" s="67">
        <f>IF(ISNUMBER(tblY8[[#This Row],[8B01 - Digestion
Raw Score]]),IFERROR(VLOOKUP(ROUND(STANDARDIZE(tblY8[[#This Row],[8B01 - Digestion
Raw Score]],AVERAGE(tblY8[[8B01 - Digestion
Raw Score]]),_xlfn.STDEV.P(tblY8[[8B01 - Digestion
Raw Score]])),9),_Stanine,2),5),"")</f>
        <v>2</v>
      </c>
      <c r="T70" s="66" t="n">
        <v>4</v>
      </c>
      <c r="U70" s="67">
        <f>IF(ISNUMBER(tblY8[[#This Row],[8C02 - Metals and Acids
Raw Score]]),IFERROR(VLOOKUP(ROUND(STANDARDIZE(tblY8[[#This Row],[8C02 - Metals and Acids
Raw Score]],AVERAGE(tblY8[[8C02 - Metals and Acids
Raw Score]]),_xlfn.STDEV.P(tblY8[[8C02 - Metals and Acids
Raw Score]])),9),_Stanine,2),5),"")</f>
        <v>2</v>
      </c>
      <c r="V70" s="66" t="n">
        <v>4</v>
      </c>
      <c r="W70" s="67">
        <f>IF(ISNUMBER(tblY8[[#This Row],[8P02 - Light
Raw Score]]),IFERROR(VLOOKUP(ROUND(STANDARDIZE(tblY8[[#This Row],[8P02 - Light
Raw Score]],AVERAGE(tblY8[[8P02 - Light
Raw Score]]),_xlfn.STDEV.P(tblY8[[8P02 - Light
Raw Score]])),9),_Stanine,2),5),"")</f>
        <v>1</v>
      </c>
    </row>
    <row r="71">
      <c r="A71" s="65" t="inlineStr">
        <is>
          <t>X901541503466</t>
        </is>
      </c>
      <c r="B71" s="65" t="inlineStr">
        <is>
          <t>Pearson</t>
        </is>
      </c>
      <c r="C71" s="65" t="inlineStr">
        <is>
          <t>Nia</t>
        </is>
      </c>
      <c r="D71" s="66" t="inlineStr">
        <is>
          <t>F</t>
        </is>
      </c>
      <c r="E71" s="66" t="inlineStr">
        <is>
          <t>E</t>
        </is>
      </c>
      <c r="F71" s="66" t="inlineStr">
        <is>
          <t>Y</t>
        </is>
      </c>
      <c r="G71" s="34" t="n">
        <v>100</v>
      </c>
      <c r="H71" s="34" t="n">
        <v>109.5</v>
      </c>
      <c r="I71" s="67">
        <f>IF(ISNUMBER(tblY8[[#This Row],[Avg KS2]]),IFERROR(VLOOKUP(ROUND(STANDARDIZE(tblY8[[#This Row],[Avg KS2]],AVERAGE(tblY8[[Avg KS2]]),_xlfn.STDEV.P(tblY8[[Avg KS2]])),9),_Stanine,2),5),"")</f>
        <v>7</v>
      </c>
      <c r="J71" s="66" t="inlineStr">
        <is>
          <t>8A/Sc3</t>
        </is>
      </c>
      <c r="K71" s="67">
        <f>IF(tblY8[[#This Row],[Preferred Last name]]="","",COUNTIFS($N$1:$ZZ$1,"*"&amp;CHAR(10)&amp;"Stanine",$N71:$ZZ71,"&gt;=1"))</f>
        <v>5</v>
      </c>
      <c r="L71" s="68">
        <f>IFERROR(AVERAGEIF($N$1:$ZZ$1,"*"&amp;CHAR(10)&amp;"Stanine",$N71:$ZZ71),"")</f>
        <v>6.4</v>
      </c>
      <c r="M71" s="69">
        <f>IF(AND(ISNUMBER(tblY8[[#This Row],[Mean Stanine]]),ISNUMBER(tblY8[[#This Row],[Avg KS2 Band]]),ISNUMBER(SlopeY8)),tblY8[[#This Row],[Mean Stanine]]-(InterceptY8+SlopeY8*tblY8[[#This Row],[Avg KS2 Band]]),"")</f>
        <v>-0.0996815669310252</v>
      </c>
      <c r="N71" s="66" t="n">
        <v>22</v>
      </c>
      <c r="O71" s="67">
        <f>IF(ISNUMBER(tblY8[[#This Row],[8C01 - Periodic Table
Raw Score]]),IFERROR(VLOOKUP(ROUND(STANDARDIZE(tblY8[[#This Row],[8C01 - Periodic Table
Raw Score]],AVERAGE(tblY8[[8C01 - Periodic Table
Raw Score]]),_xlfn.STDEV.P(tblY8[[8C01 - Periodic Table
Raw Score]])),9),_Stanine,2),5),"")</f>
        <v>6</v>
      </c>
      <c r="P71" s="66" t="n">
        <v>12</v>
      </c>
      <c r="Q71" s="67">
        <f>IF(ISNUMBER(tblY8[[#This Row],[8P01 - Energy
Raw Score]]),IFERROR(VLOOKUP(ROUND(STANDARDIZE(tblY8[[#This Row],[8P01 - Energy
Raw Score]],AVERAGE(tblY8[[8P01 - Energy
Raw Score]]),_xlfn.STDEV.P(tblY8[[8P01 - Energy
Raw Score]])),9),_Stanine,2),5),"")</f>
        <v>6</v>
      </c>
      <c r="R71" s="66" t="n">
        <v>20</v>
      </c>
      <c r="S71" s="67">
        <f>IF(ISNUMBER(tblY8[[#This Row],[8B01 - Digestion
Raw Score]]),IFERROR(VLOOKUP(ROUND(STANDARDIZE(tblY8[[#This Row],[8B01 - Digestion
Raw Score]],AVERAGE(tblY8[[8B01 - Digestion
Raw Score]]),_xlfn.STDEV.P(tblY8[[8B01 - Digestion
Raw Score]])),9),_Stanine,2),5),"")</f>
        <v>7</v>
      </c>
      <c r="T71" s="66" t="n">
        <v>15</v>
      </c>
      <c r="U71" s="67">
        <f>IF(ISNUMBER(tblY8[[#This Row],[8C02 - Metals and Acids
Raw Score]]),IFERROR(VLOOKUP(ROUND(STANDARDIZE(tblY8[[#This Row],[8C02 - Metals and Acids
Raw Score]],AVERAGE(tblY8[[8C02 - Metals and Acids
Raw Score]]),_xlfn.STDEV.P(tblY8[[8C02 - Metals and Acids
Raw Score]])),9),_Stanine,2),5),"")</f>
        <v>6</v>
      </c>
      <c r="V71" s="66" t="n">
        <v>19</v>
      </c>
      <c r="W71" s="67">
        <f>IF(ISNUMBER(tblY8[[#This Row],[8P02 - Light
Raw Score]]),IFERROR(VLOOKUP(ROUND(STANDARDIZE(tblY8[[#This Row],[8P02 - Light
Raw Score]],AVERAGE(tblY8[[8P02 - Light
Raw Score]]),_xlfn.STDEV.P(tblY8[[8P02 - Light
Raw Score]])),9),_Stanine,2),5),"")</f>
        <v>7</v>
      </c>
    </row>
    <row r="72">
      <c r="A72" s="65" t="inlineStr">
        <is>
          <t>X909232617192</t>
        </is>
      </c>
      <c r="B72" s="65" t="inlineStr">
        <is>
          <t>Robinson</t>
        </is>
      </c>
      <c r="C72" s="65" t="inlineStr">
        <is>
          <t>Hollie</t>
        </is>
      </c>
      <c r="D72" s="66" t="inlineStr">
        <is>
          <t>F</t>
        </is>
      </c>
      <c r="E72" s="66" t="inlineStr">
        <is>
          <t>N</t>
        </is>
      </c>
      <c r="F72" s="66" t="inlineStr">
        <is>
          <t>N</t>
        </is>
      </c>
      <c r="G72" s="34" t="n">
        <v>94.59999999999999</v>
      </c>
      <c r="H72" s="34" t="n">
        <v>99.5</v>
      </c>
      <c r="I72" s="67">
        <f>IF(ISNUMBER(tblY8[[#This Row],[Avg KS2]]),IFERROR(VLOOKUP(ROUND(STANDARDIZE(tblY8[[#This Row],[Avg KS2]],AVERAGE(tblY8[[Avg KS2]]),_xlfn.STDEV.P(tblY8[[Avg KS2]])),9),_Stanine,2),5),"")</f>
        <v>3</v>
      </c>
      <c r="J72" s="66" t="inlineStr">
        <is>
          <t>8A/Sc3</t>
        </is>
      </c>
      <c r="K72" s="67">
        <f>IF(tblY8[[#This Row],[Preferred Last name]]="","",COUNTIFS($N$1:$ZZ$1,"*"&amp;CHAR(10)&amp;"Stanine",$N72:$ZZ72,"&gt;=1"))</f>
        <v>4</v>
      </c>
      <c r="L72" s="68">
        <f>IFERROR(AVERAGEIF($N$1:$ZZ$1,"*"&amp;CHAR(10)&amp;"Stanine",$N72:$ZZ72),"")</f>
        <v>2.75</v>
      </c>
      <c r="M72" s="69">
        <f>IF(AND(ISNUMBER(tblY8[[#This Row],[Mean Stanine]]),ISNUMBER(tblY8[[#This Row],[Avg KS2 Band]]),ISNUMBER(SlopeY8)),tblY8[[#This Row],[Mean Stanine]]-(InterceptY8+SlopeY8*tblY8[[#This Row],[Avg KS2 Band]]),"")</f>
        <v>-0.634036289353521</v>
      </c>
      <c r="N72" s="66" t="n">
        <v>16</v>
      </c>
      <c r="O72" s="67">
        <f>IF(ISNUMBER(tblY8[[#This Row],[8C01 - Periodic Table
Raw Score]]),IFERROR(VLOOKUP(ROUND(STANDARDIZE(tblY8[[#This Row],[8C01 - Periodic Table
Raw Score]],AVERAGE(tblY8[[8C01 - Periodic Table
Raw Score]]),_xlfn.STDEV.P(tblY8[[8C01 - Periodic Table
Raw Score]])),9),_Stanine,2),5),"")</f>
        <v>4</v>
      </c>
      <c r="P72" s="66" t="n">
        <v>4</v>
      </c>
      <c r="Q72" s="67">
        <f>IF(ISNUMBER(tblY8[[#This Row],[8P01 - Energy
Raw Score]]),IFERROR(VLOOKUP(ROUND(STANDARDIZE(tblY8[[#This Row],[8P01 - Energy
Raw Score]],AVERAGE(tblY8[[8P01 - Energy
Raw Score]]),_xlfn.STDEV.P(tblY8[[8P01 - Energy
Raw Score]])),9),_Stanine,2),5),"")</f>
        <v>3</v>
      </c>
      <c r="R72" s="66" t="n">
        <v>4</v>
      </c>
      <c r="S72" s="67">
        <f>IF(ISNUMBER(tblY8[[#This Row],[8B01 - Digestion
Raw Score]]),IFERROR(VLOOKUP(ROUND(STANDARDIZE(tblY8[[#This Row],[8B01 - Digestion
Raw Score]],AVERAGE(tblY8[[8B01 - Digestion
Raw Score]]),_xlfn.STDEV.P(tblY8[[8B01 - Digestion
Raw Score]])),9),_Stanine,2),5),"")</f>
        <v>2</v>
      </c>
      <c r="T72" s="66" t="n">
        <v>3</v>
      </c>
      <c r="U72" s="67">
        <f>IF(ISNUMBER(tblY8[[#This Row],[8C02 - Metals and Acids
Raw Score]]),IFERROR(VLOOKUP(ROUND(STANDARDIZE(tblY8[[#This Row],[8C02 - Metals and Acids
Raw Score]],AVERAGE(tblY8[[8C02 - Metals and Acids
Raw Score]]),_xlfn.STDEV.P(tblY8[[8C02 - Metals and Acids
Raw Score]])),9),_Stanine,2),5),"")</f>
        <v>2</v>
      </c>
      <c r="V72" s="66" t="inlineStr">
        <is>
          <t>A</t>
        </is>
      </c>
      <c r="W72" s="67" t="str">
        <f>IF(ISNUMBER(tblY8[[#This Row],[8P02 - Light
Raw Score]]),IFERROR(VLOOKUP(ROUND(STANDARDIZE(tblY8[[#This Row],[8P02 - Light
Raw Score]],AVERAGE(tblY8[[8P02 - Light
Raw Score]]),_xlfn.STDEV.P(tblY8[[8P02 - Light
Raw Score]])),9),_Stanine,2),5),"")</f>
        <v/>
      </c>
    </row>
    <row r="73">
      <c r="A73" s="65" t="inlineStr">
        <is>
          <t>X903337650092</t>
        </is>
      </c>
      <c r="B73" s="65" t="inlineStr">
        <is>
          <t>Robinson</t>
        </is>
      </c>
      <c r="C73" s="65" t="inlineStr">
        <is>
          <t>Kai</t>
        </is>
      </c>
      <c r="D73" s="66" t="inlineStr">
        <is>
          <t>M</t>
        </is>
      </c>
      <c r="E73" s="66" t="inlineStr">
        <is>
          <t>N</t>
        </is>
      </c>
      <c r="F73" s="66" t="inlineStr">
        <is>
          <t>N</t>
        </is>
      </c>
      <c r="G73" s="34" t="n">
        <v>100</v>
      </c>
      <c r="H73" s="34" t="n">
        <v>107.5</v>
      </c>
      <c r="I73" s="67">
        <f>IF(ISNUMBER(tblY8[[#This Row],[Avg KS2]]),IFERROR(VLOOKUP(ROUND(STANDARDIZE(tblY8[[#This Row],[Avg KS2]],AVERAGE(tblY8[[Avg KS2]]),_xlfn.STDEV.P(tblY8[[Avg KS2]])),9),_Stanine,2),5),"")</f>
        <v>6</v>
      </c>
      <c r="J73" s="66" t="inlineStr">
        <is>
          <t>8A/Sc3</t>
        </is>
      </c>
      <c r="K73" s="67">
        <f>IF(tblY8[[#This Row],[Preferred Last name]]="","",COUNTIFS($N$1:$ZZ$1,"*"&amp;CHAR(10)&amp;"Stanine",$N73:$ZZ73,"&gt;=1"))</f>
        <v>5</v>
      </c>
      <c r="L73" s="68">
        <f>IFERROR(AVERAGEIF($N$1:$ZZ$1,"*"&amp;CHAR(10)&amp;"Stanine",$N73:$ZZ73),"")</f>
        <v>5.8</v>
      </c>
      <c r="M73" s="69">
        <f>IF(AND(ISNUMBER(tblY8[[#This Row],[Mean Stanine]]),ISNUMBER(tblY8[[#This Row],[Avg KS2 Band]]),ISNUMBER(SlopeY8)),tblY8[[#This Row],[Mean Stanine]]-(InterceptY8+SlopeY8*tblY8[[#This Row],[Avg KS2 Band]]),"")</f>
        <v>0.0792297524633501</v>
      </c>
      <c r="N73" s="66" t="n">
        <v>22</v>
      </c>
      <c r="O73" s="67">
        <f>IF(ISNUMBER(tblY8[[#This Row],[8C01 - Periodic Table
Raw Score]]),IFERROR(VLOOKUP(ROUND(STANDARDIZE(tblY8[[#This Row],[8C01 - Periodic Table
Raw Score]],AVERAGE(tblY8[[8C01 - Periodic Table
Raw Score]]),_xlfn.STDEV.P(tblY8[[8C01 - Periodic Table
Raw Score]])),9),_Stanine,2),5),"")</f>
        <v>6</v>
      </c>
      <c r="P73" s="66" t="n">
        <v>13</v>
      </c>
      <c r="Q73" s="67">
        <f>IF(ISNUMBER(tblY8[[#This Row],[8P01 - Energy
Raw Score]]),IFERROR(VLOOKUP(ROUND(STANDARDIZE(tblY8[[#This Row],[8P01 - Energy
Raw Score]],AVERAGE(tblY8[[8P01 - Energy
Raw Score]]),_xlfn.STDEV.P(tblY8[[8P01 - Energy
Raw Score]])),9),_Stanine,2),5),"")</f>
        <v>6</v>
      </c>
      <c r="R73" s="66" t="n">
        <v>18</v>
      </c>
      <c r="S73" s="67">
        <f>IF(ISNUMBER(tblY8[[#This Row],[8B01 - Digestion
Raw Score]]),IFERROR(VLOOKUP(ROUND(STANDARDIZE(tblY8[[#This Row],[8B01 - Digestion
Raw Score]],AVERAGE(tblY8[[8B01 - Digestion
Raw Score]]),_xlfn.STDEV.P(tblY8[[8B01 - Digestion
Raw Score]])),9),_Stanine,2),5),"")</f>
        <v>6</v>
      </c>
      <c r="T73" s="66" t="n">
        <v>10</v>
      </c>
      <c r="U73" s="67">
        <f>IF(ISNUMBER(tblY8[[#This Row],[8C02 - Metals and Acids
Raw Score]]),IFERROR(VLOOKUP(ROUND(STANDARDIZE(tblY8[[#This Row],[8C02 - Metals and Acids
Raw Score]],AVERAGE(tblY8[[8C02 - Metals and Acids
Raw Score]]),_xlfn.STDEV.P(tblY8[[8C02 - Metals and Acids
Raw Score]])),9),_Stanine,2),5),"")</f>
        <v>4</v>
      </c>
      <c r="V73" s="66" t="n">
        <v>19</v>
      </c>
      <c r="W73" s="67">
        <f>IF(ISNUMBER(tblY8[[#This Row],[8P02 - Light
Raw Score]]),IFERROR(VLOOKUP(ROUND(STANDARDIZE(tblY8[[#This Row],[8P02 - Light
Raw Score]],AVERAGE(tblY8[[8P02 - Light
Raw Score]]),_xlfn.STDEV.P(tblY8[[8P02 - Light
Raw Score]])),9),_Stanine,2),5),"")</f>
        <v>7</v>
      </c>
    </row>
    <row r="74">
      <c r="A74" s="65" t="inlineStr">
        <is>
          <t>X908693427249</t>
        </is>
      </c>
      <c r="B74" s="65" t="inlineStr">
        <is>
          <t>Taylor</t>
        </is>
      </c>
      <c r="C74" s="65" t="inlineStr">
        <is>
          <t>Ivy</t>
        </is>
      </c>
      <c r="D74" s="66" t="inlineStr">
        <is>
          <t>M</t>
        </is>
      </c>
      <c r="E74" s="66" t="inlineStr">
        <is>
          <t>K</t>
        </is>
      </c>
      <c r="F74" s="66" t="inlineStr">
        <is>
          <t>Y</t>
        </is>
      </c>
      <c r="G74" s="34" t="n">
        <v>93.59999999999999</v>
      </c>
      <c r="H74" s="34" t="n">
        <v>103.5</v>
      </c>
      <c r="I74" s="67">
        <f>IF(ISNUMBER(tblY8[[#This Row],[Avg KS2]]),IFERROR(VLOOKUP(ROUND(STANDARDIZE(tblY8[[#This Row],[Avg KS2]],AVERAGE(tblY8[[Avg KS2]]),_xlfn.STDEV.P(tblY8[[Avg KS2]])),9),_Stanine,2),5),"")</f>
        <v>4</v>
      </c>
      <c r="J74" s="66" t="inlineStr">
        <is>
          <t>8A/Sc3</t>
        </is>
      </c>
      <c r="K74" s="67">
        <f>IF(tblY8[[#This Row],[Preferred Last name]]="","",COUNTIFS($N$1:$ZZ$1,"*"&amp;CHAR(10)&amp;"Stanine",$N74:$ZZ74,"&gt;=1"))</f>
        <v>5</v>
      </c>
      <c r="L74" s="68">
        <f>IFERROR(AVERAGEIF($N$1:$ZZ$1,"*"&amp;CHAR(10)&amp;"Stanine",$N74:$ZZ74),"")</f>
        <v>4.4</v>
      </c>
      <c r="M74" s="69">
        <f>IF(AND(ISNUMBER(tblY8[[#This Row],[Mean Stanine]]),ISNUMBER(tblY8[[#This Row],[Avg KS2 Band]]),ISNUMBER(SlopeY8)),tblY8[[#This Row],[Mean Stanine]]-(InterceptY8+SlopeY8*tblY8[[#This Row],[Avg KS2 Band]]),"")</f>
        <v>0.237052391252103</v>
      </c>
      <c r="N74" s="66" t="n">
        <v>14</v>
      </c>
      <c r="O74" s="67">
        <f>IF(ISNUMBER(tblY8[[#This Row],[8C01 - Periodic Table
Raw Score]]),IFERROR(VLOOKUP(ROUND(STANDARDIZE(tblY8[[#This Row],[8C01 - Periodic Table
Raw Score]],AVERAGE(tblY8[[8C01 - Periodic Table
Raw Score]]),_xlfn.STDEV.P(tblY8[[8C01 - Periodic Table
Raw Score]])),9),_Stanine,2),5),"")</f>
        <v>4</v>
      </c>
      <c r="P74" s="66" t="n">
        <v>8</v>
      </c>
      <c r="Q74" s="67">
        <f>IF(ISNUMBER(tblY8[[#This Row],[8P01 - Energy
Raw Score]]),IFERROR(VLOOKUP(ROUND(STANDARDIZE(tblY8[[#This Row],[8P01 - Energy
Raw Score]],AVERAGE(tblY8[[8P01 - Energy
Raw Score]]),_xlfn.STDEV.P(tblY8[[8P01 - Energy
Raw Score]])),9),_Stanine,2),5),"")</f>
        <v>4</v>
      </c>
      <c r="R74" s="66" t="n">
        <v>15</v>
      </c>
      <c r="S74" s="67">
        <f>IF(ISNUMBER(tblY8[[#This Row],[8B01 - Digestion
Raw Score]]),IFERROR(VLOOKUP(ROUND(STANDARDIZE(tblY8[[#This Row],[8B01 - Digestion
Raw Score]],AVERAGE(tblY8[[8B01 - Digestion
Raw Score]]),_xlfn.STDEV.P(tblY8[[8B01 - Digestion
Raw Score]])),9),_Stanine,2),5),"")</f>
        <v>5</v>
      </c>
      <c r="T74" s="66" t="n">
        <v>9</v>
      </c>
      <c r="U74" s="67">
        <f>IF(ISNUMBER(tblY8[[#This Row],[8C02 - Metals and Acids
Raw Score]]),IFERROR(VLOOKUP(ROUND(STANDARDIZE(tblY8[[#This Row],[8C02 - Metals and Acids
Raw Score]],AVERAGE(tblY8[[8C02 - Metals and Acids
Raw Score]]),_xlfn.STDEV.P(tblY8[[8C02 - Metals and Acids
Raw Score]])),9),_Stanine,2),5),"")</f>
        <v>4</v>
      </c>
      <c r="V74" s="66" t="n">
        <v>16</v>
      </c>
      <c r="W74" s="67">
        <f>IF(ISNUMBER(tblY8[[#This Row],[8P02 - Light
Raw Score]]),IFERROR(VLOOKUP(ROUND(STANDARDIZE(tblY8[[#This Row],[8P02 - Light
Raw Score]],AVERAGE(tblY8[[8P02 - Light
Raw Score]]),_xlfn.STDEV.P(tblY8[[8P02 - Light
Raw Score]])),9),_Stanine,2),5),"")</f>
        <v>5</v>
      </c>
    </row>
    <row r="75">
      <c r="A75" s="65" t="inlineStr">
        <is>
          <t>X900627838527</t>
        </is>
      </c>
      <c r="B75" s="65" t="inlineStr">
        <is>
          <t>Ward</t>
        </is>
      </c>
      <c r="C75" s="65" t="inlineStr">
        <is>
          <t>Alfie</t>
        </is>
      </c>
      <c r="D75" s="66" t="inlineStr">
        <is>
          <t>F</t>
        </is>
      </c>
      <c r="E75" s="66" t="n"/>
      <c r="F75" s="66" t="inlineStr">
        <is>
          <t>N</t>
        </is>
      </c>
      <c r="G75" s="34" t="n">
        <v>98.3</v>
      </c>
      <c r="H75" s="34" t="n">
        <v>113</v>
      </c>
      <c r="I75" s="67">
        <f>IF(ISNUMBER(tblY8[[#This Row],[Avg KS2]]),IFERROR(VLOOKUP(ROUND(STANDARDIZE(tblY8[[#This Row],[Avg KS2]],AVERAGE(tblY8[[Avg KS2]]),_xlfn.STDEV.P(tblY8[[Avg KS2]])),9),_Stanine,2),5),"")</f>
        <v>8</v>
      </c>
      <c r="J75" s="66" t="inlineStr">
        <is>
          <t>8A/Sc3</t>
        </is>
      </c>
      <c r="K75" s="67">
        <f>IF(tblY8[[#This Row],[Preferred Last name]]="","",COUNTIFS($N$1:$ZZ$1,"*"&amp;CHAR(10)&amp;"Stanine",$N75:$ZZ75,"&gt;=1"))</f>
        <v>5</v>
      </c>
      <c r="L75" s="68">
        <f>IFERROR(AVERAGEIF($N$1:$ZZ$1,"*"&amp;CHAR(10)&amp;"Stanine",$N75:$ZZ75),"")</f>
        <v>7.6</v>
      </c>
      <c r="M75" s="69">
        <f>IF(AND(ISNUMBER(tblY8[[#This Row],[Mean Stanine]]),ISNUMBER(tblY8[[#This Row],[Avg KS2 Band]]),ISNUMBER(SlopeY8)),tblY8[[#This Row],[Mean Stanine]]-(InterceptY8+SlopeY8*tblY8[[#This Row],[Avg KS2 Band]]),"")</f>
        <v>0.321407113674598</v>
      </c>
      <c r="N75" s="66" t="n">
        <v>24</v>
      </c>
      <c r="O75" s="67">
        <f>IF(ISNUMBER(tblY8[[#This Row],[8C01 - Periodic Table
Raw Score]]),IFERROR(VLOOKUP(ROUND(STANDARDIZE(tblY8[[#This Row],[8C01 - Periodic Table
Raw Score]],AVERAGE(tblY8[[8C01 - Periodic Table
Raw Score]]),_xlfn.STDEV.P(tblY8[[8C01 - Periodic Table
Raw Score]])),9),_Stanine,2),5),"")</f>
        <v>7</v>
      </c>
      <c r="P75" s="66" t="n">
        <v>18</v>
      </c>
      <c r="Q75" s="67">
        <f>IF(ISNUMBER(tblY8[[#This Row],[8P01 - Energy
Raw Score]]),IFERROR(VLOOKUP(ROUND(STANDARDIZE(tblY8[[#This Row],[8P01 - Energy
Raw Score]],AVERAGE(tblY8[[8P01 - Energy
Raw Score]]),_xlfn.STDEV.P(tblY8[[8P01 - Energy
Raw Score]])),9),_Stanine,2),5),"")</f>
        <v>8</v>
      </c>
      <c r="R75" s="66" t="n">
        <v>20</v>
      </c>
      <c r="S75" s="67">
        <f>IF(ISNUMBER(tblY8[[#This Row],[8B01 - Digestion
Raw Score]]),IFERROR(VLOOKUP(ROUND(STANDARDIZE(tblY8[[#This Row],[8B01 - Digestion
Raw Score]],AVERAGE(tblY8[[8B01 - Digestion
Raw Score]]),_xlfn.STDEV.P(tblY8[[8B01 - Digestion
Raw Score]])),9),_Stanine,2),5),"")</f>
        <v>7</v>
      </c>
      <c r="T75" s="66" t="n">
        <v>19</v>
      </c>
      <c r="U75" s="67">
        <f>IF(ISNUMBER(tblY8[[#This Row],[8C02 - Metals and Acids
Raw Score]]),IFERROR(VLOOKUP(ROUND(STANDARDIZE(tblY8[[#This Row],[8C02 - Metals and Acids
Raw Score]],AVERAGE(tblY8[[8C02 - Metals and Acids
Raw Score]]),_xlfn.STDEV.P(tblY8[[8C02 - Metals and Acids
Raw Score]])),9),_Stanine,2),5),"")</f>
        <v>8</v>
      </c>
      <c r="V75" s="66" t="n">
        <v>22</v>
      </c>
      <c r="W75" s="67">
        <f>IF(ISNUMBER(tblY8[[#This Row],[8P02 - Light
Raw Score]]),IFERROR(VLOOKUP(ROUND(STANDARDIZE(tblY8[[#This Row],[8P02 - Light
Raw Score]],AVERAGE(tblY8[[8P02 - Light
Raw Score]]),_xlfn.STDEV.P(tblY8[[8P02 - Light
Raw Score]])),9),_Stanine,2),5),"")</f>
        <v>8</v>
      </c>
    </row>
    <row r="76">
      <c r="A76" s="65" t="inlineStr">
        <is>
          <t>X908584384496</t>
        </is>
      </c>
      <c r="B76" s="65" t="inlineStr">
        <is>
          <t>Wood</t>
        </is>
      </c>
      <c r="C76" s="65" t="inlineStr">
        <is>
          <t>Seren</t>
        </is>
      </c>
      <c r="D76" s="66" t="inlineStr">
        <is>
          <t>M</t>
        </is>
      </c>
      <c r="E76" s="66" t="inlineStr">
        <is>
          <t>K</t>
        </is>
      </c>
      <c r="F76" s="66" t="inlineStr">
        <is>
          <t>N</t>
        </is>
      </c>
      <c r="G76" s="34" t="n">
        <v>93.59999999999999</v>
      </c>
      <c r="H76" s="34" t="n">
        <v>104</v>
      </c>
      <c r="I76" s="67">
        <f>IF(ISNUMBER(tblY8[[#This Row],[Avg KS2]]),IFERROR(VLOOKUP(ROUND(STANDARDIZE(tblY8[[#This Row],[Avg KS2]],AVERAGE(tblY8[[Avg KS2]]),_xlfn.STDEV.P(tblY8[[Avg KS2]])),9),_Stanine,2),5),"")</f>
        <v>5</v>
      </c>
      <c r="J76" s="66" t="inlineStr">
        <is>
          <t>8A/Sc3</t>
        </is>
      </c>
      <c r="K76" s="67">
        <f>IF(tblY8[[#This Row],[Preferred Last name]]="","",COUNTIFS($N$1:$ZZ$1,"*"&amp;CHAR(10)&amp;"Stanine",$N76:$ZZ76,"&gt;=1"))</f>
        <v>5</v>
      </c>
      <c r="L76" s="68">
        <f>IFERROR(AVERAGEIF($N$1:$ZZ$1,"*"&amp;CHAR(10)&amp;"Stanine",$N76:$ZZ76),"")</f>
        <v>4</v>
      </c>
      <c r="M76" s="69">
        <f>IF(AND(ISNUMBER(tblY8[[#This Row],[Mean Stanine]]),ISNUMBER(tblY8[[#This Row],[Avg KS2 Band]]),ISNUMBER(SlopeY8)),tblY8[[#This Row],[Mean Stanine]]-(InterceptY8+SlopeY8*tblY8[[#This Row],[Avg KS2 Band]]),"")</f>
        <v>-0.941858928142273</v>
      </c>
      <c r="N76" s="66" t="n">
        <v>14</v>
      </c>
      <c r="O76" s="67">
        <f>IF(ISNUMBER(tblY8[[#This Row],[8C01 - Periodic Table
Raw Score]]),IFERROR(VLOOKUP(ROUND(STANDARDIZE(tblY8[[#This Row],[8C01 - Periodic Table
Raw Score]],AVERAGE(tblY8[[8C01 - Periodic Table
Raw Score]]),_xlfn.STDEV.P(tblY8[[8C01 - Periodic Table
Raw Score]])),9),_Stanine,2),5),"")</f>
        <v>4</v>
      </c>
      <c r="P76" s="66" t="n">
        <v>9</v>
      </c>
      <c r="Q76" s="67">
        <f>IF(ISNUMBER(tblY8[[#This Row],[8P01 - Energy
Raw Score]]),IFERROR(VLOOKUP(ROUND(STANDARDIZE(tblY8[[#This Row],[8P01 - Energy
Raw Score]],AVERAGE(tblY8[[8P01 - Energy
Raw Score]]),_xlfn.STDEV.P(tblY8[[8P01 - Energy
Raw Score]])),9),_Stanine,2),5),"")</f>
        <v>4</v>
      </c>
      <c r="R76" s="66" t="n">
        <v>8</v>
      </c>
      <c r="S76" s="67">
        <f>IF(ISNUMBER(tblY8[[#This Row],[8B01 - Digestion
Raw Score]]),IFERROR(VLOOKUP(ROUND(STANDARDIZE(tblY8[[#This Row],[8B01 - Digestion
Raw Score]],AVERAGE(tblY8[[8B01 - Digestion
Raw Score]]),_xlfn.STDEV.P(tblY8[[8B01 - Digestion
Raw Score]])),9),_Stanine,2),5),"")</f>
        <v>3</v>
      </c>
      <c r="T76" s="66" t="n">
        <v>9</v>
      </c>
      <c r="U76" s="67">
        <f>IF(ISNUMBER(tblY8[[#This Row],[8C02 - Metals and Acids
Raw Score]]),IFERROR(VLOOKUP(ROUND(STANDARDIZE(tblY8[[#This Row],[8C02 - Metals and Acids
Raw Score]],AVERAGE(tblY8[[8C02 - Metals and Acids
Raw Score]]),_xlfn.STDEV.P(tblY8[[8C02 - Metals and Acids
Raw Score]])),9),_Stanine,2),5),"")</f>
        <v>4</v>
      </c>
      <c r="V76" s="66" t="n">
        <v>15</v>
      </c>
      <c r="W76" s="67">
        <f>IF(ISNUMBER(tblY8[[#This Row],[8P02 - Light
Raw Score]]),IFERROR(VLOOKUP(ROUND(STANDARDIZE(tblY8[[#This Row],[8P02 - Light
Raw Score]],AVERAGE(tblY8[[8P02 - Light
Raw Score]]),_xlfn.STDEV.P(tblY8[[8P02 - Light
Raw Score]])),9),_Stanine,2),5),"")</f>
        <v>5</v>
      </c>
    </row>
    <row r="77">
      <c r="A77" s="65" t="inlineStr">
        <is>
          <t>X905873930311</t>
        </is>
      </c>
      <c r="B77" s="65" t="inlineStr">
        <is>
          <t>Bennett</t>
        </is>
      </c>
      <c r="C77" s="65" t="inlineStr">
        <is>
          <t>Rosie</t>
        </is>
      </c>
      <c r="D77" s="66" t="inlineStr">
        <is>
          <t>M</t>
        </is>
      </c>
      <c r="E77" s="66" t="inlineStr">
        <is>
          <t>N</t>
        </is>
      </c>
      <c r="F77" s="66" t="inlineStr">
        <is>
          <t>N</t>
        </is>
      </c>
      <c r="G77" s="34" t="n">
        <v>97.59999999999999</v>
      </c>
      <c r="H77" s="34" t="n">
        <v>98.5</v>
      </c>
      <c r="I77" s="67">
        <f>IF(ISNUMBER(tblY8[[#This Row],[Avg KS2]]),IFERROR(VLOOKUP(ROUND(STANDARDIZE(tblY8[[#This Row],[Avg KS2]],AVERAGE(tblY8[[Avg KS2]]),_xlfn.STDEV.P(tblY8[[Avg KS2]])),9),_Stanine,2),5),"")</f>
        <v>3</v>
      </c>
      <c r="J77" s="66" t="inlineStr">
        <is>
          <t>8A/Sc4</t>
        </is>
      </c>
      <c r="K77" s="67">
        <f>IF(tblY8[[#This Row],[Preferred Last name]]="","",COUNTIFS($N$1:$ZZ$1,"*"&amp;CHAR(10)&amp;"Stanine",$N77:$ZZ77,"&gt;=1"))</f>
        <v>4</v>
      </c>
      <c r="L77" s="68">
        <f>IFERROR(AVERAGEIF($N$1:$ZZ$1,"*"&amp;CHAR(10)&amp;"Stanine",$N77:$ZZ77),"")</f>
        <v>2.5</v>
      </c>
      <c r="M77" s="69">
        <f>IF(AND(ISNUMBER(tblY8[[#This Row],[Mean Stanine]]),ISNUMBER(tblY8[[#This Row],[Avg KS2 Band]]),ISNUMBER(SlopeY8)),tblY8[[#This Row],[Mean Stanine]]-(InterceptY8+SlopeY8*tblY8[[#This Row],[Avg KS2 Band]]),"")</f>
        <v>-0.884036289353521</v>
      </c>
      <c r="N77" s="66" t="n">
        <v>10</v>
      </c>
      <c r="O77" s="67">
        <f>IF(ISNUMBER(tblY8[[#This Row],[8C01 - Periodic Table
Raw Score]]),IFERROR(VLOOKUP(ROUND(STANDARDIZE(tblY8[[#This Row],[8C01 - Periodic Table
Raw Score]],AVERAGE(tblY8[[8C01 - Periodic Table
Raw Score]]),_xlfn.STDEV.P(tblY8[[8C01 - Periodic Table
Raw Score]])),9),_Stanine,2),5),"")</f>
        <v>2</v>
      </c>
      <c r="P77" s="66" t="n">
        <v>5</v>
      </c>
      <c r="Q77" s="67">
        <f>IF(ISNUMBER(tblY8[[#This Row],[8P01 - Energy
Raw Score]]),IFERROR(VLOOKUP(ROUND(STANDARDIZE(tblY8[[#This Row],[8P01 - Energy
Raw Score]],AVERAGE(tblY8[[8P01 - Energy
Raw Score]]),_xlfn.STDEV.P(tblY8[[8P01 - Energy
Raw Score]])),9),_Stanine,2),5),"")</f>
        <v>3</v>
      </c>
      <c r="R77" s="66" t="n">
        <v>6</v>
      </c>
      <c r="S77" s="67">
        <f>IF(ISNUMBER(tblY8[[#This Row],[8B01 - Digestion
Raw Score]]),IFERROR(VLOOKUP(ROUND(STANDARDIZE(tblY8[[#This Row],[8B01 - Digestion
Raw Score]],AVERAGE(tblY8[[8B01 - Digestion
Raw Score]]),_xlfn.STDEV.P(tblY8[[8B01 - Digestion
Raw Score]])),9),_Stanine,2),5),"")</f>
        <v>2</v>
      </c>
      <c r="T77" s="66" t="n">
        <v>7</v>
      </c>
      <c r="U77" s="67">
        <f>IF(ISNUMBER(tblY8[[#This Row],[8C02 - Metals and Acids
Raw Score]]),IFERROR(VLOOKUP(ROUND(STANDARDIZE(tblY8[[#This Row],[8C02 - Metals and Acids
Raw Score]],AVERAGE(tblY8[[8C02 - Metals and Acids
Raw Score]]),_xlfn.STDEV.P(tblY8[[8C02 - Metals and Acids
Raw Score]])),9),_Stanine,2),5),"")</f>
        <v>3</v>
      </c>
      <c r="V77" s="66" t="n"/>
      <c r="W77" s="67" t="str">
        <f>IF(ISNUMBER(tblY8[[#This Row],[8P02 - Light
Raw Score]]),IFERROR(VLOOKUP(ROUND(STANDARDIZE(tblY8[[#This Row],[8P02 - Light
Raw Score]],AVERAGE(tblY8[[8P02 - Light
Raw Score]]),_xlfn.STDEV.P(tblY8[[8P02 - Light
Raw Score]])),9),_Stanine,2),5),"")</f>
        <v/>
      </c>
    </row>
    <row r="78">
      <c r="A78" s="65" t="inlineStr">
        <is>
          <t>X905618076855</t>
        </is>
      </c>
      <c r="B78" s="65" t="inlineStr">
        <is>
          <t>Brown</t>
        </is>
      </c>
      <c r="C78" s="65" t="inlineStr">
        <is>
          <t>Oliver</t>
        </is>
      </c>
      <c r="D78" s="66" t="inlineStr">
        <is>
          <t>F</t>
        </is>
      </c>
      <c r="E78" s="66" t="inlineStr">
        <is>
          <t>K</t>
        </is>
      </c>
      <c r="F78" s="66" t="inlineStr">
        <is>
          <t>N</t>
        </is>
      </c>
      <c r="G78" s="34" t="n">
        <v>91.59999999999999</v>
      </c>
      <c r="H78" s="34" t="n">
        <v>105.5</v>
      </c>
      <c r="I78" s="67">
        <f>IF(ISNUMBER(tblY8[[#This Row],[Avg KS2]]),IFERROR(VLOOKUP(ROUND(STANDARDIZE(tblY8[[#This Row],[Avg KS2]],AVERAGE(tblY8[[Avg KS2]]),_xlfn.STDEV.P(tblY8[[Avg KS2]])),9),_Stanine,2),5),"")</f>
        <v>5</v>
      </c>
      <c r="J78" s="66" t="inlineStr">
        <is>
          <t>8A/Sc4</t>
        </is>
      </c>
      <c r="K78" s="67">
        <f>IF(tblY8[[#This Row],[Preferred Last name]]="","",COUNTIFS($N$1:$ZZ$1,"*"&amp;CHAR(10)&amp;"Stanine",$N78:$ZZ78,"&gt;=1"))</f>
        <v>4</v>
      </c>
      <c r="L78" s="68">
        <f>IFERROR(AVERAGEIF($N$1:$ZZ$1,"*"&amp;CHAR(10)&amp;"Stanine",$N78:$ZZ78),"")</f>
        <v>3</v>
      </c>
      <c r="M78" s="69">
        <f>IF(AND(ISNUMBER(tblY8[[#This Row],[Mean Stanine]]),ISNUMBER(tblY8[[#This Row],[Avg KS2 Band]]),ISNUMBER(SlopeY8)),tblY8[[#This Row],[Mean Stanine]]-(InterceptY8+SlopeY8*tblY8[[#This Row],[Avg KS2 Band]]),"")</f>
        <v>-1.94185892814227</v>
      </c>
      <c r="N78" s="66" t="n">
        <v>8</v>
      </c>
      <c r="O78" s="67">
        <f>IF(ISNUMBER(tblY8[[#This Row],[8C01 - Periodic Table
Raw Score]]),IFERROR(VLOOKUP(ROUND(STANDARDIZE(tblY8[[#This Row],[8C01 - Periodic Table
Raw Score]],AVERAGE(tblY8[[8C01 - Periodic Table
Raw Score]]),_xlfn.STDEV.P(tblY8[[8C01 - Periodic Table
Raw Score]])),9),_Stanine,2),5),"")</f>
        <v>2</v>
      </c>
      <c r="P78" s="66" t="n">
        <v>6</v>
      </c>
      <c r="Q78" s="67">
        <f>IF(ISNUMBER(tblY8[[#This Row],[8P01 - Energy
Raw Score]]),IFERROR(VLOOKUP(ROUND(STANDARDIZE(tblY8[[#This Row],[8P01 - Energy
Raw Score]],AVERAGE(tblY8[[8P01 - Energy
Raw Score]]),_xlfn.STDEV.P(tblY8[[8P01 - Energy
Raw Score]])),9),_Stanine,2),5),"")</f>
        <v>3</v>
      </c>
      <c r="R78" s="66" t="n">
        <v>9</v>
      </c>
      <c r="S78" s="67">
        <f>IF(ISNUMBER(tblY8[[#This Row],[8B01 - Digestion
Raw Score]]),IFERROR(VLOOKUP(ROUND(STANDARDIZE(tblY8[[#This Row],[8B01 - Digestion
Raw Score]],AVERAGE(tblY8[[8B01 - Digestion
Raw Score]]),_xlfn.STDEV.P(tblY8[[8B01 - Digestion
Raw Score]])),9),_Stanine,2),5),"")</f>
        <v>3</v>
      </c>
      <c r="T78" s="66" t="n">
        <v>8</v>
      </c>
      <c r="U78" s="67">
        <f>IF(ISNUMBER(tblY8[[#This Row],[8C02 - Metals and Acids
Raw Score]]),IFERROR(VLOOKUP(ROUND(STANDARDIZE(tblY8[[#This Row],[8C02 - Metals and Acids
Raw Score]],AVERAGE(tblY8[[8C02 - Metals and Acids
Raw Score]]),_xlfn.STDEV.P(tblY8[[8C02 - Metals and Acids
Raw Score]])),9),_Stanine,2),5),"")</f>
        <v>4</v>
      </c>
      <c r="V78" s="66" t="n"/>
      <c r="W78" s="67" t="str">
        <f>IF(ISNUMBER(tblY8[[#This Row],[8P02 - Light
Raw Score]]),IFERROR(VLOOKUP(ROUND(STANDARDIZE(tblY8[[#This Row],[8P02 - Light
Raw Score]],AVERAGE(tblY8[[8P02 - Light
Raw Score]]),_xlfn.STDEV.P(tblY8[[8P02 - Light
Raw Score]])),9),_Stanine,2),5),"")</f>
        <v/>
      </c>
    </row>
    <row r="79">
      <c r="A79" s="65" t="inlineStr">
        <is>
          <t>X905134497989</t>
        </is>
      </c>
      <c r="B79" s="65" t="inlineStr">
        <is>
          <t>Clarke</t>
        </is>
      </c>
      <c r="C79" s="65" t="inlineStr">
        <is>
          <t>George</t>
        </is>
      </c>
      <c r="D79" s="66" t="inlineStr">
        <is>
          <t>F</t>
        </is>
      </c>
      <c r="E79" s="66" t="n"/>
      <c r="F79" s="66" t="inlineStr">
        <is>
          <t>N</t>
        </is>
      </c>
      <c r="G79" s="34" t="n">
        <v>85.40000000000001</v>
      </c>
      <c r="H79" s="34" t="n">
        <v>98</v>
      </c>
      <c r="I79" s="67">
        <f>IF(ISNUMBER(tblY8[[#This Row],[Avg KS2]]),IFERROR(VLOOKUP(ROUND(STANDARDIZE(tblY8[[#This Row],[Avg KS2]],AVERAGE(tblY8[[Avg KS2]]),_xlfn.STDEV.P(tblY8[[Avg KS2]])),9),_Stanine,2),5),"")</f>
        <v>3</v>
      </c>
      <c r="J79" s="66" t="inlineStr">
        <is>
          <t>8A/Sc4</t>
        </is>
      </c>
      <c r="K79" s="67">
        <f>IF(tblY8[[#This Row],[Preferred Last name]]="","",COUNTIFS($N$1:$ZZ$1,"*"&amp;CHAR(10)&amp;"Stanine",$N79:$ZZ79,"&gt;=1"))</f>
        <v>4</v>
      </c>
      <c r="L79" s="68">
        <f>IFERROR(AVERAGEIF($N$1:$ZZ$1,"*"&amp;CHAR(10)&amp;"Stanine",$N79:$ZZ79),"")</f>
        <v>3.75</v>
      </c>
      <c r="M79" s="69">
        <f>IF(AND(ISNUMBER(tblY8[[#This Row],[Mean Stanine]]),ISNUMBER(tblY8[[#This Row],[Avg KS2 Band]]),ISNUMBER(SlopeY8)),tblY8[[#This Row],[Mean Stanine]]-(InterceptY8+SlopeY8*tblY8[[#This Row],[Avg KS2 Band]]),"")</f>
        <v>0.365963710646479</v>
      </c>
      <c r="N79" s="66" t="n">
        <v>15</v>
      </c>
      <c r="O79" s="67">
        <f>IF(ISNUMBER(tblY8[[#This Row],[8C01 - Periodic Table
Raw Score]]),IFERROR(VLOOKUP(ROUND(STANDARDIZE(tblY8[[#This Row],[8C01 - Periodic Table
Raw Score]],AVERAGE(tblY8[[8C01 - Periodic Table
Raw Score]]),_xlfn.STDEV.P(tblY8[[8C01 - Periodic Table
Raw Score]])),9),_Stanine,2),5),"")</f>
        <v>4</v>
      </c>
      <c r="P79" s="66" t="n">
        <v>6</v>
      </c>
      <c r="Q79" s="67">
        <f>IF(ISNUMBER(tblY8[[#This Row],[8P01 - Energy
Raw Score]]),IFERROR(VLOOKUP(ROUND(STANDARDIZE(tblY8[[#This Row],[8P01 - Energy
Raw Score]],AVERAGE(tblY8[[8P01 - Energy
Raw Score]]),_xlfn.STDEV.P(tblY8[[8P01 - Energy
Raw Score]])),9),_Stanine,2),5),"")</f>
        <v>3</v>
      </c>
      <c r="R79" s="66" t="n">
        <v>13</v>
      </c>
      <c r="S79" s="67">
        <f>IF(ISNUMBER(tblY8[[#This Row],[8B01 - Digestion
Raw Score]]),IFERROR(VLOOKUP(ROUND(STANDARDIZE(tblY8[[#This Row],[8B01 - Digestion
Raw Score]],AVERAGE(tblY8[[8B01 - Digestion
Raw Score]]),_xlfn.STDEV.P(tblY8[[8B01 - Digestion
Raw Score]])),9),_Stanine,2),5),"")</f>
        <v>5</v>
      </c>
      <c r="T79" s="66" t="n">
        <v>5</v>
      </c>
      <c r="U79" s="67">
        <f>IF(ISNUMBER(tblY8[[#This Row],[8C02 - Metals and Acids
Raw Score]]),IFERROR(VLOOKUP(ROUND(STANDARDIZE(tblY8[[#This Row],[8C02 - Metals and Acids
Raw Score]],AVERAGE(tblY8[[8C02 - Metals and Acids
Raw Score]]),_xlfn.STDEV.P(tblY8[[8C02 - Metals and Acids
Raw Score]])),9),_Stanine,2),5),"")</f>
        <v>3</v>
      </c>
      <c r="V79" s="66" t="n"/>
      <c r="W79" s="67" t="str">
        <f>IF(ISNUMBER(tblY8[[#This Row],[8P02 - Light
Raw Score]]),IFERROR(VLOOKUP(ROUND(STANDARDIZE(tblY8[[#This Row],[8P02 - Light
Raw Score]],AVERAGE(tblY8[[8P02 - Light
Raw Score]]),_xlfn.STDEV.P(tblY8[[8P02 - Light
Raw Score]])),9),_Stanine,2),5),"")</f>
        <v/>
      </c>
    </row>
    <row r="80">
      <c r="A80" s="65" t="inlineStr">
        <is>
          <t>X901909722274</t>
        </is>
      </c>
      <c r="B80" s="65" t="inlineStr">
        <is>
          <t>Fletcher</t>
        </is>
      </c>
      <c r="C80" s="65" t="inlineStr">
        <is>
          <t>Priya</t>
        </is>
      </c>
      <c r="D80" s="66" t="inlineStr">
        <is>
          <t>F</t>
        </is>
      </c>
      <c r="E80" s="66" t="inlineStr">
        <is>
          <t>N</t>
        </is>
      </c>
      <c r="F80" s="66" t="inlineStr">
        <is>
          <t>Y</t>
        </is>
      </c>
      <c r="G80" s="34" t="n">
        <v>97.8</v>
      </c>
      <c r="H80" s="34" t="n">
        <v>104</v>
      </c>
      <c r="I80" s="67">
        <f>IF(ISNUMBER(tblY8[[#This Row],[Avg KS2]]),IFERROR(VLOOKUP(ROUND(STANDARDIZE(tblY8[[#This Row],[Avg KS2]],AVERAGE(tblY8[[Avg KS2]]),_xlfn.STDEV.P(tblY8[[Avg KS2]])),9),_Stanine,2),5),"")</f>
        <v>5</v>
      </c>
      <c r="J80" s="66" t="inlineStr">
        <is>
          <t>8A/Sc4</t>
        </is>
      </c>
      <c r="K80" s="67">
        <f>IF(tblY8[[#This Row],[Preferred Last name]]="","",COUNTIFS($N$1:$ZZ$1,"*"&amp;CHAR(10)&amp;"Stanine",$N80:$ZZ80,"&gt;=1"))</f>
        <v>4</v>
      </c>
      <c r="L80" s="68">
        <f>IFERROR(AVERAGEIF($N$1:$ZZ$1,"*"&amp;CHAR(10)&amp;"Stanine",$N80:$ZZ80),"")</f>
        <v>2.25</v>
      </c>
      <c r="M80" s="69">
        <f>IF(AND(ISNUMBER(tblY8[[#This Row],[Mean Stanine]]),ISNUMBER(tblY8[[#This Row],[Avg KS2 Band]]),ISNUMBER(SlopeY8)),tblY8[[#This Row],[Mean Stanine]]-(InterceptY8+SlopeY8*tblY8[[#This Row],[Avg KS2 Band]]),"")</f>
        <v>-2.69185892814227</v>
      </c>
      <c r="N80" s="66" t="n">
        <v>10</v>
      </c>
      <c r="O80" s="67">
        <f>IF(ISNUMBER(tblY8[[#This Row],[8C01 - Periodic Table
Raw Score]]),IFERROR(VLOOKUP(ROUND(STANDARDIZE(tblY8[[#This Row],[8C01 - Periodic Table
Raw Score]],AVERAGE(tblY8[[8C01 - Periodic Table
Raw Score]]),_xlfn.STDEV.P(tblY8[[8C01 - Periodic Table
Raw Score]])),9),_Stanine,2),5),"")</f>
        <v>2</v>
      </c>
      <c r="P80" s="66" t="n">
        <v>4</v>
      </c>
      <c r="Q80" s="67">
        <f>IF(ISNUMBER(tblY8[[#This Row],[8P01 - Energy
Raw Score]]),IFERROR(VLOOKUP(ROUND(STANDARDIZE(tblY8[[#This Row],[8P01 - Energy
Raw Score]],AVERAGE(tblY8[[8P01 - Energy
Raw Score]]),_xlfn.STDEV.P(tblY8[[8P01 - Energy
Raw Score]])),9),_Stanine,2),5),"")</f>
        <v>3</v>
      </c>
      <c r="R80" s="66" t="n">
        <v>6</v>
      </c>
      <c r="S80" s="67">
        <f>IF(ISNUMBER(tblY8[[#This Row],[8B01 - Digestion
Raw Score]]),IFERROR(VLOOKUP(ROUND(STANDARDIZE(tblY8[[#This Row],[8B01 - Digestion
Raw Score]],AVERAGE(tblY8[[8B01 - Digestion
Raw Score]]),_xlfn.STDEV.P(tblY8[[8B01 - Digestion
Raw Score]])),9),_Stanine,2),5),"")</f>
        <v>2</v>
      </c>
      <c r="T80" s="66" t="n">
        <v>3</v>
      </c>
      <c r="U80" s="67">
        <f>IF(ISNUMBER(tblY8[[#This Row],[8C02 - Metals and Acids
Raw Score]]),IFERROR(VLOOKUP(ROUND(STANDARDIZE(tblY8[[#This Row],[8C02 - Metals and Acids
Raw Score]],AVERAGE(tblY8[[8C02 - Metals and Acids
Raw Score]]),_xlfn.STDEV.P(tblY8[[8C02 - Metals and Acids
Raw Score]])),9),_Stanine,2),5),"")</f>
        <v>2</v>
      </c>
      <c r="V80" s="66" t="n"/>
      <c r="W80" s="67" t="str">
        <f>IF(ISNUMBER(tblY8[[#This Row],[8P02 - Light
Raw Score]]),IFERROR(VLOOKUP(ROUND(STANDARDIZE(tblY8[[#This Row],[8P02 - Light
Raw Score]],AVERAGE(tblY8[[8P02 - Light
Raw Score]]),_xlfn.STDEV.P(tblY8[[8P02 - Light
Raw Score]])),9),_Stanine,2),5),"")</f>
        <v/>
      </c>
    </row>
    <row r="81">
      <c r="A81" s="65" t="inlineStr">
        <is>
          <t>X903442695647</t>
        </is>
      </c>
      <c r="B81" s="65" t="inlineStr">
        <is>
          <t>Harrison</t>
        </is>
      </c>
      <c r="C81" s="65" t="inlineStr">
        <is>
          <t>Freya</t>
        </is>
      </c>
      <c r="D81" s="66" t="inlineStr">
        <is>
          <t>M</t>
        </is>
      </c>
      <c r="E81" s="66" t="inlineStr">
        <is>
          <t>K</t>
        </is>
      </c>
      <c r="F81" s="66" t="inlineStr">
        <is>
          <t>Y</t>
        </is>
      </c>
      <c r="G81" s="34" t="n">
        <v>95.59999999999999</v>
      </c>
      <c r="H81" s="34" t="n">
        <v>98</v>
      </c>
      <c r="I81" s="67">
        <f>IF(ISNUMBER(tblY8[[#This Row],[Avg KS2]]),IFERROR(VLOOKUP(ROUND(STANDARDIZE(tblY8[[#This Row],[Avg KS2]],AVERAGE(tblY8[[Avg KS2]]),_xlfn.STDEV.P(tblY8[[Avg KS2]])),9),_Stanine,2),5),"")</f>
        <v>3</v>
      </c>
      <c r="J81" s="66" t="inlineStr">
        <is>
          <t>8A/Sc4</t>
        </is>
      </c>
      <c r="K81" s="67">
        <f>IF(tblY8[[#This Row],[Preferred Last name]]="","",COUNTIFS($N$1:$ZZ$1,"*"&amp;CHAR(10)&amp;"Stanine",$N81:$ZZ81,"&gt;=1"))</f>
        <v>3</v>
      </c>
      <c r="L81" s="68">
        <f>IFERROR(AVERAGEIF($N$1:$ZZ$1,"*"&amp;CHAR(10)&amp;"Stanine",$N81:$ZZ81),"")</f>
        <v>3</v>
      </c>
      <c r="M81" s="69">
        <f>IF(AND(ISNUMBER(tblY8[[#This Row],[Mean Stanine]]),ISNUMBER(tblY8[[#This Row],[Avg KS2 Band]]),ISNUMBER(SlopeY8)),tblY8[[#This Row],[Mean Stanine]]-(InterceptY8+SlopeY8*tblY8[[#This Row],[Avg KS2 Band]]),"")</f>
        <v>-0.384036289353521</v>
      </c>
      <c r="N81" s="66" t="n">
        <v>12</v>
      </c>
      <c r="O81" s="67">
        <f>IF(ISNUMBER(tblY8[[#This Row],[8C01 - Periodic Table
Raw Score]]),IFERROR(VLOOKUP(ROUND(STANDARDIZE(tblY8[[#This Row],[8C01 - Periodic Table
Raw Score]],AVERAGE(tblY8[[8C01 - Periodic Table
Raw Score]]),_xlfn.STDEV.P(tblY8[[8C01 - Periodic Table
Raw Score]])),9),_Stanine,2),5),"")</f>
        <v>3</v>
      </c>
      <c r="P81" s="66" t="n">
        <v>5</v>
      </c>
      <c r="Q81" s="67">
        <f>IF(ISNUMBER(tblY8[[#This Row],[8P01 - Energy
Raw Score]]),IFERROR(VLOOKUP(ROUND(STANDARDIZE(tblY8[[#This Row],[8P01 - Energy
Raw Score]],AVERAGE(tblY8[[8P01 - Energy
Raw Score]]),_xlfn.STDEV.P(tblY8[[8P01 - Energy
Raw Score]])),9),_Stanine,2),5),"")</f>
        <v>3</v>
      </c>
      <c r="R81" s="66" t="inlineStr">
        <is>
          <t>A</t>
        </is>
      </c>
      <c r="S81" s="67" t="str">
        <f>IF(ISNUMBER(tblY8[[#This Row],[8B01 - Digestion
Raw Score]]),IFERROR(VLOOKUP(ROUND(STANDARDIZE(tblY8[[#This Row],[8B01 - Digestion
Raw Score]],AVERAGE(tblY8[[8B01 - Digestion
Raw Score]]),_xlfn.STDEV.P(tblY8[[8B01 - Digestion
Raw Score]])),9),_Stanine,2),5),"")</f>
        <v/>
      </c>
      <c r="T81" s="66" t="n">
        <v>6</v>
      </c>
      <c r="U81" s="67">
        <f>IF(ISNUMBER(tblY8[[#This Row],[8C02 - Metals and Acids
Raw Score]]),IFERROR(VLOOKUP(ROUND(STANDARDIZE(tblY8[[#This Row],[8C02 - Metals and Acids
Raw Score]],AVERAGE(tblY8[[8C02 - Metals and Acids
Raw Score]]),_xlfn.STDEV.P(tblY8[[8C02 - Metals and Acids
Raw Score]])),9),_Stanine,2),5),"")</f>
        <v>3</v>
      </c>
      <c r="V81" s="66" t="n"/>
      <c r="W81" s="67" t="str">
        <f>IF(ISNUMBER(tblY8[[#This Row],[8P02 - Light
Raw Score]]),IFERROR(VLOOKUP(ROUND(STANDARDIZE(tblY8[[#This Row],[8P02 - Light
Raw Score]],AVERAGE(tblY8[[8P02 - Light
Raw Score]]),_xlfn.STDEV.P(tblY8[[8P02 - Light
Raw Score]])),9),_Stanine,2),5),"")</f>
        <v/>
      </c>
    </row>
    <row r="82">
      <c r="A82" s="65" t="inlineStr">
        <is>
          <t>X908919508008</t>
        </is>
      </c>
      <c r="B82" s="65" t="inlineStr">
        <is>
          <t>Hussain</t>
        </is>
      </c>
      <c r="C82" s="65" t="inlineStr">
        <is>
          <t>Theo</t>
        </is>
      </c>
      <c r="D82" s="66" t="inlineStr">
        <is>
          <t>M</t>
        </is>
      </c>
      <c r="E82" s="66" t="n"/>
      <c r="F82" s="66" t="inlineStr">
        <is>
          <t>Y</t>
        </is>
      </c>
      <c r="G82" s="34" t="n">
        <v>90.2</v>
      </c>
      <c r="H82" s="34" t="n">
        <v>102.5</v>
      </c>
      <c r="I82" s="67">
        <f>IF(ISNUMBER(tblY8[[#This Row],[Avg KS2]]),IFERROR(VLOOKUP(ROUND(STANDARDIZE(tblY8[[#This Row],[Avg KS2]],AVERAGE(tblY8[[Avg KS2]]),_xlfn.STDEV.P(tblY8[[Avg KS2]])),9),_Stanine,2),5),"")</f>
        <v>4</v>
      </c>
      <c r="J82" s="66" t="inlineStr">
        <is>
          <t>8A/Sc4</t>
        </is>
      </c>
      <c r="K82" s="67">
        <f>IF(tblY8[[#This Row],[Preferred Last name]]="","",COUNTIFS($N$1:$ZZ$1,"*"&amp;CHAR(10)&amp;"Stanine",$N82:$ZZ82,"&gt;=1"))</f>
        <v>4</v>
      </c>
      <c r="L82" s="68">
        <f>IFERROR(AVERAGEIF($N$1:$ZZ$1,"*"&amp;CHAR(10)&amp;"Stanine",$N82:$ZZ82),"")</f>
        <v>4.25</v>
      </c>
      <c r="M82" s="69">
        <f>IF(AND(ISNUMBER(tblY8[[#This Row],[Mean Stanine]]),ISNUMBER(tblY8[[#This Row],[Avg KS2 Band]]),ISNUMBER(SlopeY8)),tblY8[[#This Row],[Mean Stanine]]-(InterceptY8+SlopeY8*tblY8[[#This Row],[Avg KS2 Band]]),"")</f>
        <v>0.0870523912521026</v>
      </c>
      <c r="N82" s="66" t="n">
        <v>18</v>
      </c>
      <c r="O82" s="67">
        <f>IF(ISNUMBER(tblY8[[#This Row],[8C01 - Periodic Table
Raw Score]]),IFERROR(VLOOKUP(ROUND(STANDARDIZE(tblY8[[#This Row],[8C01 - Periodic Table
Raw Score]],AVERAGE(tblY8[[8C01 - Periodic Table
Raw Score]]),_xlfn.STDEV.P(tblY8[[8C01 - Periodic Table
Raw Score]])),9),_Stanine,2),5),"")</f>
        <v>5</v>
      </c>
      <c r="P82" s="66" t="n">
        <v>5</v>
      </c>
      <c r="Q82" s="67">
        <f>IF(ISNUMBER(tblY8[[#This Row],[8P01 - Energy
Raw Score]]),IFERROR(VLOOKUP(ROUND(STANDARDIZE(tblY8[[#This Row],[8P01 - Energy
Raw Score]],AVERAGE(tblY8[[8P01 - Energy
Raw Score]]),_xlfn.STDEV.P(tblY8[[8P01 - Energy
Raw Score]])),9),_Stanine,2),5),"")</f>
        <v>3</v>
      </c>
      <c r="R82" s="66" t="n">
        <v>15</v>
      </c>
      <c r="S82" s="67">
        <f>IF(ISNUMBER(tblY8[[#This Row],[8B01 - Digestion
Raw Score]]),IFERROR(VLOOKUP(ROUND(STANDARDIZE(tblY8[[#This Row],[8B01 - Digestion
Raw Score]],AVERAGE(tblY8[[8B01 - Digestion
Raw Score]]),_xlfn.STDEV.P(tblY8[[8B01 - Digestion
Raw Score]])),9),_Stanine,2),5),"")</f>
        <v>5</v>
      </c>
      <c r="T82" s="66" t="n">
        <v>9</v>
      </c>
      <c r="U82" s="67">
        <f>IF(ISNUMBER(tblY8[[#This Row],[8C02 - Metals and Acids
Raw Score]]),IFERROR(VLOOKUP(ROUND(STANDARDIZE(tblY8[[#This Row],[8C02 - Metals and Acids
Raw Score]],AVERAGE(tblY8[[8C02 - Metals and Acids
Raw Score]]),_xlfn.STDEV.P(tblY8[[8C02 - Metals and Acids
Raw Score]])),9),_Stanine,2),5),"")</f>
        <v>4</v>
      </c>
      <c r="V82" s="66" t="n"/>
      <c r="W82" s="67" t="str">
        <f>IF(ISNUMBER(tblY8[[#This Row],[8P02 - Light
Raw Score]]),IFERROR(VLOOKUP(ROUND(STANDARDIZE(tblY8[[#This Row],[8P02 - Light
Raw Score]],AVERAGE(tblY8[[8P02 - Light
Raw Score]]),_xlfn.STDEV.P(tblY8[[8P02 - Light
Raw Score]])),9),_Stanine,2),5),"")</f>
        <v/>
      </c>
    </row>
    <row r="83">
      <c r="A83" s="65" t="inlineStr">
        <is>
          <t>X904907659383</t>
        </is>
      </c>
      <c r="B83" s="65" t="inlineStr">
        <is>
          <t>Kelly</t>
        </is>
      </c>
      <c r="C83" s="65" t="inlineStr">
        <is>
          <t>Niamh</t>
        </is>
      </c>
      <c r="D83" s="66" t="inlineStr">
        <is>
          <t>F</t>
        </is>
      </c>
      <c r="E83" s="66" t="n"/>
      <c r="F83" s="66" t="inlineStr">
        <is>
          <t>N</t>
        </is>
      </c>
      <c r="G83" s="34" t="n">
        <v>92.3</v>
      </c>
      <c r="H83" s="34" t="n">
        <v>96</v>
      </c>
      <c r="I83" s="67">
        <f>IF(ISNUMBER(tblY8[[#This Row],[Avg KS2]]),IFERROR(VLOOKUP(ROUND(STANDARDIZE(tblY8[[#This Row],[Avg KS2]],AVERAGE(tblY8[[Avg KS2]]),_xlfn.STDEV.P(tblY8[[Avg KS2]])),9),_Stanine,2),5),"")</f>
        <v>2</v>
      </c>
      <c r="J83" s="66" t="inlineStr">
        <is>
          <t>8A/Sc4</t>
        </is>
      </c>
      <c r="K83" s="67">
        <f>IF(tblY8[[#This Row],[Preferred Last name]]="","",COUNTIFS($N$1:$ZZ$1,"*"&amp;CHAR(10)&amp;"Stanine",$N83:$ZZ83,"&gt;=1"))</f>
        <v>4</v>
      </c>
      <c r="L83" s="68">
        <f>IFERROR(AVERAGEIF($N$1:$ZZ$1,"*"&amp;CHAR(10)&amp;"Stanine",$N83:$ZZ83),"")</f>
        <v>3.75</v>
      </c>
      <c r="M83" s="69">
        <f>IF(AND(ISNUMBER(tblY8[[#This Row],[Mean Stanine]]),ISNUMBER(tblY8[[#This Row],[Avg KS2 Band]]),ISNUMBER(SlopeY8)),tblY8[[#This Row],[Mean Stanine]]-(InterceptY8+SlopeY8*tblY8[[#This Row],[Avg KS2 Band]]),"")</f>
        <v>1.14487503004086</v>
      </c>
      <c r="N83" s="66" t="n">
        <v>14</v>
      </c>
      <c r="O83" s="67">
        <f>IF(ISNUMBER(tblY8[[#This Row],[8C01 - Periodic Table
Raw Score]]),IFERROR(VLOOKUP(ROUND(STANDARDIZE(tblY8[[#This Row],[8C01 - Periodic Table
Raw Score]],AVERAGE(tblY8[[8C01 - Periodic Table
Raw Score]]),_xlfn.STDEV.P(tblY8[[8C01 - Periodic Table
Raw Score]])),9),_Stanine,2),5),"")</f>
        <v>4</v>
      </c>
      <c r="P83" s="66" t="n">
        <v>6</v>
      </c>
      <c r="Q83" s="67">
        <f>IF(ISNUMBER(tblY8[[#This Row],[8P01 - Energy
Raw Score]]),IFERROR(VLOOKUP(ROUND(STANDARDIZE(tblY8[[#This Row],[8P01 - Energy
Raw Score]],AVERAGE(tblY8[[8P01 - Energy
Raw Score]]),_xlfn.STDEV.P(tblY8[[8P01 - Energy
Raw Score]])),9),_Stanine,2),5),"")</f>
        <v>3</v>
      </c>
      <c r="R83" s="66" t="n">
        <v>14</v>
      </c>
      <c r="S83" s="67">
        <f>IF(ISNUMBER(tblY8[[#This Row],[8B01 - Digestion
Raw Score]]),IFERROR(VLOOKUP(ROUND(STANDARDIZE(tblY8[[#This Row],[8B01 - Digestion
Raw Score]],AVERAGE(tblY8[[8B01 - Digestion
Raw Score]]),_xlfn.STDEV.P(tblY8[[8B01 - Digestion
Raw Score]])),9),_Stanine,2),5),"")</f>
        <v>5</v>
      </c>
      <c r="T83" s="66" t="n">
        <v>6</v>
      </c>
      <c r="U83" s="67">
        <f>IF(ISNUMBER(tblY8[[#This Row],[8C02 - Metals and Acids
Raw Score]]),IFERROR(VLOOKUP(ROUND(STANDARDIZE(tblY8[[#This Row],[8C02 - Metals and Acids
Raw Score]],AVERAGE(tblY8[[8C02 - Metals and Acids
Raw Score]]),_xlfn.STDEV.P(tblY8[[8C02 - Metals and Acids
Raw Score]])),9),_Stanine,2),5),"")</f>
        <v>3</v>
      </c>
      <c r="V83" s="66" t="n"/>
      <c r="W83" s="67" t="str">
        <f>IF(ISNUMBER(tblY8[[#This Row],[8P02 - Light
Raw Score]]),IFERROR(VLOOKUP(ROUND(STANDARDIZE(tblY8[[#This Row],[8P02 - Light
Raw Score]],AVERAGE(tblY8[[8P02 - Light
Raw Score]]),_xlfn.STDEV.P(tblY8[[8P02 - Light
Raw Score]])),9),_Stanine,2),5),"")</f>
        <v/>
      </c>
    </row>
    <row r="84">
      <c r="A84" s="65" t="inlineStr">
        <is>
          <t>X901033096794</t>
        </is>
      </c>
      <c r="B84" s="65" t="inlineStr">
        <is>
          <t>Kowalski</t>
        </is>
      </c>
      <c r="C84" s="65" t="inlineStr">
        <is>
          <t>Oliver</t>
        </is>
      </c>
      <c r="D84" s="66" t="inlineStr">
        <is>
          <t>M</t>
        </is>
      </c>
      <c r="E84" s="66" t="inlineStr">
        <is>
          <t>K</t>
        </is>
      </c>
      <c r="F84" s="66" t="inlineStr">
        <is>
          <t>N</t>
        </is>
      </c>
      <c r="G84" s="34" t="n">
        <v>85.40000000000001</v>
      </c>
      <c r="H84" s="34" t="n">
        <v>103</v>
      </c>
      <c r="I84" s="67">
        <f>IF(ISNUMBER(tblY8[[#This Row],[Avg KS2]]),IFERROR(VLOOKUP(ROUND(STANDARDIZE(tblY8[[#This Row],[Avg KS2]],AVERAGE(tblY8[[Avg KS2]]),_xlfn.STDEV.P(tblY8[[Avg KS2]])),9),_Stanine,2),5),"")</f>
        <v>4</v>
      </c>
      <c r="J84" s="66" t="inlineStr">
        <is>
          <t>8A/Sc4</t>
        </is>
      </c>
      <c r="K84" s="67">
        <f>IF(tblY8[[#This Row],[Preferred Last name]]="","",COUNTIFS($N$1:$ZZ$1,"*"&amp;CHAR(10)&amp;"Stanine",$N84:$ZZ84,"&gt;=1"))</f>
        <v>4</v>
      </c>
      <c r="L84" s="68">
        <f>IFERROR(AVERAGEIF($N$1:$ZZ$1,"*"&amp;CHAR(10)&amp;"Stanine",$N84:$ZZ84),"")</f>
        <v>4.5</v>
      </c>
      <c r="M84" s="69">
        <f>IF(AND(ISNUMBER(tblY8[[#This Row],[Mean Stanine]]),ISNUMBER(tblY8[[#This Row],[Avg KS2 Band]]),ISNUMBER(SlopeY8)),tblY8[[#This Row],[Mean Stanine]]-(InterceptY8+SlopeY8*tblY8[[#This Row],[Avg KS2 Band]]),"")</f>
        <v>0.337052391252103</v>
      </c>
      <c r="N84" s="66" t="n">
        <v>20</v>
      </c>
      <c r="O84" s="67">
        <f>IF(ISNUMBER(tblY8[[#This Row],[8C01 - Periodic Table
Raw Score]]),IFERROR(VLOOKUP(ROUND(STANDARDIZE(tblY8[[#This Row],[8C01 - Periodic Table
Raw Score]],AVERAGE(tblY8[[8C01 - Periodic Table
Raw Score]]),_xlfn.STDEV.P(tblY8[[8C01 - Periodic Table
Raw Score]])),9),_Stanine,2),5),"")</f>
        <v>6</v>
      </c>
      <c r="P84" s="66" t="n">
        <v>9</v>
      </c>
      <c r="Q84" s="67">
        <f>IF(ISNUMBER(tblY8[[#This Row],[8P01 - Energy
Raw Score]]),IFERROR(VLOOKUP(ROUND(STANDARDIZE(tblY8[[#This Row],[8P01 - Energy
Raw Score]],AVERAGE(tblY8[[8P01 - Energy
Raw Score]]),_xlfn.STDEV.P(tblY8[[8P01 - Energy
Raw Score]])),9),_Stanine,2),5),"")</f>
        <v>4</v>
      </c>
      <c r="R84" s="66" t="n">
        <v>12</v>
      </c>
      <c r="S84" s="67">
        <f>IF(ISNUMBER(tblY8[[#This Row],[8B01 - Digestion
Raw Score]]),IFERROR(VLOOKUP(ROUND(STANDARDIZE(tblY8[[#This Row],[8B01 - Digestion
Raw Score]],AVERAGE(tblY8[[8B01 - Digestion
Raw Score]]),_xlfn.STDEV.P(tblY8[[8B01 - Digestion
Raw Score]])),9),_Stanine,2),5),"")</f>
        <v>4</v>
      </c>
      <c r="T84" s="66" t="n">
        <v>10</v>
      </c>
      <c r="U84" s="67">
        <f>IF(ISNUMBER(tblY8[[#This Row],[8C02 - Metals and Acids
Raw Score]]),IFERROR(VLOOKUP(ROUND(STANDARDIZE(tblY8[[#This Row],[8C02 - Metals and Acids
Raw Score]],AVERAGE(tblY8[[8C02 - Metals and Acids
Raw Score]]),_xlfn.STDEV.P(tblY8[[8C02 - Metals and Acids
Raw Score]])),9),_Stanine,2),5),"")</f>
        <v>4</v>
      </c>
      <c r="V84" s="66" t="n"/>
      <c r="W84" s="67" t="str">
        <f>IF(ISNUMBER(tblY8[[#This Row],[8P02 - Light
Raw Score]]),IFERROR(VLOOKUP(ROUND(STANDARDIZE(tblY8[[#This Row],[8P02 - Light
Raw Score]],AVERAGE(tblY8[[8P02 - Light
Raw Score]]),_xlfn.STDEV.P(tblY8[[8P02 - Light
Raw Score]])),9),_Stanine,2),5),"")</f>
        <v/>
      </c>
    </row>
    <row r="85">
      <c r="A85" s="65" t="inlineStr">
        <is>
          <t>X902087216549</t>
        </is>
      </c>
      <c r="B85" s="65" t="inlineStr">
        <is>
          <t>Lloyd</t>
        </is>
      </c>
      <c r="C85" s="65" t="inlineStr">
        <is>
          <t>Jacob</t>
        </is>
      </c>
      <c r="D85" s="66" t="inlineStr">
        <is>
          <t>M</t>
        </is>
      </c>
      <c r="E85" s="66" t="inlineStr">
        <is>
          <t>N</t>
        </is>
      </c>
      <c r="F85" s="66" t="inlineStr">
        <is>
          <t>N</t>
        </is>
      </c>
      <c r="G85" s="34" t="n">
        <v>92.40000000000001</v>
      </c>
      <c r="H85" s="34" t="n">
        <v>101</v>
      </c>
      <c r="I85" s="67">
        <f>IF(ISNUMBER(tblY8[[#This Row],[Avg KS2]]),IFERROR(VLOOKUP(ROUND(STANDARDIZE(tblY8[[#This Row],[Avg KS2]],AVERAGE(tblY8[[Avg KS2]]),_xlfn.STDEV.P(tblY8[[Avg KS2]])),9),_Stanine,2),5),"")</f>
        <v>4</v>
      </c>
      <c r="J85" s="66" t="inlineStr">
        <is>
          <t>8A/Sc4</t>
        </is>
      </c>
      <c r="K85" s="67">
        <f>IF(tblY8[[#This Row],[Preferred Last name]]="","",COUNTIFS($N$1:$ZZ$1,"*"&amp;CHAR(10)&amp;"Stanine",$N85:$ZZ85,"&gt;=1"))</f>
        <v>4</v>
      </c>
      <c r="L85" s="68">
        <f>IFERROR(AVERAGEIF($N$1:$ZZ$1,"*"&amp;CHAR(10)&amp;"Stanine",$N85:$ZZ85),"")</f>
        <v>3.75</v>
      </c>
      <c r="M85" s="69">
        <f>IF(AND(ISNUMBER(tblY8[[#This Row],[Mean Stanine]]),ISNUMBER(tblY8[[#This Row],[Avg KS2 Band]]),ISNUMBER(SlopeY8)),tblY8[[#This Row],[Mean Stanine]]-(InterceptY8+SlopeY8*tblY8[[#This Row],[Avg KS2 Band]]),"")</f>
        <v>-0.412947608747897</v>
      </c>
      <c r="N85" s="66" t="n">
        <v>14</v>
      </c>
      <c r="O85" s="67">
        <f>IF(ISNUMBER(tblY8[[#This Row],[8C01 - Periodic Table
Raw Score]]),IFERROR(VLOOKUP(ROUND(STANDARDIZE(tblY8[[#This Row],[8C01 - Periodic Table
Raw Score]],AVERAGE(tblY8[[8C01 - Periodic Table
Raw Score]]),_xlfn.STDEV.P(tblY8[[8C01 - Periodic Table
Raw Score]])),9),_Stanine,2),5),"")</f>
        <v>4</v>
      </c>
      <c r="P85" s="66" t="n">
        <v>8</v>
      </c>
      <c r="Q85" s="67">
        <f>IF(ISNUMBER(tblY8[[#This Row],[8P01 - Energy
Raw Score]]),IFERROR(VLOOKUP(ROUND(STANDARDIZE(tblY8[[#This Row],[8P01 - Energy
Raw Score]],AVERAGE(tblY8[[8P01 - Energy
Raw Score]]),_xlfn.STDEV.P(tblY8[[8P01 - Energy
Raw Score]])),9),_Stanine,2),5),"")</f>
        <v>4</v>
      </c>
      <c r="R85" s="66" t="n">
        <v>9</v>
      </c>
      <c r="S85" s="67">
        <f>IF(ISNUMBER(tblY8[[#This Row],[8B01 - Digestion
Raw Score]]),IFERROR(VLOOKUP(ROUND(STANDARDIZE(tblY8[[#This Row],[8B01 - Digestion
Raw Score]],AVERAGE(tblY8[[8B01 - Digestion
Raw Score]]),_xlfn.STDEV.P(tblY8[[8B01 - Digestion
Raw Score]])),9),_Stanine,2),5),"")</f>
        <v>3</v>
      </c>
      <c r="T85" s="66" t="n">
        <v>10</v>
      </c>
      <c r="U85" s="67">
        <f>IF(ISNUMBER(tblY8[[#This Row],[8C02 - Metals and Acids
Raw Score]]),IFERROR(VLOOKUP(ROUND(STANDARDIZE(tblY8[[#This Row],[8C02 - Metals and Acids
Raw Score]],AVERAGE(tblY8[[8C02 - Metals and Acids
Raw Score]]),_xlfn.STDEV.P(tblY8[[8C02 - Metals and Acids
Raw Score]])),9),_Stanine,2),5),"")</f>
        <v>4</v>
      </c>
      <c r="V85" s="66" t="n"/>
      <c r="W85" s="67" t="str">
        <f>IF(ISNUMBER(tblY8[[#This Row],[8P02 - Light
Raw Score]]),IFERROR(VLOOKUP(ROUND(STANDARDIZE(tblY8[[#This Row],[8P02 - Light
Raw Score]],AVERAGE(tblY8[[8P02 - Light
Raw Score]]),_xlfn.STDEV.P(tblY8[[8P02 - Light
Raw Score]])),9),_Stanine,2),5),"")</f>
        <v/>
      </c>
    </row>
    <row r="86">
      <c r="A86" s="65" t="inlineStr">
        <is>
          <t>X909997091897</t>
        </is>
      </c>
      <c r="B86" s="65" t="inlineStr">
        <is>
          <t>Lloyd</t>
        </is>
      </c>
      <c r="C86" s="65" t="inlineStr">
        <is>
          <t>Zara</t>
        </is>
      </c>
      <c r="D86" s="66" t="inlineStr">
        <is>
          <t>M</t>
        </is>
      </c>
      <c r="E86" s="66" t="inlineStr">
        <is>
          <t>K</t>
        </is>
      </c>
      <c r="F86" s="66" t="inlineStr">
        <is>
          <t>N</t>
        </is>
      </c>
      <c r="G86" s="34" t="n">
        <v>89.5</v>
      </c>
      <c r="H86" s="34" t="n">
        <v>89.5</v>
      </c>
      <c r="I86" s="67">
        <f>IF(ISNUMBER(tblY8[[#This Row],[Avg KS2]]),IFERROR(VLOOKUP(ROUND(STANDARDIZE(tblY8[[#This Row],[Avg KS2]],AVERAGE(tblY8[[Avg KS2]]),_xlfn.STDEV.P(tblY8[[Avg KS2]])),9),_Stanine,2),5),"")</f>
        <v>1</v>
      </c>
      <c r="J86" s="66" t="inlineStr">
        <is>
          <t>8A/Sc4</t>
        </is>
      </c>
      <c r="K86" s="67">
        <f>IF(tblY8[[#This Row],[Preferred Last name]]="","",COUNTIFS($N$1:$ZZ$1,"*"&amp;CHAR(10)&amp;"Stanine",$N86:$ZZ86,"&gt;=1"))</f>
        <v>4</v>
      </c>
      <c r="L86" s="68">
        <f>IFERROR(AVERAGEIF($N$1:$ZZ$1,"*"&amp;CHAR(10)&amp;"Stanine",$N86:$ZZ86),"")</f>
        <v>1.25</v>
      </c>
      <c r="M86" s="69">
        <f>IF(AND(ISNUMBER(tblY8[[#This Row],[Mean Stanine]]),ISNUMBER(tblY8[[#This Row],[Avg KS2 Band]]),ISNUMBER(SlopeY8)),tblY8[[#This Row],[Mean Stanine]]-(InterceptY8+SlopeY8*tblY8[[#This Row],[Avg KS2 Band]]),"")</f>
        <v>-0.576213650564769</v>
      </c>
      <c r="N86" s="66" t="n">
        <v>4</v>
      </c>
      <c r="O86" s="67">
        <f>IF(ISNUMBER(tblY8[[#This Row],[8C01 - Periodic Table
Raw Score]]),IFERROR(VLOOKUP(ROUND(STANDARDIZE(tblY8[[#This Row],[8C01 - Periodic Table
Raw Score]],AVERAGE(tblY8[[8C01 - Periodic Table
Raw Score]]),_xlfn.STDEV.P(tblY8[[8C01 - Periodic Table
Raw Score]])),9),_Stanine,2),5),"")</f>
        <v>1</v>
      </c>
      <c r="P86" s="66" t="n">
        <v>2</v>
      </c>
      <c r="Q86" s="67">
        <f>IF(ISNUMBER(tblY8[[#This Row],[8P01 - Energy
Raw Score]]),IFERROR(VLOOKUP(ROUND(STANDARDIZE(tblY8[[#This Row],[8P01 - Energy
Raw Score]],AVERAGE(tblY8[[8P01 - Energy
Raw Score]]),_xlfn.STDEV.P(tblY8[[8P01 - Energy
Raw Score]])),9),_Stanine,2),5),"")</f>
        <v>2</v>
      </c>
      <c r="R86" s="66" t="n">
        <v>2</v>
      </c>
      <c r="S86" s="67">
        <f>IF(ISNUMBER(tblY8[[#This Row],[8B01 - Digestion
Raw Score]]),IFERROR(VLOOKUP(ROUND(STANDARDIZE(tblY8[[#This Row],[8B01 - Digestion
Raw Score]],AVERAGE(tblY8[[8B01 - Digestion
Raw Score]]),_xlfn.STDEV.P(tblY8[[8B01 - Digestion
Raw Score]])),9),_Stanine,2),5),"")</f>
        <v>1</v>
      </c>
      <c r="T86" s="66" t="n">
        <v>2</v>
      </c>
      <c r="U86" s="67">
        <f>IF(ISNUMBER(tblY8[[#This Row],[8C02 - Metals and Acids
Raw Score]]),IFERROR(VLOOKUP(ROUND(STANDARDIZE(tblY8[[#This Row],[8C02 - Metals and Acids
Raw Score]],AVERAGE(tblY8[[8C02 - Metals and Acids
Raw Score]]),_xlfn.STDEV.P(tblY8[[8C02 - Metals and Acids
Raw Score]])),9),_Stanine,2),5),"")</f>
        <v>1</v>
      </c>
      <c r="V86" s="66" t="n"/>
      <c r="W86" s="67" t="str">
        <f>IF(ISNUMBER(tblY8[[#This Row],[8P02 - Light
Raw Score]]),IFERROR(VLOOKUP(ROUND(STANDARDIZE(tblY8[[#This Row],[8P02 - Light
Raw Score]],AVERAGE(tblY8[[8P02 - Light
Raw Score]]),_xlfn.STDEV.P(tblY8[[8P02 - Light
Raw Score]])),9),_Stanine,2),5),"")</f>
        <v/>
      </c>
    </row>
    <row r="87">
      <c r="A87" s="65" t="inlineStr">
        <is>
          <t>X904361657829</t>
        </is>
      </c>
      <c r="B87" s="65" t="inlineStr">
        <is>
          <t>Okafor</t>
        </is>
      </c>
      <c r="C87" s="65" t="inlineStr">
        <is>
          <t>Hollie</t>
        </is>
      </c>
      <c r="D87" s="66" t="inlineStr">
        <is>
          <t>F</t>
        </is>
      </c>
      <c r="E87" s="66" t="n"/>
      <c r="F87" s="66" t="inlineStr">
        <is>
          <t>N</t>
        </is>
      </c>
      <c r="G87" s="34" t="n">
        <v>92.3</v>
      </c>
      <c r="H87" s="34" t="n">
        <v>103</v>
      </c>
      <c r="I87" s="67">
        <f>IF(ISNUMBER(tblY8[[#This Row],[Avg KS2]]),IFERROR(VLOOKUP(ROUND(STANDARDIZE(tblY8[[#This Row],[Avg KS2]],AVERAGE(tblY8[[Avg KS2]]),_xlfn.STDEV.P(tblY8[[Avg KS2]])),9),_Stanine,2),5),"")</f>
        <v>4</v>
      </c>
      <c r="J87" s="66" t="inlineStr">
        <is>
          <t>8A/Sc4</t>
        </is>
      </c>
      <c r="K87" s="67">
        <f>IF(tblY8[[#This Row],[Preferred Last name]]="","",COUNTIFS($N$1:$ZZ$1,"*"&amp;CHAR(10)&amp;"Stanine",$N87:$ZZ87,"&gt;=1"))</f>
        <v>4</v>
      </c>
      <c r="L87" s="68">
        <f>IFERROR(AVERAGEIF($N$1:$ZZ$1,"*"&amp;CHAR(10)&amp;"Stanine",$N87:$ZZ87),"")</f>
        <v>6.25</v>
      </c>
      <c r="M87" s="69">
        <f>IF(AND(ISNUMBER(tblY8[[#This Row],[Mean Stanine]]),ISNUMBER(tblY8[[#This Row],[Avg KS2 Band]]),ISNUMBER(SlopeY8)),tblY8[[#This Row],[Mean Stanine]]-(InterceptY8+SlopeY8*tblY8[[#This Row],[Avg KS2 Band]]),"")</f>
        <v>2.0870523912521</v>
      </c>
      <c r="N87" s="66" t="n">
        <v>22</v>
      </c>
      <c r="O87" s="67">
        <f>IF(ISNUMBER(tblY8[[#This Row],[8C01 - Periodic Table
Raw Score]]),IFERROR(VLOOKUP(ROUND(STANDARDIZE(tblY8[[#This Row],[8C01 - Periodic Table
Raw Score]],AVERAGE(tblY8[[8C01 - Periodic Table
Raw Score]]),_xlfn.STDEV.P(tblY8[[8C01 - Periodic Table
Raw Score]])),9),_Stanine,2),5),"")</f>
        <v>6</v>
      </c>
      <c r="P87" s="66" t="n">
        <v>15</v>
      </c>
      <c r="Q87" s="67">
        <f>IF(ISNUMBER(tblY8[[#This Row],[8P01 - Energy
Raw Score]]),IFERROR(VLOOKUP(ROUND(STANDARDIZE(tblY8[[#This Row],[8P01 - Energy
Raw Score]],AVERAGE(tblY8[[8P01 - Energy
Raw Score]]),_xlfn.STDEV.P(tblY8[[8P01 - Energy
Raw Score]])),9),_Stanine,2),5),"")</f>
        <v>7</v>
      </c>
      <c r="R87" s="66" t="n">
        <v>18</v>
      </c>
      <c r="S87" s="67">
        <f>IF(ISNUMBER(tblY8[[#This Row],[8B01 - Digestion
Raw Score]]),IFERROR(VLOOKUP(ROUND(STANDARDIZE(tblY8[[#This Row],[8B01 - Digestion
Raw Score]],AVERAGE(tblY8[[8B01 - Digestion
Raw Score]]),_xlfn.STDEV.P(tblY8[[8B01 - Digestion
Raw Score]])),9),_Stanine,2),5),"")</f>
        <v>6</v>
      </c>
      <c r="T87" s="66" t="n">
        <v>14</v>
      </c>
      <c r="U87" s="67">
        <f>IF(ISNUMBER(tblY8[[#This Row],[8C02 - Metals and Acids
Raw Score]]),IFERROR(VLOOKUP(ROUND(STANDARDIZE(tblY8[[#This Row],[8C02 - Metals and Acids
Raw Score]],AVERAGE(tblY8[[8C02 - Metals and Acids
Raw Score]]),_xlfn.STDEV.P(tblY8[[8C02 - Metals and Acids
Raw Score]])),9),_Stanine,2),5),"")</f>
        <v>6</v>
      </c>
      <c r="V87" s="66" t="n"/>
      <c r="W87" s="67" t="str">
        <f>IF(ISNUMBER(tblY8[[#This Row],[8P02 - Light
Raw Score]]),IFERROR(VLOOKUP(ROUND(STANDARDIZE(tblY8[[#This Row],[8P02 - Light
Raw Score]],AVERAGE(tblY8[[8P02 - Light
Raw Score]]),_xlfn.STDEV.P(tblY8[[8P02 - Light
Raw Score]])),9),_Stanine,2),5),"")</f>
        <v/>
      </c>
    </row>
    <row r="88">
      <c r="A88" s="65" t="inlineStr">
        <is>
          <t>X902080559922</t>
        </is>
      </c>
      <c r="B88" s="65" t="inlineStr">
        <is>
          <t>Patel</t>
        </is>
      </c>
      <c r="C88" s="65" t="inlineStr">
        <is>
          <t>Lewis</t>
        </is>
      </c>
      <c r="D88" s="66" t="inlineStr">
        <is>
          <t>F</t>
        </is>
      </c>
      <c r="E88" s="66" t="inlineStr">
        <is>
          <t>N</t>
        </is>
      </c>
      <c r="F88" s="66" t="inlineStr">
        <is>
          <t>N</t>
        </is>
      </c>
      <c r="G88" s="34" t="n">
        <v>90.8</v>
      </c>
      <c r="H88" s="34" t="n">
        <v>112</v>
      </c>
      <c r="I88" s="67">
        <f>IF(ISNUMBER(tblY8[[#This Row],[Avg KS2]]),IFERROR(VLOOKUP(ROUND(STANDARDIZE(tblY8[[#This Row],[Avg KS2]],AVERAGE(tblY8[[Avg KS2]]),_xlfn.STDEV.P(tblY8[[Avg KS2]])),9),_Stanine,2),5),"")</f>
        <v>7</v>
      </c>
      <c r="J88" s="66" t="inlineStr">
        <is>
          <t>8A/Sc4</t>
        </is>
      </c>
      <c r="K88" s="67">
        <f>IF(tblY8[[#This Row],[Preferred Last name]]="","",COUNTIFS($N$1:$ZZ$1,"*"&amp;CHAR(10)&amp;"Stanine",$N88:$ZZ88,"&gt;=1"))</f>
        <v>4</v>
      </c>
      <c r="L88" s="68">
        <f>IFERROR(AVERAGEIF($N$1:$ZZ$1,"*"&amp;CHAR(10)&amp;"Stanine",$N88:$ZZ88),"")</f>
        <v>5.25</v>
      </c>
      <c r="M88" s="69">
        <f>IF(AND(ISNUMBER(tblY8[[#This Row],[Mean Stanine]]),ISNUMBER(tblY8[[#This Row],[Avg KS2 Band]]),ISNUMBER(SlopeY8)),tblY8[[#This Row],[Mean Stanine]]-(InterceptY8+SlopeY8*tblY8[[#This Row],[Avg KS2 Band]]),"")</f>
        <v>-1.24968156693103</v>
      </c>
      <c r="N88" s="66" t="n">
        <v>23</v>
      </c>
      <c r="O88" s="67">
        <f>IF(ISNUMBER(tblY8[[#This Row],[8C01 - Periodic Table
Raw Score]]),IFERROR(VLOOKUP(ROUND(STANDARDIZE(tblY8[[#This Row],[8C01 - Periodic Table
Raw Score]],AVERAGE(tblY8[[8C01 - Periodic Table
Raw Score]]),_xlfn.STDEV.P(tblY8[[8C01 - Periodic Table
Raw Score]])),9),_Stanine,2),5),"")</f>
        <v>7</v>
      </c>
      <c r="P88" s="66" t="n">
        <v>11</v>
      </c>
      <c r="Q88" s="67">
        <f>IF(ISNUMBER(tblY8[[#This Row],[8P01 - Energy
Raw Score]]),IFERROR(VLOOKUP(ROUND(STANDARDIZE(tblY8[[#This Row],[8P01 - Energy
Raw Score]],AVERAGE(tblY8[[8P01 - Energy
Raw Score]]),_xlfn.STDEV.P(tblY8[[8P01 - Energy
Raw Score]])),9),_Stanine,2),5),"")</f>
        <v>5</v>
      </c>
      <c r="R88" s="66" t="n">
        <v>12</v>
      </c>
      <c r="S88" s="67">
        <f>IF(ISNUMBER(tblY8[[#This Row],[8B01 - Digestion
Raw Score]]),IFERROR(VLOOKUP(ROUND(STANDARDIZE(tblY8[[#This Row],[8B01 - Digestion
Raw Score]],AVERAGE(tblY8[[8B01 - Digestion
Raw Score]]),_xlfn.STDEV.P(tblY8[[8B01 - Digestion
Raw Score]])),9),_Stanine,2),5),"")</f>
        <v>4</v>
      </c>
      <c r="T88" s="66" t="n">
        <v>12</v>
      </c>
      <c r="U88" s="67">
        <f>IF(ISNUMBER(tblY8[[#This Row],[8C02 - Metals and Acids
Raw Score]]),IFERROR(VLOOKUP(ROUND(STANDARDIZE(tblY8[[#This Row],[8C02 - Metals and Acids
Raw Score]],AVERAGE(tblY8[[8C02 - Metals and Acids
Raw Score]]),_xlfn.STDEV.P(tblY8[[8C02 - Metals and Acids
Raw Score]])),9),_Stanine,2),5),"")</f>
        <v>5</v>
      </c>
      <c r="V88" s="66" t="n"/>
      <c r="W88" s="67" t="str">
        <f>IF(ISNUMBER(tblY8[[#This Row],[8P02 - Light
Raw Score]]),IFERROR(VLOOKUP(ROUND(STANDARDIZE(tblY8[[#This Row],[8P02 - Light
Raw Score]],AVERAGE(tblY8[[8P02 - Light
Raw Score]]),_xlfn.STDEV.P(tblY8[[8P02 - Light
Raw Score]])),9),_Stanine,2),5),"")</f>
        <v/>
      </c>
    </row>
    <row r="89">
      <c r="A89" s="65" t="inlineStr">
        <is>
          <t>X908110105831</t>
        </is>
      </c>
      <c r="B89" s="65" t="inlineStr">
        <is>
          <t>Shaw</t>
        </is>
      </c>
      <c r="C89" s="65" t="inlineStr">
        <is>
          <t>Rhys</t>
        </is>
      </c>
      <c r="D89" s="66" t="inlineStr">
        <is>
          <t>F</t>
        </is>
      </c>
      <c r="E89" s="66" t="inlineStr">
        <is>
          <t>N</t>
        </is>
      </c>
      <c r="F89" s="66" t="inlineStr">
        <is>
          <t>Y</t>
        </is>
      </c>
      <c r="G89" s="34" t="n">
        <v>90.09999999999999</v>
      </c>
      <c r="H89" s="34" t="n">
        <v>90</v>
      </c>
      <c r="I89" s="67">
        <f>IF(ISNUMBER(tblY8[[#This Row],[Avg KS2]]),IFERROR(VLOOKUP(ROUND(STANDARDIZE(tblY8[[#This Row],[Avg KS2]],AVERAGE(tblY8[[Avg KS2]]),_xlfn.STDEV.P(tblY8[[Avg KS2]])),9),_Stanine,2),5),"")</f>
        <v>1</v>
      </c>
      <c r="J89" s="66" t="inlineStr">
        <is>
          <t>8A/Sc4</t>
        </is>
      </c>
      <c r="K89" s="67">
        <f>IF(tblY8[[#This Row],[Preferred Last name]]="","",COUNTIFS($N$1:$ZZ$1,"*"&amp;CHAR(10)&amp;"Stanine",$N89:$ZZ89,"&gt;=1"))</f>
        <v>4</v>
      </c>
      <c r="L89" s="68">
        <f>IFERROR(AVERAGEIF($N$1:$ZZ$1,"*"&amp;CHAR(10)&amp;"Stanine",$N89:$ZZ89),"")</f>
        <v>1</v>
      </c>
      <c r="M89" s="69">
        <f>IF(AND(ISNUMBER(tblY8[[#This Row],[Mean Stanine]]),ISNUMBER(tblY8[[#This Row],[Avg KS2 Band]]),ISNUMBER(SlopeY8)),tblY8[[#This Row],[Mean Stanine]]-(InterceptY8+SlopeY8*tblY8[[#This Row],[Avg KS2 Band]]),"")</f>
        <v>-0.826213650564769</v>
      </c>
      <c r="N89" s="66" t="n">
        <v>4</v>
      </c>
      <c r="O89" s="67">
        <f>IF(ISNUMBER(tblY8[[#This Row],[8C01 - Periodic Table
Raw Score]]),IFERROR(VLOOKUP(ROUND(STANDARDIZE(tblY8[[#This Row],[8C01 - Periodic Table
Raw Score]],AVERAGE(tblY8[[8C01 - Periodic Table
Raw Score]]),_xlfn.STDEV.P(tblY8[[8C01 - Periodic Table
Raw Score]])),9),_Stanine,2),5),"")</f>
        <v>1</v>
      </c>
      <c r="P89" s="66" t="n">
        <v>1</v>
      </c>
      <c r="Q89" s="67">
        <f>IF(ISNUMBER(tblY8[[#This Row],[8P01 - Energy
Raw Score]]),IFERROR(VLOOKUP(ROUND(STANDARDIZE(tblY8[[#This Row],[8P01 - Energy
Raw Score]],AVERAGE(tblY8[[8P01 - Energy
Raw Score]]),_xlfn.STDEV.P(tblY8[[8P01 - Energy
Raw Score]])),9),_Stanine,2),5),"")</f>
        <v>1</v>
      </c>
      <c r="R89" s="66" t="n">
        <v>2</v>
      </c>
      <c r="S89" s="67">
        <f>IF(ISNUMBER(tblY8[[#This Row],[8B01 - Digestion
Raw Score]]),IFERROR(VLOOKUP(ROUND(STANDARDIZE(tblY8[[#This Row],[8B01 - Digestion
Raw Score]],AVERAGE(tblY8[[8B01 - Digestion
Raw Score]]),_xlfn.STDEV.P(tblY8[[8B01 - Digestion
Raw Score]])),9),_Stanine,2),5),"")</f>
        <v>1</v>
      </c>
      <c r="T89" s="66" t="n">
        <v>2</v>
      </c>
      <c r="U89" s="67">
        <f>IF(ISNUMBER(tblY8[[#This Row],[8C02 - Metals and Acids
Raw Score]]),IFERROR(VLOOKUP(ROUND(STANDARDIZE(tblY8[[#This Row],[8C02 - Metals and Acids
Raw Score]],AVERAGE(tblY8[[8C02 - Metals and Acids
Raw Score]]),_xlfn.STDEV.P(tblY8[[8C02 - Metals and Acids
Raw Score]])),9),_Stanine,2),5),"")</f>
        <v>1</v>
      </c>
      <c r="V89" s="66" t="n"/>
      <c r="W89" s="67" t="str">
        <f>IF(ISNUMBER(tblY8[[#This Row],[8P02 - Light
Raw Score]]),IFERROR(VLOOKUP(ROUND(STANDARDIZE(tblY8[[#This Row],[8P02 - Light
Raw Score]],AVERAGE(tblY8[[8P02 - Light
Raw Score]]),_xlfn.STDEV.P(tblY8[[8P02 - Light
Raw Score]])),9),_Stanine,2),5),"")</f>
        <v/>
      </c>
    </row>
    <row r="90">
      <c r="A90" s="65" t="inlineStr">
        <is>
          <t>X901240175943</t>
        </is>
      </c>
      <c r="B90" s="65" t="inlineStr">
        <is>
          <t>Thompson</t>
        </is>
      </c>
      <c r="C90" s="65" t="inlineStr">
        <is>
          <t>Ava</t>
        </is>
      </c>
      <c r="D90" s="66" t="inlineStr">
        <is>
          <t>F</t>
        </is>
      </c>
      <c r="E90" s="66" t="n"/>
      <c r="F90" s="66" t="inlineStr">
        <is>
          <t>Y</t>
        </is>
      </c>
      <c r="G90" s="34" t="n">
        <v>84.59999999999999</v>
      </c>
      <c r="H90" s="34" t="n">
        <v>96.5</v>
      </c>
      <c r="I90" s="67">
        <f>IF(ISNUMBER(tblY8[[#This Row],[Avg KS2]]),IFERROR(VLOOKUP(ROUND(STANDARDIZE(tblY8[[#This Row],[Avg KS2]],AVERAGE(tblY8[[Avg KS2]]),_xlfn.STDEV.P(tblY8[[Avg KS2]])),9),_Stanine,2),5),"")</f>
        <v>2</v>
      </c>
      <c r="J90" s="66" t="inlineStr">
        <is>
          <t>8A/Sc4</t>
        </is>
      </c>
      <c r="K90" s="67">
        <f>IF(tblY8[[#This Row],[Preferred Last name]]="","",COUNTIFS($N$1:$ZZ$1,"*"&amp;CHAR(10)&amp;"Stanine",$N90:$ZZ90,"&gt;=1"))</f>
        <v>4</v>
      </c>
      <c r="L90" s="68">
        <f>IFERROR(AVERAGEIF($N$1:$ZZ$1,"*"&amp;CHAR(10)&amp;"Stanine",$N90:$ZZ90),"")</f>
        <v>3</v>
      </c>
      <c r="M90" s="69">
        <f>IF(AND(ISNUMBER(tblY8[[#This Row],[Mean Stanine]]),ISNUMBER(tblY8[[#This Row],[Avg KS2 Band]]),ISNUMBER(SlopeY8)),tblY8[[#This Row],[Mean Stanine]]-(InterceptY8+SlopeY8*tblY8[[#This Row],[Avg KS2 Band]]),"")</f>
        <v>0.394875030040855</v>
      </c>
      <c r="N90" s="66" t="n">
        <v>12</v>
      </c>
      <c r="O90" s="67">
        <f>IF(ISNUMBER(tblY8[[#This Row],[8C01 - Periodic Table
Raw Score]]),IFERROR(VLOOKUP(ROUND(STANDARDIZE(tblY8[[#This Row],[8C01 - Periodic Table
Raw Score]],AVERAGE(tblY8[[8C01 - Periodic Table
Raw Score]]),_xlfn.STDEV.P(tblY8[[8C01 - Periodic Table
Raw Score]])),9),_Stanine,2),5),"")</f>
        <v>3</v>
      </c>
      <c r="P90" s="66" t="n">
        <v>5</v>
      </c>
      <c r="Q90" s="67">
        <f>IF(ISNUMBER(tblY8[[#This Row],[8P01 - Energy
Raw Score]]),IFERROR(VLOOKUP(ROUND(STANDARDIZE(tblY8[[#This Row],[8P01 - Energy
Raw Score]],AVERAGE(tblY8[[8P01 - Energy
Raw Score]]),_xlfn.STDEV.P(tblY8[[8P01 - Energy
Raw Score]])),9),_Stanine,2),5),"")</f>
        <v>3</v>
      </c>
      <c r="R90" s="66" t="n">
        <v>9</v>
      </c>
      <c r="S90" s="67">
        <f>IF(ISNUMBER(tblY8[[#This Row],[8B01 - Digestion
Raw Score]]),IFERROR(VLOOKUP(ROUND(STANDARDIZE(tblY8[[#This Row],[8B01 - Digestion
Raw Score]],AVERAGE(tblY8[[8B01 - Digestion
Raw Score]]),_xlfn.STDEV.P(tblY8[[8B01 - Digestion
Raw Score]])),9),_Stanine,2),5),"")</f>
        <v>3</v>
      </c>
      <c r="T90" s="66" t="n">
        <v>5</v>
      </c>
      <c r="U90" s="67">
        <f>IF(ISNUMBER(tblY8[[#This Row],[8C02 - Metals and Acids
Raw Score]]),IFERROR(VLOOKUP(ROUND(STANDARDIZE(tblY8[[#This Row],[8C02 - Metals and Acids
Raw Score]],AVERAGE(tblY8[[8C02 - Metals and Acids
Raw Score]]),_xlfn.STDEV.P(tblY8[[8C02 - Metals and Acids
Raw Score]])),9),_Stanine,2),5),"")</f>
        <v>3</v>
      </c>
      <c r="V90" s="66" t="n"/>
      <c r="W90" s="67" t="str">
        <f>IF(ISNUMBER(tblY8[[#This Row],[8P02 - Light
Raw Score]]),IFERROR(VLOOKUP(ROUND(STANDARDIZE(tblY8[[#This Row],[8P02 - Light
Raw Score]],AVERAGE(tblY8[[8P02 - Light
Raw Score]]),_xlfn.STDEV.P(tblY8[[8P02 - Light
Raw Score]])),9),_Stanine,2),5),"")</f>
        <v/>
      </c>
    </row>
    <row r="91">
      <c r="A91" s="65" t="inlineStr">
        <is>
          <t>X905145649490</t>
        </is>
      </c>
      <c r="B91" s="65" t="inlineStr">
        <is>
          <t>Turner</t>
        </is>
      </c>
      <c r="C91" s="65" t="inlineStr">
        <is>
          <t>Callum</t>
        </is>
      </c>
      <c r="D91" s="66" t="inlineStr">
        <is>
          <t>M</t>
        </is>
      </c>
      <c r="E91" s="66" t="n"/>
      <c r="F91" s="66" t="inlineStr">
        <is>
          <t>N</t>
        </is>
      </c>
      <c r="G91" s="34" t="n">
        <v>94.59999999999999</v>
      </c>
      <c r="H91" s="34" t="n">
        <v>103.5</v>
      </c>
      <c r="I91" s="67">
        <f>IF(ISNUMBER(tblY8[[#This Row],[Avg KS2]]),IFERROR(VLOOKUP(ROUND(STANDARDIZE(tblY8[[#This Row],[Avg KS2]],AVERAGE(tblY8[[Avg KS2]]),_xlfn.STDEV.P(tblY8[[Avg KS2]])),9),_Stanine,2),5),"")</f>
        <v>4</v>
      </c>
      <c r="J91" s="66" t="inlineStr">
        <is>
          <t>8A/Sc4</t>
        </is>
      </c>
      <c r="K91" s="67">
        <f>IF(tblY8[[#This Row],[Preferred Last name]]="","",COUNTIFS($N$1:$ZZ$1,"*"&amp;CHAR(10)&amp;"Stanine",$N91:$ZZ91,"&gt;=1"))</f>
        <v>4</v>
      </c>
      <c r="L91" s="68">
        <f>IFERROR(AVERAGEIF($N$1:$ZZ$1,"*"&amp;CHAR(10)&amp;"Stanine",$N91:$ZZ91),"")</f>
        <v>5.5</v>
      </c>
      <c r="M91" s="69">
        <f>IF(AND(ISNUMBER(tblY8[[#This Row],[Mean Stanine]]),ISNUMBER(tblY8[[#This Row],[Avg KS2 Band]]),ISNUMBER(SlopeY8)),tblY8[[#This Row],[Mean Stanine]]-(InterceptY8+SlopeY8*tblY8[[#This Row],[Avg KS2 Band]]),"")</f>
        <v>1.3370523912521</v>
      </c>
      <c r="N91" s="66" t="n">
        <v>18</v>
      </c>
      <c r="O91" s="67">
        <f>IF(ISNUMBER(tblY8[[#This Row],[8C01 - Periodic Table
Raw Score]]),IFERROR(VLOOKUP(ROUND(STANDARDIZE(tblY8[[#This Row],[8C01 - Periodic Table
Raw Score]],AVERAGE(tblY8[[8C01 - Periodic Table
Raw Score]]),_xlfn.STDEV.P(tblY8[[8C01 - Periodic Table
Raw Score]])),9),_Stanine,2),5),"")</f>
        <v>5</v>
      </c>
      <c r="P91" s="66" t="n">
        <v>12</v>
      </c>
      <c r="Q91" s="67">
        <f>IF(ISNUMBER(tblY8[[#This Row],[8P01 - Energy
Raw Score]]),IFERROR(VLOOKUP(ROUND(STANDARDIZE(tblY8[[#This Row],[8P01 - Energy
Raw Score]],AVERAGE(tblY8[[8P01 - Energy
Raw Score]]),_xlfn.STDEV.P(tblY8[[8P01 - Energy
Raw Score]])),9),_Stanine,2),5),"")</f>
        <v>6</v>
      </c>
      <c r="R91" s="66" t="n">
        <v>16</v>
      </c>
      <c r="S91" s="67">
        <f>IF(ISNUMBER(tblY8[[#This Row],[8B01 - Digestion
Raw Score]]),IFERROR(VLOOKUP(ROUND(STANDARDIZE(tblY8[[#This Row],[8B01 - Digestion
Raw Score]],AVERAGE(tblY8[[8B01 - Digestion
Raw Score]]),_xlfn.STDEV.P(tblY8[[8B01 - Digestion
Raw Score]])),9),_Stanine,2),5),"")</f>
        <v>6</v>
      </c>
      <c r="T91" s="66" t="n">
        <v>11</v>
      </c>
      <c r="U91" s="67">
        <f>IF(ISNUMBER(tblY8[[#This Row],[8C02 - Metals and Acids
Raw Score]]),IFERROR(VLOOKUP(ROUND(STANDARDIZE(tblY8[[#This Row],[8C02 - Metals and Acids
Raw Score]],AVERAGE(tblY8[[8C02 - Metals and Acids
Raw Score]]),_xlfn.STDEV.P(tblY8[[8C02 - Metals and Acids
Raw Score]])),9),_Stanine,2),5),"")</f>
        <v>5</v>
      </c>
      <c r="V91" s="66" t="n"/>
      <c r="W91" s="67" t="str">
        <f>IF(ISNUMBER(tblY8[[#This Row],[8P02 - Light
Raw Score]]),IFERROR(VLOOKUP(ROUND(STANDARDIZE(tblY8[[#This Row],[8P02 - Light
Raw Score]],AVERAGE(tblY8[[8P02 - Light
Raw Score]]),_xlfn.STDEV.P(tblY8[[8P02 - Light
Raw Score]])),9),_Stanine,2),5),"")</f>
        <v/>
      </c>
    </row>
    <row r="92">
      <c r="A92" s="65" t="inlineStr">
        <is>
          <t>X900481937924</t>
        </is>
      </c>
      <c r="B92" s="65" t="inlineStr">
        <is>
          <t>Walker</t>
        </is>
      </c>
      <c r="C92" s="65" t="inlineStr">
        <is>
          <t>Jack</t>
        </is>
      </c>
      <c r="D92" s="66" t="inlineStr">
        <is>
          <t>M</t>
        </is>
      </c>
      <c r="E92" s="66" t="inlineStr">
        <is>
          <t>N</t>
        </is>
      </c>
      <c r="F92" s="66" t="inlineStr">
        <is>
          <t>N</t>
        </is>
      </c>
      <c r="G92" s="34" t="n">
        <v>100</v>
      </c>
      <c r="H92" s="34" t="n">
        <v>96</v>
      </c>
      <c r="I92" s="67">
        <f>IF(ISNUMBER(tblY8[[#This Row],[Avg KS2]]),IFERROR(VLOOKUP(ROUND(STANDARDIZE(tblY8[[#This Row],[Avg KS2]],AVERAGE(tblY8[[Avg KS2]]),_xlfn.STDEV.P(tblY8[[Avg KS2]])),9),_Stanine,2),5),"")</f>
        <v>2</v>
      </c>
      <c r="J92" s="66" t="inlineStr">
        <is>
          <t>8A/Sc4</t>
        </is>
      </c>
      <c r="K92" s="67">
        <f>IF(tblY8[[#This Row],[Preferred Last name]]="","",COUNTIFS($N$1:$ZZ$1,"*"&amp;CHAR(10)&amp;"Stanine",$N92:$ZZ92,"&gt;=1"))</f>
        <v>4</v>
      </c>
      <c r="L92" s="68">
        <f>IFERROR(AVERAGEIF($N$1:$ZZ$1,"*"&amp;CHAR(10)&amp;"Stanine",$N92:$ZZ92),"")</f>
        <v>2.75</v>
      </c>
      <c r="M92" s="69">
        <f>IF(AND(ISNUMBER(tblY8[[#This Row],[Mean Stanine]]),ISNUMBER(tblY8[[#This Row],[Avg KS2 Band]]),ISNUMBER(SlopeY8)),tblY8[[#This Row],[Mean Stanine]]-(InterceptY8+SlopeY8*tblY8[[#This Row],[Avg KS2 Band]]),"")</f>
        <v>0.144875030040855</v>
      </c>
      <c r="N92" s="66" t="n">
        <v>8</v>
      </c>
      <c r="O92" s="67">
        <f>IF(ISNUMBER(tblY8[[#This Row],[8C01 - Periodic Table
Raw Score]]),IFERROR(VLOOKUP(ROUND(STANDARDIZE(tblY8[[#This Row],[8C01 - Periodic Table
Raw Score]],AVERAGE(tblY8[[8C01 - Periodic Table
Raw Score]]),_xlfn.STDEV.P(tblY8[[8C01 - Periodic Table
Raw Score]])),9),_Stanine,2),5),"")</f>
        <v>2</v>
      </c>
      <c r="P92" s="66" t="n">
        <v>7</v>
      </c>
      <c r="Q92" s="67">
        <f>IF(ISNUMBER(tblY8[[#This Row],[8P01 - Energy
Raw Score]]),IFERROR(VLOOKUP(ROUND(STANDARDIZE(tblY8[[#This Row],[8P01 - Energy
Raw Score]],AVERAGE(tblY8[[8P01 - Energy
Raw Score]]),_xlfn.STDEV.P(tblY8[[8P01 - Energy
Raw Score]])),9),_Stanine,2),5),"")</f>
        <v>4</v>
      </c>
      <c r="R92" s="66" t="n">
        <v>6</v>
      </c>
      <c r="S92" s="67">
        <f>IF(ISNUMBER(tblY8[[#This Row],[8B01 - Digestion
Raw Score]]),IFERROR(VLOOKUP(ROUND(STANDARDIZE(tblY8[[#This Row],[8B01 - Digestion
Raw Score]],AVERAGE(tblY8[[8B01 - Digestion
Raw Score]]),_xlfn.STDEV.P(tblY8[[8B01 - Digestion
Raw Score]])),9),_Stanine,2),5),"")</f>
        <v>2</v>
      </c>
      <c r="T92" s="66" t="n">
        <v>7</v>
      </c>
      <c r="U92" s="67">
        <f>IF(ISNUMBER(tblY8[[#This Row],[8C02 - Metals and Acids
Raw Score]]),IFERROR(VLOOKUP(ROUND(STANDARDIZE(tblY8[[#This Row],[8C02 - Metals and Acids
Raw Score]],AVERAGE(tblY8[[8C02 - Metals and Acids
Raw Score]]),_xlfn.STDEV.P(tblY8[[8C02 - Metals and Acids
Raw Score]])),9),_Stanine,2),5),"")</f>
        <v>3</v>
      </c>
      <c r="V92" s="66" t="n"/>
      <c r="W92" s="67" t="str">
        <f>IF(ISNUMBER(tblY8[[#This Row],[8P02 - Light
Raw Score]]),IFERROR(VLOOKUP(ROUND(STANDARDIZE(tblY8[[#This Row],[8P02 - Light
Raw Score]],AVERAGE(tblY8[[8P02 - Light
Raw Score]]),_xlfn.STDEV.P(tblY8[[8P02 - Light
Raw Score]])),9),_Stanine,2),5),"")</f>
        <v/>
      </c>
    </row>
    <row r="93">
      <c r="A93" s="65" t="inlineStr">
        <is>
          <t>X909788816754</t>
        </is>
      </c>
      <c r="B93" s="65" t="inlineStr">
        <is>
          <t>Clarke</t>
        </is>
      </c>
      <c r="C93" s="65" t="inlineStr">
        <is>
          <t>Amara</t>
        </is>
      </c>
      <c r="D93" s="66" t="inlineStr">
        <is>
          <t>M</t>
        </is>
      </c>
      <c r="E93" s="66" t="inlineStr">
        <is>
          <t>K</t>
        </is>
      </c>
      <c r="F93" s="66" t="inlineStr">
        <is>
          <t>Y</t>
        </is>
      </c>
      <c r="G93" s="34" t="n">
        <v>100</v>
      </c>
      <c r="H93" s="34" t="n">
        <v>101</v>
      </c>
      <c r="I93" s="67">
        <f>IF(ISNUMBER(tblY8[[#This Row],[Avg KS2]]),IFERROR(VLOOKUP(ROUND(STANDARDIZE(tblY8[[#This Row],[Avg KS2]],AVERAGE(tblY8[[Avg KS2]]),_xlfn.STDEV.P(tblY8[[Avg KS2]])),9),_Stanine,2),5),"")</f>
        <v>4</v>
      </c>
      <c r="J93" s="66" t="inlineStr">
        <is>
          <t>Science Support</t>
        </is>
      </c>
      <c r="K93" s="67">
        <f>IF(tblY8[[#This Row],[Preferred Last name]]="","",COUNTIFS($N$1:$ZZ$1,"*"&amp;CHAR(10)&amp;"Stanine",$N93:$ZZ93,"&gt;=1"))</f>
        <v>4</v>
      </c>
      <c r="L93" s="68">
        <f>IFERROR(AVERAGEIF($N$1:$ZZ$1,"*"&amp;CHAR(10)&amp;"Stanine",$N93:$ZZ93),"")</f>
        <v>2</v>
      </c>
      <c r="M93" s="69">
        <f>IF(AND(ISNUMBER(tblY8[[#This Row],[Mean Stanine]]),ISNUMBER(tblY8[[#This Row],[Avg KS2 Band]]),ISNUMBER(SlopeY8)),tblY8[[#This Row],[Mean Stanine]]-(InterceptY8+SlopeY8*tblY8[[#This Row],[Avg KS2 Band]]),"")</f>
        <v>-2.1629476087479</v>
      </c>
      <c r="N93" s="66" t="n">
        <v>10</v>
      </c>
      <c r="O93" s="67">
        <f>IF(ISNUMBER(tblY8[[#This Row],[8C01 - Periodic Table
Raw Score]]),IFERROR(VLOOKUP(ROUND(STANDARDIZE(tblY8[[#This Row],[8C01 - Periodic Table
Raw Score]],AVERAGE(tblY8[[8C01 - Periodic Table
Raw Score]]),_xlfn.STDEV.P(tblY8[[8C01 - Periodic Table
Raw Score]])),9),_Stanine,2),5),"")</f>
        <v>2</v>
      </c>
      <c r="P93" s="66" t="n">
        <v>3</v>
      </c>
      <c r="Q93" s="67">
        <f>IF(ISNUMBER(tblY8[[#This Row],[8P01 - Energy
Raw Score]]),IFERROR(VLOOKUP(ROUND(STANDARDIZE(tblY8[[#This Row],[8P01 - Energy
Raw Score]],AVERAGE(tblY8[[8P01 - Energy
Raw Score]]),_xlfn.STDEV.P(tblY8[[8P01 - Energy
Raw Score]])),9),_Stanine,2),5),"")</f>
        <v>2</v>
      </c>
      <c r="R93" s="66" t="n">
        <v>3</v>
      </c>
      <c r="S93" s="67">
        <f>IF(ISNUMBER(tblY8[[#This Row],[8B01 - Digestion
Raw Score]]),IFERROR(VLOOKUP(ROUND(STANDARDIZE(tblY8[[#This Row],[8B01 - Digestion
Raw Score]],AVERAGE(tblY8[[8B01 - Digestion
Raw Score]]),_xlfn.STDEV.P(tblY8[[8B01 - Digestion
Raw Score]])),9),_Stanine,2),5),"")</f>
        <v>2</v>
      </c>
      <c r="T93" s="66" t="n">
        <v>4</v>
      </c>
      <c r="U93" s="67">
        <f>IF(ISNUMBER(tblY8[[#This Row],[8C02 - Metals and Acids
Raw Score]]),IFERROR(VLOOKUP(ROUND(STANDARDIZE(tblY8[[#This Row],[8C02 - Metals and Acids
Raw Score]],AVERAGE(tblY8[[8C02 - Metals and Acids
Raw Score]]),_xlfn.STDEV.P(tblY8[[8C02 - Metals and Acids
Raw Score]])),9),_Stanine,2),5),"")</f>
        <v>2</v>
      </c>
      <c r="V93" s="66" t="n"/>
      <c r="W93" s="67" t="str">
        <f>IF(ISNUMBER(tblY8[[#This Row],[8P02 - Light
Raw Score]]),IFERROR(VLOOKUP(ROUND(STANDARDIZE(tblY8[[#This Row],[8P02 - Light
Raw Score]],AVERAGE(tblY8[[8P02 - Light
Raw Score]]),_xlfn.STDEV.P(tblY8[[8P02 - Light
Raw Score]])),9),_Stanine,2),5),"")</f>
        <v/>
      </c>
    </row>
    <row r="94">
      <c r="A94" s="65" t="inlineStr">
        <is>
          <t>X902450462357</t>
        </is>
      </c>
      <c r="B94" s="65" t="inlineStr">
        <is>
          <t>Roberts</t>
        </is>
      </c>
      <c r="C94" s="65" t="inlineStr">
        <is>
          <t>Dylan</t>
        </is>
      </c>
      <c r="D94" s="66" t="inlineStr">
        <is>
          <t>M</t>
        </is>
      </c>
      <c r="E94" s="66" t="inlineStr">
        <is>
          <t>N</t>
        </is>
      </c>
      <c r="F94" s="66" t="inlineStr">
        <is>
          <t>N</t>
        </is>
      </c>
      <c r="G94" s="34" t="n">
        <v>90.90000000000001</v>
      </c>
      <c r="H94" s="34" t="n">
        <v>95</v>
      </c>
      <c r="I94" s="67">
        <f>IF(ISNUMBER(tblY8[[#This Row],[Avg KS2]]),IFERROR(VLOOKUP(ROUND(STANDARDIZE(tblY8[[#This Row],[Avg KS2]],AVERAGE(tblY8[[Avg KS2]]),_xlfn.STDEV.P(tblY8[[Avg KS2]])),9),_Stanine,2),5),"")</f>
        <v>1</v>
      </c>
      <c r="J94" s="66" t="inlineStr">
        <is>
          <t>Science Support</t>
        </is>
      </c>
      <c r="K94" s="67">
        <f>IF(tblY8[[#This Row],[Preferred Last name]]="","",COUNTIFS($N$1:$ZZ$1,"*"&amp;CHAR(10)&amp;"Stanine",$N94:$ZZ94,"&gt;=1"))</f>
        <v>4</v>
      </c>
      <c r="L94" s="68">
        <f>IFERROR(AVERAGEIF($N$1:$ZZ$1,"*"&amp;CHAR(10)&amp;"Stanine",$N94:$ZZ94),"")</f>
        <v>1</v>
      </c>
      <c r="M94" s="69">
        <f>IF(AND(ISNUMBER(tblY8[[#This Row],[Mean Stanine]]),ISNUMBER(tblY8[[#This Row],[Avg KS2 Band]]),ISNUMBER(SlopeY8)),tblY8[[#This Row],[Mean Stanine]]-(InterceptY8+SlopeY8*tblY8[[#This Row],[Avg KS2 Band]]),"")</f>
        <v>-0.826213650564769</v>
      </c>
      <c r="N94" s="66" t="n">
        <v>4</v>
      </c>
      <c r="O94" s="67">
        <f>IF(ISNUMBER(tblY8[[#This Row],[8C01 - Periodic Table
Raw Score]]),IFERROR(VLOOKUP(ROUND(STANDARDIZE(tblY8[[#This Row],[8C01 - Periodic Table
Raw Score]],AVERAGE(tblY8[[8C01 - Periodic Table
Raw Score]]),_xlfn.STDEV.P(tblY8[[8C01 - Periodic Table
Raw Score]])),9),_Stanine,2),5),"")</f>
        <v>1</v>
      </c>
      <c r="P94" s="66" t="n">
        <v>1</v>
      </c>
      <c r="Q94" s="67">
        <f>IF(ISNUMBER(tblY8[[#This Row],[8P01 - Energy
Raw Score]]),IFERROR(VLOOKUP(ROUND(STANDARDIZE(tblY8[[#This Row],[8P01 - Energy
Raw Score]],AVERAGE(tblY8[[8P01 - Energy
Raw Score]]),_xlfn.STDEV.P(tblY8[[8P01 - Energy
Raw Score]])),9),_Stanine,2),5),"")</f>
        <v>1</v>
      </c>
      <c r="R94" s="66" t="n">
        <v>1</v>
      </c>
      <c r="S94" s="67">
        <f>IF(ISNUMBER(tblY8[[#This Row],[8B01 - Digestion
Raw Score]]),IFERROR(VLOOKUP(ROUND(STANDARDIZE(tblY8[[#This Row],[8B01 - Digestion
Raw Score]],AVERAGE(tblY8[[8B01 - Digestion
Raw Score]]),_xlfn.STDEV.P(tblY8[[8B01 - Digestion
Raw Score]])),9),_Stanine,2),5),"")</f>
        <v>1</v>
      </c>
      <c r="T94" s="66" t="n">
        <v>1</v>
      </c>
      <c r="U94" s="67">
        <f>IF(ISNUMBER(tblY8[[#This Row],[8C02 - Metals and Acids
Raw Score]]),IFERROR(VLOOKUP(ROUND(STANDARDIZE(tblY8[[#This Row],[8C02 - Metals and Acids
Raw Score]],AVERAGE(tblY8[[8C02 - Metals and Acids
Raw Score]]),_xlfn.STDEV.P(tblY8[[8C02 - Metals and Acids
Raw Score]])),9),_Stanine,2),5),"")</f>
        <v>1</v>
      </c>
      <c r="V94" s="66" t="n"/>
      <c r="W94" s="67" t="str">
        <f>IF(ISNUMBER(tblY8[[#This Row],[8P02 - Light
Raw Score]]),IFERROR(VLOOKUP(ROUND(STANDARDIZE(tblY8[[#This Row],[8P02 - Light
Raw Score]],AVERAGE(tblY8[[8P02 - Light
Raw Score]]),_xlfn.STDEV.P(tblY8[[8P02 - Light
Raw Score]])),9),_Stanine,2),5),"")</f>
        <v/>
      </c>
    </row>
  </sheetData>
  <conditionalFormatting sqref="I2:I94">
    <cfRule type="iconSet" priority="1">
      <iconSet iconSet="3TrafficLights1">
        <cfvo type="percent" val="0"/>
        <cfvo type="num" val="4"/>
        <cfvo type="num" val="7"/>
      </iconSet>
    </cfRule>
  </conditionalFormatting>
  <conditionalFormatting sqref="L2:L94">
    <cfRule type="iconSet" priority="2">
      <iconSet iconSet="3TrafficLights1">
        <cfvo type="percent" val="0"/>
        <cfvo type="num" val="3.5"/>
        <cfvo type="num" val="6.5"/>
      </iconSet>
    </cfRule>
  </conditionalFormatting>
  <conditionalFormatting sqref="M2:M94">
    <cfRule type="iconSet" priority="3">
      <iconSet iconSet="3Arrows">
        <cfvo type="percent" val="0"/>
        <cfvo type="num" val="-0.99"/>
        <cfvo type="num" val="1"/>
      </iconSet>
    </cfRule>
  </conditionalFormatting>
  <conditionalFormatting sqref="O2:O94">
    <cfRule type="iconSet" priority="4">
      <iconSet iconSet="3TrafficLights1">
        <cfvo type="percent" val="0"/>
        <cfvo type="num" val="4"/>
        <cfvo type="num" val="7"/>
      </iconSet>
    </cfRule>
  </conditionalFormatting>
  <conditionalFormatting sqref="Q2:Q94">
    <cfRule type="iconSet" priority="5">
      <iconSet iconSet="3TrafficLights1">
        <cfvo type="percent" val="0"/>
        <cfvo type="num" val="4"/>
        <cfvo type="num" val="7"/>
      </iconSet>
    </cfRule>
  </conditionalFormatting>
  <conditionalFormatting sqref="S2:S94">
    <cfRule type="iconSet" priority="6">
      <iconSet iconSet="3TrafficLights1">
        <cfvo type="percent" val="0"/>
        <cfvo type="num" val="4"/>
        <cfvo type="num" val="7"/>
      </iconSet>
    </cfRule>
  </conditionalFormatting>
  <conditionalFormatting sqref="U2:U94">
    <cfRule type="iconSet" priority="7">
      <iconSet iconSet="3TrafficLights1">
        <cfvo type="percent" val="0"/>
        <cfvo type="num" val="4"/>
        <cfvo type="num" val="7"/>
      </iconSet>
    </cfRule>
  </conditionalFormatting>
  <conditionalFormatting sqref="W2:W94">
    <cfRule type="iconSet" priority="8">
      <iconSet iconSet="3TrafficLights1">
        <cfvo type="percent" val="0"/>
        <cfvo type="num" val="4"/>
        <cfvo type="num" val="7"/>
      </iconSet>
    </cfRule>
  </conditionalFormatting>
  <dataValidations count="5">
    <dataValidation sqref="N2:N94" showDropDown="0" showInputMessage="0" showErrorMessage="1" allowBlank="1" errorTitle="Score out of range" error="Type a mark from 0 to 30, or A for absent. Leave the cell blank if the student has not sat the test yet." type="custom">
      <formula1>OR(UPPER(N2)="A",AND(ISNUMBER(N2),N2&gt;=0,N2&lt;=30))</formula1>
    </dataValidation>
    <dataValidation sqref="P2:P94" showDropDown="0" showInputMessage="0" showErrorMessage="1" allowBlank="1" errorTitle="Score out of range" error="Type a mark from 0 to 25, or A for absent. Leave the cell blank if the student has not sat the test yet." type="custom">
      <formula1>OR(UPPER(P2)="A",AND(ISNUMBER(P2),P2&gt;=0,P2&lt;=25))</formula1>
    </dataValidation>
    <dataValidation sqref="R2:R94" showDropDown="0" showInputMessage="0" showErrorMessage="1" allowBlank="1" errorTitle="Score out of range" error="Type a mark from 0 to 30, or A for absent. Leave the cell blank if the student has not sat the test yet." type="custom">
      <formula1>OR(UPPER(R2)="A",AND(ISNUMBER(R2),R2&gt;=0,R2&lt;=30))</formula1>
    </dataValidation>
    <dataValidation sqref="T2:T94" showDropDown="0" showInputMessage="0" showErrorMessage="1" allowBlank="1" errorTitle="Score out of range" error="Type a mark from 0 to 26, or A for absent. Leave the cell blank if the student has not sat the test yet." type="custom">
      <formula1>OR(UPPER(T2)="A",AND(ISNUMBER(T2),T2&gt;=0,T2&lt;=26))</formula1>
    </dataValidation>
    <dataValidation sqref="V2:V94" showDropDown="0" showInputMessage="0" showErrorMessage="1" allowBlank="1" errorTitle="Score out of range" error="Type a mark from 0 to 24, or A for absent. Leave the cell blank if the student has not sat the test yet." type="custom">
      <formula1>OR(UPPER(V2)="A",AND(ISNUMBER(V2),V2&gt;=0,V2&lt;=24))</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7.xml><?xml version="1.0" encoding="utf-8"?>
<worksheet xmlns="http://schemas.openxmlformats.org/spreadsheetml/2006/main">
  <sheetPr codeName="shY9">
    <outlinePr summaryBelow="1" summaryRight="1"/>
    <pageSetUpPr/>
  </sheetPr>
  <dimension ref="A1:U126"/>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9B01 - Genetics
Raw Score</t>
        </is>
      </c>
      <c r="O1" s="63" t="inlineStr">
        <is>
          <t>9B01 - Genetics
Stanine</t>
        </is>
      </c>
      <c r="P1" s="64" t="inlineStr">
        <is>
          <t>9C01 - Chemical Reactions
Raw Score</t>
        </is>
      </c>
      <c r="Q1" s="64" t="inlineStr">
        <is>
          <t>9C01 - Chemical Reactions
Stanine</t>
        </is>
      </c>
      <c r="R1" s="63" t="inlineStr">
        <is>
          <t>9P01 - Electricity
Raw Score</t>
        </is>
      </c>
      <c r="S1" s="63" t="inlineStr">
        <is>
          <t>9P01 - Electricity
Stanine</t>
        </is>
      </c>
      <c r="T1" s="64" t="inlineStr">
        <is>
          <t>9B02 - Ecology
Raw Score</t>
        </is>
      </c>
      <c r="U1" s="64" t="inlineStr">
        <is>
          <t>9B02 - Ecology
Stanine</t>
        </is>
      </c>
    </row>
    <row r="2">
      <c r="A2" s="65" t="inlineStr">
        <is>
          <t>X903235269744</t>
        </is>
      </c>
      <c r="B2" s="65" t="inlineStr">
        <is>
          <t>Adeyemi</t>
        </is>
      </c>
      <c r="C2" s="65" t="inlineStr">
        <is>
          <t>Mia</t>
        </is>
      </c>
      <c r="D2" s="66" t="inlineStr">
        <is>
          <t>F</t>
        </is>
      </c>
      <c r="E2" s="66" t="inlineStr">
        <is>
          <t>K</t>
        </is>
      </c>
      <c r="F2" s="66" t="inlineStr">
        <is>
          <t>Y</t>
        </is>
      </c>
      <c r="G2" s="34" t="n">
        <v>89</v>
      </c>
      <c r="H2" s="34" t="n">
        <v>103.5</v>
      </c>
      <c r="I2" s="67">
        <f>IF(ISNUMBER(tblY9[[#This Row],[Avg KS2]]),IFERROR(VLOOKUP(ROUND(STANDARDIZE(tblY9[[#This Row],[Avg KS2]],AVERAGE(tblY9[[Avg KS2]]),_xlfn.STDEV.P(tblY9[[Avg KS2]])),9),_Stanine,2),5),"")</f>
        <v>4</v>
      </c>
      <c r="J2" s="66" t="inlineStr">
        <is>
          <t>9A/Sc1</t>
        </is>
      </c>
      <c r="K2" s="67">
        <f>IF(tblY9[[#This Row],[Preferred Last name]]="","",COUNTIFS($N$1:$ZZ$1,"*"&amp;CHAR(10)&amp;"Stanine",$N2:$ZZ2,"&gt;=1"))</f>
        <v>4</v>
      </c>
      <c r="L2" s="68">
        <f>IFERROR(AVERAGEIF($N$1:$ZZ$1,"*"&amp;CHAR(10)&amp;"Stanine",$N2:$ZZ2),"")</f>
        <v>3</v>
      </c>
      <c r="M2" s="69">
        <f>IF(AND(ISNUMBER(tblY9[[#This Row],[Mean Stanine]]),ISNUMBER(tblY9[[#This Row],[Avg KS2 Band]]),ISNUMBER(SlopeY9)),tblY9[[#This Row],[Mean Stanine]]-(InterceptY9+SlopeY9*tblY9[[#This Row],[Avg KS2 Band]]),"")</f>
        <v>-1.31015698219306</v>
      </c>
      <c r="N2" s="66" t="n">
        <v>13</v>
      </c>
      <c r="O2" s="67">
        <f>IF(ISNUMBER(tblY9[[#This Row],[9B01 - Genetics
Raw Score]]),IFERROR(VLOOKUP(ROUND(STANDARDIZE(tblY9[[#This Row],[9B01 - Genetics
Raw Score]],AVERAGE(tblY9[[9B01 - Genetics
Raw Score]]),_xlfn.STDEV.P(tblY9[[9B01 - Genetics
Raw Score]])),9),_Stanine,2),5),"")</f>
        <v>2</v>
      </c>
      <c r="P2" s="66" t="n">
        <v>15</v>
      </c>
      <c r="Q2" s="67">
        <f>IF(ISNUMBER(tblY9[[#This Row],[9C01 - Chemical Reactions
Raw Score]]),IFERROR(VLOOKUP(ROUND(STANDARDIZE(tblY9[[#This Row],[9C01 - Chemical Reactions
Raw Score]],AVERAGE(tblY9[[9C01 - Chemical Reactions
Raw Score]]),_xlfn.STDEV.P(tblY9[[9C01 - Chemical Reactions
Raw Score]])),9),_Stanine,2),5),"")</f>
        <v>3</v>
      </c>
      <c r="R2" s="66" t="n">
        <v>13</v>
      </c>
      <c r="S2" s="67">
        <f>IF(ISNUMBER(tblY9[[#This Row],[9P01 - Electricity
Raw Score]]),IFERROR(VLOOKUP(ROUND(STANDARDIZE(tblY9[[#This Row],[9P01 - Electricity
Raw Score]],AVERAGE(tblY9[[9P01 - Electricity
Raw Score]]),_xlfn.STDEV.P(tblY9[[9P01 - Electricity
Raw Score]])),9),_Stanine,2),5),"")</f>
        <v>2</v>
      </c>
      <c r="T2" s="66" t="n">
        <v>17</v>
      </c>
      <c r="U2" s="67">
        <f>IF(ISNUMBER(tblY9[[#This Row],[9B02 - Ecology
Raw Score]]),IFERROR(VLOOKUP(ROUND(STANDARDIZE(tblY9[[#This Row],[9B02 - Ecology
Raw Score]],AVERAGE(tblY9[[9B02 - Ecology
Raw Score]]),_xlfn.STDEV.P(tblY9[[9B02 - Ecology
Raw Score]])),9),_Stanine,2),5),"")</f>
        <v>5</v>
      </c>
    </row>
    <row r="3">
      <c r="A3" s="65" t="inlineStr">
        <is>
          <t>X903103409788</t>
        </is>
      </c>
      <c r="B3" s="65" t="inlineStr">
        <is>
          <t>Begum</t>
        </is>
      </c>
      <c r="C3" s="65" t="inlineStr">
        <is>
          <t>Priya</t>
        </is>
      </c>
      <c r="D3" s="66" t="inlineStr">
        <is>
          <t>M</t>
        </is>
      </c>
      <c r="E3" s="66" t="inlineStr">
        <is>
          <t>N</t>
        </is>
      </c>
      <c r="F3" s="66" t="inlineStr">
        <is>
          <t>N</t>
        </is>
      </c>
      <c r="G3" s="34" t="n">
        <v>100</v>
      </c>
      <c r="H3" s="34" t="n">
        <v>114</v>
      </c>
      <c r="I3" s="67">
        <f>IF(ISNUMBER(tblY9[[#This Row],[Avg KS2]]),IFERROR(VLOOKUP(ROUND(STANDARDIZE(tblY9[[#This Row],[Avg KS2]],AVERAGE(tblY9[[Avg KS2]]),_xlfn.STDEV.P(tblY9[[Avg KS2]])),9),_Stanine,2),5),"")</f>
        <v>8</v>
      </c>
      <c r="J3" s="66" t="inlineStr">
        <is>
          <t>9A/Sc1</t>
        </is>
      </c>
      <c r="K3" s="67">
        <f>IF(tblY9[[#This Row],[Preferred Last name]]="","",COUNTIFS($N$1:$ZZ$1,"*"&amp;CHAR(10)&amp;"Stanine",$N3:$ZZ3,"&gt;=1"))</f>
        <v>4</v>
      </c>
      <c r="L3" s="68">
        <f>IFERROR(AVERAGEIF($N$1:$ZZ$1,"*"&amp;CHAR(10)&amp;"Stanine",$N3:$ZZ3),"")</f>
        <v>7.25</v>
      </c>
      <c r="M3" s="69">
        <f>IF(AND(ISNUMBER(tblY9[[#This Row],[Mean Stanine]]),ISNUMBER(tblY9[[#This Row],[Avg KS2 Band]]),ISNUMBER(SlopeY9)),tblY9[[#This Row],[Mean Stanine]]-(InterceptY9+SlopeY9*tblY9[[#This Row],[Avg KS2 Band]]),"")</f>
        <v>-0.113812089971884</v>
      </c>
      <c r="N3" s="66" t="n">
        <v>27</v>
      </c>
      <c r="O3" s="67">
        <f>IF(ISNUMBER(tblY9[[#This Row],[9B01 - Genetics
Raw Score]]),IFERROR(VLOOKUP(ROUND(STANDARDIZE(tblY9[[#This Row],[9B01 - Genetics
Raw Score]],AVERAGE(tblY9[[9B01 - Genetics
Raw Score]]),_xlfn.STDEV.P(tblY9[[9B01 - Genetics
Raw Score]])),9),_Stanine,2),5),"")</f>
        <v>7</v>
      </c>
      <c r="P3" s="66" t="n">
        <v>27</v>
      </c>
      <c r="Q3" s="67">
        <f>IF(ISNUMBER(tblY9[[#This Row],[9C01 - Chemical Reactions
Raw Score]]),IFERROR(VLOOKUP(ROUND(STANDARDIZE(tblY9[[#This Row],[9C01 - Chemical Reactions
Raw Score]],AVERAGE(tblY9[[9C01 - Chemical Reactions
Raw Score]]),_xlfn.STDEV.P(tblY9[[9C01 - Chemical Reactions
Raw Score]])),9),_Stanine,2),5),"")</f>
        <v>7</v>
      </c>
      <c r="R3" s="66" t="n">
        <v>28</v>
      </c>
      <c r="S3" s="67">
        <f>IF(ISNUMBER(tblY9[[#This Row],[9P01 - Electricity
Raw Score]]),IFERROR(VLOOKUP(ROUND(STANDARDIZE(tblY9[[#This Row],[9P01 - Electricity
Raw Score]],AVERAGE(tblY9[[9P01 - Electricity
Raw Score]]),_xlfn.STDEV.P(tblY9[[9P01 - Electricity
Raw Score]])),9),_Stanine,2),5),"")</f>
        <v>8</v>
      </c>
      <c r="T3" s="66" t="n">
        <v>22</v>
      </c>
      <c r="U3" s="67">
        <f>IF(ISNUMBER(tblY9[[#This Row],[9B02 - Ecology
Raw Score]]),IFERROR(VLOOKUP(ROUND(STANDARDIZE(tblY9[[#This Row],[9B02 - Ecology
Raw Score]],AVERAGE(tblY9[[9B02 - Ecology
Raw Score]]),_xlfn.STDEV.P(tblY9[[9B02 - Ecology
Raw Score]])),9),_Stanine,2),5),"")</f>
        <v>7</v>
      </c>
    </row>
    <row r="4">
      <c r="A4" s="65" t="inlineStr">
        <is>
          <t>X901020424529</t>
        </is>
      </c>
      <c r="B4" s="65" t="inlineStr">
        <is>
          <t>Brown</t>
        </is>
      </c>
      <c r="C4" s="65" t="inlineStr">
        <is>
          <t>Callum</t>
        </is>
      </c>
      <c r="D4" s="66" t="inlineStr">
        <is>
          <t>F</t>
        </is>
      </c>
      <c r="E4" s="66" t="inlineStr">
        <is>
          <t>N</t>
        </is>
      </c>
      <c r="F4" s="66" t="inlineStr">
        <is>
          <t>N</t>
        </is>
      </c>
      <c r="G4" s="34" t="n">
        <v>98.09999999999999</v>
      </c>
      <c r="H4" s="34" t="n">
        <v>106.5</v>
      </c>
      <c r="I4" s="67">
        <f>IF(ISNUMBER(tblY9[[#This Row],[Avg KS2]]),IFERROR(VLOOKUP(ROUND(STANDARDIZE(tblY9[[#This Row],[Avg KS2]],AVERAGE(tblY9[[Avg KS2]]),_xlfn.STDEV.P(tblY9[[Avg KS2]])),9),_Stanine,2),5),"")</f>
        <v>5</v>
      </c>
      <c r="J4" s="66" t="inlineStr">
        <is>
          <t>9A/Sc1</t>
        </is>
      </c>
      <c r="K4" s="67">
        <f>IF(tblY9[[#This Row],[Preferred Last name]]="","",COUNTIFS($N$1:$ZZ$1,"*"&amp;CHAR(10)&amp;"Stanine",$N4:$ZZ4,"&gt;=1"))</f>
        <v>4</v>
      </c>
      <c r="L4" s="68">
        <f>IFERROR(AVERAGEIF($N$1:$ZZ$1,"*"&amp;CHAR(10)&amp;"Stanine",$N4:$ZZ4),"")</f>
        <v>6.75</v>
      </c>
      <c r="M4" s="69">
        <f>IF(AND(ISNUMBER(tblY9[[#This Row],[Mean Stanine]]),ISNUMBER(tblY9[[#This Row],[Avg KS2 Band]]),ISNUMBER(SlopeY9)),tblY9[[#This Row],[Mean Stanine]]-(InterceptY9+SlopeY9*tblY9[[#This Row],[Avg KS2 Band]]),"")</f>
        <v>1.67642924086223</v>
      </c>
      <c r="N4" s="66" t="n">
        <v>26</v>
      </c>
      <c r="O4" s="67">
        <f>IF(ISNUMBER(tblY9[[#This Row],[9B01 - Genetics
Raw Score]]),IFERROR(VLOOKUP(ROUND(STANDARDIZE(tblY9[[#This Row],[9B01 - Genetics
Raw Score]],AVERAGE(tblY9[[9B01 - Genetics
Raw Score]]),_xlfn.STDEV.P(tblY9[[9B01 - Genetics
Raw Score]])),9),_Stanine,2),5),"")</f>
        <v>7</v>
      </c>
      <c r="P4" s="66" t="n">
        <v>28</v>
      </c>
      <c r="Q4" s="67">
        <f>IF(ISNUMBER(tblY9[[#This Row],[9C01 - Chemical Reactions
Raw Score]]),IFERROR(VLOOKUP(ROUND(STANDARDIZE(tblY9[[#This Row],[9C01 - Chemical Reactions
Raw Score]],AVERAGE(tblY9[[9C01 - Chemical Reactions
Raw Score]]),_xlfn.STDEV.P(tblY9[[9C01 - Chemical Reactions
Raw Score]])),9),_Stanine,2),5),"")</f>
        <v>7</v>
      </c>
      <c r="R4" s="66" t="n">
        <v>25</v>
      </c>
      <c r="S4" s="67">
        <f>IF(ISNUMBER(tblY9[[#This Row],[9P01 - Electricity
Raw Score]]),IFERROR(VLOOKUP(ROUND(STANDARDIZE(tblY9[[#This Row],[9P01 - Electricity
Raw Score]],AVERAGE(tblY9[[9P01 - Electricity
Raw Score]]),_xlfn.STDEV.P(tblY9[[9P01 - Electricity
Raw Score]])),9),_Stanine,2),5),"")</f>
        <v>7</v>
      </c>
      <c r="T4" s="66" t="n">
        <v>20</v>
      </c>
      <c r="U4" s="67">
        <f>IF(ISNUMBER(tblY9[[#This Row],[9B02 - Ecology
Raw Score]]),IFERROR(VLOOKUP(ROUND(STANDARDIZE(tblY9[[#This Row],[9B02 - Ecology
Raw Score]],AVERAGE(tblY9[[9B02 - Ecology
Raw Score]]),_xlfn.STDEV.P(tblY9[[9B02 - Ecology
Raw Score]])),9),_Stanine,2),5),"")</f>
        <v>6</v>
      </c>
    </row>
    <row r="5">
      <c r="A5" s="65" t="inlineStr">
        <is>
          <t>X908999931463</t>
        </is>
      </c>
      <c r="B5" s="65" t="inlineStr">
        <is>
          <t>Clarke</t>
        </is>
      </c>
      <c r="C5" s="65" t="inlineStr">
        <is>
          <t>Lewis</t>
        </is>
      </c>
      <c r="D5" s="66" t="inlineStr">
        <is>
          <t>F</t>
        </is>
      </c>
      <c r="E5" s="66" t="n"/>
      <c r="F5" s="66" t="inlineStr">
        <is>
          <t>Y</t>
        </is>
      </c>
      <c r="G5" s="34" t="n">
        <v>97.40000000000001</v>
      </c>
      <c r="H5" s="34" t="n">
        <v>112</v>
      </c>
      <c r="I5" s="67">
        <f>IF(ISNUMBER(tblY9[[#This Row],[Avg KS2]]),IFERROR(VLOOKUP(ROUND(STANDARDIZE(tblY9[[#This Row],[Avg KS2]],AVERAGE(tblY9[[Avg KS2]]),_xlfn.STDEV.P(tblY9[[Avg KS2]])),9),_Stanine,2),5),"")</f>
        <v>7</v>
      </c>
      <c r="J5" s="66" t="inlineStr">
        <is>
          <t>9A/Sc1</t>
        </is>
      </c>
      <c r="K5" s="67">
        <f>IF(tblY9[[#This Row],[Preferred Last name]]="","",COUNTIFS($N$1:$ZZ$1,"*"&amp;CHAR(10)&amp;"Stanine",$N5:$ZZ5,"&gt;=1"))</f>
        <v>4</v>
      </c>
      <c r="L5" s="68">
        <f>IFERROR(AVERAGEIF($N$1:$ZZ$1,"*"&amp;CHAR(10)&amp;"Stanine",$N5:$ZZ5),"")</f>
        <v>6.75</v>
      </c>
      <c r="M5" s="69">
        <f>IF(AND(ISNUMBER(tblY9[[#This Row],[Mean Stanine]]),ISNUMBER(tblY9[[#This Row],[Avg KS2 Band]]),ISNUMBER(SlopeY9)),tblY9[[#This Row],[Mean Stanine]]-(InterceptY9+SlopeY9*tblY9[[#This Row],[Avg KS2 Band]]),"")</f>
        <v>0.149601686972821</v>
      </c>
      <c r="N5" s="66" t="n">
        <v>27</v>
      </c>
      <c r="O5" s="67">
        <f>IF(ISNUMBER(tblY9[[#This Row],[9B01 - Genetics
Raw Score]]),IFERROR(VLOOKUP(ROUND(STANDARDIZE(tblY9[[#This Row],[9B01 - Genetics
Raw Score]],AVERAGE(tblY9[[9B01 - Genetics
Raw Score]]),_xlfn.STDEV.P(tblY9[[9B01 - Genetics
Raw Score]])),9),_Stanine,2),5),"")</f>
        <v>7</v>
      </c>
      <c r="P5" s="66" t="n">
        <v>28</v>
      </c>
      <c r="Q5" s="67">
        <f>IF(ISNUMBER(tblY9[[#This Row],[9C01 - Chemical Reactions
Raw Score]]),IFERROR(VLOOKUP(ROUND(STANDARDIZE(tblY9[[#This Row],[9C01 - Chemical Reactions
Raw Score]],AVERAGE(tblY9[[9C01 - Chemical Reactions
Raw Score]]),_xlfn.STDEV.P(tblY9[[9C01 - Chemical Reactions
Raw Score]])),9),_Stanine,2),5),"")</f>
        <v>7</v>
      </c>
      <c r="R5" s="66" t="n">
        <v>25</v>
      </c>
      <c r="S5" s="67">
        <f>IF(ISNUMBER(tblY9[[#This Row],[9P01 - Electricity
Raw Score]]),IFERROR(VLOOKUP(ROUND(STANDARDIZE(tblY9[[#This Row],[9P01 - Electricity
Raw Score]],AVERAGE(tblY9[[9P01 - Electricity
Raw Score]]),_xlfn.STDEV.P(tblY9[[9P01 - Electricity
Raw Score]])),9),_Stanine,2),5),"")</f>
        <v>7</v>
      </c>
      <c r="T5" s="66" t="n">
        <v>20</v>
      </c>
      <c r="U5" s="67">
        <f>IF(ISNUMBER(tblY9[[#This Row],[9B02 - Ecology
Raw Score]]),IFERROR(VLOOKUP(ROUND(STANDARDIZE(tblY9[[#This Row],[9B02 - Ecology
Raw Score]],AVERAGE(tblY9[[9B02 - Ecology
Raw Score]]),_xlfn.STDEV.P(tblY9[[9B02 - Ecology
Raw Score]])),9),_Stanine,2),5),"")</f>
        <v>6</v>
      </c>
    </row>
    <row r="6">
      <c r="A6" s="65" t="inlineStr">
        <is>
          <t>X906421098552</t>
        </is>
      </c>
      <c r="B6" s="65" t="inlineStr">
        <is>
          <t>Davies</t>
        </is>
      </c>
      <c r="C6" s="65" t="inlineStr">
        <is>
          <t>Nia</t>
        </is>
      </c>
      <c r="D6" s="66" t="inlineStr">
        <is>
          <t>F</t>
        </is>
      </c>
      <c r="E6" s="66" t="inlineStr">
        <is>
          <t>N</t>
        </is>
      </c>
      <c r="F6" s="66" t="inlineStr">
        <is>
          <t>Y</t>
        </is>
      </c>
      <c r="G6" s="34" t="n">
        <v>82.3</v>
      </c>
      <c r="H6" s="34" t="n">
        <v>100</v>
      </c>
      <c r="I6" s="67">
        <f>IF(ISNUMBER(tblY9[[#This Row],[Avg KS2]]),IFERROR(VLOOKUP(ROUND(STANDARDIZE(tblY9[[#This Row],[Avg KS2]],AVERAGE(tblY9[[Avg KS2]]),_xlfn.STDEV.P(tblY9[[Avg KS2]])),9),_Stanine,2),5),"")</f>
        <v>2</v>
      </c>
      <c r="J6" s="66" t="inlineStr">
        <is>
          <t>9A/Sc1</t>
        </is>
      </c>
      <c r="K6" s="67">
        <f>IF(tblY9[[#This Row],[Preferred Last name]]="","",COUNTIFS($N$1:$ZZ$1,"*"&amp;CHAR(10)&amp;"Stanine",$N6:$ZZ6,"&gt;=1"))</f>
        <v>4</v>
      </c>
      <c r="L6" s="68">
        <f>IFERROR(AVERAGEIF($N$1:$ZZ$1,"*"&amp;CHAR(10)&amp;"Stanine",$N6:$ZZ6),"")</f>
        <v>5</v>
      </c>
      <c r="M6" s="69">
        <f>IF(AND(ISNUMBER(tblY9[[#This Row],[Mean Stanine]]),ISNUMBER(tblY9[[#This Row],[Avg KS2 Band]]),ISNUMBER(SlopeY9)),tblY9[[#This Row],[Mean Stanine]]-(InterceptY9+SlopeY9*tblY9[[#This Row],[Avg KS2 Band]]),"")</f>
        <v>2.21667057169635</v>
      </c>
      <c r="N6" s="66" t="n">
        <v>21</v>
      </c>
      <c r="O6" s="67">
        <f>IF(ISNUMBER(tblY9[[#This Row],[9B01 - Genetics
Raw Score]]),IFERROR(VLOOKUP(ROUND(STANDARDIZE(tblY9[[#This Row],[9B01 - Genetics
Raw Score]],AVERAGE(tblY9[[9B01 - Genetics
Raw Score]]),_xlfn.STDEV.P(tblY9[[9B01 - Genetics
Raw Score]])),9),_Stanine,2),5),"")</f>
        <v>5</v>
      </c>
      <c r="P6" s="66" t="n">
        <v>21</v>
      </c>
      <c r="Q6" s="67">
        <f>IF(ISNUMBER(tblY9[[#This Row],[9C01 - Chemical Reactions
Raw Score]]),IFERROR(VLOOKUP(ROUND(STANDARDIZE(tblY9[[#This Row],[9C01 - Chemical Reactions
Raw Score]],AVERAGE(tblY9[[9C01 - Chemical Reactions
Raw Score]]),_xlfn.STDEV.P(tblY9[[9C01 - Chemical Reactions
Raw Score]])),9),_Stanine,2),5),"")</f>
        <v>5</v>
      </c>
      <c r="R6" s="66" t="n">
        <v>20</v>
      </c>
      <c r="S6" s="67">
        <f>IF(ISNUMBER(tblY9[[#This Row],[9P01 - Electricity
Raw Score]]),IFERROR(VLOOKUP(ROUND(STANDARDIZE(tblY9[[#This Row],[9P01 - Electricity
Raw Score]],AVERAGE(tblY9[[9P01 - Electricity
Raw Score]]),_xlfn.STDEV.P(tblY9[[9P01 - Electricity
Raw Score]])),9),_Stanine,2),5),"")</f>
        <v>5</v>
      </c>
      <c r="T6" s="66" t="n">
        <v>18</v>
      </c>
      <c r="U6" s="67">
        <f>IF(ISNUMBER(tblY9[[#This Row],[9B02 - Ecology
Raw Score]]),IFERROR(VLOOKUP(ROUND(STANDARDIZE(tblY9[[#This Row],[9B02 - Ecology
Raw Score]],AVERAGE(tblY9[[9B02 - Ecology
Raw Score]]),_xlfn.STDEV.P(tblY9[[9B02 - Ecology
Raw Score]])),9),_Stanine,2),5),"")</f>
        <v>5</v>
      </c>
    </row>
    <row r="7">
      <c r="A7" s="65" t="inlineStr">
        <is>
          <t>X908992802420</t>
        </is>
      </c>
      <c r="B7" s="65" t="inlineStr">
        <is>
          <t>Green</t>
        </is>
      </c>
      <c r="C7" s="65" t="inlineStr">
        <is>
          <t>Tomasz</t>
        </is>
      </c>
      <c r="D7" s="66" t="inlineStr">
        <is>
          <t>F</t>
        </is>
      </c>
      <c r="E7" s="66" t="inlineStr">
        <is>
          <t>N</t>
        </is>
      </c>
      <c r="F7" s="66" t="inlineStr">
        <is>
          <t>N</t>
        </is>
      </c>
      <c r="G7" s="34" t="n">
        <v>85</v>
      </c>
      <c r="H7" s="34" t="n">
        <v>109.5</v>
      </c>
      <c r="I7" s="67">
        <f>IF(ISNUMBER(tblY9[[#This Row],[Avg KS2]]),IFERROR(VLOOKUP(ROUND(STANDARDIZE(tblY9[[#This Row],[Avg KS2]],AVERAGE(tblY9[[Avg KS2]]),_xlfn.STDEV.P(tblY9[[Avg KS2]])),9),_Stanine,2),5),"")</f>
        <v>6</v>
      </c>
      <c r="J7" s="66" t="inlineStr">
        <is>
          <t>9A/Sc1</t>
        </is>
      </c>
      <c r="K7" s="67">
        <f>IF(tblY9[[#This Row],[Preferred Last name]]="","",COUNTIFS($N$1:$ZZ$1,"*"&amp;CHAR(10)&amp;"Stanine",$N7:$ZZ7,"&gt;=1"))</f>
        <v>3</v>
      </c>
      <c r="L7" s="68">
        <f>IFERROR(AVERAGEIF($N$1:$ZZ$1,"*"&amp;CHAR(10)&amp;"Stanine",$N7:$ZZ7),"")</f>
        <v>6.33333333333333</v>
      </c>
      <c r="M7" s="69">
        <f>IF(AND(ISNUMBER(tblY9[[#This Row],[Mean Stanine]]),ISNUMBER(tblY9[[#This Row],[Avg KS2 Band]]),ISNUMBER(SlopeY9)),tblY9[[#This Row],[Mean Stanine]]-(InterceptY9+SlopeY9*tblY9[[#This Row],[Avg KS2 Band]]),"")</f>
        <v>0.496348797250859</v>
      </c>
      <c r="N7" s="66" t="inlineStr">
        <is>
          <t>A</t>
        </is>
      </c>
      <c r="O7" s="67" t="str">
        <f>IF(ISNUMBER(tblY9[[#This Row],[9B01 - Genetics
Raw Score]]),IFERROR(VLOOKUP(ROUND(STANDARDIZE(tblY9[[#This Row],[9B01 - Genetics
Raw Score]],AVERAGE(tblY9[[9B01 - Genetics
Raw Score]]),_xlfn.STDEV.P(tblY9[[9B01 - Genetics
Raw Score]])),9),_Stanine,2),5),"")</f>
        <v/>
      </c>
      <c r="P7" s="66" t="n">
        <v>25</v>
      </c>
      <c r="Q7" s="67">
        <f>IF(ISNUMBER(tblY9[[#This Row],[9C01 - Chemical Reactions
Raw Score]]),IFERROR(VLOOKUP(ROUND(STANDARDIZE(tblY9[[#This Row],[9C01 - Chemical Reactions
Raw Score]],AVERAGE(tblY9[[9C01 - Chemical Reactions
Raw Score]]),_xlfn.STDEV.P(tblY9[[9C01 - Chemical Reactions
Raw Score]])),9),_Stanine,2),5),"")</f>
        <v>6</v>
      </c>
      <c r="R7" s="66" t="n">
        <v>22</v>
      </c>
      <c r="S7" s="67">
        <f>IF(ISNUMBER(tblY9[[#This Row],[9P01 - Electricity
Raw Score]]),IFERROR(VLOOKUP(ROUND(STANDARDIZE(tblY9[[#This Row],[9P01 - Electricity
Raw Score]],AVERAGE(tblY9[[9P01 - Electricity
Raw Score]]),_xlfn.STDEV.P(tblY9[[9P01 - Electricity
Raw Score]])),9),_Stanine,2),5),"")</f>
        <v>6</v>
      </c>
      <c r="T7" s="66" t="n">
        <v>22</v>
      </c>
      <c r="U7" s="67">
        <f>IF(ISNUMBER(tblY9[[#This Row],[9B02 - Ecology
Raw Score]]),IFERROR(VLOOKUP(ROUND(STANDARDIZE(tblY9[[#This Row],[9B02 - Ecology
Raw Score]],AVERAGE(tblY9[[9B02 - Ecology
Raw Score]]),_xlfn.STDEV.P(tblY9[[9B02 - Ecology
Raw Score]])),9),_Stanine,2),5),"")</f>
        <v>7</v>
      </c>
    </row>
    <row r="8">
      <c r="A8" s="65" t="inlineStr">
        <is>
          <t>X902988626109</t>
        </is>
      </c>
      <c r="B8" s="65" t="inlineStr">
        <is>
          <t>Griffiths</t>
        </is>
      </c>
      <c r="C8" s="65" t="inlineStr">
        <is>
          <t>Callum</t>
        </is>
      </c>
      <c r="D8" s="66" t="inlineStr">
        <is>
          <t>F</t>
        </is>
      </c>
      <c r="E8" s="66" t="inlineStr">
        <is>
          <t>N</t>
        </is>
      </c>
      <c r="F8" s="66" t="inlineStr">
        <is>
          <t>Y</t>
        </is>
      </c>
      <c r="G8" s="34" t="n">
        <v>89.8</v>
      </c>
      <c r="H8" s="34" t="n">
        <v>105.5</v>
      </c>
      <c r="I8" s="67">
        <f>IF(ISNUMBER(tblY9[[#This Row],[Avg KS2]]),IFERROR(VLOOKUP(ROUND(STANDARDIZE(tblY9[[#This Row],[Avg KS2]],AVERAGE(tblY9[[Avg KS2]]),_xlfn.STDEV.P(tblY9[[Avg KS2]])),9),_Stanine,2),5),"")</f>
        <v>5</v>
      </c>
      <c r="J8" s="66" t="inlineStr">
        <is>
          <t>9A/Sc1</t>
        </is>
      </c>
      <c r="K8" s="67">
        <f>IF(tblY9[[#This Row],[Preferred Last name]]="","",COUNTIFS($N$1:$ZZ$1,"*"&amp;CHAR(10)&amp;"Stanine",$N8:$ZZ8,"&gt;=1"))</f>
        <v>4</v>
      </c>
      <c r="L8" s="68">
        <f>IFERROR(AVERAGEIF($N$1:$ZZ$1,"*"&amp;CHAR(10)&amp;"Stanine",$N8:$ZZ8),"")</f>
        <v>5.75</v>
      </c>
      <c r="M8" s="69">
        <f>IF(AND(ISNUMBER(tblY9[[#This Row],[Mean Stanine]]),ISNUMBER(tblY9[[#This Row],[Avg KS2 Band]]),ISNUMBER(SlopeY9)),tblY9[[#This Row],[Mean Stanine]]-(InterceptY9+SlopeY9*tblY9[[#This Row],[Avg KS2 Band]]),"")</f>
        <v>0.67642924086223</v>
      </c>
      <c r="N8" s="66" t="n">
        <v>22</v>
      </c>
      <c r="O8" s="67">
        <f>IF(ISNUMBER(tblY9[[#This Row],[9B01 - Genetics
Raw Score]]),IFERROR(VLOOKUP(ROUND(STANDARDIZE(tblY9[[#This Row],[9B01 - Genetics
Raw Score]],AVERAGE(tblY9[[9B01 - Genetics
Raw Score]]),_xlfn.STDEV.P(tblY9[[9B01 - Genetics
Raw Score]])),9),_Stanine,2),5),"")</f>
        <v>6</v>
      </c>
      <c r="P8" s="66" t="n">
        <v>20</v>
      </c>
      <c r="Q8" s="67">
        <f>IF(ISNUMBER(tblY9[[#This Row],[9C01 - Chemical Reactions
Raw Score]]),IFERROR(VLOOKUP(ROUND(STANDARDIZE(tblY9[[#This Row],[9C01 - Chemical Reactions
Raw Score]],AVERAGE(tblY9[[9C01 - Chemical Reactions
Raw Score]]),_xlfn.STDEV.P(tblY9[[9C01 - Chemical Reactions
Raw Score]])),9),_Stanine,2),5),"")</f>
        <v>5</v>
      </c>
      <c r="R8" s="66" t="n">
        <v>23</v>
      </c>
      <c r="S8" s="67">
        <f>IF(ISNUMBER(tblY9[[#This Row],[9P01 - Electricity
Raw Score]]),IFERROR(VLOOKUP(ROUND(STANDARDIZE(tblY9[[#This Row],[9P01 - Electricity
Raw Score]],AVERAGE(tblY9[[9P01 - Electricity
Raw Score]]),_xlfn.STDEV.P(tblY9[[9P01 - Electricity
Raw Score]])),9),_Stanine,2),5),"")</f>
        <v>6</v>
      </c>
      <c r="T8" s="66" t="n">
        <v>19</v>
      </c>
      <c r="U8" s="67">
        <f>IF(ISNUMBER(tblY9[[#This Row],[9B02 - Ecology
Raw Score]]),IFERROR(VLOOKUP(ROUND(STANDARDIZE(tblY9[[#This Row],[9B02 - Ecology
Raw Score]],AVERAGE(tblY9[[9B02 - Ecology
Raw Score]]),_xlfn.STDEV.P(tblY9[[9B02 - Ecology
Raw Score]])),9),_Stanine,2),5),"")</f>
        <v>6</v>
      </c>
    </row>
    <row r="9">
      <c r="A9" s="65" t="inlineStr">
        <is>
          <t>X903581951246</t>
        </is>
      </c>
      <c r="B9" s="65" t="inlineStr">
        <is>
          <t>Harrison</t>
        </is>
      </c>
      <c r="C9" s="65" t="inlineStr">
        <is>
          <t>Lily</t>
        </is>
      </c>
      <c r="D9" s="66" t="inlineStr">
        <is>
          <t>M</t>
        </is>
      </c>
      <c r="E9" s="66" t="n"/>
      <c r="F9" s="66" t="inlineStr">
        <is>
          <t>Y</t>
        </is>
      </c>
      <c r="G9" s="34" t="n">
        <v>94.40000000000001</v>
      </c>
      <c r="H9" s="34" t="n">
        <v>115</v>
      </c>
      <c r="I9" s="67">
        <f>IF(ISNUMBER(tblY9[[#This Row],[Avg KS2]]),IFERROR(VLOOKUP(ROUND(STANDARDIZE(tblY9[[#This Row],[Avg KS2]],AVERAGE(tblY9[[Avg KS2]]),_xlfn.STDEV.P(tblY9[[Avg KS2]])),9),_Stanine,2),5),"")</f>
        <v>8</v>
      </c>
      <c r="J9" s="66" t="inlineStr">
        <is>
          <t>9A/Sc1</t>
        </is>
      </c>
      <c r="K9" s="67">
        <f>IF(tblY9[[#This Row],[Preferred Last name]]="","",COUNTIFS($N$1:$ZZ$1,"*"&amp;CHAR(10)&amp;"Stanine",$N9:$ZZ9,"&gt;=1"))</f>
        <v>4</v>
      </c>
      <c r="L9" s="68">
        <f>IFERROR(AVERAGEIF($N$1:$ZZ$1,"*"&amp;CHAR(10)&amp;"Stanine",$N9:$ZZ9),"")</f>
        <v>7</v>
      </c>
      <c r="M9" s="69">
        <f>IF(AND(ISNUMBER(tblY9[[#This Row],[Mean Stanine]]),ISNUMBER(tblY9[[#This Row],[Avg KS2 Band]]),ISNUMBER(SlopeY9)),tblY9[[#This Row],[Mean Stanine]]-(InterceptY9+SlopeY9*tblY9[[#This Row],[Avg KS2 Band]]),"")</f>
        <v>-0.363812089971884</v>
      </c>
      <c r="N9" s="66" t="n">
        <v>25</v>
      </c>
      <c r="O9" s="67">
        <f>IF(ISNUMBER(tblY9[[#This Row],[9B01 - Genetics
Raw Score]]),IFERROR(VLOOKUP(ROUND(STANDARDIZE(tblY9[[#This Row],[9B01 - Genetics
Raw Score]],AVERAGE(tblY9[[9B01 - Genetics
Raw Score]]),_xlfn.STDEV.P(tblY9[[9B01 - Genetics
Raw Score]])),9),_Stanine,2),5),"")</f>
        <v>7</v>
      </c>
      <c r="P9" s="66" t="n">
        <v>28</v>
      </c>
      <c r="Q9" s="67">
        <f>IF(ISNUMBER(tblY9[[#This Row],[9C01 - Chemical Reactions
Raw Score]]),IFERROR(VLOOKUP(ROUND(STANDARDIZE(tblY9[[#This Row],[9C01 - Chemical Reactions
Raw Score]],AVERAGE(tblY9[[9C01 - Chemical Reactions
Raw Score]]),_xlfn.STDEV.P(tblY9[[9C01 - Chemical Reactions
Raw Score]])),9),_Stanine,2),5),"")</f>
        <v>7</v>
      </c>
      <c r="R9" s="66" t="n">
        <v>26</v>
      </c>
      <c r="S9" s="67">
        <f>IF(ISNUMBER(tblY9[[#This Row],[9P01 - Electricity
Raw Score]]),IFERROR(VLOOKUP(ROUND(STANDARDIZE(tblY9[[#This Row],[9P01 - Electricity
Raw Score]],AVERAGE(tblY9[[9P01 - Electricity
Raw Score]]),_xlfn.STDEV.P(tblY9[[9P01 - Electricity
Raw Score]])),9),_Stanine,2),5),"")</f>
        <v>7</v>
      </c>
      <c r="T9" s="66" t="n">
        <v>22</v>
      </c>
      <c r="U9" s="67">
        <f>IF(ISNUMBER(tblY9[[#This Row],[9B02 - Ecology
Raw Score]]),IFERROR(VLOOKUP(ROUND(STANDARDIZE(tblY9[[#This Row],[9B02 - Ecology
Raw Score]],AVERAGE(tblY9[[9B02 - Ecology
Raw Score]]),_xlfn.STDEV.P(tblY9[[9B02 - Ecology
Raw Score]])),9),_Stanine,2),5),"")</f>
        <v>7</v>
      </c>
    </row>
    <row r="10">
      <c r="A10" s="65" t="inlineStr">
        <is>
          <t>X907953832429</t>
        </is>
      </c>
      <c r="B10" s="65" t="inlineStr">
        <is>
          <t>Harrison</t>
        </is>
      </c>
      <c r="C10" s="65" t="inlineStr">
        <is>
          <t>Poppy</t>
        </is>
      </c>
      <c r="D10" s="66" t="inlineStr">
        <is>
          <t>F</t>
        </is>
      </c>
      <c r="E10" s="66" t="inlineStr">
        <is>
          <t>N</t>
        </is>
      </c>
      <c r="F10" s="66" t="inlineStr">
        <is>
          <t>Y</t>
        </is>
      </c>
      <c r="G10" s="34" t="n">
        <v>85.2</v>
      </c>
      <c r="H10" s="34" t="n">
        <v>105</v>
      </c>
      <c r="I10" s="67">
        <f>IF(ISNUMBER(tblY9[[#This Row],[Avg KS2]]),IFERROR(VLOOKUP(ROUND(STANDARDIZE(tblY9[[#This Row],[Avg KS2]],AVERAGE(tblY9[[Avg KS2]]),_xlfn.STDEV.P(tblY9[[Avg KS2]])),9),_Stanine,2),5),"")</f>
        <v>4</v>
      </c>
      <c r="J10" s="66" t="inlineStr">
        <is>
          <t>9A/Sc1</t>
        </is>
      </c>
      <c r="K10" s="67">
        <f>IF(tblY9[[#This Row],[Preferred Last name]]="","",COUNTIFS($N$1:$ZZ$1,"*"&amp;CHAR(10)&amp;"Stanine",$N10:$ZZ10,"&gt;=1"))</f>
        <v>4</v>
      </c>
      <c r="L10" s="68">
        <f>IFERROR(AVERAGEIF($N$1:$ZZ$1,"*"&amp;CHAR(10)&amp;"Stanine",$N10:$ZZ10),"")</f>
        <v>6</v>
      </c>
      <c r="M10" s="69">
        <f>IF(AND(ISNUMBER(tblY9[[#This Row],[Mean Stanine]]),ISNUMBER(tblY9[[#This Row],[Avg KS2 Band]]),ISNUMBER(SlopeY9)),tblY9[[#This Row],[Mean Stanine]]-(InterceptY9+SlopeY9*tblY9[[#This Row],[Avg KS2 Band]]),"")</f>
        <v>1.68984301780694</v>
      </c>
      <c r="N10" s="66" t="n">
        <v>25</v>
      </c>
      <c r="O10" s="67">
        <f>IF(ISNUMBER(tblY9[[#This Row],[9B01 - Genetics
Raw Score]]),IFERROR(VLOOKUP(ROUND(STANDARDIZE(tblY9[[#This Row],[9B01 - Genetics
Raw Score]],AVERAGE(tblY9[[9B01 - Genetics
Raw Score]]),_xlfn.STDEV.P(tblY9[[9B01 - Genetics
Raw Score]])),9),_Stanine,2),5),"")</f>
        <v>7</v>
      </c>
      <c r="P10" s="66" t="n">
        <v>24</v>
      </c>
      <c r="Q10" s="67">
        <f>IF(ISNUMBER(tblY9[[#This Row],[9C01 - Chemical Reactions
Raw Score]]),IFERROR(VLOOKUP(ROUND(STANDARDIZE(tblY9[[#This Row],[9C01 - Chemical Reactions
Raw Score]],AVERAGE(tblY9[[9C01 - Chemical Reactions
Raw Score]]),_xlfn.STDEV.P(tblY9[[9C01 - Chemical Reactions
Raw Score]])),9),_Stanine,2),5),"")</f>
        <v>6</v>
      </c>
      <c r="R10" s="66" t="n">
        <v>24</v>
      </c>
      <c r="S10" s="67">
        <f>IF(ISNUMBER(tblY9[[#This Row],[9P01 - Electricity
Raw Score]]),IFERROR(VLOOKUP(ROUND(STANDARDIZE(tblY9[[#This Row],[9P01 - Electricity
Raw Score]],AVERAGE(tblY9[[9P01 - Electricity
Raw Score]]),_xlfn.STDEV.P(tblY9[[9P01 - Electricity
Raw Score]])),9),_Stanine,2),5),"")</f>
        <v>6</v>
      </c>
      <c r="T10" s="66" t="n">
        <v>18</v>
      </c>
      <c r="U10" s="67">
        <f>IF(ISNUMBER(tblY9[[#This Row],[9B02 - Ecology
Raw Score]]),IFERROR(VLOOKUP(ROUND(STANDARDIZE(tblY9[[#This Row],[9B02 - Ecology
Raw Score]],AVERAGE(tblY9[[9B02 - Ecology
Raw Score]]),_xlfn.STDEV.P(tblY9[[9B02 - Ecology
Raw Score]])),9),_Stanine,2),5),"")</f>
        <v>5</v>
      </c>
    </row>
    <row r="11">
      <c r="A11" s="65" t="inlineStr">
        <is>
          <t>X909718254575</t>
        </is>
      </c>
      <c r="B11" s="65" t="inlineStr">
        <is>
          <t>Kelly</t>
        </is>
      </c>
      <c r="C11" s="65" t="inlineStr">
        <is>
          <t>Amelia</t>
        </is>
      </c>
      <c r="D11" s="66" t="inlineStr">
        <is>
          <t>M</t>
        </is>
      </c>
      <c r="E11" s="66" t="inlineStr">
        <is>
          <t>N</t>
        </is>
      </c>
      <c r="F11" s="66" t="inlineStr">
        <is>
          <t>N</t>
        </is>
      </c>
      <c r="G11" s="34" t="n">
        <v>90.7</v>
      </c>
      <c r="H11" s="34" t="n">
        <v>103.5</v>
      </c>
      <c r="I11" s="67">
        <f>IF(ISNUMBER(tblY9[[#This Row],[Avg KS2]]),IFERROR(VLOOKUP(ROUND(STANDARDIZE(tblY9[[#This Row],[Avg KS2]],AVERAGE(tblY9[[Avg KS2]]),_xlfn.STDEV.P(tblY9[[Avg KS2]])),9),_Stanine,2),5),"")</f>
        <v>4</v>
      </c>
      <c r="J11" s="66" t="inlineStr">
        <is>
          <t>9A/Sc1</t>
        </is>
      </c>
      <c r="K11" s="67">
        <f>IF(tblY9[[#This Row],[Preferred Last name]]="","",COUNTIFS($N$1:$ZZ$1,"*"&amp;CHAR(10)&amp;"Stanine",$N11:$ZZ11,"&gt;=1"))</f>
        <v>4</v>
      </c>
      <c r="L11" s="68">
        <f>IFERROR(AVERAGEIF($N$1:$ZZ$1,"*"&amp;CHAR(10)&amp;"Stanine",$N11:$ZZ11),"")</f>
        <v>4</v>
      </c>
      <c r="M11" s="69">
        <f>IF(AND(ISNUMBER(tblY9[[#This Row],[Mean Stanine]]),ISNUMBER(tblY9[[#This Row],[Avg KS2 Band]]),ISNUMBER(SlopeY9)),tblY9[[#This Row],[Mean Stanine]]-(InterceptY9+SlopeY9*tblY9[[#This Row],[Avg KS2 Band]]),"")</f>
        <v>-0.310156982193065</v>
      </c>
      <c r="N11" s="66" t="n">
        <v>18</v>
      </c>
      <c r="O11" s="67">
        <f>IF(ISNUMBER(tblY9[[#This Row],[9B01 - Genetics
Raw Score]]),IFERROR(VLOOKUP(ROUND(STANDARDIZE(tblY9[[#This Row],[9B01 - Genetics
Raw Score]],AVERAGE(tblY9[[9B01 - Genetics
Raw Score]]),_xlfn.STDEV.P(tblY9[[9B01 - Genetics
Raw Score]])),9),_Stanine,2),5),"")</f>
        <v>4</v>
      </c>
      <c r="P11" s="66" t="n">
        <v>22</v>
      </c>
      <c r="Q11" s="67">
        <f>IF(ISNUMBER(tblY9[[#This Row],[9C01 - Chemical Reactions
Raw Score]]),IFERROR(VLOOKUP(ROUND(STANDARDIZE(tblY9[[#This Row],[9C01 - Chemical Reactions
Raw Score]],AVERAGE(tblY9[[9C01 - Chemical Reactions
Raw Score]]),_xlfn.STDEV.P(tblY9[[9C01 - Chemical Reactions
Raw Score]])),9),_Stanine,2),5),"")</f>
        <v>5</v>
      </c>
      <c r="R11" s="66" t="n">
        <v>17</v>
      </c>
      <c r="S11" s="67">
        <f>IF(ISNUMBER(tblY9[[#This Row],[9P01 - Electricity
Raw Score]]),IFERROR(VLOOKUP(ROUND(STANDARDIZE(tblY9[[#This Row],[9P01 - Electricity
Raw Score]],AVERAGE(tblY9[[9P01 - Electricity
Raw Score]]),_xlfn.STDEV.P(tblY9[[9P01 - Electricity
Raw Score]])),9),_Stanine,2),5),"")</f>
        <v>4</v>
      </c>
      <c r="T11" s="66" t="n">
        <v>13</v>
      </c>
      <c r="U11" s="67">
        <f>IF(ISNUMBER(tblY9[[#This Row],[9B02 - Ecology
Raw Score]]),IFERROR(VLOOKUP(ROUND(STANDARDIZE(tblY9[[#This Row],[9B02 - Ecology
Raw Score]],AVERAGE(tblY9[[9B02 - Ecology
Raw Score]]),_xlfn.STDEV.P(tblY9[[9B02 - Ecology
Raw Score]])),9),_Stanine,2),5),"")</f>
        <v>3</v>
      </c>
    </row>
    <row r="12">
      <c r="A12" s="65" t="inlineStr">
        <is>
          <t>X909060511491</t>
        </is>
      </c>
      <c r="B12" s="65" t="inlineStr">
        <is>
          <t>Kelly</t>
        </is>
      </c>
      <c r="C12" s="65" t="inlineStr">
        <is>
          <t>Ella</t>
        </is>
      </c>
      <c r="D12" s="66" t="inlineStr">
        <is>
          <t>F</t>
        </is>
      </c>
      <c r="E12" s="66" t="n"/>
      <c r="F12" s="66" t="inlineStr">
        <is>
          <t>N</t>
        </is>
      </c>
      <c r="G12" s="34" t="n">
        <v>98.5</v>
      </c>
      <c r="H12" s="34" t="n">
        <v>111</v>
      </c>
      <c r="I12" s="67">
        <f>IF(ISNUMBER(tblY9[[#This Row],[Avg KS2]]),IFERROR(VLOOKUP(ROUND(STANDARDIZE(tblY9[[#This Row],[Avg KS2]],AVERAGE(tblY9[[Avg KS2]]),_xlfn.STDEV.P(tblY9[[Avg KS2]])),9),_Stanine,2),5),"")</f>
        <v>7</v>
      </c>
      <c r="J12" s="66" t="inlineStr">
        <is>
          <t>9A/Sc1</t>
        </is>
      </c>
      <c r="K12" s="67">
        <f>IF(tblY9[[#This Row],[Preferred Last name]]="","",COUNTIFS($N$1:$ZZ$1,"*"&amp;CHAR(10)&amp;"Stanine",$N12:$ZZ12,"&gt;=1"))</f>
        <v>4</v>
      </c>
      <c r="L12" s="68">
        <f>IFERROR(AVERAGEIF($N$1:$ZZ$1,"*"&amp;CHAR(10)&amp;"Stanine",$N12:$ZZ12),"")</f>
        <v>5.25</v>
      </c>
      <c r="M12" s="69">
        <f>IF(AND(ISNUMBER(tblY9[[#This Row],[Mean Stanine]]),ISNUMBER(tblY9[[#This Row],[Avg KS2 Band]]),ISNUMBER(SlopeY9)),tblY9[[#This Row],[Mean Stanine]]-(InterceptY9+SlopeY9*tblY9[[#This Row],[Avg KS2 Band]]),"")</f>
        <v>-1.35039831302718</v>
      </c>
      <c r="N12" s="66" t="n">
        <v>19</v>
      </c>
      <c r="O12" s="67">
        <f>IF(ISNUMBER(tblY9[[#This Row],[9B01 - Genetics
Raw Score]]),IFERROR(VLOOKUP(ROUND(STANDARDIZE(tblY9[[#This Row],[9B01 - Genetics
Raw Score]],AVERAGE(tblY9[[9B01 - Genetics
Raw Score]]),_xlfn.STDEV.P(tblY9[[9B01 - Genetics
Raw Score]])),9),_Stanine,2),5),"")</f>
        <v>5</v>
      </c>
      <c r="P12" s="66" t="n">
        <v>22</v>
      </c>
      <c r="Q12" s="67">
        <f>IF(ISNUMBER(tblY9[[#This Row],[9C01 - Chemical Reactions
Raw Score]]),IFERROR(VLOOKUP(ROUND(STANDARDIZE(tblY9[[#This Row],[9C01 - Chemical Reactions
Raw Score]],AVERAGE(tblY9[[9C01 - Chemical Reactions
Raw Score]]),_xlfn.STDEV.P(tblY9[[9C01 - Chemical Reactions
Raw Score]])),9),_Stanine,2),5),"")</f>
        <v>5</v>
      </c>
      <c r="R12" s="66" t="n">
        <v>22</v>
      </c>
      <c r="S12" s="67">
        <f>IF(ISNUMBER(tblY9[[#This Row],[9P01 - Electricity
Raw Score]]),IFERROR(VLOOKUP(ROUND(STANDARDIZE(tblY9[[#This Row],[9P01 - Electricity
Raw Score]],AVERAGE(tblY9[[9P01 - Electricity
Raw Score]]),_xlfn.STDEV.P(tblY9[[9P01 - Electricity
Raw Score]])),9),_Stanine,2),5),"")</f>
        <v>6</v>
      </c>
      <c r="T12" s="66" t="n">
        <v>17</v>
      </c>
      <c r="U12" s="67">
        <f>IF(ISNUMBER(tblY9[[#This Row],[9B02 - Ecology
Raw Score]]),IFERROR(VLOOKUP(ROUND(STANDARDIZE(tblY9[[#This Row],[9B02 - Ecology
Raw Score]],AVERAGE(tblY9[[9B02 - Ecology
Raw Score]]),_xlfn.STDEV.P(tblY9[[9B02 - Ecology
Raw Score]])),9),_Stanine,2),5),"")</f>
        <v>5</v>
      </c>
    </row>
    <row r="13">
      <c r="A13" s="65" t="inlineStr">
        <is>
          <t>X908488450524</t>
        </is>
      </c>
      <c r="B13" s="65" t="inlineStr">
        <is>
          <t>Kelly</t>
        </is>
      </c>
      <c r="C13" s="65" t="inlineStr">
        <is>
          <t>Ibrahim</t>
        </is>
      </c>
      <c r="D13" s="66" t="inlineStr">
        <is>
          <t>M</t>
        </is>
      </c>
      <c r="E13" s="66" t="inlineStr">
        <is>
          <t>N</t>
        </is>
      </c>
      <c r="F13" s="66" t="inlineStr">
        <is>
          <t>N</t>
        </is>
      </c>
      <c r="G13" s="34" t="n">
        <v>95.3</v>
      </c>
      <c r="H13" s="34" t="n">
        <v>114</v>
      </c>
      <c r="I13" s="67">
        <f>IF(ISNUMBER(tblY9[[#This Row],[Avg KS2]]),IFERROR(VLOOKUP(ROUND(STANDARDIZE(tblY9[[#This Row],[Avg KS2]],AVERAGE(tblY9[[Avg KS2]]),_xlfn.STDEV.P(tblY9[[Avg KS2]])),9),_Stanine,2),5),"")</f>
        <v>8</v>
      </c>
      <c r="J13" s="66" t="inlineStr">
        <is>
          <t>9A/Sc1</t>
        </is>
      </c>
      <c r="K13" s="67">
        <f>IF(tblY9[[#This Row],[Preferred Last name]]="","",COUNTIFS($N$1:$ZZ$1,"*"&amp;CHAR(10)&amp;"Stanine",$N13:$ZZ13,"&gt;=1"))</f>
        <v>4</v>
      </c>
      <c r="L13" s="68">
        <f>IFERROR(AVERAGEIF($N$1:$ZZ$1,"*"&amp;CHAR(10)&amp;"Stanine",$N13:$ZZ13),"")</f>
        <v>7.5</v>
      </c>
      <c r="M13" s="69">
        <f>IF(AND(ISNUMBER(tblY9[[#This Row],[Mean Stanine]]),ISNUMBER(tblY9[[#This Row],[Avg KS2 Band]]),ISNUMBER(SlopeY9)),tblY9[[#This Row],[Mean Stanine]]-(InterceptY9+SlopeY9*tblY9[[#This Row],[Avg KS2 Band]]),"")</f>
        <v>0.136187910028116</v>
      </c>
      <c r="N13" s="66" t="n">
        <v>28</v>
      </c>
      <c r="O13" s="67">
        <f>IF(ISNUMBER(tblY9[[#This Row],[9B01 - Genetics
Raw Score]]),IFERROR(VLOOKUP(ROUND(STANDARDIZE(tblY9[[#This Row],[9B01 - Genetics
Raw Score]],AVERAGE(tblY9[[9B01 - Genetics
Raw Score]]),_xlfn.STDEV.P(tblY9[[9B01 - Genetics
Raw Score]])),9),_Stanine,2),5),"")</f>
        <v>8</v>
      </c>
      <c r="P13" s="66" t="n">
        <v>27</v>
      </c>
      <c r="Q13" s="67">
        <f>IF(ISNUMBER(tblY9[[#This Row],[9C01 - Chemical Reactions
Raw Score]]),IFERROR(VLOOKUP(ROUND(STANDARDIZE(tblY9[[#This Row],[9C01 - Chemical Reactions
Raw Score]],AVERAGE(tblY9[[9C01 - Chemical Reactions
Raw Score]]),_xlfn.STDEV.P(tblY9[[9C01 - Chemical Reactions
Raw Score]])),9),_Stanine,2),5),"")</f>
        <v>7</v>
      </c>
      <c r="R13" s="66" t="n">
        <v>27</v>
      </c>
      <c r="S13" s="67">
        <f>IF(ISNUMBER(tblY9[[#This Row],[9P01 - Electricity
Raw Score]]),IFERROR(VLOOKUP(ROUND(STANDARDIZE(tblY9[[#This Row],[9P01 - Electricity
Raw Score]],AVERAGE(tblY9[[9P01 - Electricity
Raw Score]]),_xlfn.STDEV.P(tblY9[[9P01 - Electricity
Raw Score]])),9),_Stanine,2),5),"")</f>
        <v>8</v>
      </c>
      <c r="T13" s="66" t="n">
        <v>23</v>
      </c>
      <c r="U13" s="67">
        <f>IF(ISNUMBER(tblY9[[#This Row],[9B02 - Ecology
Raw Score]]),IFERROR(VLOOKUP(ROUND(STANDARDIZE(tblY9[[#This Row],[9B02 - Ecology
Raw Score]],AVERAGE(tblY9[[9B02 - Ecology
Raw Score]]),_xlfn.STDEV.P(tblY9[[9B02 - Ecology
Raw Score]])),9),_Stanine,2),5),"")</f>
        <v>7</v>
      </c>
    </row>
    <row r="14">
      <c r="A14" s="65" t="inlineStr">
        <is>
          <t>X906871215864</t>
        </is>
      </c>
      <c r="B14" s="65" t="inlineStr">
        <is>
          <t>Khan</t>
        </is>
      </c>
      <c r="C14" s="65" t="inlineStr">
        <is>
          <t>Zofia</t>
        </is>
      </c>
      <c r="D14" s="66" t="inlineStr">
        <is>
          <t>M</t>
        </is>
      </c>
      <c r="E14" s="66" t="inlineStr">
        <is>
          <t>N</t>
        </is>
      </c>
      <c r="F14" s="66" t="inlineStr">
        <is>
          <t>N</t>
        </is>
      </c>
      <c r="G14" s="34" t="n">
        <v>93.40000000000001</v>
      </c>
      <c r="H14" s="34" t="n">
        <v>116.5</v>
      </c>
      <c r="I14" s="67">
        <f>IF(ISNUMBER(tblY9[[#This Row],[Avg KS2]]),IFERROR(VLOOKUP(ROUND(STANDARDIZE(tblY9[[#This Row],[Avg KS2]],AVERAGE(tblY9[[Avg KS2]]),_xlfn.STDEV.P(tblY9[[Avg KS2]])),9),_Stanine,2),5),"")</f>
        <v>9</v>
      </c>
      <c r="J14" s="66" t="inlineStr">
        <is>
          <t>9A/Sc1</t>
        </is>
      </c>
      <c r="K14" s="67">
        <f>IF(tblY9[[#This Row],[Preferred Last name]]="","",COUNTIFS($N$1:$ZZ$1,"*"&amp;CHAR(10)&amp;"Stanine",$N14:$ZZ14,"&gt;=1"))</f>
        <v>4</v>
      </c>
      <c r="L14" s="68">
        <f>IFERROR(AVERAGEIF($N$1:$ZZ$1,"*"&amp;CHAR(10)&amp;"Stanine",$N14:$ZZ14),"")</f>
        <v>8</v>
      </c>
      <c r="M14" s="69">
        <f>IF(AND(ISNUMBER(tblY9[[#This Row],[Mean Stanine]]),ISNUMBER(tblY9[[#This Row],[Avg KS2 Band]]),ISNUMBER(SlopeY9)),tblY9[[#This Row],[Mean Stanine]]-(InterceptY9+SlopeY9*tblY9[[#This Row],[Avg KS2 Band]]),"")</f>
        <v>-0.127225866916589</v>
      </c>
      <c r="N14" s="66" t="n">
        <v>28</v>
      </c>
      <c r="O14" s="67">
        <f>IF(ISNUMBER(tblY9[[#This Row],[9B01 - Genetics
Raw Score]]),IFERROR(VLOOKUP(ROUND(STANDARDIZE(tblY9[[#This Row],[9B01 - Genetics
Raw Score]],AVERAGE(tblY9[[9B01 - Genetics
Raw Score]]),_xlfn.STDEV.P(tblY9[[9B01 - Genetics
Raw Score]])),9),_Stanine,2),5),"")</f>
        <v>8</v>
      </c>
      <c r="P14" s="66" t="n">
        <v>29</v>
      </c>
      <c r="Q14" s="67">
        <f>IF(ISNUMBER(tblY9[[#This Row],[9C01 - Chemical Reactions
Raw Score]]),IFERROR(VLOOKUP(ROUND(STANDARDIZE(tblY9[[#This Row],[9C01 - Chemical Reactions
Raw Score]],AVERAGE(tblY9[[9C01 - Chemical Reactions
Raw Score]]),_xlfn.STDEV.P(tblY9[[9C01 - Chemical Reactions
Raw Score]])),9),_Stanine,2),5),"")</f>
        <v>8</v>
      </c>
      <c r="R14" s="66" t="n">
        <v>28</v>
      </c>
      <c r="S14" s="67">
        <f>IF(ISNUMBER(tblY9[[#This Row],[9P01 - Electricity
Raw Score]]),IFERROR(VLOOKUP(ROUND(STANDARDIZE(tblY9[[#This Row],[9P01 - Electricity
Raw Score]],AVERAGE(tblY9[[9P01 - Electricity
Raw Score]]),_xlfn.STDEV.P(tblY9[[9P01 - Electricity
Raw Score]])),9),_Stanine,2),5),"")</f>
        <v>8</v>
      </c>
      <c r="T14" s="66" t="n">
        <v>24</v>
      </c>
      <c r="U14" s="67">
        <f>IF(ISNUMBER(tblY9[[#This Row],[9B02 - Ecology
Raw Score]]),IFERROR(VLOOKUP(ROUND(STANDARDIZE(tblY9[[#This Row],[9B02 - Ecology
Raw Score]],AVERAGE(tblY9[[9B02 - Ecology
Raw Score]]),_xlfn.STDEV.P(tblY9[[9B02 - Ecology
Raw Score]])),9),_Stanine,2),5),"")</f>
        <v>8</v>
      </c>
    </row>
    <row r="15">
      <c r="A15" s="65" t="inlineStr">
        <is>
          <t>X909593549445</t>
        </is>
      </c>
      <c r="B15" s="65" t="inlineStr">
        <is>
          <t>Morgan</t>
        </is>
      </c>
      <c r="C15" s="65" t="inlineStr">
        <is>
          <t>Sophie</t>
        </is>
      </c>
      <c r="D15" s="66" t="inlineStr">
        <is>
          <t>M</t>
        </is>
      </c>
      <c r="E15" s="66" t="n"/>
      <c r="F15" s="66" t="inlineStr">
        <is>
          <t>N</t>
        </is>
      </c>
      <c r="G15" s="34" t="n">
        <v>100</v>
      </c>
      <c r="H15" s="34" t="n">
        <v>114</v>
      </c>
      <c r="I15" s="67">
        <f>IF(ISNUMBER(tblY9[[#This Row],[Avg KS2]]),IFERROR(VLOOKUP(ROUND(STANDARDIZE(tblY9[[#This Row],[Avg KS2]],AVERAGE(tblY9[[Avg KS2]]),_xlfn.STDEV.P(tblY9[[Avg KS2]])),9),_Stanine,2),5),"")</f>
        <v>8</v>
      </c>
      <c r="J15" s="66" t="inlineStr">
        <is>
          <t>9A/Sc1</t>
        </is>
      </c>
      <c r="K15" s="67">
        <f>IF(tblY9[[#This Row],[Preferred Last name]]="","",COUNTIFS($N$1:$ZZ$1,"*"&amp;CHAR(10)&amp;"Stanine",$N15:$ZZ15,"&gt;=1"))</f>
        <v>3</v>
      </c>
      <c r="L15" s="68">
        <f>IFERROR(AVERAGEIF($N$1:$ZZ$1,"*"&amp;CHAR(10)&amp;"Stanine",$N15:$ZZ15),"")</f>
        <v>7.66666666666667</v>
      </c>
      <c r="M15" s="69">
        <f>IF(AND(ISNUMBER(tblY9[[#This Row],[Mean Stanine]]),ISNUMBER(tblY9[[#This Row],[Avg KS2 Band]]),ISNUMBER(SlopeY9)),tblY9[[#This Row],[Mean Stanine]]-(InterceptY9+SlopeY9*tblY9[[#This Row],[Avg KS2 Band]]),"")</f>
        <v>0.302854576694783</v>
      </c>
      <c r="N15" s="66" t="n">
        <v>27</v>
      </c>
      <c r="O15" s="67">
        <f>IF(ISNUMBER(tblY9[[#This Row],[9B01 - Genetics
Raw Score]]),IFERROR(VLOOKUP(ROUND(STANDARDIZE(tblY9[[#This Row],[9B01 - Genetics
Raw Score]],AVERAGE(tblY9[[9B01 - Genetics
Raw Score]]),_xlfn.STDEV.P(tblY9[[9B01 - Genetics
Raw Score]])),9),_Stanine,2),5),"")</f>
        <v>7</v>
      </c>
      <c r="P15" s="66" t="inlineStr">
        <is>
          <t>A</t>
        </is>
      </c>
      <c r="Q15" s="67" t="str">
        <f>IF(ISNUMBER(tblY9[[#This Row],[9C01 - Chemical Reactions
Raw Score]]),IFERROR(VLOOKUP(ROUND(STANDARDIZE(tblY9[[#This Row],[9C01 - Chemical Reactions
Raw Score]],AVERAGE(tblY9[[9C01 - Chemical Reactions
Raw Score]]),_xlfn.STDEV.P(tblY9[[9C01 - Chemical Reactions
Raw Score]])),9),_Stanine,2),5),"")</f>
        <v/>
      </c>
      <c r="R15" s="66" t="n">
        <v>27</v>
      </c>
      <c r="S15" s="67">
        <f>IF(ISNUMBER(tblY9[[#This Row],[9P01 - Electricity
Raw Score]]),IFERROR(VLOOKUP(ROUND(STANDARDIZE(tblY9[[#This Row],[9P01 - Electricity
Raw Score]],AVERAGE(tblY9[[9P01 - Electricity
Raw Score]]),_xlfn.STDEV.P(tblY9[[9P01 - Electricity
Raw Score]])),9),_Stanine,2),5),"")</f>
        <v>8</v>
      </c>
      <c r="T15" s="66" t="n">
        <v>24</v>
      </c>
      <c r="U15" s="67">
        <f>IF(ISNUMBER(tblY9[[#This Row],[9B02 - Ecology
Raw Score]]),IFERROR(VLOOKUP(ROUND(STANDARDIZE(tblY9[[#This Row],[9B02 - Ecology
Raw Score]],AVERAGE(tblY9[[9B02 - Ecology
Raw Score]]),_xlfn.STDEV.P(tblY9[[9B02 - Ecology
Raw Score]])),9),_Stanine,2),5),"")</f>
        <v>8</v>
      </c>
    </row>
    <row r="16">
      <c r="A16" s="65" t="inlineStr">
        <is>
          <t>X902552492180</t>
        </is>
      </c>
      <c r="B16" s="65" t="inlineStr">
        <is>
          <t>Murphy</t>
        </is>
      </c>
      <c r="C16" s="65" t="inlineStr">
        <is>
          <t>Muhammad</t>
        </is>
      </c>
      <c r="D16" s="66" t="inlineStr">
        <is>
          <t>M</t>
        </is>
      </c>
      <c r="E16" s="66" t="inlineStr">
        <is>
          <t>K</t>
        </is>
      </c>
      <c r="F16" s="66" t="inlineStr">
        <is>
          <t>Y</t>
        </is>
      </c>
      <c r="G16" s="34" t="n">
        <v>96.40000000000001</v>
      </c>
      <c r="H16" s="34" t="n">
        <v>111.5</v>
      </c>
      <c r="I16" s="67">
        <f>IF(ISNUMBER(tblY9[[#This Row],[Avg KS2]]),IFERROR(VLOOKUP(ROUND(STANDARDIZE(tblY9[[#This Row],[Avg KS2]],AVERAGE(tblY9[[Avg KS2]]),_xlfn.STDEV.P(tblY9[[Avg KS2]])),9),_Stanine,2),5),"")</f>
        <v>7</v>
      </c>
      <c r="J16" s="66" t="inlineStr">
        <is>
          <t>9A/Sc1</t>
        </is>
      </c>
      <c r="K16" s="67">
        <f>IF(tblY9[[#This Row],[Preferred Last name]]="","",COUNTIFS($N$1:$ZZ$1,"*"&amp;CHAR(10)&amp;"Stanine",$N16:$ZZ16,"&gt;=1"))</f>
        <v>4</v>
      </c>
      <c r="L16" s="68">
        <f>IFERROR(AVERAGEIF($N$1:$ZZ$1,"*"&amp;CHAR(10)&amp;"Stanine",$N16:$ZZ16),"")</f>
        <v>7</v>
      </c>
      <c r="M16" s="69">
        <f>IF(AND(ISNUMBER(tblY9[[#This Row],[Mean Stanine]]),ISNUMBER(tblY9[[#This Row],[Avg KS2 Band]]),ISNUMBER(SlopeY9)),tblY9[[#This Row],[Mean Stanine]]-(InterceptY9+SlopeY9*tblY9[[#This Row],[Avg KS2 Band]]),"")</f>
        <v>0.399601686972821</v>
      </c>
      <c r="N16" s="66" t="n">
        <v>26</v>
      </c>
      <c r="O16" s="67">
        <f>IF(ISNUMBER(tblY9[[#This Row],[9B01 - Genetics
Raw Score]]),IFERROR(VLOOKUP(ROUND(STANDARDIZE(tblY9[[#This Row],[9B01 - Genetics
Raw Score]],AVERAGE(tblY9[[9B01 - Genetics
Raw Score]]),_xlfn.STDEV.P(tblY9[[9B01 - Genetics
Raw Score]])),9),_Stanine,2),5),"")</f>
        <v>7</v>
      </c>
      <c r="P16" s="66" t="n">
        <v>28</v>
      </c>
      <c r="Q16" s="67">
        <f>IF(ISNUMBER(tblY9[[#This Row],[9C01 - Chemical Reactions
Raw Score]]),IFERROR(VLOOKUP(ROUND(STANDARDIZE(tblY9[[#This Row],[9C01 - Chemical Reactions
Raw Score]],AVERAGE(tblY9[[9C01 - Chemical Reactions
Raw Score]]),_xlfn.STDEV.P(tblY9[[9C01 - Chemical Reactions
Raw Score]])),9),_Stanine,2),5),"")</f>
        <v>7</v>
      </c>
      <c r="R16" s="66" t="n">
        <v>26</v>
      </c>
      <c r="S16" s="67">
        <f>IF(ISNUMBER(tblY9[[#This Row],[9P01 - Electricity
Raw Score]]),IFERROR(VLOOKUP(ROUND(STANDARDIZE(tblY9[[#This Row],[9P01 - Electricity
Raw Score]],AVERAGE(tblY9[[9P01 - Electricity
Raw Score]]),_xlfn.STDEV.P(tblY9[[9P01 - Electricity
Raw Score]])),9),_Stanine,2),5),"")</f>
        <v>7</v>
      </c>
      <c r="T16" s="66" t="n">
        <v>21</v>
      </c>
      <c r="U16" s="67">
        <f>IF(ISNUMBER(tblY9[[#This Row],[9B02 - Ecology
Raw Score]]),IFERROR(VLOOKUP(ROUND(STANDARDIZE(tblY9[[#This Row],[9B02 - Ecology
Raw Score]],AVERAGE(tblY9[[9B02 - Ecology
Raw Score]]),_xlfn.STDEV.P(tblY9[[9B02 - Ecology
Raw Score]])),9),_Stanine,2),5),"")</f>
        <v>7</v>
      </c>
    </row>
    <row r="17">
      <c r="A17" s="65" t="inlineStr">
        <is>
          <t>X901834713817</t>
        </is>
      </c>
      <c r="B17" s="65" t="inlineStr">
        <is>
          <t>Parker</t>
        </is>
      </c>
      <c r="C17" s="65" t="inlineStr">
        <is>
          <t>Keira</t>
        </is>
      </c>
      <c r="D17" s="66" t="inlineStr">
        <is>
          <t>M</t>
        </is>
      </c>
      <c r="E17" s="66" t="n"/>
      <c r="F17" s="66" t="inlineStr">
        <is>
          <t>N</t>
        </is>
      </c>
      <c r="G17" s="34" t="n">
        <v>100</v>
      </c>
      <c r="H17" s="34" t="n">
        <v>110</v>
      </c>
      <c r="I17" s="67">
        <f>IF(ISNUMBER(tblY9[[#This Row],[Avg KS2]]),IFERROR(VLOOKUP(ROUND(STANDARDIZE(tblY9[[#This Row],[Avg KS2]],AVERAGE(tblY9[[Avg KS2]]),_xlfn.STDEV.P(tblY9[[Avg KS2]])),9),_Stanine,2),5),"")</f>
        <v>6</v>
      </c>
      <c r="J17" s="66" t="inlineStr">
        <is>
          <t>9A/Sc1</t>
        </is>
      </c>
      <c r="K17" s="67">
        <f>IF(tblY9[[#This Row],[Preferred Last name]]="","",COUNTIFS($N$1:$ZZ$1,"*"&amp;CHAR(10)&amp;"Stanine",$N17:$ZZ17,"&gt;=1"))</f>
        <v>3</v>
      </c>
      <c r="L17" s="68">
        <f>IFERROR(AVERAGEIF($N$1:$ZZ$1,"*"&amp;CHAR(10)&amp;"Stanine",$N17:$ZZ17),"")</f>
        <v>7.33333333333333</v>
      </c>
      <c r="M17" s="69">
        <f>IF(AND(ISNUMBER(tblY9[[#This Row],[Mean Stanine]]),ISNUMBER(tblY9[[#This Row],[Avg KS2 Band]]),ISNUMBER(SlopeY9)),tblY9[[#This Row],[Mean Stanine]]-(InterceptY9+SlopeY9*tblY9[[#This Row],[Avg KS2 Band]]),"")</f>
        <v>1.49634879725086</v>
      </c>
      <c r="N17" s="66" t="n">
        <v>27</v>
      </c>
      <c r="O17" s="67">
        <f>IF(ISNUMBER(tblY9[[#This Row],[9B01 - Genetics
Raw Score]]),IFERROR(VLOOKUP(ROUND(STANDARDIZE(tblY9[[#This Row],[9B01 - Genetics
Raw Score]],AVERAGE(tblY9[[9B01 - Genetics
Raw Score]]),_xlfn.STDEV.P(tblY9[[9B01 - Genetics
Raw Score]])),9),_Stanine,2),5),"")</f>
        <v>7</v>
      </c>
      <c r="P17" s="66" t="n">
        <v>30</v>
      </c>
      <c r="Q17" s="67">
        <f>IF(ISNUMBER(tblY9[[#This Row],[9C01 - Chemical Reactions
Raw Score]]),IFERROR(VLOOKUP(ROUND(STANDARDIZE(tblY9[[#This Row],[9C01 - Chemical Reactions
Raw Score]],AVERAGE(tblY9[[9C01 - Chemical Reactions
Raw Score]]),_xlfn.STDEV.P(tblY9[[9C01 - Chemical Reactions
Raw Score]])),9),_Stanine,2),5),"")</f>
        <v>8</v>
      </c>
      <c r="R17" s="66" t="n">
        <v>25</v>
      </c>
      <c r="S17" s="67">
        <f>IF(ISNUMBER(tblY9[[#This Row],[9P01 - Electricity
Raw Score]]),IFERROR(VLOOKUP(ROUND(STANDARDIZE(tblY9[[#This Row],[9P01 - Electricity
Raw Score]],AVERAGE(tblY9[[9P01 - Electricity
Raw Score]]),_xlfn.STDEV.P(tblY9[[9P01 - Electricity
Raw Score]])),9),_Stanine,2),5),"")</f>
        <v>7</v>
      </c>
      <c r="T17" s="66" t="inlineStr">
        <is>
          <t>A</t>
        </is>
      </c>
      <c r="U17" s="67" t="str">
        <f>IF(ISNUMBER(tblY9[[#This Row],[9B02 - Ecology
Raw Score]]),IFERROR(VLOOKUP(ROUND(STANDARDIZE(tblY9[[#This Row],[9B02 - Ecology
Raw Score]],AVERAGE(tblY9[[9B02 - Ecology
Raw Score]]),_xlfn.STDEV.P(tblY9[[9B02 - Ecology
Raw Score]])),9),_Stanine,2),5),"")</f>
        <v/>
      </c>
    </row>
    <row r="18">
      <c r="A18" s="65" t="inlineStr">
        <is>
          <t>X901987569544</t>
        </is>
      </c>
      <c r="B18" s="65" t="inlineStr">
        <is>
          <t>Roberts</t>
        </is>
      </c>
      <c r="C18" s="65" t="inlineStr">
        <is>
          <t>Aisha</t>
        </is>
      </c>
      <c r="D18" s="66" t="inlineStr">
        <is>
          <t>F</t>
        </is>
      </c>
      <c r="E18" s="66" t="inlineStr">
        <is>
          <t>N</t>
        </is>
      </c>
      <c r="F18" s="66" t="inlineStr">
        <is>
          <t>N</t>
        </is>
      </c>
      <c r="G18" s="34" t="n">
        <v>94</v>
      </c>
      <c r="H18" s="34" t="n">
        <v>108.5</v>
      </c>
      <c r="I18" s="67">
        <f>IF(ISNUMBER(tblY9[[#This Row],[Avg KS2]]),IFERROR(VLOOKUP(ROUND(STANDARDIZE(tblY9[[#This Row],[Avg KS2]],AVERAGE(tblY9[[Avg KS2]]),_xlfn.STDEV.P(tblY9[[Avg KS2]])),9),_Stanine,2),5),"")</f>
        <v>6</v>
      </c>
      <c r="J18" s="66" t="inlineStr">
        <is>
          <t>9A/Sc1</t>
        </is>
      </c>
      <c r="K18" s="67">
        <f>IF(tblY9[[#This Row],[Preferred Last name]]="","",COUNTIFS($N$1:$ZZ$1,"*"&amp;CHAR(10)&amp;"Stanine",$N18:$ZZ18,"&gt;=1"))</f>
        <v>4</v>
      </c>
      <c r="L18" s="68">
        <f>IFERROR(AVERAGEIF($N$1:$ZZ$1,"*"&amp;CHAR(10)&amp;"Stanine",$N18:$ZZ18),"")</f>
        <v>7.25</v>
      </c>
      <c r="M18" s="69">
        <f>IF(AND(ISNUMBER(tblY9[[#This Row],[Mean Stanine]]),ISNUMBER(tblY9[[#This Row],[Avg KS2 Band]]),ISNUMBER(SlopeY9)),tblY9[[#This Row],[Mean Stanine]]-(InterceptY9+SlopeY9*tblY9[[#This Row],[Avg KS2 Band]]),"")</f>
        <v>1.41301546391753</v>
      </c>
      <c r="N18" s="66" t="n">
        <v>25</v>
      </c>
      <c r="O18" s="67">
        <f>IF(ISNUMBER(tblY9[[#This Row],[9B01 - Genetics
Raw Score]]),IFERROR(VLOOKUP(ROUND(STANDARDIZE(tblY9[[#This Row],[9B01 - Genetics
Raw Score]],AVERAGE(tblY9[[9B01 - Genetics
Raw Score]]),_xlfn.STDEV.P(tblY9[[9B01 - Genetics
Raw Score]])),9),_Stanine,2),5),"")</f>
        <v>7</v>
      </c>
      <c r="P18" s="66" t="n">
        <v>29</v>
      </c>
      <c r="Q18" s="67">
        <f>IF(ISNUMBER(tblY9[[#This Row],[9C01 - Chemical Reactions
Raw Score]]),IFERROR(VLOOKUP(ROUND(STANDARDIZE(tblY9[[#This Row],[9C01 - Chemical Reactions
Raw Score]],AVERAGE(tblY9[[9C01 - Chemical Reactions
Raw Score]]),_xlfn.STDEV.P(tblY9[[9C01 - Chemical Reactions
Raw Score]])),9),_Stanine,2),5),"")</f>
        <v>8</v>
      </c>
      <c r="R18" s="66" t="n">
        <v>26</v>
      </c>
      <c r="S18" s="67">
        <f>IF(ISNUMBER(tblY9[[#This Row],[9P01 - Electricity
Raw Score]]),IFERROR(VLOOKUP(ROUND(STANDARDIZE(tblY9[[#This Row],[9P01 - Electricity
Raw Score]],AVERAGE(tblY9[[9P01 - Electricity
Raw Score]]),_xlfn.STDEV.P(tblY9[[9P01 - Electricity
Raw Score]])),9),_Stanine,2),5),"")</f>
        <v>7</v>
      </c>
      <c r="T18" s="66" t="n">
        <v>23</v>
      </c>
      <c r="U18" s="67">
        <f>IF(ISNUMBER(tblY9[[#This Row],[9B02 - Ecology
Raw Score]]),IFERROR(VLOOKUP(ROUND(STANDARDIZE(tblY9[[#This Row],[9B02 - Ecology
Raw Score]],AVERAGE(tblY9[[9B02 - Ecology
Raw Score]]),_xlfn.STDEV.P(tblY9[[9B02 - Ecology
Raw Score]])),9),_Stanine,2),5),"")</f>
        <v>7</v>
      </c>
    </row>
    <row r="19">
      <c r="A19" s="65" t="inlineStr">
        <is>
          <t>X905974967175</t>
        </is>
      </c>
      <c r="B19" s="65" t="inlineStr">
        <is>
          <t>Robinson</t>
        </is>
      </c>
      <c r="C19" s="65" t="inlineStr">
        <is>
          <t>Jacob</t>
        </is>
      </c>
      <c r="D19" s="66" t="inlineStr">
        <is>
          <t>M</t>
        </is>
      </c>
      <c r="E19" s="66" t="inlineStr">
        <is>
          <t>N</t>
        </is>
      </c>
      <c r="F19" s="66" t="inlineStr">
        <is>
          <t>N</t>
        </is>
      </c>
      <c r="G19" s="34" t="n">
        <v>95.7</v>
      </c>
      <c r="H19" s="34" t="n">
        <v>113</v>
      </c>
      <c r="I19" s="67">
        <f>IF(ISNUMBER(tblY9[[#This Row],[Avg KS2]]),IFERROR(VLOOKUP(ROUND(STANDARDIZE(tblY9[[#This Row],[Avg KS2]],AVERAGE(tblY9[[Avg KS2]]),_xlfn.STDEV.P(tblY9[[Avg KS2]])),9),_Stanine,2),5),"")</f>
        <v>7</v>
      </c>
      <c r="J19" s="66" t="inlineStr">
        <is>
          <t>9A/Sc1</t>
        </is>
      </c>
      <c r="K19" s="67">
        <f>IF(tblY9[[#This Row],[Preferred Last name]]="","",COUNTIFS($N$1:$ZZ$1,"*"&amp;CHAR(10)&amp;"Stanine",$N19:$ZZ19,"&gt;=1"))</f>
        <v>4</v>
      </c>
      <c r="L19" s="68">
        <f>IFERROR(AVERAGEIF($N$1:$ZZ$1,"*"&amp;CHAR(10)&amp;"Stanine",$N19:$ZZ19),"")</f>
        <v>6.75</v>
      </c>
      <c r="M19" s="69">
        <f>IF(AND(ISNUMBER(tblY9[[#This Row],[Mean Stanine]]),ISNUMBER(tblY9[[#This Row],[Avg KS2 Band]]),ISNUMBER(SlopeY9)),tblY9[[#This Row],[Mean Stanine]]-(InterceptY9+SlopeY9*tblY9[[#This Row],[Avg KS2 Band]]),"")</f>
        <v>0.149601686972821</v>
      </c>
      <c r="N19" s="66" t="n">
        <v>25</v>
      </c>
      <c r="O19" s="67">
        <f>IF(ISNUMBER(tblY9[[#This Row],[9B01 - Genetics
Raw Score]]),IFERROR(VLOOKUP(ROUND(STANDARDIZE(tblY9[[#This Row],[9B01 - Genetics
Raw Score]],AVERAGE(tblY9[[9B01 - Genetics
Raw Score]]),_xlfn.STDEV.P(tblY9[[9B01 - Genetics
Raw Score]])),9),_Stanine,2),5),"")</f>
        <v>7</v>
      </c>
      <c r="P19" s="66" t="n">
        <v>24</v>
      </c>
      <c r="Q19" s="67">
        <f>IF(ISNUMBER(tblY9[[#This Row],[9C01 - Chemical Reactions
Raw Score]]),IFERROR(VLOOKUP(ROUND(STANDARDIZE(tblY9[[#This Row],[9C01 - Chemical Reactions
Raw Score]],AVERAGE(tblY9[[9C01 - Chemical Reactions
Raw Score]]),_xlfn.STDEV.P(tblY9[[9C01 - Chemical Reactions
Raw Score]])),9),_Stanine,2),5),"")</f>
        <v>6</v>
      </c>
      <c r="R19" s="66" t="n">
        <v>25</v>
      </c>
      <c r="S19" s="67">
        <f>IF(ISNUMBER(tblY9[[#This Row],[9P01 - Electricity
Raw Score]]),IFERROR(VLOOKUP(ROUND(STANDARDIZE(tblY9[[#This Row],[9P01 - Electricity
Raw Score]],AVERAGE(tblY9[[9P01 - Electricity
Raw Score]]),_xlfn.STDEV.P(tblY9[[9P01 - Electricity
Raw Score]])),9),_Stanine,2),5),"")</f>
        <v>7</v>
      </c>
      <c r="T19" s="66" t="n">
        <v>21</v>
      </c>
      <c r="U19" s="67">
        <f>IF(ISNUMBER(tblY9[[#This Row],[9B02 - Ecology
Raw Score]]),IFERROR(VLOOKUP(ROUND(STANDARDIZE(tblY9[[#This Row],[9B02 - Ecology
Raw Score]],AVERAGE(tblY9[[9B02 - Ecology
Raw Score]]),_xlfn.STDEV.P(tblY9[[9B02 - Ecology
Raw Score]])),9),_Stanine,2),5),"")</f>
        <v>7</v>
      </c>
    </row>
    <row r="20">
      <c r="A20" s="65" t="inlineStr">
        <is>
          <t>X906586767704</t>
        </is>
      </c>
      <c r="B20" s="65" t="inlineStr">
        <is>
          <t>Smith</t>
        </is>
      </c>
      <c r="C20" s="65" t="inlineStr">
        <is>
          <t>Poppy</t>
        </is>
      </c>
      <c r="D20" s="66" t="inlineStr">
        <is>
          <t>M</t>
        </is>
      </c>
      <c r="E20" s="66" t="inlineStr">
        <is>
          <t>N</t>
        </is>
      </c>
      <c r="F20" s="66" t="inlineStr">
        <is>
          <t>N</t>
        </is>
      </c>
      <c r="G20" s="34" t="n">
        <v>90.8</v>
      </c>
      <c r="H20" s="34" t="n">
        <v>105.5</v>
      </c>
      <c r="I20" s="67">
        <f>IF(ISNUMBER(tblY9[[#This Row],[Avg KS2]]),IFERROR(VLOOKUP(ROUND(STANDARDIZE(tblY9[[#This Row],[Avg KS2]],AVERAGE(tblY9[[Avg KS2]]),_xlfn.STDEV.P(tblY9[[Avg KS2]])),9),_Stanine,2),5),"")</f>
        <v>5</v>
      </c>
      <c r="J20" s="66" t="inlineStr">
        <is>
          <t>9A/Sc1</t>
        </is>
      </c>
      <c r="K20" s="67">
        <f>IF(tblY9[[#This Row],[Preferred Last name]]="","",COUNTIFS($N$1:$ZZ$1,"*"&amp;CHAR(10)&amp;"Stanine",$N20:$ZZ20,"&gt;=1"))</f>
        <v>4</v>
      </c>
      <c r="L20" s="68">
        <f>IFERROR(AVERAGEIF($N$1:$ZZ$1,"*"&amp;CHAR(10)&amp;"Stanine",$N20:$ZZ20),"")</f>
        <v>5.25</v>
      </c>
      <c r="M20" s="69">
        <f>IF(AND(ISNUMBER(tblY9[[#This Row],[Mean Stanine]]),ISNUMBER(tblY9[[#This Row],[Avg KS2 Band]]),ISNUMBER(SlopeY9)),tblY9[[#This Row],[Mean Stanine]]-(InterceptY9+SlopeY9*tblY9[[#This Row],[Avg KS2 Band]]),"")</f>
        <v>0.17642924086223</v>
      </c>
      <c r="N20" s="66" t="n">
        <v>18</v>
      </c>
      <c r="O20" s="67">
        <f>IF(ISNUMBER(tblY9[[#This Row],[9B01 - Genetics
Raw Score]]),IFERROR(VLOOKUP(ROUND(STANDARDIZE(tblY9[[#This Row],[9B01 - Genetics
Raw Score]],AVERAGE(tblY9[[9B01 - Genetics
Raw Score]]),_xlfn.STDEV.P(tblY9[[9B01 - Genetics
Raw Score]])),9),_Stanine,2),5),"")</f>
        <v>4</v>
      </c>
      <c r="P20" s="66" t="n">
        <v>22</v>
      </c>
      <c r="Q20" s="67">
        <f>IF(ISNUMBER(tblY9[[#This Row],[9C01 - Chemical Reactions
Raw Score]]),IFERROR(VLOOKUP(ROUND(STANDARDIZE(tblY9[[#This Row],[9C01 - Chemical Reactions
Raw Score]],AVERAGE(tblY9[[9C01 - Chemical Reactions
Raw Score]]),_xlfn.STDEV.P(tblY9[[9C01 - Chemical Reactions
Raw Score]])),9),_Stanine,2),5),"")</f>
        <v>5</v>
      </c>
      <c r="R20" s="66" t="n">
        <v>22</v>
      </c>
      <c r="S20" s="67">
        <f>IF(ISNUMBER(tblY9[[#This Row],[9P01 - Electricity
Raw Score]]),IFERROR(VLOOKUP(ROUND(STANDARDIZE(tblY9[[#This Row],[9P01 - Electricity
Raw Score]],AVERAGE(tblY9[[9P01 - Electricity
Raw Score]]),_xlfn.STDEV.P(tblY9[[9P01 - Electricity
Raw Score]])),9),_Stanine,2),5),"")</f>
        <v>6</v>
      </c>
      <c r="T20" s="66" t="n">
        <v>19</v>
      </c>
      <c r="U20" s="67">
        <f>IF(ISNUMBER(tblY9[[#This Row],[9B02 - Ecology
Raw Score]]),IFERROR(VLOOKUP(ROUND(STANDARDIZE(tblY9[[#This Row],[9B02 - Ecology
Raw Score]],AVERAGE(tblY9[[9B02 - Ecology
Raw Score]]),_xlfn.STDEV.P(tblY9[[9B02 - Ecology
Raw Score]])),9),_Stanine,2),5),"")</f>
        <v>6</v>
      </c>
    </row>
    <row r="21">
      <c r="A21" s="65" t="inlineStr">
        <is>
          <t>X900007347330</t>
        </is>
      </c>
      <c r="B21" s="65" t="inlineStr">
        <is>
          <t>Taylor</t>
        </is>
      </c>
      <c r="C21" s="65" t="inlineStr">
        <is>
          <t>Nia</t>
        </is>
      </c>
      <c r="D21" s="66" t="inlineStr">
        <is>
          <t>M</t>
        </is>
      </c>
      <c r="E21" s="66" t="n"/>
      <c r="F21" s="66" t="inlineStr">
        <is>
          <t>Y</t>
        </is>
      </c>
      <c r="G21" s="34" t="n">
        <v>95.5</v>
      </c>
      <c r="H21" s="34" t="n">
        <v>110.5</v>
      </c>
      <c r="I21" s="67">
        <f>IF(ISNUMBER(tblY9[[#This Row],[Avg KS2]]),IFERROR(VLOOKUP(ROUND(STANDARDIZE(tblY9[[#This Row],[Avg KS2]],AVERAGE(tblY9[[Avg KS2]]),_xlfn.STDEV.P(tblY9[[Avg KS2]])),9),_Stanine,2),5),"")</f>
        <v>6</v>
      </c>
      <c r="J21" s="66" t="inlineStr">
        <is>
          <t>9A/Sc1</t>
        </is>
      </c>
      <c r="K21" s="67">
        <f>IF(tblY9[[#This Row],[Preferred Last name]]="","",COUNTIFS($N$1:$ZZ$1,"*"&amp;CHAR(10)&amp;"Stanine",$N21:$ZZ21,"&gt;=1"))</f>
        <v>4</v>
      </c>
      <c r="L21" s="68">
        <f>IFERROR(AVERAGEIF($N$1:$ZZ$1,"*"&amp;CHAR(10)&amp;"Stanine",$N21:$ZZ21),"")</f>
        <v>6.25</v>
      </c>
      <c r="M21" s="69">
        <f>IF(AND(ISNUMBER(tblY9[[#This Row],[Mean Stanine]]),ISNUMBER(tblY9[[#This Row],[Avg KS2 Band]]),ISNUMBER(SlopeY9)),tblY9[[#This Row],[Mean Stanine]]-(InterceptY9+SlopeY9*tblY9[[#This Row],[Avg KS2 Band]]),"")</f>
        <v>0.413015463917526</v>
      </c>
      <c r="N21" s="66" t="n">
        <v>23</v>
      </c>
      <c r="O21" s="67">
        <f>IF(ISNUMBER(tblY9[[#This Row],[9B01 - Genetics
Raw Score]]),IFERROR(VLOOKUP(ROUND(STANDARDIZE(tblY9[[#This Row],[9B01 - Genetics
Raw Score]],AVERAGE(tblY9[[9B01 - Genetics
Raw Score]]),_xlfn.STDEV.P(tblY9[[9B01 - Genetics
Raw Score]])),9),_Stanine,2),5),"")</f>
        <v>6</v>
      </c>
      <c r="P21" s="66" t="n">
        <v>25</v>
      </c>
      <c r="Q21" s="67">
        <f>IF(ISNUMBER(tblY9[[#This Row],[9C01 - Chemical Reactions
Raw Score]]),IFERROR(VLOOKUP(ROUND(STANDARDIZE(tblY9[[#This Row],[9C01 - Chemical Reactions
Raw Score]],AVERAGE(tblY9[[9C01 - Chemical Reactions
Raw Score]]),_xlfn.STDEV.P(tblY9[[9C01 - Chemical Reactions
Raw Score]])),9),_Stanine,2),5),"")</f>
        <v>6</v>
      </c>
      <c r="R21" s="66" t="n">
        <v>23</v>
      </c>
      <c r="S21" s="67">
        <f>IF(ISNUMBER(tblY9[[#This Row],[9P01 - Electricity
Raw Score]]),IFERROR(VLOOKUP(ROUND(STANDARDIZE(tblY9[[#This Row],[9P01 - Electricity
Raw Score]],AVERAGE(tblY9[[9P01 - Electricity
Raw Score]]),_xlfn.STDEV.P(tblY9[[9P01 - Electricity
Raw Score]])),9),_Stanine,2),5),"")</f>
        <v>6</v>
      </c>
      <c r="T21" s="66" t="n">
        <v>21</v>
      </c>
      <c r="U21" s="67">
        <f>IF(ISNUMBER(tblY9[[#This Row],[9B02 - Ecology
Raw Score]]),IFERROR(VLOOKUP(ROUND(STANDARDIZE(tblY9[[#This Row],[9B02 - Ecology
Raw Score]],AVERAGE(tblY9[[9B02 - Ecology
Raw Score]]),_xlfn.STDEV.P(tblY9[[9B02 - Ecology
Raw Score]])),9),_Stanine,2),5),"")</f>
        <v>7</v>
      </c>
    </row>
    <row r="22">
      <c r="A22" s="65" t="inlineStr">
        <is>
          <t>X908072301193</t>
        </is>
      </c>
      <c r="B22" s="65" t="inlineStr">
        <is>
          <t>Williams</t>
        </is>
      </c>
      <c r="C22" s="65" t="inlineStr">
        <is>
          <t>Chidi</t>
        </is>
      </c>
      <c r="D22" s="66" t="inlineStr">
        <is>
          <t>F</t>
        </is>
      </c>
      <c r="E22" s="66" t="inlineStr">
        <is>
          <t>E</t>
        </is>
      </c>
      <c r="F22" s="66" t="inlineStr">
        <is>
          <t>N</t>
        </is>
      </c>
      <c r="G22" s="34" t="n">
        <v>86.2</v>
      </c>
      <c r="H22" s="34" t="n">
        <v>112</v>
      </c>
      <c r="I22" s="67">
        <f>IF(ISNUMBER(tblY9[[#This Row],[Avg KS2]]),IFERROR(VLOOKUP(ROUND(STANDARDIZE(tblY9[[#This Row],[Avg KS2]],AVERAGE(tblY9[[Avg KS2]]),_xlfn.STDEV.P(tblY9[[Avg KS2]])),9),_Stanine,2),5),"")</f>
        <v>7</v>
      </c>
      <c r="J22" s="66" t="inlineStr">
        <is>
          <t>9A/Sc1</t>
        </is>
      </c>
      <c r="K22" s="67">
        <f>IF(tblY9[[#This Row],[Preferred Last name]]="","",COUNTIFS($N$1:$ZZ$1,"*"&amp;CHAR(10)&amp;"Stanine",$N22:$ZZ22,"&gt;=1"))</f>
        <v>4</v>
      </c>
      <c r="L22" s="68">
        <f>IFERROR(AVERAGEIF($N$1:$ZZ$1,"*"&amp;CHAR(10)&amp;"Stanine",$N22:$ZZ22),"")</f>
        <v>7.5</v>
      </c>
      <c r="M22" s="69">
        <f>IF(AND(ISNUMBER(tblY9[[#This Row],[Mean Stanine]]),ISNUMBER(tblY9[[#This Row],[Avg KS2 Band]]),ISNUMBER(SlopeY9)),tblY9[[#This Row],[Mean Stanine]]-(InterceptY9+SlopeY9*tblY9[[#This Row],[Avg KS2 Band]]),"")</f>
        <v>0.899601686972821</v>
      </c>
      <c r="N22" s="66" t="n">
        <v>27</v>
      </c>
      <c r="O22" s="67">
        <f>IF(ISNUMBER(tblY9[[#This Row],[9B01 - Genetics
Raw Score]]),IFERROR(VLOOKUP(ROUND(STANDARDIZE(tblY9[[#This Row],[9B01 - Genetics
Raw Score]],AVERAGE(tblY9[[9B01 - Genetics
Raw Score]]),_xlfn.STDEV.P(tblY9[[9B01 - Genetics
Raw Score]])),9),_Stanine,2),5),"")</f>
        <v>7</v>
      </c>
      <c r="P22" s="66" t="n">
        <v>29</v>
      </c>
      <c r="Q22" s="67">
        <f>IF(ISNUMBER(tblY9[[#This Row],[9C01 - Chemical Reactions
Raw Score]]),IFERROR(VLOOKUP(ROUND(STANDARDIZE(tblY9[[#This Row],[9C01 - Chemical Reactions
Raw Score]],AVERAGE(tblY9[[9C01 - Chemical Reactions
Raw Score]]),_xlfn.STDEV.P(tblY9[[9C01 - Chemical Reactions
Raw Score]])),9),_Stanine,2),5),"")</f>
        <v>8</v>
      </c>
      <c r="R22" s="66" t="n">
        <v>27</v>
      </c>
      <c r="S22" s="67">
        <f>IF(ISNUMBER(tblY9[[#This Row],[9P01 - Electricity
Raw Score]]),IFERROR(VLOOKUP(ROUND(STANDARDIZE(tblY9[[#This Row],[9P01 - Electricity
Raw Score]],AVERAGE(tblY9[[9P01 - Electricity
Raw Score]]),_xlfn.STDEV.P(tblY9[[9P01 - Electricity
Raw Score]])),9),_Stanine,2),5),"")</f>
        <v>8</v>
      </c>
      <c r="T22" s="66" t="n">
        <v>22</v>
      </c>
      <c r="U22" s="67">
        <f>IF(ISNUMBER(tblY9[[#This Row],[9B02 - Ecology
Raw Score]]),IFERROR(VLOOKUP(ROUND(STANDARDIZE(tblY9[[#This Row],[9B02 - Ecology
Raw Score]],AVERAGE(tblY9[[9B02 - Ecology
Raw Score]]),_xlfn.STDEV.P(tblY9[[9B02 - Ecology
Raw Score]])),9),_Stanine,2),5),"")</f>
        <v>7</v>
      </c>
    </row>
    <row r="23">
      <c r="A23" s="65" t="inlineStr">
        <is>
          <t>X906434638561</t>
        </is>
      </c>
      <c r="B23" s="65" t="inlineStr">
        <is>
          <t>Wright</t>
        </is>
      </c>
      <c r="C23" s="65" t="inlineStr">
        <is>
          <t>Keira</t>
        </is>
      </c>
      <c r="D23" s="66" t="inlineStr">
        <is>
          <t>M</t>
        </is>
      </c>
      <c r="E23" s="66" t="inlineStr">
        <is>
          <t>N</t>
        </is>
      </c>
      <c r="F23" s="66" t="inlineStr">
        <is>
          <t>Y</t>
        </is>
      </c>
      <c r="G23" s="34" t="n">
        <v>97.09999999999999</v>
      </c>
      <c r="H23" s="34" t="n">
        <v>112.5</v>
      </c>
      <c r="I23" s="67">
        <f>IF(ISNUMBER(tblY9[[#This Row],[Avg KS2]]),IFERROR(VLOOKUP(ROUND(STANDARDIZE(tblY9[[#This Row],[Avg KS2]],AVERAGE(tblY9[[Avg KS2]]),_xlfn.STDEV.P(tblY9[[Avg KS2]])),9),_Stanine,2),5),"")</f>
        <v>7</v>
      </c>
      <c r="J23" s="66" t="inlineStr">
        <is>
          <t>9A/Sc1</t>
        </is>
      </c>
      <c r="K23" s="67">
        <f>IF(tblY9[[#This Row],[Preferred Last name]]="","",COUNTIFS($N$1:$ZZ$1,"*"&amp;CHAR(10)&amp;"Stanine",$N23:$ZZ23,"&gt;=1"))</f>
        <v>4</v>
      </c>
      <c r="L23" s="68">
        <f>IFERROR(AVERAGEIF($N$1:$ZZ$1,"*"&amp;CHAR(10)&amp;"Stanine",$N23:$ZZ23),"")</f>
        <v>7</v>
      </c>
      <c r="M23" s="69">
        <f>IF(AND(ISNUMBER(tblY9[[#This Row],[Mean Stanine]]),ISNUMBER(tblY9[[#This Row],[Avg KS2 Band]]),ISNUMBER(SlopeY9)),tblY9[[#This Row],[Mean Stanine]]-(InterceptY9+SlopeY9*tblY9[[#This Row],[Avg KS2 Band]]),"")</f>
        <v>0.399601686972821</v>
      </c>
      <c r="N23" s="66" t="n">
        <v>27</v>
      </c>
      <c r="O23" s="67">
        <f>IF(ISNUMBER(tblY9[[#This Row],[9B01 - Genetics
Raw Score]]),IFERROR(VLOOKUP(ROUND(STANDARDIZE(tblY9[[#This Row],[9B01 - Genetics
Raw Score]],AVERAGE(tblY9[[9B01 - Genetics
Raw Score]]),_xlfn.STDEV.P(tblY9[[9B01 - Genetics
Raw Score]])),9),_Stanine,2),5),"")</f>
        <v>7</v>
      </c>
      <c r="P23" s="66" t="n">
        <v>27</v>
      </c>
      <c r="Q23" s="67">
        <f>IF(ISNUMBER(tblY9[[#This Row],[9C01 - Chemical Reactions
Raw Score]]),IFERROR(VLOOKUP(ROUND(STANDARDIZE(tblY9[[#This Row],[9C01 - Chemical Reactions
Raw Score]],AVERAGE(tblY9[[9C01 - Chemical Reactions
Raw Score]]),_xlfn.STDEV.P(tblY9[[9C01 - Chemical Reactions
Raw Score]])),9),_Stanine,2),5),"")</f>
        <v>7</v>
      </c>
      <c r="R23" s="66" t="n">
        <v>26</v>
      </c>
      <c r="S23" s="67">
        <f>IF(ISNUMBER(tblY9[[#This Row],[9P01 - Electricity
Raw Score]]),IFERROR(VLOOKUP(ROUND(STANDARDIZE(tblY9[[#This Row],[9P01 - Electricity
Raw Score]],AVERAGE(tblY9[[9P01 - Electricity
Raw Score]]),_xlfn.STDEV.P(tblY9[[9P01 - Electricity
Raw Score]])),9),_Stanine,2),5),"")</f>
        <v>7</v>
      </c>
      <c r="T23" s="66" t="n">
        <v>22</v>
      </c>
      <c r="U23" s="67">
        <f>IF(ISNUMBER(tblY9[[#This Row],[9B02 - Ecology
Raw Score]]),IFERROR(VLOOKUP(ROUND(STANDARDIZE(tblY9[[#This Row],[9B02 - Ecology
Raw Score]],AVERAGE(tblY9[[9B02 - Ecology
Raw Score]]),_xlfn.STDEV.P(tblY9[[9B02 - Ecology
Raw Score]])),9),_Stanine,2),5),"")</f>
        <v>7</v>
      </c>
    </row>
    <row r="24">
      <c r="A24" s="65" t="inlineStr">
        <is>
          <t>X901622558376</t>
        </is>
      </c>
      <c r="B24" s="65" t="inlineStr">
        <is>
          <t>Adeyemi</t>
        </is>
      </c>
      <c r="C24" s="65" t="inlineStr">
        <is>
          <t>Alfie</t>
        </is>
      </c>
      <c r="D24" s="66" t="inlineStr">
        <is>
          <t>M</t>
        </is>
      </c>
      <c r="E24" s="66" t="n"/>
      <c r="F24" s="66" t="inlineStr">
        <is>
          <t>N</t>
        </is>
      </c>
      <c r="G24" s="34" t="n">
        <v>90.8</v>
      </c>
      <c r="H24" s="34" t="n">
        <v>98.5</v>
      </c>
      <c r="I24" s="67">
        <f>IF(ISNUMBER(tblY9[[#This Row],[Avg KS2]]),IFERROR(VLOOKUP(ROUND(STANDARDIZE(tblY9[[#This Row],[Avg KS2]],AVERAGE(tblY9[[Avg KS2]]),_xlfn.STDEV.P(tblY9[[Avg KS2]])),9),_Stanine,2),5),"")</f>
        <v>2</v>
      </c>
      <c r="J24" s="66" t="inlineStr">
        <is>
          <t>9A/Sc2</t>
        </is>
      </c>
      <c r="K24" s="67">
        <f>IF(tblY9[[#This Row],[Preferred Last name]]="","",COUNTIFS($N$1:$ZZ$1,"*"&amp;CHAR(10)&amp;"Stanine",$N24:$ZZ24,"&gt;=1"))</f>
        <v>4</v>
      </c>
      <c r="L24" s="68">
        <f>IFERROR(AVERAGEIF($N$1:$ZZ$1,"*"&amp;CHAR(10)&amp;"Stanine",$N24:$ZZ24),"")</f>
        <v>2.25</v>
      </c>
      <c r="M24" s="69">
        <f>IF(AND(ISNUMBER(tblY9[[#This Row],[Mean Stanine]]),ISNUMBER(tblY9[[#This Row],[Avg KS2 Band]]),ISNUMBER(SlopeY9)),tblY9[[#This Row],[Mean Stanine]]-(InterceptY9+SlopeY9*tblY9[[#This Row],[Avg KS2 Band]]),"")</f>
        <v>-0.533329428303655</v>
      </c>
      <c r="N24" s="66" t="n">
        <v>12</v>
      </c>
      <c r="O24" s="67">
        <f>IF(ISNUMBER(tblY9[[#This Row],[9B01 - Genetics
Raw Score]]),IFERROR(VLOOKUP(ROUND(STANDARDIZE(tblY9[[#This Row],[9B01 - Genetics
Raw Score]],AVERAGE(tblY9[[9B01 - Genetics
Raw Score]]),_xlfn.STDEV.P(tblY9[[9B01 - Genetics
Raw Score]])),9),_Stanine,2),5),"")</f>
        <v>2</v>
      </c>
      <c r="P24" s="66" t="n">
        <v>11</v>
      </c>
      <c r="Q24" s="67">
        <f>IF(ISNUMBER(tblY9[[#This Row],[9C01 - Chemical Reactions
Raw Score]]),IFERROR(VLOOKUP(ROUND(STANDARDIZE(tblY9[[#This Row],[9C01 - Chemical Reactions
Raw Score]],AVERAGE(tblY9[[9C01 - Chemical Reactions
Raw Score]]),_xlfn.STDEV.P(tblY9[[9C01 - Chemical Reactions
Raw Score]])),9),_Stanine,2),5),"")</f>
        <v>2</v>
      </c>
      <c r="R24" s="66" t="n">
        <v>17</v>
      </c>
      <c r="S24" s="67">
        <f>IF(ISNUMBER(tblY9[[#This Row],[9P01 - Electricity
Raw Score]]),IFERROR(VLOOKUP(ROUND(STANDARDIZE(tblY9[[#This Row],[9P01 - Electricity
Raw Score]],AVERAGE(tblY9[[9P01 - Electricity
Raw Score]]),_xlfn.STDEV.P(tblY9[[9P01 - Electricity
Raw Score]])),9),_Stanine,2),5),"")</f>
        <v>4</v>
      </c>
      <c r="T24" s="66" t="n">
        <v>9</v>
      </c>
      <c r="U24" s="67">
        <f>IF(ISNUMBER(tblY9[[#This Row],[9B02 - Ecology
Raw Score]]),IFERROR(VLOOKUP(ROUND(STANDARDIZE(tblY9[[#This Row],[9B02 - Ecology
Raw Score]],AVERAGE(tblY9[[9B02 - Ecology
Raw Score]]),_xlfn.STDEV.P(tblY9[[9B02 - Ecology
Raw Score]])),9),_Stanine,2),5),"")</f>
        <v>1</v>
      </c>
    </row>
    <row r="25">
      <c r="A25" s="65" t="inlineStr">
        <is>
          <t>X900049396637</t>
        </is>
      </c>
      <c r="B25" s="65" t="inlineStr">
        <is>
          <t>Adeyemi</t>
        </is>
      </c>
      <c r="C25" s="65" t="inlineStr">
        <is>
          <t>Arthur</t>
        </is>
      </c>
      <c r="D25" s="66" t="inlineStr">
        <is>
          <t>M</t>
        </is>
      </c>
      <c r="E25" s="66" t="inlineStr">
        <is>
          <t>N</t>
        </is>
      </c>
      <c r="F25" s="66" t="inlineStr">
        <is>
          <t>N</t>
        </is>
      </c>
      <c r="G25" s="34" t="n">
        <v>97.09999999999999</v>
      </c>
      <c r="H25" s="34" t="n">
        <v>95</v>
      </c>
      <c r="I25" s="67">
        <f>IF(ISNUMBER(tblY9[[#This Row],[Avg KS2]]),IFERROR(VLOOKUP(ROUND(STANDARDIZE(tblY9[[#This Row],[Avg KS2]],AVERAGE(tblY9[[Avg KS2]]),_xlfn.STDEV.P(tblY9[[Avg KS2]])),9),_Stanine,2),5),"")</f>
        <v>1</v>
      </c>
      <c r="J25" s="66" t="inlineStr">
        <is>
          <t>9A/Sc2</t>
        </is>
      </c>
      <c r="K25" s="67">
        <f>IF(tblY9[[#This Row],[Preferred Last name]]="","",COUNTIFS($N$1:$ZZ$1,"*"&amp;CHAR(10)&amp;"Stanine",$N25:$ZZ25,"&gt;=1"))</f>
        <v>4</v>
      </c>
      <c r="L25" s="68">
        <f>IFERROR(AVERAGEIF($N$1:$ZZ$1,"*"&amp;CHAR(10)&amp;"Stanine",$N25:$ZZ25),"")</f>
        <v>2.25</v>
      </c>
      <c r="M25" s="69">
        <f>IF(AND(ISNUMBER(tblY9[[#This Row],[Mean Stanine]]),ISNUMBER(tblY9[[#This Row],[Avg KS2 Band]]),ISNUMBER(SlopeY9)),tblY9[[#This Row],[Mean Stanine]]-(InterceptY9+SlopeY9*tblY9[[#This Row],[Avg KS2 Band]]),"")</f>
        <v>0.23008434864105</v>
      </c>
      <c r="N25" s="66" t="n">
        <v>14</v>
      </c>
      <c r="O25" s="67">
        <f>IF(ISNUMBER(tblY9[[#This Row],[9B01 - Genetics
Raw Score]]),IFERROR(VLOOKUP(ROUND(STANDARDIZE(tblY9[[#This Row],[9B01 - Genetics
Raw Score]],AVERAGE(tblY9[[9B01 - Genetics
Raw Score]]),_xlfn.STDEV.P(tblY9[[9B01 - Genetics
Raw Score]])),9),_Stanine,2),5),"")</f>
        <v>3</v>
      </c>
      <c r="P25" s="66" t="n">
        <v>11</v>
      </c>
      <c r="Q25" s="67">
        <f>IF(ISNUMBER(tblY9[[#This Row],[9C01 - Chemical Reactions
Raw Score]]),IFERROR(VLOOKUP(ROUND(STANDARDIZE(tblY9[[#This Row],[9C01 - Chemical Reactions
Raw Score]],AVERAGE(tblY9[[9C01 - Chemical Reactions
Raw Score]]),_xlfn.STDEV.P(tblY9[[9C01 - Chemical Reactions
Raw Score]])),9),_Stanine,2),5),"")</f>
        <v>2</v>
      </c>
      <c r="R25" s="66" t="n">
        <v>13</v>
      </c>
      <c r="S25" s="67">
        <f>IF(ISNUMBER(tblY9[[#This Row],[9P01 - Electricity
Raw Score]]),IFERROR(VLOOKUP(ROUND(STANDARDIZE(tblY9[[#This Row],[9P01 - Electricity
Raw Score]],AVERAGE(tblY9[[9P01 - Electricity
Raw Score]]),_xlfn.STDEV.P(tblY9[[9P01 - Electricity
Raw Score]])),9),_Stanine,2),5),"")</f>
        <v>2</v>
      </c>
      <c r="T25" s="66" t="n">
        <v>12</v>
      </c>
      <c r="U25" s="67">
        <f>IF(ISNUMBER(tblY9[[#This Row],[9B02 - Ecology
Raw Score]]),IFERROR(VLOOKUP(ROUND(STANDARDIZE(tblY9[[#This Row],[9B02 - Ecology
Raw Score]],AVERAGE(tblY9[[9B02 - Ecology
Raw Score]]),_xlfn.STDEV.P(tblY9[[9B02 - Ecology
Raw Score]])),9),_Stanine,2),5),"")</f>
        <v>2</v>
      </c>
    </row>
    <row r="26">
      <c r="A26" s="65" t="inlineStr">
        <is>
          <t>X902471760499</t>
        </is>
      </c>
      <c r="B26" s="65" t="inlineStr">
        <is>
          <t>Bennett</t>
        </is>
      </c>
      <c r="C26" s="65" t="inlineStr">
        <is>
          <t>Grace</t>
        </is>
      </c>
      <c r="D26" s="66" t="inlineStr">
        <is>
          <t>M</t>
        </is>
      </c>
      <c r="E26" s="66" t="n"/>
      <c r="F26" s="66" t="inlineStr">
        <is>
          <t>N</t>
        </is>
      </c>
      <c r="G26" s="34" t="n">
        <v>90.7</v>
      </c>
      <c r="H26" s="34" t="n">
        <v>109</v>
      </c>
      <c r="I26" s="67">
        <f>IF(ISNUMBER(tblY9[[#This Row],[Avg KS2]]),IFERROR(VLOOKUP(ROUND(STANDARDIZE(tblY9[[#This Row],[Avg KS2]],AVERAGE(tblY9[[Avg KS2]]),_xlfn.STDEV.P(tblY9[[Avg KS2]])),9),_Stanine,2),5),"")</f>
        <v>6</v>
      </c>
      <c r="J26" s="66" t="inlineStr">
        <is>
          <t>9A/Sc2</t>
        </is>
      </c>
      <c r="K26" s="67">
        <f>IF(tblY9[[#This Row],[Preferred Last name]]="","",COUNTIFS($N$1:$ZZ$1,"*"&amp;CHAR(10)&amp;"Stanine",$N26:$ZZ26,"&gt;=1"))</f>
        <v>4</v>
      </c>
      <c r="L26" s="68">
        <f>IFERROR(AVERAGEIF($N$1:$ZZ$1,"*"&amp;CHAR(10)&amp;"Stanine",$N26:$ZZ26),"")</f>
        <v>7.75</v>
      </c>
      <c r="M26" s="69">
        <f>IF(AND(ISNUMBER(tblY9[[#This Row],[Mean Stanine]]),ISNUMBER(tblY9[[#This Row],[Avg KS2 Band]]),ISNUMBER(SlopeY9)),tblY9[[#This Row],[Mean Stanine]]-(InterceptY9+SlopeY9*tblY9[[#This Row],[Avg KS2 Band]]),"")</f>
        <v>1.91301546391753</v>
      </c>
      <c r="N26" s="66" t="n">
        <v>28</v>
      </c>
      <c r="O26" s="67">
        <f>IF(ISNUMBER(tblY9[[#This Row],[9B01 - Genetics
Raw Score]]),IFERROR(VLOOKUP(ROUND(STANDARDIZE(tblY9[[#This Row],[9B01 - Genetics
Raw Score]],AVERAGE(tblY9[[9B01 - Genetics
Raw Score]]),_xlfn.STDEV.P(tblY9[[9B01 - Genetics
Raw Score]])),9),_Stanine,2),5),"")</f>
        <v>8</v>
      </c>
      <c r="P26" s="66" t="n">
        <v>30</v>
      </c>
      <c r="Q26" s="67">
        <f>IF(ISNUMBER(tblY9[[#This Row],[9C01 - Chemical Reactions
Raw Score]]),IFERROR(VLOOKUP(ROUND(STANDARDIZE(tblY9[[#This Row],[9C01 - Chemical Reactions
Raw Score]],AVERAGE(tblY9[[9C01 - Chemical Reactions
Raw Score]]),_xlfn.STDEV.P(tblY9[[9C01 - Chemical Reactions
Raw Score]])),9),_Stanine,2),5),"")</f>
        <v>8</v>
      </c>
      <c r="R26" s="66" t="n">
        <v>28</v>
      </c>
      <c r="S26" s="67">
        <f>IF(ISNUMBER(tblY9[[#This Row],[9P01 - Electricity
Raw Score]]),IFERROR(VLOOKUP(ROUND(STANDARDIZE(tblY9[[#This Row],[9P01 - Electricity
Raw Score]],AVERAGE(tblY9[[9P01 - Electricity
Raw Score]]),_xlfn.STDEV.P(tblY9[[9P01 - Electricity
Raw Score]])),9),_Stanine,2),5),"")</f>
        <v>8</v>
      </c>
      <c r="T26" s="66" t="n">
        <v>23</v>
      </c>
      <c r="U26" s="67">
        <f>IF(ISNUMBER(tblY9[[#This Row],[9B02 - Ecology
Raw Score]]),IFERROR(VLOOKUP(ROUND(STANDARDIZE(tblY9[[#This Row],[9B02 - Ecology
Raw Score]],AVERAGE(tblY9[[9B02 - Ecology
Raw Score]]),_xlfn.STDEV.P(tblY9[[9B02 - Ecology
Raw Score]])),9),_Stanine,2),5),"")</f>
        <v>7</v>
      </c>
    </row>
    <row r="27">
      <c r="A27" s="65" t="inlineStr">
        <is>
          <t>X901593756344</t>
        </is>
      </c>
      <c r="B27" s="65" t="inlineStr">
        <is>
          <t>Brown</t>
        </is>
      </c>
      <c r="C27" s="65" t="inlineStr">
        <is>
          <t>Aisha</t>
        </is>
      </c>
      <c r="D27" s="66" t="inlineStr">
        <is>
          <t>M</t>
        </is>
      </c>
      <c r="E27" s="66" t="n"/>
      <c r="F27" s="66" t="inlineStr">
        <is>
          <t>N</t>
        </is>
      </c>
      <c r="G27" s="34" t="n">
        <v>95.59999999999999</v>
      </c>
      <c r="H27" s="34" t="n">
        <v>107</v>
      </c>
      <c r="I27" s="67">
        <f>IF(ISNUMBER(tblY9[[#This Row],[Avg KS2]]),IFERROR(VLOOKUP(ROUND(STANDARDIZE(tblY9[[#This Row],[Avg KS2]],AVERAGE(tblY9[[Avg KS2]]),_xlfn.STDEV.P(tblY9[[Avg KS2]])),9),_Stanine,2),5),"")</f>
        <v>5</v>
      </c>
      <c r="J27" s="66" t="inlineStr">
        <is>
          <t>9A/Sc2</t>
        </is>
      </c>
      <c r="K27" s="67">
        <f>IF(tblY9[[#This Row],[Preferred Last name]]="","",COUNTIFS($N$1:$ZZ$1,"*"&amp;CHAR(10)&amp;"Stanine",$N27:$ZZ27,"&gt;=1"))</f>
        <v>4</v>
      </c>
      <c r="L27" s="68">
        <f>IFERROR(AVERAGEIF($N$1:$ZZ$1,"*"&amp;CHAR(10)&amp;"Stanine",$N27:$ZZ27),"")</f>
        <v>6.5</v>
      </c>
      <c r="M27" s="69">
        <f>IF(AND(ISNUMBER(tblY9[[#This Row],[Mean Stanine]]),ISNUMBER(tblY9[[#This Row],[Avg KS2 Band]]),ISNUMBER(SlopeY9)),tblY9[[#This Row],[Mean Stanine]]-(InterceptY9+SlopeY9*tblY9[[#This Row],[Avg KS2 Band]]),"")</f>
        <v>1.42642924086223</v>
      </c>
      <c r="N27" s="66" t="n">
        <v>25</v>
      </c>
      <c r="O27" s="67">
        <f>IF(ISNUMBER(tblY9[[#This Row],[9B01 - Genetics
Raw Score]]),IFERROR(VLOOKUP(ROUND(STANDARDIZE(tblY9[[#This Row],[9B01 - Genetics
Raw Score]],AVERAGE(tblY9[[9B01 - Genetics
Raw Score]]),_xlfn.STDEV.P(tblY9[[9B01 - Genetics
Raw Score]])),9),_Stanine,2),5),"")</f>
        <v>7</v>
      </c>
      <c r="P27" s="66" t="n">
        <v>27</v>
      </c>
      <c r="Q27" s="67">
        <f>IF(ISNUMBER(tblY9[[#This Row],[9C01 - Chemical Reactions
Raw Score]]),IFERROR(VLOOKUP(ROUND(STANDARDIZE(tblY9[[#This Row],[9C01 - Chemical Reactions
Raw Score]],AVERAGE(tblY9[[9C01 - Chemical Reactions
Raw Score]]),_xlfn.STDEV.P(tblY9[[9C01 - Chemical Reactions
Raw Score]])),9),_Stanine,2),5),"")</f>
        <v>7</v>
      </c>
      <c r="R27" s="66" t="n">
        <v>24</v>
      </c>
      <c r="S27" s="67">
        <f>IF(ISNUMBER(tblY9[[#This Row],[9P01 - Electricity
Raw Score]]),IFERROR(VLOOKUP(ROUND(STANDARDIZE(tblY9[[#This Row],[9P01 - Electricity
Raw Score]],AVERAGE(tblY9[[9P01 - Electricity
Raw Score]]),_xlfn.STDEV.P(tblY9[[9P01 - Electricity
Raw Score]])),9),_Stanine,2),5),"")</f>
        <v>6</v>
      </c>
      <c r="T27" s="66" t="n">
        <v>20</v>
      </c>
      <c r="U27" s="67">
        <f>IF(ISNUMBER(tblY9[[#This Row],[9B02 - Ecology
Raw Score]]),IFERROR(VLOOKUP(ROUND(STANDARDIZE(tblY9[[#This Row],[9B02 - Ecology
Raw Score]],AVERAGE(tblY9[[9B02 - Ecology
Raw Score]]),_xlfn.STDEV.P(tblY9[[9B02 - Ecology
Raw Score]])),9),_Stanine,2),5),"")</f>
        <v>6</v>
      </c>
    </row>
    <row r="28">
      <c r="A28" s="65" t="inlineStr">
        <is>
          <t>X902738179964</t>
        </is>
      </c>
      <c r="B28" s="65" t="inlineStr">
        <is>
          <t>Clarke</t>
        </is>
      </c>
      <c r="C28" s="65" t="inlineStr">
        <is>
          <t>Chidi</t>
        </is>
      </c>
      <c r="D28" s="66" t="inlineStr">
        <is>
          <t>M</t>
        </is>
      </c>
      <c r="E28" s="66" t="inlineStr">
        <is>
          <t>N</t>
        </is>
      </c>
      <c r="F28" s="66" t="inlineStr">
        <is>
          <t>N</t>
        </is>
      </c>
      <c r="G28" s="34" t="n">
        <v>92.40000000000001</v>
      </c>
      <c r="H28" s="34" t="n">
        <v>103</v>
      </c>
      <c r="I28" s="67">
        <f>IF(ISNUMBER(tblY9[[#This Row],[Avg KS2]]),IFERROR(VLOOKUP(ROUND(STANDARDIZE(tblY9[[#This Row],[Avg KS2]],AVERAGE(tblY9[[Avg KS2]]),_xlfn.STDEV.P(tblY9[[Avg KS2]])),9),_Stanine,2),5),"")</f>
        <v>4</v>
      </c>
      <c r="J28" s="66" t="inlineStr">
        <is>
          <t>9A/Sc2</t>
        </is>
      </c>
      <c r="K28" s="67">
        <f>IF(tblY9[[#This Row],[Preferred Last name]]="","",COUNTIFS($N$1:$ZZ$1,"*"&amp;CHAR(10)&amp;"Stanine",$N28:$ZZ28,"&gt;=1"))</f>
        <v>4</v>
      </c>
      <c r="L28" s="68">
        <f>IFERROR(AVERAGEIF($N$1:$ZZ$1,"*"&amp;CHAR(10)&amp;"Stanine",$N28:$ZZ28),"")</f>
        <v>5.5</v>
      </c>
      <c r="M28" s="69">
        <f>IF(AND(ISNUMBER(tblY9[[#This Row],[Mean Stanine]]),ISNUMBER(tblY9[[#This Row],[Avg KS2 Band]]),ISNUMBER(SlopeY9)),tblY9[[#This Row],[Mean Stanine]]-(InterceptY9+SlopeY9*tblY9[[#This Row],[Avg KS2 Band]]),"")</f>
        <v>1.18984301780694</v>
      </c>
      <c r="N28" s="66" t="n">
        <v>22</v>
      </c>
      <c r="O28" s="67">
        <f>IF(ISNUMBER(tblY9[[#This Row],[9B01 - Genetics
Raw Score]]),IFERROR(VLOOKUP(ROUND(STANDARDIZE(tblY9[[#This Row],[9B01 - Genetics
Raw Score]],AVERAGE(tblY9[[9B01 - Genetics
Raw Score]]),_xlfn.STDEV.P(tblY9[[9B01 - Genetics
Raw Score]])),9),_Stanine,2),5),"")</f>
        <v>6</v>
      </c>
      <c r="P28" s="66" t="n">
        <v>23</v>
      </c>
      <c r="Q28" s="67">
        <f>IF(ISNUMBER(tblY9[[#This Row],[9C01 - Chemical Reactions
Raw Score]]),IFERROR(VLOOKUP(ROUND(STANDARDIZE(tblY9[[#This Row],[9C01 - Chemical Reactions
Raw Score]],AVERAGE(tblY9[[9C01 - Chemical Reactions
Raw Score]]),_xlfn.STDEV.P(tblY9[[9C01 - Chemical Reactions
Raw Score]])),9),_Stanine,2),5),"")</f>
        <v>6</v>
      </c>
      <c r="R28" s="66" t="n">
        <v>18</v>
      </c>
      <c r="S28" s="67">
        <f>IF(ISNUMBER(tblY9[[#This Row],[9P01 - Electricity
Raw Score]]),IFERROR(VLOOKUP(ROUND(STANDARDIZE(tblY9[[#This Row],[9P01 - Electricity
Raw Score]],AVERAGE(tblY9[[9P01 - Electricity
Raw Score]]),_xlfn.STDEV.P(tblY9[[9P01 - Electricity
Raw Score]])),9),_Stanine,2),5),"")</f>
        <v>4</v>
      </c>
      <c r="T28" s="66" t="n">
        <v>20</v>
      </c>
      <c r="U28" s="67">
        <f>IF(ISNUMBER(tblY9[[#This Row],[9B02 - Ecology
Raw Score]]),IFERROR(VLOOKUP(ROUND(STANDARDIZE(tblY9[[#This Row],[9B02 - Ecology
Raw Score]],AVERAGE(tblY9[[9B02 - Ecology
Raw Score]]),_xlfn.STDEV.P(tblY9[[9B02 - Ecology
Raw Score]])),9),_Stanine,2),5),"")</f>
        <v>6</v>
      </c>
    </row>
    <row r="29">
      <c r="A29" s="65" t="inlineStr">
        <is>
          <t>X907604829872</t>
        </is>
      </c>
      <c r="B29" s="65" t="inlineStr">
        <is>
          <t>Clarke</t>
        </is>
      </c>
      <c r="C29" s="65" t="inlineStr">
        <is>
          <t>Evie</t>
        </is>
      </c>
      <c r="D29" s="66" t="inlineStr">
        <is>
          <t>F</t>
        </is>
      </c>
      <c r="E29" s="66" t="n"/>
      <c r="F29" s="66" t="inlineStr">
        <is>
          <t>Y</t>
        </is>
      </c>
      <c r="G29" s="34" t="n">
        <v>90</v>
      </c>
      <c r="H29" s="34" t="n">
        <v>108</v>
      </c>
      <c r="I29" s="67">
        <f>IF(ISNUMBER(tblY9[[#This Row],[Avg KS2]]),IFERROR(VLOOKUP(ROUND(STANDARDIZE(tblY9[[#This Row],[Avg KS2]],AVERAGE(tblY9[[Avg KS2]]),_xlfn.STDEV.P(tblY9[[Avg KS2]])),9),_Stanine,2),5),"")</f>
        <v>6</v>
      </c>
      <c r="J29" s="66" t="inlineStr">
        <is>
          <t>9A/Sc2</t>
        </is>
      </c>
      <c r="K29" s="67">
        <f>IF(tblY9[[#This Row],[Preferred Last name]]="","",COUNTIFS($N$1:$ZZ$1,"*"&amp;CHAR(10)&amp;"Stanine",$N29:$ZZ29,"&gt;=1"))</f>
        <v>4</v>
      </c>
      <c r="L29" s="68">
        <f>IFERROR(AVERAGEIF($N$1:$ZZ$1,"*"&amp;CHAR(10)&amp;"Stanine",$N29:$ZZ29),"")</f>
        <v>5.25</v>
      </c>
      <c r="M29" s="69">
        <f>IF(AND(ISNUMBER(tblY9[[#This Row],[Mean Stanine]]),ISNUMBER(tblY9[[#This Row],[Avg KS2 Band]]),ISNUMBER(SlopeY9)),tblY9[[#This Row],[Mean Stanine]]-(InterceptY9+SlopeY9*tblY9[[#This Row],[Avg KS2 Band]]),"")</f>
        <v>-0.586984536082474</v>
      </c>
      <c r="N29" s="66" t="n">
        <v>17</v>
      </c>
      <c r="O29" s="67">
        <f>IF(ISNUMBER(tblY9[[#This Row],[9B01 - Genetics
Raw Score]]),IFERROR(VLOOKUP(ROUND(STANDARDIZE(tblY9[[#This Row],[9B01 - Genetics
Raw Score]],AVERAGE(tblY9[[9B01 - Genetics
Raw Score]]),_xlfn.STDEV.P(tblY9[[9B01 - Genetics
Raw Score]])),9),_Stanine,2),5),"")</f>
        <v>4</v>
      </c>
      <c r="P29" s="66" t="n">
        <v>23</v>
      </c>
      <c r="Q29" s="67">
        <f>IF(ISNUMBER(tblY9[[#This Row],[9C01 - Chemical Reactions
Raw Score]]),IFERROR(VLOOKUP(ROUND(STANDARDIZE(tblY9[[#This Row],[9C01 - Chemical Reactions
Raw Score]],AVERAGE(tblY9[[9C01 - Chemical Reactions
Raw Score]]),_xlfn.STDEV.P(tblY9[[9C01 - Chemical Reactions
Raw Score]])),9),_Stanine,2),5),"")</f>
        <v>6</v>
      </c>
      <c r="R29" s="66" t="n">
        <v>23</v>
      </c>
      <c r="S29" s="67">
        <f>IF(ISNUMBER(tblY9[[#This Row],[9P01 - Electricity
Raw Score]]),IFERROR(VLOOKUP(ROUND(STANDARDIZE(tblY9[[#This Row],[9P01 - Electricity
Raw Score]],AVERAGE(tblY9[[9P01 - Electricity
Raw Score]]),_xlfn.STDEV.P(tblY9[[9P01 - Electricity
Raw Score]])),9),_Stanine,2),5),"")</f>
        <v>6</v>
      </c>
      <c r="T29" s="66" t="n">
        <v>18</v>
      </c>
      <c r="U29" s="67">
        <f>IF(ISNUMBER(tblY9[[#This Row],[9B02 - Ecology
Raw Score]]),IFERROR(VLOOKUP(ROUND(STANDARDIZE(tblY9[[#This Row],[9B02 - Ecology
Raw Score]],AVERAGE(tblY9[[9B02 - Ecology
Raw Score]]),_xlfn.STDEV.P(tblY9[[9B02 - Ecology
Raw Score]])),9),_Stanine,2),5),"")</f>
        <v>5</v>
      </c>
    </row>
    <row r="30">
      <c r="A30" s="65" t="inlineStr">
        <is>
          <t>X908289055848</t>
        </is>
      </c>
      <c r="B30" s="65" t="inlineStr">
        <is>
          <t>Davies</t>
        </is>
      </c>
      <c r="C30" s="65" t="inlineStr">
        <is>
          <t>Oliver</t>
        </is>
      </c>
      <c r="D30" s="66" t="inlineStr">
        <is>
          <t>M</t>
        </is>
      </c>
      <c r="E30" s="66" t="n"/>
      <c r="F30" s="66" t="inlineStr">
        <is>
          <t>N</t>
        </is>
      </c>
      <c r="G30" s="34" t="n">
        <v>86.8</v>
      </c>
      <c r="H30" s="34" t="n">
        <v>106.5</v>
      </c>
      <c r="I30" s="67">
        <f>IF(ISNUMBER(tblY9[[#This Row],[Avg KS2]]),IFERROR(VLOOKUP(ROUND(STANDARDIZE(tblY9[[#This Row],[Avg KS2]],AVERAGE(tblY9[[Avg KS2]]),_xlfn.STDEV.P(tblY9[[Avg KS2]])),9),_Stanine,2),5),"")</f>
        <v>5</v>
      </c>
      <c r="J30" s="66" t="inlineStr">
        <is>
          <t>9A/Sc2</t>
        </is>
      </c>
      <c r="K30" s="67">
        <f>IF(tblY9[[#This Row],[Preferred Last name]]="","",COUNTIFS($N$1:$ZZ$1,"*"&amp;CHAR(10)&amp;"Stanine",$N30:$ZZ30,"&gt;=1"))</f>
        <v>4</v>
      </c>
      <c r="L30" s="68">
        <f>IFERROR(AVERAGEIF($N$1:$ZZ$1,"*"&amp;CHAR(10)&amp;"Stanine",$N30:$ZZ30),"")</f>
        <v>2</v>
      </c>
      <c r="M30" s="69">
        <f>IF(AND(ISNUMBER(tblY9[[#This Row],[Mean Stanine]]),ISNUMBER(tblY9[[#This Row],[Avg KS2 Band]]),ISNUMBER(SlopeY9)),tblY9[[#This Row],[Mean Stanine]]-(InterceptY9+SlopeY9*tblY9[[#This Row],[Avg KS2 Band]]),"")</f>
        <v>-3.07357075913777</v>
      </c>
      <c r="N30" s="66" t="n">
        <v>11</v>
      </c>
      <c r="O30" s="67">
        <f>IF(ISNUMBER(tblY9[[#This Row],[9B01 - Genetics
Raw Score]]),IFERROR(VLOOKUP(ROUND(STANDARDIZE(tblY9[[#This Row],[9B01 - Genetics
Raw Score]],AVERAGE(tblY9[[9B01 - Genetics
Raw Score]]),_xlfn.STDEV.P(tblY9[[9B01 - Genetics
Raw Score]])),9),_Stanine,2),5),"")</f>
        <v>2</v>
      </c>
      <c r="P30" s="66" t="n">
        <v>15</v>
      </c>
      <c r="Q30" s="67">
        <f>IF(ISNUMBER(tblY9[[#This Row],[9C01 - Chemical Reactions
Raw Score]]),IFERROR(VLOOKUP(ROUND(STANDARDIZE(tblY9[[#This Row],[9C01 - Chemical Reactions
Raw Score]],AVERAGE(tblY9[[9C01 - Chemical Reactions
Raw Score]]),_xlfn.STDEV.P(tblY9[[9C01 - Chemical Reactions
Raw Score]])),9),_Stanine,2),5),"")</f>
        <v>3</v>
      </c>
      <c r="R30" s="66" t="n">
        <v>11</v>
      </c>
      <c r="S30" s="67">
        <f>IF(ISNUMBER(tblY9[[#This Row],[9P01 - Electricity
Raw Score]]),IFERROR(VLOOKUP(ROUND(STANDARDIZE(tblY9[[#This Row],[9P01 - Electricity
Raw Score]],AVERAGE(tblY9[[9P01 - Electricity
Raw Score]]),_xlfn.STDEV.P(tblY9[[9P01 - Electricity
Raw Score]])),9),_Stanine,2),5),"")</f>
        <v>1</v>
      </c>
      <c r="T30" s="66" t="n">
        <v>12</v>
      </c>
      <c r="U30" s="67">
        <f>IF(ISNUMBER(tblY9[[#This Row],[9B02 - Ecology
Raw Score]]),IFERROR(VLOOKUP(ROUND(STANDARDIZE(tblY9[[#This Row],[9B02 - Ecology
Raw Score]],AVERAGE(tblY9[[9B02 - Ecology
Raw Score]]),_xlfn.STDEV.P(tblY9[[9B02 - Ecology
Raw Score]])),9),_Stanine,2),5),"")</f>
        <v>2</v>
      </c>
    </row>
    <row r="31">
      <c r="A31" s="65" t="inlineStr">
        <is>
          <t>X907994037774</t>
        </is>
      </c>
      <c r="B31" s="65" t="inlineStr">
        <is>
          <t>Edwards</t>
        </is>
      </c>
      <c r="C31" s="65" t="inlineStr">
        <is>
          <t>Lewis</t>
        </is>
      </c>
      <c r="D31" s="66" t="inlineStr">
        <is>
          <t>M</t>
        </is>
      </c>
      <c r="E31" s="66" t="inlineStr">
        <is>
          <t>K</t>
        </is>
      </c>
      <c r="F31" s="66" t="inlineStr">
        <is>
          <t>N</t>
        </is>
      </c>
      <c r="G31" s="34" t="n">
        <v>93.09999999999999</v>
      </c>
      <c r="H31" s="34" t="n">
        <v>99.5</v>
      </c>
      <c r="I31" s="67">
        <f>IF(ISNUMBER(tblY9[[#This Row],[Avg KS2]]),IFERROR(VLOOKUP(ROUND(STANDARDIZE(tblY9[[#This Row],[Avg KS2]],AVERAGE(tblY9[[Avg KS2]]),_xlfn.STDEV.P(tblY9[[Avg KS2]])),9),_Stanine,2),5),"")</f>
        <v>2</v>
      </c>
      <c r="J31" s="66" t="inlineStr">
        <is>
          <t>9A/Sc2</t>
        </is>
      </c>
      <c r="K31" s="67">
        <f>IF(tblY9[[#This Row],[Preferred Last name]]="","",COUNTIFS($N$1:$ZZ$1,"*"&amp;CHAR(10)&amp;"Stanine",$N31:$ZZ31,"&gt;=1"))</f>
        <v>4</v>
      </c>
      <c r="L31" s="68">
        <f>IFERROR(AVERAGEIF($N$1:$ZZ$1,"*"&amp;CHAR(10)&amp;"Stanine",$N31:$ZZ31),"")</f>
        <v>2.25</v>
      </c>
      <c r="M31" s="69">
        <f>IF(AND(ISNUMBER(tblY9[[#This Row],[Mean Stanine]]),ISNUMBER(tblY9[[#This Row],[Avg KS2 Band]]),ISNUMBER(SlopeY9)),tblY9[[#This Row],[Mean Stanine]]-(InterceptY9+SlopeY9*tblY9[[#This Row],[Avg KS2 Band]]),"")</f>
        <v>-0.533329428303655</v>
      </c>
      <c r="N31" s="66" t="n">
        <v>13</v>
      </c>
      <c r="O31" s="67">
        <f>IF(ISNUMBER(tblY9[[#This Row],[9B01 - Genetics
Raw Score]]),IFERROR(VLOOKUP(ROUND(STANDARDIZE(tblY9[[#This Row],[9B01 - Genetics
Raw Score]],AVERAGE(tblY9[[9B01 - Genetics
Raw Score]]),_xlfn.STDEV.P(tblY9[[9B01 - Genetics
Raw Score]])),9),_Stanine,2),5),"")</f>
        <v>2</v>
      </c>
      <c r="P31" s="66" t="n">
        <v>11</v>
      </c>
      <c r="Q31" s="67">
        <f>IF(ISNUMBER(tblY9[[#This Row],[9C01 - Chemical Reactions
Raw Score]]),IFERROR(VLOOKUP(ROUND(STANDARDIZE(tblY9[[#This Row],[9C01 - Chemical Reactions
Raw Score]],AVERAGE(tblY9[[9C01 - Chemical Reactions
Raw Score]]),_xlfn.STDEV.P(tblY9[[9C01 - Chemical Reactions
Raw Score]])),9),_Stanine,2),5),"")</f>
        <v>2</v>
      </c>
      <c r="R31" s="66" t="n">
        <v>15</v>
      </c>
      <c r="S31" s="67">
        <f>IF(ISNUMBER(tblY9[[#This Row],[9P01 - Electricity
Raw Score]]),IFERROR(VLOOKUP(ROUND(STANDARDIZE(tblY9[[#This Row],[9P01 - Electricity
Raw Score]],AVERAGE(tblY9[[9P01 - Electricity
Raw Score]]),_xlfn.STDEV.P(tblY9[[9P01 - Electricity
Raw Score]])),9),_Stanine,2),5),"")</f>
        <v>3</v>
      </c>
      <c r="T31" s="66" t="n">
        <v>10</v>
      </c>
      <c r="U31" s="67">
        <f>IF(ISNUMBER(tblY9[[#This Row],[9B02 - Ecology
Raw Score]]),IFERROR(VLOOKUP(ROUND(STANDARDIZE(tblY9[[#This Row],[9B02 - Ecology
Raw Score]],AVERAGE(tblY9[[9B02 - Ecology
Raw Score]]),_xlfn.STDEV.P(tblY9[[9B02 - Ecology
Raw Score]])),9),_Stanine,2),5),"")</f>
        <v>2</v>
      </c>
    </row>
    <row r="32">
      <c r="A32" s="65" t="inlineStr">
        <is>
          <t>X909467260383</t>
        </is>
      </c>
      <c r="B32" s="65" t="inlineStr">
        <is>
          <t>Fletcher</t>
        </is>
      </c>
      <c r="C32" s="65" t="inlineStr">
        <is>
          <t>Nia</t>
        </is>
      </c>
      <c r="D32" s="66" t="inlineStr">
        <is>
          <t>M</t>
        </is>
      </c>
      <c r="E32" s="66" t="inlineStr">
        <is>
          <t>E</t>
        </is>
      </c>
      <c r="F32" s="66" t="inlineStr">
        <is>
          <t>Y</t>
        </is>
      </c>
      <c r="G32" s="34" t="n">
        <v>91.3</v>
      </c>
      <c r="H32" s="34" t="n">
        <v>110</v>
      </c>
      <c r="I32" s="67">
        <f>IF(ISNUMBER(tblY9[[#This Row],[Avg KS2]]),IFERROR(VLOOKUP(ROUND(STANDARDIZE(tblY9[[#This Row],[Avg KS2]],AVERAGE(tblY9[[Avg KS2]]),_xlfn.STDEV.P(tblY9[[Avg KS2]])),9),_Stanine,2),5),"")</f>
        <v>6</v>
      </c>
      <c r="J32" s="66" t="inlineStr">
        <is>
          <t>9A/Sc2</t>
        </is>
      </c>
      <c r="K32" s="67">
        <f>IF(tblY9[[#This Row],[Preferred Last name]]="","",COUNTIFS($N$1:$ZZ$1,"*"&amp;CHAR(10)&amp;"Stanine",$N32:$ZZ32,"&gt;=1"))</f>
        <v>4</v>
      </c>
      <c r="L32" s="68">
        <f>IFERROR(AVERAGEIF($N$1:$ZZ$1,"*"&amp;CHAR(10)&amp;"Stanine",$N32:$ZZ32),"")</f>
        <v>4.75</v>
      </c>
      <c r="M32" s="69">
        <f>IF(AND(ISNUMBER(tblY9[[#This Row],[Mean Stanine]]),ISNUMBER(tblY9[[#This Row],[Avg KS2 Band]]),ISNUMBER(SlopeY9)),tblY9[[#This Row],[Mean Stanine]]-(InterceptY9+SlopeY9*tblY9[[#This Row],[Avg KS2 Band]]),"")</f>
        <v>-1.08698453608247</v>
      </c>
      <c r="N32" s="66" t="n">
        <v>21</v>
      </c>
      <c r="O32" s="67">
        <f>IF(ISNUMBER(tblY9[[#This Row],[9B01 - Genetics
Raw Score]]),IFERROR(VLOOKUP(ROUND(STANDARDIZE(tblY9[[#This Row],[9B01 - Genetics
Raw Score]],AVERAGE(tblY9[[9B01 - Genetics
Raw Score]]),_xlfn.STDEV.P(tblY9[[9B01 - Genetics
Raw Score]])),9),_Stanine,2),5),"")</f>
        <v>5</v>
      </c>
      <c r="P32" s="66" t="n">
        <v>17</v>
      </c>
      <c r="Q32" s="67">
        <f>IF(ISNUMBER(tblY9[[#This Row],[9C01 - Chemical Reactions
Raw Score]]),IFERROR(VLOOKUP(ROUND(STANDARDIZE(tblY9[[#This Row],[9C01 - Chemical Reactions
Raw Score]],AVERAGE(tblY9[[9C01 - Chemical Reactions
Raw Score]]),_xlfn.STDEV.P(tblY9[[9C01 - Chemical Reactions
Raw Score]])),9),_Stanine,2),5),"")</f>
        <v>4</v>
      </c>
      <c r="R32" s="66" t="n">
        <v>19</v>
      </c>
      <c r="S32" s="67">
        <f>IF(ISNUMBER(tblY9[[#This Row],[9P01 - Electricity
Raw Score]]),IFERROR(VLOOKUP(ROUND(STANDARDIZE(tblY9[[#This Row],[9P01 - Electricity
Raw Score]],AVERAGE(tblY9[[9P01 - Electricity
Raw Score]]),_xlfn.STDEV.P(tblY9[[9P01 - Electricity
Raw Score]])),9),_Stanine,2),5),"")</f>
        <v>4</v>
      </c>
      <c r="T32" s="66" t="n">
        <v>19</v>
      </c>
      <c r="U32" s="67">
        <f>IF(ISNUMBER(tblY9[[#This Row],[9B02 - Ecology
Raw Score]]),IFERROR(VLOOKUP(ROUND(STANDARDIZE(tblY9[[#This Row],[9B02 - Ecology
Raw Score]],AVERAGE(tblY9[[9B02 - Ecology
Raw Score]]),_xlfn.STDEV.P(tblY9[[9B02 - Ecology
Raw Score]])),9),_Stanine,2),5),"")</f>
        <v>6</v>
      </c>
    </row>
    <row r="33">
      <c r="A33" s="65" t="inlineStr">
        <is>
          <t>X903929952991</t>
        </is>
      </c>
      <c r="B33" s="65" t="inlineStr">
        <is>
          <t>Green</t>
        </is>
      </c>
      <c r="C33" s="65" t="inlineStr">
        <is>
          <t>Hollie</t>
        </is>
      </c>
      <c r="D33" s="66" t="inlineStr">
        <is>
          <t>M</t>
        </is>
      </c>
      <c r="E33" s="66" t="inlineStr">
        <is>
          <t>N</t>
        </is>
      </c>
      <c r="F33" s="66" t="inlineStr">
        <is>
          <t>Y</t>
        </is>
      </c>
      <c r="G33" s="34" t="n">
        <v>90.8</v>
      </c>
      <c r="H33" s="34" t="n">
        <v>109</v>
      </c>
      <c r="I33" s="67">
        <f>IF(ISNUMBER(tblY9[[#This Row],[Avg KS2]]),IFERROR(VLOOKUP(ROUND(STANDARDIZE(tblY9[[#This Row],[Avg KS2]],AVERAGE(tblY9[[Avg KS2]]),_xlfn.STDEV.P(tblY9[[Avg KS2]])),9),_Stanine,2),5),"")</f>
        <v>6</v>
      </c>
      <c r="J33" s="66" t="inlineStr">
        <is>
          <t>9A/Sc2</t>
        </is>
      </c>
      <c r="K33" s="67">
        <f>IF(tblY9[[#This Row],[Preferred Last name]]="","",COUNTIFS($N$1:$ZZ$1,"*"&amp;CHAR(10)&amp;"Stanine",$N33:$ZZ33,"&gt;=1"))</f>
        <v>4</v>
      </c>
      <c r="L33" s="68">
        <f>IFERROR(AVERAGEIF($N$1:$ZZ$1,"*"&amp;CHAR(10)&amp;"Stanine",$N33:$ZZ33),"")</f>
        <v>4.75</v>
      </c>
      <c r="M33" s="69">
        <f>IF(AND(ISNUMBER(tblY9[[#This Row],[Mean Stanine]]),ISNUMBER(tblY9[[#This Row],[Avg KS2 Band]]),ISNUMBER(SlopeY9)),tblY9[[#This Row],[Mean Stanine]]-(InterceptY9+SlopeY9*tblY9[[#This Row],[Avg KS2 Band]]),"")</f>
        <v>-1.08698453608247</v>
      </c>
      <c r="N33" s="66" t="n">
        <v>17</v>
      </c>
      <c r="O33" s="67">
        <f>IF(ISNUMBER(tblY9[[#This Row],[9B01 - Genetics
Raw Score]]),IFERROR(VLOOKUP(ROUND(STANDARDIZE(tblY9[[#This Row],[9B01 - Genetics
Raw Score]],AVERAGE(tblY9[[9B01 - Genetics
Raw Score]]),_xlfn.STDEV.P(tblY9[[9B01 - Genetics
Raw Score]])),9),_Stanine,2),5),"")</f>
        <v>4</v>
      </c>
      <c r="P33" s="66" t="n">
        <v>20</v>
      </c>
      <c r="Q33" s="67">
        <f>IF(ISNUMBER(tblY9[[#This Row],[9C01 - Chemical Reactions
Raw Score]]),IFERROR(VLOOKUP(ROUND(STANDARDIZE(tblY9[[#This Row],[9C01 - Chemical Reactions
Raw Score]],AVERAGE(tblY9[[9C01 - Chemical Reactions
Raw Score]]),_xlfn.STDEV.P(tblY9[[9C01 - Chemical Reactions
Raw Score]])),9),_Stanine,2),5),"")</f>
        <v>5</v>
      </c>
      <c r="R33" s="66" t="n">
        <v>21</v>
      </c>
      <c r="S33" s="67">
        <f>IF(ISNUMBER(tblY9[[#This Row],[9P01 - Electricity
Raw Score]]),IFERROR(VLOOKUP(ROUND(STANDARDIZE(tblY9[[#This Row],[9P01 - Electricity
Raw Score]],AVERAGE(tblY9[[9P01 - Electricity
Raw Score]]),_xlfn.STDEV.P(tblY9[[9P01 - Electricity
Raw Score]])),9),_Stanine,2),5),"")</f>
        <v>5</v>
      </c>
      <c r="T33" s="66" t="n">
        <v>17</v>
      </c>
      <c r="U33" s="67">
        <f>IF(ISNUMBER(tblY9[[#This Row],[9B02 - Ecology
Raw Score]]),IFERROR(VLOOKUP(ROUND(STANDARDIZE(tblY9[[#This Row],[9B02 - Ecology
Raw Score]],AVERAGE(tblY9[[9B02 - Ecology
Raw Score]]),_xlfn.STDEV.P(tblY9[[9B02 - Ecology
Raw Score]])),9),_Stanine,2),5),"")</f>
        <v>5</v>
      </c>
    </row>
    <row r="34">
      <c r="A34" s="65" t="inlineStr">
        <is>
          <t>X905533724469</t>
        </is>
      </c>
      <c r="B34" s="65" t="inlineStr">
        <is>
          <t>Griffiths</t>
        </is>
      </c>
      <c r="C34" s="65" t="inlineStr">
        <is>
          <t>Aisha</t>
        </is>
      </c>
      <c r="D34" s="66" t="inlineStr">
        <is>
          <t>F</t>
        </is>
      </c>
      <c r="E34" s="66" t="inlineStr">
        <is>
          <t>N</t>
        </is>
      </c>
      <c r="F34" s="66" t="inlineStr">
        <is>
          <t>N</t>
        </is>
      </c>
      <c r="G34" s="34" t="n">
        <v>95.7</v>
      </c>
      <c r="H34" s="34" t="n">
        <v>109</v>
      </c>
      <c r="I34" s="67">
        <f>IF(ISNUMBER(tblY9[[#This Row],[Avg KS2]]),IFERROR(VLOOKUP(ROUND(STANDARDIZE(tblY9[[#This Row],[Avg KS2]],AVERAGE(tblY9[[Avg KS2]]),_xlfn.STDEV.P(tblY9[[Avg KS2]])),9),_Stanine,2),5),"")</f>
        <v>6</v>
      </c>
      <c r="J34" s="66" t="inlineStr">
        <is>
          <t>9A/Sc2</t>
        </is>
      </c>
      <c r="K34" s="67">
        <f>IF(tblY9[[#This Row],[Preferred Last name]]="","",COUNTIFS($N$1:$ZZ$1,"*"&amp;CHAR(10)&amp;"Stanine",$N34:$ZZ34,"&gt;=1"))</f>
        <v>4</v>
      </c>
      <c r="L34" s="68">
        <f>IFERROR(AVERAGEIF($N$1:$ZZ$1,"*"&amp;CHAR(10)&amp;"Stanine",$N34:$ZZ34),"")</f>
        <v>5</v>
      </c>
      <c r="M34" s="69">
        <f>IF(AND(ISNUMBER(tblY9[[#This Row],[Mean Stanine]]),ISNUMBER(tblY9[[#This Row],[Avg KS2 Band]]),ISNUMBER(SlopeY9)),tblY9[[#This Row],[Mean Stanine]]-(InterceptY9+SlopeY9*tblY9[[#This Row],[Avg KS2 Band]]),"")</f>
        <v>-0.836984536082474</v>
      </c>
      <c r="N34" s="66" t="n">
        <v>17</v>
      </c>
      <c r="O34" s="67">
        <f>IF(ISNUMBER(tblY9[[#This Row],[9B01 - Genetics
Raw Score]]),IFERROR(VLOOKUP(ROUND(STANDARDIZE(tblY9[[#This Row],[9B01 - Genetics
Raw Score]],AVERAGE(tblY9[[9B01 - Genetics
Raw Score]]),_xlfn.STDEV.P(tblY9[[9B01 - Genetics
Raw Score]])),9),_Stanine,2),5),"")</f>
        <v>4</v>
      </c>
      <c r="P34" s="66" t="n">
        <v>20</v>
      </c>
      <c r="Q34" s="67">
        <f>IF(ISNUMBER(tblY9[[#This Row],[9C01 - Chemical Reactions
Raw Score]]),IFERROR(VLOOKUP(ROUND(STANDARDIZE(tblY9[[#This Row],[9C01 - Chemical Reactions
Raw Score]],AVERAGE(tblY9[[9C01 - Chemical Reactions
Raw Score]]),_xlfn.STDEV.P(tblY9[[9C01 - Chemical Reactions
Raw Score]])),9),_Stanine,2),5),"")</f>
        <v>5</v>
      </c>
      <c r="R34" s="66" t="n">
        <v>21</v>
      </c>
      <c r="S34" s="67">
        <f>IF(ISNUMBER(tblY9[[#This Row],[9P01 - Electricity
Raw Score]]),IFERROR(VLOOKUP(ROUND(STANDARDIZE(tblY9[[#This Row],[9P01 - Electricity
Raw Score]],AVERAGE(tblY9[[9P01 - Electricity
Raw Score]]),_xlfn.STDEV.P(tblY9[[9P01 - Electricity
Raw Score]])),9),_Stanine,2),5),"")</f>
        <v>5</v>
      </c>
      <c r="T34" s="66" t="n">
        <v>19</v>
      </c>
      <c r="U34" s="67">
        <f>IF(ISNUMBER(tblY9[[#This Row],[9B02 - Ecology
Raw Score]]),IFERROR(VLOOKUP(ROUND(STANDARDIZE(tblY9[[#This Row],[9B02 - Ecology
Raw Score]],AVERAGE(tblY9[[9B02 - Ecology
Raw Score]]),_xlfn.STDEV.P(tblY9[[9B02 - Ecology
Raw Score]])),9),_Stanine,2),5),"")</f>
        <v>6</v>
      </c>
    </row>
    <row r="35">
      <c r="A35" s="65" t="inlineStr">
        <is>
          <t>X900302601881</t>
        </is>
      </c>
      <c r="B35" s="65" t="inlineStr">
        <is>
          <t>Harrison</t>
        </is>
      </c>
      <c r="C35" s="65" t="inlineStr">
        <is>
          <t>Arjun</t>
        </is>
      </c>
      <c r="D35" s="66" t="inlineStr">
        <is>
          <t>M</t>
        </is>
      </c>
      <c r="E35" s="66" t="inlineStr">
        <is>
          <t>N</t>
        </is>
      </c>
      <c r="F35" s="66" t="inlineStr">
        <is>
          <t>N</t>
        </is>
      </c>
      <c r="G35" s="34" t="n">
        <v>93.90000000000001</v>
      </c>
      <c r="H35" s="34" t="n">
        <v>105.5</v>
      </c>
      <c r="I35" s="67">
        <f>IF(ISNUMBER(tblY9[[#This Row],[Avg KS2]]),IFERROR(VLOOKUP(ROUND(STANDARDIZE(tblY9[[#This Row],[Avg KS2]],AVERAGE(tblY9[[Avg KS2]]),_xlfn.STDEV.P(tblY9[[Avg KS2]])),9),_Stanine,2),5),"")</f>
        <v>5</v>
      </c>
      <c r="J35" s="66" t="inlineStr">
        <is>
          <t>9A/Sc2</t>
        </is>
      </c>
      <c r="K35" s="67">
        <f>IF(tblY9[[#This Row],[Preferred Last name]]="","",COUNTIFS($N$1:$ZZ$1,"*"&amp;CHAR(10)&amp;"Stanine",$N35:$ZZ35,"&gt;=1"))</f>
        <v>4</v>
      </c>
      <c r="L35" s="68">
        <f>IFERROR(AVERAGEIF($N$1:$ZZ$1,"*"&amp;CHAR(10)&amp;"Stanine",$N35:$ZZ35),"")</f>
        <v>5.5</v>
      </c>
      <c r="M35" s="69">
        <f>IF(AND(ISNUMBER(tblY9[[#This Row],[Mean Stanine]]),ISNUMBER(tblY9[[#This Row],[Avg KS2 Band]]),ISNUMBER(SlopeY9)),tblY9[[#This Row],[Mean Stanine]]-(InterceptY9+SlopeY9*tblY9[[#This Row],[Avg KS2 Band]]),"")</f>
        <v>0.42642924086223</v>
      </c>
      <c r="N35" s="66" t="n">
        <v>23</v>
      </c>
      <c r="O35" s="67">
        <f>IF(ISNUMBER(tblY9[[#This Row],[9B01 - Genetics
Raw Score]]),IFERROR(VLOOKUP(ROUND(STANDARDIZE(tblY9[[#This Row],[9B01 - Genetics
Raw Score]],AVERAGE(tblY9[[9B01 - Genetics
Raw Score]]),_xlfn.STDEV.P(tblY9[[9B01 - Genetics
Raw Score]])),9),_Stanine,2),5),"")</f>
        <v>6</v>
      </c>
      <c r="P35" s="66" t="n">
        <v>19</v>
      </c>
      <c r="Q35" s="67">
        <f>IF(ISNUMBER(tblY9[[#This Row],[9C01 - Chemical Reactions
Raw Score]]),IFERROR(VLOOKUP(ROUND(STANDARDIZE(tblY9[[#This Row],[9C01 - Chemical Reactions
Raw Score]],AVERAGE(tblY9[[9C01 - Chemical Reactions
Raw Score]]),_xlfn.STDEV.P(tblY9[[9C01 - Chemical Reactions
Raw Score]])),9),_Stanine,2),5),"")</f>
        <v>4</v>
      </c>
      <c r="R35" s="66" t="n">
        <v>25</v>
      </c>
      <c r="S35" s="67">
        <f>IF(ISNUMBER(tblY9[[#This Row],[9P01 - Electricity
Raw Score]]),IFERROR(VLOOKUP(ROUND(STANDARDIZE(tblY9[[#This Row],[9P01 - Electricity
Raw Score]],AVERAGE(tblY9[[9P01 - Electricity
Raw Score]]),_xlfn.STDEV.P(tblY9[[9P01 - Electricity
Raw Score]])),9),_Stanine,2),5),"")</f>
        <v>7</v>
      </c>
      <c r="T35" s="66" t="n">
        <v>18</v>
      </c>
      <c r="U35" s="67">
        <f>IF(ISNUMBER(tblY9[[#This Row],[9B02 - Ecology
Raw Score]]),IFERROR(VLOOKUP(ROUND(STANDARDIZE(tblY9[[#This Row],[9B02 - Ecology
Raw Score]],AVERAGE(tblY9[[9B02 - Ecology
Raw Score]]),_xlfn.STDEV.P(tblY9[[9B02 - Ecology
Raw Score]])),9),_Stanine,2),5),"")</f>
        <v>5</v>
      </c>
    </row>
    <row r="36">
      <c r="A36" s="65" t="inlineStr">
        <is>
          <t>X903089253650</t>
        </is>
      </c>
      <c r="B36" s="65" t="inlineStr">
        <is>
          <t>Jackson</t>
        </is>
      </c>
      <c r="C36" s="65" t="inlineStr">
        <is>
          <t>Rhys</t>
        </is>
      </c>
      <c r="D36" s="66" t="inlineStr">
        <is>
          <t>M</t>
        </is>
      </c>
      <c r="E36" s="66" t="inlineStr">
        <is>
          <t>K</t>
        </is>
      </c>
      <c r="F36" s="66" t="inlineStr">
        <is>
          <t>N</t>
        </is>
      </c>
      <c r="G36" s="34" t="n">
        <v>97.09999999999999</v>
      </c>
      <c r="H36" s="34" t="n">
        <v>111</v>
      </c>
      <c r="I36" s="67">
        <f>IF(ISNUMBER(tblY9[[#This Row],[Avg KS2]]),IFERROR(VLOOKUP(ROUND(STANDARDIZE(tblY9[[#This Row],[Avg KS2]],AVERAGE(tblY9[[Avg KS2]]),_xlfn.STDEV.P(tblY9[[Avg KS2]])),9),_Stanine,2),5),"")</f>
        <v>7</v>
      </c>
      <c r="J36" s="66" t="inlineStr">
        <is>
          <t>9A/Sc2</t>
        </is>
      </c>
      <c r="K36" s="67">
        <f>IF(tblY9[[#This Row],[Preferred Last name]]="","",COUNTIFS($N$1:$ZZ$1,"*"&amp;CHAR(10)&amp;"Stanine",$N36:$ZZ36,"&gt;=1"))</f>
        <v>4</v>
      </c>
      <c r="L36" s="68">
        <f>IFERROR(AVERAGEIF($N$1:$ZZ$1,"*"&amp;CHAR(10)&amp;"Stanine",$N36:$ZZ36),"")</f>
        <v>6.5</v>
      </c>
      <c r="M36" s="69">
        <f>IF(AND(ISNUMBER(tblY9[[#This Row],[Mean Stanine]]),ISNUMBER(tblY9[[#This Row],[Avg KS2 Band]]),ISNUMBER(SlopeY9)),tblY9[[#This Row],[Mean Stanine]]-(InterceptY9+SlopeY9*tblY9[[#This Row],[Avg KS2 Band]]),"")</f>
        <v>-0.100398313027179</v>
      </c>
      <c r="N36" s="66" t="n">
        <v>25</v>
      </c>
      <c r="O36" s="67">
        <f>IF(ISNUMBER(tblY9[[#This Row],[9B01 - Genetics
Raw Score]]),IFERROR(VLOOKUP(ROUND(STANDARDIZE(tblY9[[#This Row],[9B01 - Genetics
Raw Score]],AVERAGE(tblY9[[9B01 - Genetics
Raw Score]]),_xlfn.STDEV.P(tblY9[[9B01 - Genetics
Raw Score]])),9),_Stanine,2),5),"")</f>
        <v>7</v>
      </c>
      <c r="P36" s="66" t="n">
        <v>25</v>
      </c>
      <c r="Q36" s="67">
        <f>IF(ISNUMBER(tblY9[[#This Row],[9C01 - Chemical Reactions
Raw Score]]),IFERROR(VLOOKUP(ROUND(STANDARDIZE(tblY9[[#This Row],[9C01 - Chemical Reactions
Raw Score]],AVERAGE(tblY9[[9C01 - Chemical Reactions
Raw Score]]),_xlfn.STDEV.P(tblY9[[9C01 - Chemical Reactions
Raw Score]])),9),_Stanine,2),5),"")</f>
        <v>6</v>
      </c>
      <c r="R36" s="66" t="n">
        <v>23</v>
      </c>
      <c r="S36" s="67">
        <f>IF(ISNUMBER(tblY9[[#This Row],[9P01 - Electricity
Raw Score]]),IFERROR(VLOOKUP(ROUND(STANDARDIZE(tblY9[[#This Row],[9P01 - Electricity
Raw Score]],AVERAGE(tblY9[[9P01 - Electricity
Raw Score]]),_xlfn.STDEV.P(tblY9[[9P01 - Electricity
Raw Score]])),9),_Stanine,2),5),"")</f>
        <v>6</v>
      </c>
      <c r="T36" s="66" t="n">
        <v>23</v>
      </c>
      <c r="U36" s="67">
        <f>IF(ISNUMBER(tblY9[[#This Row],[9B02 - Ecology
Raw Score]]),IFERROR(VLOOKUP(ROUND(STANDARDIZE(tblY9[[#This Row],[9B02 - Ecology
Raw Score]],AVERAGE(tblY9[[9B02 - Ecology
Raw Score]]),_xlfn.STDEV.P(tblY9[[9B02 - Ecology
Raw Score]])),9),_Stanine,2),5),"")</f>
        <v>7</v>
      </c>
    </row>
    <row r="37">
      <c r="A37" s="65" t="inlineStr">
        <is>
          <t>X902064003100</t>
        </is>
      </c>
      <c r="B37" s="65" t="inlineStr">
        <is>
          <t>Kowalski</t>
        </is>
      </c>
      <c r="C37" s="65" t="inlineStr">
        <is>
          <t>Arthur</t>
        </is>
      </c>
      <c r="D37" s="66" t="inlineStr">
        <is>
          <t>F</t>
        </is>
      </c>
      <c r="E37" s="66" t="n"/>
      <c r="F37" s="66" t="inlineStr">
        <is>
          <t>N</t>
        </is>
      </c>
      <c r="G37" s="34" t="n">
        <v>96</v>
      </c>
      <c r="H37" s="34" t="n">
        <v>100</v>
      </c>
      <c r="I37" s="67">
        <f>IF(ISNUMBER(tblY9[[#This Row],[Avg KS2]]),IFERROR(VLOOKUP(ROUND(STANDARDIZE(tblY9[[#This Row],[Avg KS2]],AVERAGE(tblY9[[Avg KS2]]),_xlfn.STDEV.P(tblY9[[Avg KS2]])),9),_Stanine,2),5),"")</f>
        <v>2</v>
      </c>
      <c r="J37" s="66" t="inlineStr">
        <is>
          <t>9A/Sc2</t>
        </is>
      </c>
      <c r="K37" s="67">
        <f>IF(tblY9[[#This Row],[Preferred Last name]]="","",COUNTIFS($N$1:$ZZ$1,"*"&amp;CHAR(10)&amp;"Stanine",$N37:$ZZ37,"&gt;=1"))</f>
        <v>4</v>
      </c>
      <c r="L37" s="68">
        <f>IFERROR(AVERAGEIF($N$1:$ZZ$1,"*"&amp;CHAR(10)&amp;"Stanine",$N37:$ZZ37),"")</f>
        <v>3</v>
      </c>
      <c r="M37" s="69">
        <f>IF(AND(ISNUMBER(tblY9[[#This Row],[Mean Stanine]]),ISNUMBER(tblY9[[#This Row],[Avg KS2 Band]]),ISNUMBER(SlopeY9)),tblY9[[#This Row],[Mean Stanine]]-(InterceptY9+SlopeY9*tblY9[[#This Row],[Avg KS2 Band]]),"")</f>
        <v>0.216670571696345</v>
      </c>
      <c r="N37" s="66" t="n">
        <v>15</v>
      </c>
      <c r="O37" s="67">
        <f>IF(ISNUMBER(tblY9[[#This Row],[9B01 - Genetics
Raw Score]]),IFERROR(VLOOKUP(ROUND(STANDARDIZE(tblY9[[#This Row],[9B01 - Genetics
Raw Score]],AVERAGE(tblY9[[9B01 - Genetics
Raw Score]]),_xlfn.STDEV.P(tblY9[[9B01 - Genetics
Raw Score]])),9),_Stanine,2),5),"")</f>
        <v>3</v>
      </c>
      <c r="P37" s="66" t="n">
        <v>14</v>
      </c>
      <c r="Q37" s="67">
        <f>IF(ISNUMBER(tblY9[[#This Row],[9C01 - Chemical Reactions
Raw Score]]),IFERROR(VLOOKUP(ROUND(STANDARDIZE(tblY9[[#This Row],[9C01 - Chemical Reactions
Raw Score]],AVERAGE(tblY9[[9C01 - Chemical Reactions
Raw Score]]),_xlfn.STDEV.P(tblY9[[9C01 - Chemical Reactions
Raw Score]])),9),_Stanine,2),5),"")</f>
        <v>3</v>
      </c>
      <c r="R37" s="66" t="n">
        <v>16</v>
      </c>
      <c r="S37" s="67">
        <f>IF(ISNUMBER(tblY9[[#This Row],[9P01 - Electricity
Raw Score]]),IFERROR(VLOOKUP(ROUND(STANDARDIZE(tblY9[[#This Row],[9P01 - Electricity
Raw Score]],AVERAGE(tblY9[[9P01 - Electricity
Raw Score]]),_xlfn.STDEV.P(tblY9[[9P01 - Electricity
Raw Score]])),9),_Stanine,2),5),"")</f>
        <v>3</v>
      </c>
      <c r="T37" s="66" t="n">
        <v>14</v>
      </c>
      <c r="U37" s="67">
        <f>IF(ISNUMBER(tblY9[[#This Row],[9B02 - Ecology
Raw Score]]),IFERROR(VLOOKUP(ROUND(STANDARDIZE(tblY9[[#This Row],[9B02 - Ecology
Raw Score]],AVERAGE(tblY9[[9B02 - Ecology
Raw Score]]),_xlfn.STDEV.P(tblY9[[9B02 - Ecology
Raw Score]])),9),_Stanine,2),5),"")</f>
        <v>3</v>
      </c>
    </row>
    <row r="38">
      <c r="A38" s="65" t="inlineStr">
        <is>
          <t>X905974439460</t>
        </is>
      </c>
      <c r="B38" s="65" t="inlineStr">
        <is>
          <t>Lloyd</t>
        </is>
      </c>
      <c r="C38" s="65" t="inlineStr">
        <is>
          <t>Chidi</t>
        </is>
      </c>
      <c r="D38" s="66" t="inlineStr">
        <is>
          <t>M</t>
        </is>
      </c>
      <c r="E38" s="66" t="inlineStr">
        <is>
          <t>N</t>
        </is>
      </c>
      <c r="F38" s="66" t="inlineStr">
        <is>
          <t>N</t>
        </is>
      </c>
      <c r="G38" s="34" t="n">
        <v>93.3</v>
      </c>
      <c r="H38" s="34" t="n">
        <v>110</v>
      </c>
      <c r="I38" s="67">
        <f>IF(ISNUMBER(tblY9[[#This Row],[Avg KS2]]),IFERROR(VLOOKUP(ROUND(STANDARDIZE(tblY9[[#This Row],[Avg KS2]],AVERAGE(tblY9[[Avg KS2]]),_xlfn.STDEV.P(tblY9[[Avg KS2]])),9),_Stanine,2),5),"")</f>
        <v>6</v>
      </c>
      <c r="J38" s="66" t="inlineStr">
        <is>
          <t>9A/Sc2</t>
        </is>
      </c>
      <c r="K38" s="67">
        <f>IF(tblY9[[#This Row],[Preferred Last name]]="","",COUNTIFS($N$1:$ZZ$1,"*"&amp;CHAR(10)&amp;"Stanine",$N38:$ZZ38,"&gt;=1"))</f>
        <v>4</v>
      </c>
      <c r="L38" s="68">
        <f>IFERROR(AVERAGEIF($N$1:$ZZ$1,"*"&amp;CHAR(10)&amp;"Stanine",$N38:$ZZ38),"")</f>
        <v>6</v>
      </c>
      <c r="M38" s="69">
        <f>IF(AND(ISNUMBER(tblY9[[#This Row],[Mean Stanine]]),ISNUMBER(tblY9[[#This Row],[Avg KS2 Band]]),ISNUMBER(SlopeY9)),tblY9[[#This Row],[Mean Stanine]]-(InterceptY9+SlopeY9*tblY9[[#This Row],[Avg KS2 Band]]),"")</f>
        <v>0.163015463917526</v>
      </c>
      <c r="N38" s="66" t="n">
        <v>21</v>
      </c>
      <c r="O38" s="67">
        <f>IF(ISNUMBER(tblY9[[#This Row],[9B01 - Genetics
Raw Score]]),IFERROR(VLOOKUP(ROUND(STANDARDIZE(tblY9[[#This Row],[9B01 - Genetics
Raw Score]],AVERAGE(tblY9[[9B01 - Genetics
Raw Score]]),_xlfn.STDEV.P(tblY9[[9B01 - Genetics
Raw Score]])),9),_Stanine,2),5),"")</f>
        <v>5</v>
      </c>
      <c r="P38" s="66" t="n">
        <v>24</v>
      </c>
      <c r="Q38" s="67">
        <f>IF(ISNUMBER(tblY9[[#This Row],[9C01 - Chemical Reactions
Raw Score]]),IFERROR(VLOOKUP(ROUND(STANDARDIZE(tblY9[[#This Row],[9C01 - Chemical Reactions
Raw Score]],AVERAGE(tblY9[[9C01 - Chemical Reactions
Raw Score]]),_xlfn.STDEV.P(tblY9[[9C01 - Chemical Reactions
Raw Score]])),9),_Stanine,2),5),"")</f>
        <v>6</v>
      </c>
      <c r="R38" s="66" t="n">
        <v>22</v>
      </c>
      <c r="S38" s="67">
        <f>IF(ISNUMBER(tblY9[[#This Row],[9P01 - Electricity
Raw Score]]),IFERROR(VLOOKUP(ROUND(STANDARDIZE(tblY9[[#This Row],[9P01 - Electricity
Raw Score]],AVERAGE(tblY9[[9P01 - Electricity
Raw Score]]),_xlfn.STDEV.P(tblY9[[9P01 - Electricity
Raw Score]])),9),_Stanine,2),5),"")</f>
        <v>6</v>
      </c>
      <c r="T38" s="66" t="n">
        <v>21</v>
      </c>
      <c r="U38" s="67">
        <f>IF(ISNUMBER(tblY9[[#This Row],[9B02 - Ecology
Raw Score]]),IFERROR(VLOOKUP(ROUND(STANDARDIZE(tblY9[[#This Row],[9B02 - Ecology
Raw Score]],AVERAGE(tblY9[[9B02 - Ecology
Raw Score]]),_xlfn.STDEV.P(tblY9[[9B02 - Ecology
Raw Score]])),9),_Stanine,2),5),"")</f>
        <v>7</v>
      </c>
    </row>
    <row r="39">
      <c r="A39" s="65" t="inlineStr">
        <is>
          <t>X907576318127</t>
        </is>
      </c>
      <c r="B39" s="65" t="inlineStr">
        <is>
          <t>Mistry</t>
        </is>
      </c>
      <c r="C39" s="65" t="inlineStr">
        <is>
          <t>Ethan</t>
        </is>
      </c>
      <c r="D39" s="66" t="inlineStr">
        <is>
          <t>M</t>
        </is>
      </c>
      <c r="E39" s="66" t="inlineStr">
        <is>
          <t>K</t>
        </is>
      </c>
      <c r="F39" s="66" t="inlineStr">
        <is>
          <t>N</t>
        </is>
      </c>
      <c r="G39" s="34" t="n">
        <v>95.2</v>
      </c>
      <c r="H39" s="34" t="n">
        <v>106.5</v>
      </c>
      <c r="I39" s="67">
        <f>IF(ISNUMBER(tblY9[[#This Row],[Avg KS2]]),IFERROR(VLOOKUP(ROUND(STANDARDIZE(tblY9[[#This Row],[Avg KS2]],AVERAGE(tblY9[[Avg KS2]]),_xlfn.STDEV.P(tblY9[[Avg KS2]])),9),_Stanine,2),5),"")</f>
        <v>5</v>
      </c>
      <c r="J39" s="66" t="inlineStr">
        <is>
          <t>9A/Sc2</t>
        </is>
      </c>
      <c r="K39" s="67">
        <f>IF(tblY9[[#This Row],[Preferred Last name]]="","",COUNTIFS($N$1:$ZZ$1,"*"&amp;CHAR(10)&amp;"Stanine",$N39:$ZZ39,"&gt;=1"))</f>
        <v>3</v>
      </c>
      <c r="L39" s="68">
        <f>IFERROR(AVERAGEIF($N$1:$ZZ$1,"*"&amp;CHAR(10)&amp;"Stanine",$N39:$ZZ39),"")</f>
        <v>4.66666666666667</v>
      </c>
      <c r="M39" s="69">
        <f>IF(AND(ISNUMBER(tblY9[[#This Row],[Mean Stanine]]),ISNUMBER(tblY9[[#This Row],[Avg KS2 Band]]),ISNUMBER(SlopeY9)),tblY9[[#This Row],[Mean Stanine]]-(InterceptY9+SlopeY9*tblY9[[#This Row],[Avg KS2 Band]]),"")</f>
        <v>-0.406904092471103</v>
      </c>
      <c r="N39" s="66" t="n">
        <v>23</v>
      </c>
      <c r="O39" s="67">
        <f>IF(ISNUMBER(tblY9[[#This Row],[9B01 - Genetics
Raw Score]]),IFERROR(VLOOKUP(ROUND(STANDARDIZE(tblY9[[#This Row],[9B01 - Genetics
Raw Score]],AVERAGE(tblY9[[9B01 - Genetics
Raw Score]]),_xlfn.STDEV.P(tblY9[[9B01 - Genetics
Raw Score]])),9),_Stanine,2),5),"")</f>
        <v>6</v>
      </c>
      <c r="P39" s="66" t="n">
        <v>18</v>
      </c>
      <c r="Q39" s="67">
        <f>IF(ISNUMBER(tblY9[[#This Row],[9C01 - Chemical Reactions
Raw Score]]),IFERROR(VLOOKUP(ROUND(STANDARDIZE(tblY9[[#This Row],[9C01 - Chemical Reactions
Raw Score]],AVERAGE(tblY9[[9C01 - Chemical Reactions
Raw Score]]),_xlfn.STDEV.P(tblY9[[9C01 - Chemical Reactions
Raw Score]])),9),_Stanine,2),5),"")</f>
        <v>4</v>
      </c>
      <c r="R39" s="66" t="n">
        <v>17</v>
      </c>
      <c r="S39" s="67">
        <f>IF(ISNUMBER(tblY9[[#This Row],[9P01 - Electricity
Raw Score]]),IFERROR(VLOOKUP(ROUND(STANDARDIZE(tblY9[[#This Row],[9P01 - Electricity
Raw Score]],AVERAGE(tblY9[[9P01 - Electricity
Raw Score]]),_xlfn.STDEV.P(tblY9[[9P01 - Electricity
Raw Score]])),9),_Stanine,2),5),"")</f>
        <v>4</v>
      </c>
      <c r="T39" s="66" t="inlineStr">
        <is>
          <t>A</t>
        </is>
      </c>
      <c r="U39" s="67" t="str">
        <f>IF(ISNUMBER(tblY9[[#This Row],[9B02 - Ecology
Raw Score]]),IFERROR(VLOOKUP(ROUND(STANDARDIZE(tblY9[[#This Row],[9B02 - Ecology
Raw Score]],AVERAGE(tblY9[[9B02 - Ecology
Raw Score]]),_xlfn.STDEV.P(tblY9[[9B02 - Ecology
Raw Score]])),9),_Stanine,2),5),"")</f>
        <v/>
      </c>
    </row>
    <row r="40">
      <c r="A40" s="65" t="inlineStr">
        <is>
          <t>X907920906779</t>
        </is>
      </c>
      <c r="B40" s="65" t="inlineStr">
        <is>
          <t>Morgan</t>
        </is>
      </c>
      <c r="C40" s="65" t="inlineStr">
        <is>
          <t>Rosie</t>
        </is>
      </c>
      <c r="D40" s="66" t="inlineStr">
        <is>
          <t>M</t>
        </is>
      </c>
      <c r="E40" s="66" t="inlineStr">
        <is>
          <t>N</t>
        </is>
      </c>
      <c r="F40" s="66" t="inlineStr">
        <is>
          <t>N</t>
        </is>
      </c>
      <c r="G40" s="34" t="n">
        <v>82.7</v>
      </c>
      <c r="H40" s="34" t="n">
        <v>106</v>
      </c>
      <c r="I40" s="67">
        <f>IF(ISNUMBER(tblY9[[#This Row],[Avg KS2]]),IFERROR(VLOOKUP(ROUND(STANDARDIZE(tblY9[[#This Row],[Avg KS2]],AVERAGE(tblY9[[Avg KS2]]),_xlfn.STDEV.P(tblY9[[Avg KS2]])),9),_Stanine,2),5),"")</f>
        <v>5</v>
      </c>
      <c r="J40" s="66" t="inlineStr">
        <is>
          <t>9A/Sc2</t>
        </is>
      </c>
      <c r="K40" s="67">
        <f>IF(tblY9[[#This Row],[Preferred Last name]]="","",COUNTIFS($N$1:$ZZ$1,"*"&amp;CHAR(10)&amp;"Stanine",$N40:$ZZ40,"&gt;=1"))</f>
        <v>4</v>
      </c>
      <c r="L40" s="68">
        <f>IFERROR(AVERAGEIF($N$1:$ZZ$1,"*"&amp;CHAR(10)&amp;"Stanine",$N40:$ZZ40),"")</f>
        <v>5.5</v>
      </c>
      <c r="M40" s="69">
        <f>IF(AND(ISNUMBER(tblY9[[#This Row],[Mean Stanine]]),ISNUMBER(tblY9[[#This Row],[Avg KS2 Band]]),ISNUMBER(SlopeY9)),tblY9[[#This Row],[Mean Stanine]]-(InterceptY9+SlopeY9*tblY9[[#This Row],[Avg KS2 Band]]),"")</f>
        <v>0.42642924086223</v>
      </c>
      <c r="N40" s="66" t="n">
        <v>25</v>
      </c>
      <c r="O40" s="67">
        <f>IF(ISNUMBER(tblY9[[#This Row],[9B01 - Genetics
Raw Score]]),IFERROR(VLOOKUP(ROUND(STANDARDIZE(tblY9[[#This Row],[9B01 - Genetics
Raw Score]],AVERAGE(tblY9[[9B01 - Genetics
Raw Score]]),_xlfn.STDEV.P(tblY9[[9B01 - Genetics
Raw Score]])),9),_Stanine,2),5),"")</f>
        <v>7</v>
      </c>
      <c r="P40" s="66" t="n">
        <v>21</v>
      </c>
      <c r="Q40" s="67">
        <f>IF(ISNUMBER(tblY9[[#This Row],[9C01 - Chemical Reactions
Raw Score]]),IFERROR(VLOOKUP(ROUND(STANDARDIZE(tblY9[[#This Row],[9C01 - Chemical Reactions
Raw Score]],AVERAGE(tblY9[[9C01 - Chemical Reactions
Raw Score]]),_xlfn.STDEV.P(tblY9[[9C01 - Chemical Reactions
Raw Score]])),9),_Stanine,2),5),"")</f>
        <v>5</v>
      </c>
      <c r="R40" s="66" t="n">
        <v>20</v>
      </c>
      <c r="S40" s="67">
        <f>IF(ISNUMBER(tblY9[[#This Row],[9P01 - Electricity
Raw Score]]),IFERROR(VLOOKUP(ROUND(STANDARDIZE(tblY9[[#This Row],[9P01 - Electricity
Raw Score]],AVERAGE(tblY9[[9P01 - Electricity
Raw Score]]),_xlfn.STDEV.P(tblY9[[9P01 - Electricity
Raw Score]])),9),_Stanine,2),5),"")</f>
        <v>5</v>
      </c>
      <c r="T40" s="66" t="n">
        <v>18</v>
      </c>
      <c r="U40" s="67">
        <f>IF(ISNUMBER(tblY9[[#This Row],[9B02 - Ecology
Raw Score]]),IFERROR(VLOOKUP(ROUND(STANDARDIZE(tblY9[[#This Row],[9B02 - Ecology
Raw Score]],AVERAGE(tblY9[[9B02 - Ecology
Raw Score]]),_xlfn.STDEV.P(tblY9[[9B02 - Ecology
Raw Score]])),9),_Stanine,2),5),"")</f>
        <v>5</v>
      </c>
    </row>
    <row r="41">
      <c r="A41" s="65" t="inlineStr">
        <is>
          <t>X905375781586</t>
        </is>
      </c>
      <c r="B41" s="65" t="inlineStr">
        <is>
          <t>Price</t>
        </is>
      </c>
      <c r="C41" s="65" t="inlineStr">
        <is>
          <t>Niamh</t>
        </is>
      </c>
      <c r="D41" s="66" t="inlineStr">
        <is>
          <t>F</t>
        </is>
      </c>
      <c r="E41" s="66" t="n"/>
      <c r="F41" s="66" t="inlineStr">
        <is>
          <t>N</t>
        </is>
      </c>
      <c r="G41" s="34" t="n">
        <v>89.90000000000001</v>
      </c>
      <c r="H41" s="34" t="n">
        <v>108.5</v>
      </c>
      <c r="I41" s="67">
        <f>IF(ISNUMBER(tblY9[[#This Row],[Avg KS2]]),IFERROR(VLOOKUP(ROUND(STANDARDIZE(tblY9[[#This Row],[Avg KS2]],AVERAGE(tblY9[[Avg KS2]]),_xlfn.STDEV.P(tblY9[[Avg KS2]])),9),_Stanine,2),5),"")</f>
        <v>6</v>
      </c>
      <c r="J41" s="66" t="inlineStr">
        <is>
          <t>9A/Sc2</t>
        </is>
      </c>
      <c r="K41" s="67">
        <f>IF(tblY9[[#This Row],[Preferred Last name]]="","",COUNTIFS($N$1:$ZZ$1,"*"&amp;CHAR(10)&amp;"Stanine",$N41:$ZZ41,"&gt;=1"))</f>
        <v>4</v>
      </c>
      <c r="L41" s="68">
        <f>IFERROR(AVERAGEIF($N$1:$ZZ$1,"*"&amp;CHAR(10)&amp;"Stanine",$N41:$ZZ41),"")</f>
        <v>5.5</v>
      </c>
      <c r="M41" s="69">
        <f>IF(AND(ISNUMBER(tblY9[[#This Row],[Mean Stanine]]),ISNUMBER(tblY9[[#This Row],[Avg KS2 Band]]),ISNUMBER(SlopeY9)),tblY9[[#This Row],[Mean Stanine]]-(InterceptY9+SlopeY9*tblY9[[#This Row],[Avg KS2 Band]]),"")</f>
        <v>-0.336984536082474</v>
      </c>
      <c r="N41" s="66" t="n">
        <v>19</v>
      </c>
      <c r="O41" s="67">
        <f>IF(ISNUMBER(tblY9[[#This Row],[9B01 - Genetics
Raw Score]]),IFERROR(VLOOKUP(ROUND(STANDARDIZE(tblY9[[#This Row],[9B01 - Genetics
Raw Score]],AVERAGE(tblY9[[9B01 - Genetics
Raw Score]]),_xlfn.STDEV.P(tblY9[[9B01 - Genetics
Raw Score]])),9),_Stanine,2),5),"")</f>
        <v>5</v>
      </c>
      <c r="P41" s="66" t="n">
        <v>23</v>
      </c>
      <c r="Q41" s="67">
        <f>IF(ISNUMBER(tblY9[[#This Row],[9C01 - Chemical Reactions
Raw Score]]),IFERROR(VLOOKUP(ROUND(STANDARDIZE(tblY9[[#This Row],[9C01 - Chemical Reactions
Raw Score]],AVERAGE(tblY9[[9C01 - Chemical Reactions
Raw Score]]),_xlfn.STDEV.P(tblY9[[9C01 - Chemical Reactions
Raw Score]])),9),_Stanine,2),5),"")</f>
        <v>6</v>
      </c>
      <c r="R41" s="66" t="n">
        <v>21</v>
      </c>
      <c r="S41" s="67">
        <f>IF(ISNUMBER(tblY9[[#This Row],[9P01 - Electricity
Raw Score]]),IFERROR(VLOOKUP(ROUND(STANDARDIZE(tblY9[[#This Row],[9P01 - Electricity
Raw Score]],AVERAGE(tblY9[[9P01 - Electricity
Raw Score]]),_xlfn.STDEV.P(tblY9[[9P01 - Electricity
Raw Score]])),9),_Stanine,2),5),"")</f>
        <v>5</v>
      </c>
      <c r="T41" s="66" t="n">
        <v>19</v>
      </c>
      <c r="U41" s="67">
        <f>IF(ISNUMBER(tblY9[[#This Row],[9B02 - Ecology
Raw Score]]),IFERROR(VLOOKUP(ROUND(STANDARDIZE(tblY9[[#This Row],[9B02 - Ecology
Raw Score]],AVERAGE(tblY9[[9B02 - Ecology
Raw Score]]),_xlfn.STDEV.P(tblY9[[9B02 - Ecology
Raw Score]])),9),_Stanine,2),5),"")</f>
        <v>6</v>
      </c>
    </row>
    <row r="42">
      <c r="A42" s="65" t="inlineStr">
        <is>
          <t>X905525465736</t>
        </is>
      </c>
      <c r="B42" s="65" t="inlineStr">
        <is>
          <t>Shaw</t>
        </is>
      </c>
      <c r="C42" s="65" t="inlineStr">
        <is>
          <t>Harry</t>
        </is>
      </c>
      <c r="D42" s="66" t="inlineStr">
        <is>
          <t>F</t>
        </is>
      </c>
      <c r="E42" s="66" t="n"/>
      <c r="F42" s="66" t="inlineStr">
        <is>
          <t>N</t>
        </is>
      </c>
      <c r="G42" s="34" t="n">
        <v>89.90000000000001</v>
      </c>
      <c r="H42" s="34" t="n">
        <v>111</v>
      </c>
      <c r="I42" s="67">
        <f>IF(ISNUMBER(tblY9[[#This Row],[Avg KS2]]),IFERROR(VLOOKUP(ROUND(STANDARDIZE(tblY9[[#This Row],[Avg KS2]],AVERAGE(tblY9[[Avg KS2]]),_xlfn.STDEV.P(tblY9[[Avg KS2]])),9),_Stanine,2),5),"")</f>
        <v>7</v>
      </c>
      <c r="J42" s="66" t="inlineStr">
        <is>
          <t>9A/Sc2</t>
        </is>
      </c>
      <c r="K42" s="67">
        <f>IF(tblY9[[#This Row],[Preferred Last name]]="","",COUNTIFS($N$1:$ZZ$1,"*"&amp;CHAR(10)&amp;"Stanine",$N42:$ZZ42,"&gt;=1"))</f>
        <v>4</v>
      </c>
      <c r="L42" s="68">
        <f>IFERROR(AVERAGEIF($N$1:$ZZ$1,"*"&amp;CHAR(10)&amp;"Stanine",$N42:$ZZ42),"")</f>
        <v>7.5</v>
      </c>
      <c r="M42" s="69">
        <f>IF(AND(ISNUMBER(tblY9[[#This Row],[Mean Stanine]]),ISNUMBER(tblY9[[#This Row],[Avg KS2 Band]]),ISNUMBER(SlopeY9)),tblY9[[#This Row],[Mean Stanine]]-(InterceptY9+SlopeY9*tblY9[[#This Row],[Avg KS2 Band]]),"")</f>
        <v>0.899601686972821</v>
      </c>
      <c r="N42" s="66" t="n">
        <v>27</v>
      </c>
      <c r="O42" s="67">
        <f>IF(ISNUMBER(tblY9[[#This Row],[9B01 - Genetics
Raw Score]]),IFERROR(VLOOKUP(ROUND(STANDARDIZE(tblY9[[#This Row],[9B01 - Genetics
Raw Score]],AVERAGE(tblY9[[9B01 - Genetics
Raw Score]]),_xlfn.STDEV.P(tblY9[[9B01 - Genetics
Raw Score]])),9),_Stanine,2),5),"")</f>
        <v>7</v>
      </c>
      <c r="P42" s="66" t="n">
        <v>29</v>
      </c>
      <c r="Q42" s="67">
        <f>IF(ISNUMBER(tblY9[[#This Row],[9C01 - Chemical Reactions
Raw Score]]),IFERROR(VLOOKUP(ROUND(STANDARDIZE(tblY9[[#This Row],[9C01 - Chemical Reactions
Raw Score]],AVERAGE(tblY9[[9C01 - Chemical Reactions
Raw Score]]),_xlfn.STDEV.P(tblY9[[9C01 - Chemical Reactions
Raw Score]])),9),_Stanine,2),5),"")</f>
        <v>8</v>
      </c>
      <c r="R42" s="66" t="n">
        <v>28</v>
      </c>
      <c r="S42" s="67">
        <f>IF(ISNUMBER(tblY9[[#This Row],[9P01 - Electricity
Raw Score]]),IFERROR(VLOOKUP(ROUND(STANDARDIZE(tblY9[[#This Row],[9P01 - Electricity
Raw Score]],AVERAGE(tblY9[[9P01 - Electricity
Raw Score]]),_xlfn.STDEV.P(tblY9[[9P01 - Electricity
Raw Score]])),9),_Stanine,2),5),"")</f>
        <v>8</v>
      </c>
      <c r="T42" s="66" t="n">
        <v>23</v>
      </c>
      <c r="U42" s="67">
        <f>IF(ISNUMBER(tblY9[[#This Row],[9B02 - Ecology
Raw Score]]),IFERROR(VLOOKUP(ROUND(STANDARDIZE(tblY9[[#This Row],[9B02 - Ecology
Raw Score]],AVERAGE(tblY9[[9B02 - Ecology
Raw Score]]),_xlfn.STDEV.P(tblY9[[9B02 - Ecology
Raw Score]])),9),_Stanine,2),5),"")</f>
        <v>7</v>
      </c>
    </row>
    <row r="43">
      <c r="A43" s="65" t="inlineStr">
        <is>
          <t>X900611563234</t>
        </is>
      </c>
      <c r="B43" s="65" t="inlineStr">
        <is>
          <t>Smith</t>
        </is>
      </c>
      <c r="C43" s="65" t="inlineStr">
        <is>
          <t>Grace</t>
        </is>
      </c>
      <c r="D43" s="66" t="inlineStr">
        <is>
          <t>M</t>
        </is>
      </c>
      <c r="E43" s="66" t="inlineStr">
        <is>
          <t>N</t>
        </is>
      </c>
      <c r="F43" s="66" t="inlineStr">
        <is>
          <t>Y</t>
        </is>
      </c>
      <c r="G43" s="34" t="n">
        <v>100</v>
      </c>
      <c r="H43" s="34" t="n">
        <v>104</v>
      </c>
      <c r="I43" s="67">
        <f>IF(ISNUMBER(tblY9[[#This Row],[Avg KS2]]),IFERROR(VLOOKUP(ROUND(STANDARDIZE(tblY9[[#This Row],[Avg KS2]],AVERAGE(tblY9[[Avg KS2]]),_xlfn.STDEV.P(tblY9[[Avg KS2]])),9),_Stanine,2),5),"")</f>
        <v>4</v>
      </c>
      <c r="J43" s="66" t="inlineStr">
        <is>
          <t>9A/Sc2</t>
        </is>
      </c>
      <c r="K43" s="67">
        <f>IF(tblY9[[#This Row],[Preferred Last name]]="","",COUNTIFS($N$1:$ZZ$1,"*"&amp;CHAR(10)&amp;"Stanine",$N43:$ZZ43,"&gt;=1"))</f>
        <v>4</v>
      </c>
      <c r="L43" s="68">
        <f>IFERROR(AVERAGEIF($N$1:$ZZ$1,"*"&amp;CHAR(10)&amp;"Stanine",$N43:$ZZ43),"")</f>
        <v>1.75</v>
      </c>
      <c r="M43" s="69">
        <f>IF(AND(ISNUMBER(tblY9[[#This Row],[Mean Stanine]]),ISNUMBER(tblY9[[#This Row],[Avg KS2 Band]]),ISNUMBER(SlopeY9)),tblY9[[#This Row],[Mean Stanine]]-(InterceptY9+SlopeY9*tblY9[[#This Row],[Avg KS2 Band]]),"")</f>
        <v>-2.56015698219306</v>
      </c>
      <c r="N43" s="66" t="n">
        <v>12</v>
      </c>
      <c r="O43" s="67">
        <f>IF(ISNUMBER(tblY9[[#This Row],[9B01 - Genetics
Raw Score]]),IFERROR(VLOOKUP(ROUND(STANDARDIZE(tblY9[[#This Row],[9B01 - Genetics
Raw Score]],AVERAGE(tblY9[[9B01 - Genetics
Raw Score]]),_xlfn.STDEV.P(tblY9[[9B01 - Genetics
Raw Score]])),9),_Stanine,2),5),"")</f>
        <v>2</v>
      </c>
      <c r="P43" s="66" t="n">
        <v>13</v>
      </c>
      <c r="Q43" s="67">
        <f>IF(ISNUMBER(tblY9[[#This Row],[9C01 - Chemical Reactions
Raw Score]]),IFERROR(VLOOKUP(ROUND(STANDARDIZE(tblY9[[#This Row],[9C01 - Chemical Reactions
Raw Score]],AVERAGE(tblY9[[9C01 - Chemical Reactions
Raw Score]]),_xlfn.STDEV.P(tblY9[[9C01 - Chemical Reactions
Raw Score]])),9),_Stanine,2),5),"")</f>
        <v>2</v>
      </c>
      <c r="R43" s="66" t="n">
        <v>13</v>
      </c>
      <c r="S43" s="67">
        <f>IF(ISNUMBER(tblY9[[#This Row],[9P01 - Electricity
Raw Score]]),IFERROR(VLOOKUP(ROUND(STANDARDIZE(tblY9[[#This Row],[9P01 - Electricity
Raw Score]],AVERAGE(tblY9[[9P01 - Electricity
Raw Score]]),_xlfn.STDEV.P(tblY9[[9P01 - Electricity
Raw Score]])),9),_Stanine,2),5),"")</f>
        <v>2</v>
      </c>
      <c r="T43" s="66" t="n">
        <v>8</v>
      </c>
      <c r="U43" s="67">
        <f>IF(ISNUMBER(tblY9[[#This Row],[9B02 - Ecology
Raw Score]]),IFERROR(VLOOKUP(ROUND(STANDARDIZE(tblY9[[#This Row],[9B02 - Ecology
Raw Score]],AVERAGE(tblY9[[9B02 - Ecology
Raw Score]]),_xlfn.STDEV.P(tblY9[[9B02 - Ecology
Raw Score]])),9),_Stanine,2),5),"")</f>
        <v>1</v>
      </c>
    </row>
    <row r="44">
      <c r="A44" s="65" t="inlineStr">
        <is>
          <t>X903669970954</t>
        </is>
      </c>
      <c r="B44" s="65" t="inlineStr">
        <is>
          <t>Smith</t>
        </is>
      </c>
      <c r="C44" s="65" t="inlineStr">
        <is>
          <t>Leo</t>
        </is>
      </c>
      <c r="D44" s="66" t="inlineStr">
        <is>
          <t>F</t>
        </is>
      </c>
      <c r="E44" s="66" t="inlineStr">
        <is>
          <t>N</t>
        </is>
      </c>
      <c r="F44" s="66" t="inlineStr">
        <is>
          <t>N</t>
        </is>
      </c>
      <c r="G44" s="34" t="n">
        <v>88.7</v>
      </c>
      <c r="H44" s="34" t="n">
        <v>108.5</v>
      </c>
      <c r="I44" s="67">
        <f>IF(ISNUMBER(tblY9[[#This Row],[Avg KS2]]),IFERROR(VLOOKUP(ROUND(STANDARDIZE(tblY9[[#This Row],[Avg KS2]],AVERAGE(tblY9[[Avg KS2]]),_xlfn.STDEV.P(tblY9[[Avg KS2]])),9),_Stanine,2),5),"")</f>
        <v>6</v>
      </c>
      <c r="J44" s="66" t="inlineStr">
        <is>
          <t>9A/Sc2</t>
        </is>
      </c>
      <c r="K44" s="67">
        <f>IF(tblY9[[#This Row],[Preferred Last name]]="","",COUNTIFS($N$1:$ZZ$1,"*"&amp;CHAR(10)&amp;"Stanine",$N44:$ZZ44,"&gt;=1"))</f>
        <v>4</v>
      </c>
      <c r="L44" s="68">
        <f>IFERROR(AVERAGEIF($N$1:$ZZ$1,"*"&amp;CHAR(10)&amp;"Stanine",$N44:$ZZ44),"")</f>
        <v>5.25</v>
      </c>
      <c r="M44" s="69">
        <f>IF(AND(ISNUMBER(tblY9[[#This Row],[Mean Stanine]]),ISNUMBER(tblY9[[#This Row],[Avg KS2 Band]]),ISNUMBER(SlopeY9)),tblY9[[#This Row],[Mean Stanine]]-(InterceptY9+SlopeY9*tblY9[[#This Row],[Avg KS2 Band]]),"")</f>
        <v>-0.586984536082474</v>
      </c>
      <c r="N44" s="66" t="n">
        <v>19</v>
      </c>
      <c r="O44" s="67">
        <f>IF(ISNUMBER(tblY9[[#This Row],[9B01 - Genetics
Raw Score]]),IFERROR(VLOOKUP(ROUND(STANDARDIZE(tblY9[[#This Row],[9B01 - Genetics
Raw Score]],AVERAGE(tblY9[[9B01 - Genetics
Raw Score]]),_xlfn.STDEV.P(tblY9[[9B01 - Genetics
Raw Score]])),9),_Stanine,2),5),"")</f>
        <v>5</v>
      </c>
      <c r="P44" s="66" t="n">
        <v>24</v>
      </c>
      <c r="Q44" s="67">
        <f>IF(ISNUMBER(tblY9[[#This Row],[9C01 - Chemical Reactions
Raw Score]]),IFERROR(VLOOKUP(ROUND(STANDARDIZE(tblY9[[#This Row],[9C01 - Chemical Reactions
Raw Score]],AVERAGE(tblY9[[9C01 - Chemical Reactions
Raw Score]]),_xlfn.STDEV.P(tblY9[[9C01 - Chemical Reactions
Raw Score]])),9),_Stanine,2),5),"")</f>
        <v>6</v>
      </c>
      <c r="R44" s="66" t="n">
        <v>19</v>
      </c>
      <c r="S44" s="67">
        <f>IF(ISNUMBER(tblY9[[#This Row],[9P01 - Electricity
Raw Score]]),IFERROR(VLOOKUP(ROUND(STANDARDIZE(tblY9[[#This Row],[9P01 - Electricity
Raw Score]],AVERAGE(tblY9[[9P01 - Electricity
Raw Score]]),_xlfn.STDEV.P(tblY9[[9P01 - Electricity
Raw Score]])),9),_Stanine,2),5),"")</f>
        <v>4</v>
      </c>
      <c r="T44" s="66" t="n">
        <v>20</v>
      </c>
      <c r="U44" s="67">
        <f>IF(ISNUMBER(tblY9[[#This Row],[9B02 - Ecology
Raw Score]]),IFERROR(VLOOKUP(ROUND(STANDARDIZE(tblY9[[#This Row],[9B02 - Ecology
Raw Score]],AVERAGE(tblY9[[9B02 - Ecology
Raw Score]]),_xlfn.STDEV.P(tblY9[[9B02 - Ecology
Raw Score]])),9),_Stanine,2),5),"")</f>
        <v>6</v>
      </c>
    </row>
    <row r="45">
      <c r="A45" s="65" t="inlineStr">
        <is>
          <t>X902803142058</t>
        </is>
      </c>
      <c r="B45" s="65" t="inlineStr">
        <is>
          <t>Taylor</t>
        </is>
      </c>
      <c r="C45" s="65" t="inlineStr">
        <is>
          <t>Mia</t>
        </is>
      </c>
      <c r="D45" s="66" t="inlineStr">
        <is>
          <t>M</t>
        </is>
      </c>
      <c r="E45" s="66" t="inlineStr">
        <is>
          <t>N</t>
        </is>
      </c>
      <c r="F45" s="66" t="inlineStr">
        <is>
          <t>N</t>
        </is>
      </c>
      <c r="G45" s="34" t="n">
        <v>95.09999999999999</v>
      </c>
      <c r="H45" s="34" t="n">
        <v>108.5</v>
      </c>
      <c r="I45" s="67">
        <f>IF(ISNUMBER(tblY9[[#This Row],[Avg KS2]]),IFERROR(VLOOKUP(ROUND(STANDARDIZE(tblY9[[#This Row],[Avg KS2]],AVERAGE(tblY9[[Avg KS2]]),_xlfn.STDEV.P(tblY9[[Avg KS2]])),9),_Stanine,2),5),"")</f>
        <v>6</v>
      </c>
      <c r="J45" s="66" t="inlineStr">
        <is>
          <t>9A/Sc2</t>
        </is>
      </c>
      <c r="K45" s="67">
        <f>IF(tblY9[[#This Row],[Preferred Last name]]="","",COUNTIFS($N$1:$ZZ$1,"*"&amp;CHAR(10)&amp;"Stanine",$N45:$ZZ45,"&gt;=1"))</f>
        <v>4</v>
      </c>
      <c r="L45" s="68">
        <f>IFERROR(AVERAGEIF($N$1:$ZZ$1,"*"&amp;CHAR(10)&amp;"Stanine",$N45:$ZZ45),"")</f>
        <v>4.25</v>
      </c>
      <c r="M45" s="69">
        <f>IF(AND(ISNUMBER(tblY9[[#This Row],[Mean Stanine]]),ISNUMBER(tblY9[[#This Row],[Avg KS2 Band]]),ISNUMBER(SlopeY9)),tblY9[[#This Row],[Mean Stanine]]-(InterceptY9+SlopeY9*tblY9[[#This Row],[Avg KS2 Band]]),"")</f>
        <v>-1.58698453608247</v>
      </c>
      <c r="N45" s="66" t="n">
        <v>20</v>
      </c>
      <c r="O45" s="67">
        <f>IF(ISNUMBER(tblY9[[#This Row],[9B01 - Genetics
Raw Score]]),IFERROR(VLOOKUP(ROUND(STANDARDIZE(tblY9[[#This Row],[9B01 - Genetics
Raw Score]],AVERAGE(tblY9[[9B01 - Genetics
Raw Score]]),_xlfn.STDEV.P(tblY9[[9B01 - Genetics
Raw Score]])),9),_Stanine,2),5),"")</f>
        <v>5</v>
      </c>
      <c r="P45" s="66" t="n">
        <v>17</v>
      </c>
      <c r="Q45" s="67">
        <f>IF(ISNUMBER(tblY9[[#This Row],[9C01 - Chemical Reactions
Raw Score]]),IFERROR(VLOOKUP(ROUND(STANDARDIZE(tblY9[[#This Row],[9C01 - Chemical Reactions
Raw Score]],AVERAGE(tblY9[[9C01 - Chemical Reactions
Raw Score]]),_xlfn.STDEV.P(tblY9[[9C01 - Chemical Reactions
Raw Score]])),9),_Stanine,2),5),"")</f>
        <v>4</v>
      </c>
      <c r="R45" s="66" t="n">
        <v>19</v>
      </c>
      <c r="S45" s="67">
        <f>IF(ISNUMBER(tblY9[[#This Row],[9P01 - Electricity
Raw Score]]),IFERROR(VLOOKUP(ROUND(STANDARDIZE(tblY9[[#This Row],[9P01 - Electricity
Raw Score]],AVERAGE(tblY9[[9P01 - Electricity
Raw Score]]),_xlfn.STDEV.P(tblY9[[9P01 - Electricity
Raw Score]])),9),_Stanine,2),5),"")</f>
        <v>4</v>
      </c>
      <c r="T45" s="66" t="n">
        <v>16</v>
      </c>
      <c r="U45" s="67">
        <f>IF(ISNUMBER(tblY9[[#This Row],[9B02 - Ecology
Raw Score]]),IFERROR(VLOOKUP(ROUND(STANDARDIZE(tblY9[[#This Row],[9B02 - Ecology
Raw Score]],AVERAGE(tblY9[[9B02 - Ecology
Raw Score]]),_xlfn.STDEV.P(tblY9[[9B02 - Ecology
Raw Score]])),9),_Stanine,2),5),"")</f>
        <v>4</v>
      </c>
    </row>
    <row r="46">
      <c r="A46" s="65" t="inlineStr">
        <is>
          <t>X909739699495</t>
        </is>
      </c>
      <c r="B46" s="65" t="inlineStr">
        <is>
          <t>Turner</t>
        </is>
      </c>
      <c r="C46" s="65" t="inlineStr">
        <is>
          <t>Jacob</t>
        </is>
      </c>
      <c r="D46" s="66" t="inlineStr">
        <is>
          <t>M</t>
        </is>
      </c>
      <c r="E46" s="66" t="inlineStr">
        <is>
          <t>N</t>
        </is>
      </c>
      <c r="F46" s="66" t="inlineStr">
        <is>
          <t>N</t>
        </is>
      </c>
      <c r="G46" s="34" t="n">
        <v>98.40000000000001</v>
      </c>
      <c r="H46" s="34" t="n">
        <v>109</v>
      </c>
      <c r="I46" s="67">
        <f>IF(ISNUMBER(tblY9[[#This Row],[Avg KS2]]),IFERROR(VLOOKUP(ROUND(STANDARDIZE(tblY9[[#This Row],[Avg KS2]],AVERAGE(tblY9[[Avg KS2]]),_xlfn.STDEV.P(tblY9[[Avg KS2]])),9),_Stanine,2),5),"")</f>
        <v>6</v>
      </c>
      <c r="J46" s="66" t="inlineStr">
        <is>
          <t>9A/Sc2</t>
        </is>
      </c>
      <c r="K46" s="67">
        <f>IF(tblY9[[#This Row],[Preferred Last name]]="","",COUNTIFS($N$1:$ZZ$1,"*"&amp;CHAR(10)&amp;"Stanine",$N46:$ZZ46,"&gt;=1"))</f>
        <v>3</v>
      </c>
      <c r="L46" s="68">
        <f>IFERROR(AVERAGEIF($N$1:$ZZ$1,"*"&amp;CHAR(10)&amp;"Stanine",$N46:$ZZ46),"")</f>
        <v>6.33333333333333</v>
      </c>
      <c r="M46" s="69">
        <f>IF(AND(ISNUMBER(tblY9[[#This Row],[Mean Stanine]]),ISNUMBER(tblY9[[#This Row],[Avg KS2 Band]]),ISNUMBER(SlopeY9)),tblY9[[#This Row],[Mean Stanine]]-(InterceptY9+SlopeY9*tblY9[[#This Row],[Avg KS2 Band]]),"")</f>
        <v>0.496348797250859</v>
      </c>
      <c r="N46" s="66" t="n">
        <v>23</v>
      </c>
      <c r="O46" s="67">
        <f>IF(ISNUMBER(tblY9[[#This Row],[9B01 - Genetics
Raw Score]]),IFERROR(VLOOKUP(ROUND(STANDARDIZE(tblY9[[#This Row],[9B01 - Genetics
Raw Score]],AVERAGE(tblY9[[9B01 - Genetics
Raw Score]]),_xlfn.STDEV.P(tblY9[[9B01 - Genetics
Raw Score]])),9),_Stanine,2),5),"")</f>
        <v>6</v>
      </c>
      <c r="P46" s="66" t="n">
        <v>28</v>
      </c>
      <c r="Q46" s="67">
        <f>IF(ISNUMBER(tblY9[[#This Row],[9C01 - Chemical Reactions
Raw Score]]),IFERROR(VLOOKUP(ROUND(STANDARDIZE(tblY9[[#This Row],[9C01 - Chemical Reactions
Raw Score]],AVERAGE(tblY9[[9C01 - Chemical Reactions
Raw Score]]),_xlfn.STDEV.P(tblY9[[9C01 - Chemical Reactions
Raw Score]])),9),_Stanine,2),5),"")</f>
        <v>7</v>
      </c>
      <c r="R46" s="66" t="inlineStr">
        <is>
          <t>A</t>
        </is>
      </c>
      <c r="S46" s="67" t="str">
        <f>IF(ISNUMBER(tblY9[[#This Row],[9P01 - Electricity
Raw Score]]),IFERROR(VLOOKUP(ROUND(STANDARDIZE(tblY9[[#This Row],[9P01 - Electricity
Raw Score]],AVERAGE(tblY9[[9P01 - Electricity
Raw Score]]),_xlfn.STDEV.P(tblY9[[9P01 - Electricity
Raw Score]])),9),_Stanine,2),5),"")</f>
        <v/>
      </c>
      <c r="T46" s="66" t="n">
        <v>19</v>
      </c>
      <c r="U46" s="67">
        <f>IF(ISNUMBER(tblY9[[#This Row],[9B02 - Ecology
Raw Score]]),IFERROR(VLOOKUP(ROUND(STANDARDIZE(tblY9[[#This Row],[9B02 - Ecology
Raw Score]],AVERAGE(tblY9[[9B02 - Ecology
Raw Score]]),_xlfn.STDEV.P(tblY9[[9B02 - Ecology
Raw Score]])),9),_Stanine,2),5),"")</f>
        <v>6</v>
      </c>
    </row>
    <row r="47">
      <c r="A47" s="65" t="inlineStr">
        <is>
          <t>X903497387209</t>
        </is>
      </c>
      <c r="B47" s="65" t="inlineStr">
        <is>
          <t>Ward</t>
        </is>
      </c>
      <c r="C47" s="65" t="inlineStr">
        <is>
          <t>Charlie</t>
        </is>
      </c>
      <c r="D47" s="66" t="inlineStr">
        <is>
          <t>F</t>
        </is>
      </c>
      <c r="E47" s="66" t="n"/>
      <c r="F47" s="66" t="inlineStr">
        <is>
          <t>N</t>
        </is>
      </c>
      <c r="G47" s="34" t="n">
        <v>97.59999999999999</v>
      </c>
      <c r="H47" s="34" t="n">
        <v>100.5</v>
      </c>
      <c r="I47" s="67">
        <f>IF(ISNUMBER(tblY9[[#This Row],[Avg KS2]]),IFERROR(VLOOKUP(ROUND(STANDARDIZE(tblY9[[#This Row],[Avg KS2]],AVERAGE(tblY9[[Avg KS2]]),_xlfn.STDEV.P(tblY9[[Avg KS2]])),9),_Stanine,2),5),"")</f>
        <v>3</v>
      </c>
      <c r="J47" s="66" t="inlineStr">
        <is>
          <t>9A/Sc2</t>
        </is>
      </c>
      <c r="K47" s="67">
        <f>IF(tblY9[[#This Row],[Preferred Last name]]="","",COUNTIFS($N$1:$ZZ$1,"*"&amp;CHAR(10)&amp;"Stanine",$N47:$ZZ47,"&gt;=1"))</f>
        <v>4</v>
      </c>
      <c r="L47" s="68">
        <f>IFERROR(AVERAGEIF($N$1:$ZZ$1,"*"&amp;CHAR(10)&amp;"Stanine",$N47:$ZZ47),"")</f>
        <v>4.5</v>
      </c>
      <c r="M47" s="69">
        <f>IF(AND(ISNUMBER(tblY9[[#This Row],[Mean Stanine]]),ISNUMBER(tblY9[[#This Row],[Avg KS2 Band]]),ISNUMBER(SlopeY9)),tblY9[[#This Row],[Mean Stanine]]-(InterceptY9+SlopeY9*tblY9[[#This Row],[Avg KS2 Band]]),"")</f>
        <v>0.95325679475164</v>
      </c>
      <c r="N47" s="66" t="n">
        <v>16</v>
      </c>
      <c r="O47" s="67">
        <f>IF(ISNUMBER(tblY9[[#This Row],[9B01 - Genetics
Raw Score]]),IFERROR(VLOOKUP(ROUND(STANDARDIZE(tblY9[[#This Row],[9B01 - Genetics
Raw Score]],AVERAGE(tblY9[[9B01 - Genetics
Raw Score]]),_xlfn.STDEV.P(tblY9[[9B01 - Genetics
Raw Score]])),9),_Stanine,2),5),"")</f>
        <v>4</v>
      </c>
      <c r="P47" s="66" t="n">
        <v>20</v>
      </c>
      <c r="Q47" s="67">
        <f>IF(ISNUMBER(tblY9[[#This Row],[9C01 - Chemical Reactions
Raw Score]]),IFERROR(VLOOKUP(ROUND(STANDARDIZE(tblY9[[#This Row],[9C01 - Chemical Reactions
Raw Score]],AVERAGE(tblY9[[9C01 - Chemical Reactions
Raw Score]]),_xlfn.STDEV.P(tblY9[[9C01 - Chemical Reactions
Raw Score]])),9),_Stanine,2),5),"")</f>
        <v>5</v>
      </c>
      <c r="R47" s="66" t="n">
        <v>18</v>
      </c>
      <c r="S47" s="67">
        <f>IF(ISNUMBER(tblY9[[#This Row],[9P01 - Electricity
Raw Score]]),IFERROR(VLOOKUP(ROUND(STANDARDIZE(tblY9[[#This Row],[9P01 - Electricity
Raw Score]],AVERAGE(tblY9[[9P01 - Electricity
Raw Score]]),_xlfn.STDEV.P(tblY9[[9P01 - Electricity
Raw Score]])),9),_Stanine,2),5),"")</f>
        <v>4</v>
      </c>
      <c r="T47" s="66" t="n">
        <v>18</v>
      </c>
      <c r="U47" s="67">
        <f>IF(ISNUMBER(tblY9[[#This Row],[9B02 - Ecology
Raw Score]]),IFERROR(VLOOKUP(ROUND(STANDARDIZE(tblY9[[#This Row],[9B02 - Ecology
Raw Score]],AVERAGE(tblY9[[9B02 - Ecology
Raw Score]]),_xlfn.STDEV.P(tblY9[[9B02 - Ecology
Raw Score]])),9),_Stanine,2),5),"")</f>
        <v>5</v>
      </c>
    </row>
    <row r="48">
      <c r="A48" s="65" t="inlineStr">
        <is>
          <t>X909853945258</t>
        </is>
      </c>
      <c r="B48" s="65" t="inlineStr">
        <is>
          <t>Wood</t>
        </is>
      </c>
      <c r="C48" s="65" t="inlineStr">
        <is>
          <t>Seren</t>
        </is>
      </c>
      <c r="D48" s="66" t="inlineStr">
        <is>
          <t>F</t>
        </is>
      </c>
      <c r="E48" s="66" t="inlineStr">
        <is>
          <t>N</t>
        </is>
      </c>
      <c r="F48" s="66" t="inlineStr">
        <is>
          <t>N</t>
        </is>
      </c>
      <c r="G48" s="34" t="n">
        <v>100</v>
      </c>
      <c r="H48" s="34" t="n">
        <v>106.5</v>
      </c>
      <c r="I48" s="67">
        <f>IF(ISNUMBER(tblY9[[#This Row],[Avg KS2]]),IFERROR(VLOOKUP(ROUND(STANDARDIZE(tblY9[[#This Row],[Avg KS2]],AVERAGE(tblY9[[Avg KS2]]),_xlfn.STDEV.P(tblY9[[Avg KS2]])),9),_Stanine,2),5),"")</f>
        <v>5</v>
      </c>
      <c r="J48" s="66" t="inlineStr">
        <is>
          <t>9A/Sc2</t>
        </is>
      </c>
      <c r="K48" s="67">
        <f>IF(tblY9[[#This Row],[Preferred Last name]]="","",COUNTIFS($N$1:$ZZ$1,"*"&amp;CHAR(10)&amp;"Stanine",$N48:$ZZ48,"&gt;=1"))</f>
        <v>4</v>
      </c>
      <c r="L48" s="68">
        <f>IFERROR(AVERAGEIF($N$1:$ZZ$1,"*"&amp;CHAR(10)&amp;"Stanine",$N48:$ZZ48),"")</f>
        <v>4.5</v>
      </c>
      <c r="M48" s="69">
        <f>IF(AND(ISNUMBER(tblY9[[#This Row],[Mean Stanine]]),ISNUMBER(tblY9[[#This Row],[Avg KS2 Band]]),ISNUMBER(SlopeY9)),tblY9[[#This Row],[Mean Stanine]]-(InterceptY9+SlopeY9*tblY9[[#This Row],[Avg KS2 Band]]),"")</f>
        <v>-0.57357075913777</v>
      </c>
      <c r="N48" s="66" t="n">
        <v>23</v>
      </c>
      <c r="O48" s="67">
        <f>IF(ISNUMBER(tblY9[[#This Row],[9B01 - Genetics
Raw Score]]),IFERROR(VLOOKUP(ROUND(STANDARDIZE(tblY9[[#This Row],[9B01 - Genetics
Raw Score]],AVERAGE(tblY9[[9B01 - Genetics
Raw Score]]),_xlfn.STDEV.P(tblY9[[9B01 - Genetics
Raw Score]])),9),_Stanine,2),5),"")</f>
        <v>6</v>
      </c>
      <c r="P48" s="66" t="n">
        <v>17</v>
      </c>
      <c r="Q48" s="67">
        <f>IF(ISNUMBER(tblY9[[#This Row],[9C01 - Chemical Reactions
Raw Score]]),IFERROR(VLOOKUP(ROUND(STANDARDIZE(tblY9[[#This Row],[9C01 - Chemical Reactions
Raw Score]],AVERAGE(tblY9[[9C01 - Chemical Reactions
Raw Score]]),_xlfn.STDEV.P(tblY9[[9C01 - Chemical Reactions
Raw Score]])),9),_Stanine,2),5),"")</f>
        <v>4</v>
      </c>
      <c r="R48" s="66" t="n">
        <v>17</v>
      </c>
      <c r="S48" s="67">
        <f>IF(ISNUMBER(tblY9[[#This Row],[9P01 - Electricity
Raw Score]]),IFERROR(VLOOKUP(ROUND(STANDARDIZE(tblY9[[#This Row],[9P01 - Electricity
Raw Score]],AVERAGE(tblY9[[9P01 - Electricity
Raw Score]]),_xlfn.STDEV.P(tblY9[[9P01 - Electricity
Raw Score]])),9),_Stanine,2),5),"")</f>
        <v>4</v>
      </c>
      <c r="T48" s="66" t="n">
        <v>15</v>
      </c>
      <c r="U48" s="67">
        <f>IF(ISNUMBER(tblY9[[#This Row],[9B02 - Ecology
Raw Score]]),IFERROR(VLOOKUP(ROUND(STANDARDIZE(tblY9[[#This Row],[9B02 - Ecology
Raw Score]],AVERAGE(tblY9[[9B02 - Ecology
Raw Score]]),_xlfn.STDEV.P(tblY9[[9B02 - Ecology
Raw Score]])),9),_Stanine,2),5),"")</f>
        <v>4</v>
      </c>
    </row>
    <row r="49">
      <c r="A49" s="65" t="inlineStr">
        <is>
          <t>X901947300301</t>
        </is>
      </c>
      <c r="B49" s="65" t="inlineStr">
        <is>
          <t>Ahmed</t>
        </is>
      </c>
      <c r="C49" s="65" t="inlineStr">
        <is>
          <t>Nia</t>
        </is>
      </c>
      <c r="D49" s="66" t="inlineStr">
        <is>
          <t>F</t>
        </is>
      </c>
      <c r="E49" s="66" t="inlineStr">
        <is>
          <t>N</t>
        </is>
      </c>
      <c r="F49" s="66" t="inlineStr">
        <is>
          <t>N</t>
        </is>
      </c>
      <c r="G49" s="34" t="n">
        <v>88.5</v>
      </c>
      <c r="H49" s="34" t="n">
        <v>102.5</v>
      </c>
      <c r="I49" s="67">
        <f>IF(ISNUMBER(tblY9[[#This Row],[Avg KS2]]),IFERROR(VLOOKUP(ROUND(STANDARDIZE(tblY9[[#This Row],[Avg KS2]],AVERAGE(tblY9[[Avg KS2]]),_xlfn.STDEV.P(tblY9[[Avg KS2]])),9),_Stanine,2),5),"")</f>
        <v>3</v>
      </c>
      <c r="J49" s="66" t="inlineStr">
        <is>
          <t>9A/Sc3</t>
        </is>
      </c>
      <c r="K49" s="67">
        <f>IF(tblY9[[#This Row],[Preferred Last name]]="","",COUNTIFS($N$1:$ZZ$1,"*"&amp;CHAR(10)&amp;"Stanine",$N49:$ZZ49,"&gt;=1"))</f>
        <v>4</v>
      </c>
      <c r="L49" s="68">
        <f>IFERROR(AVERAGEIF($N$1:$ZZ$1,"*"&amp;CHAR(10)&amp;"Stanine",$N49:$ZZ49),"")</f>
        <v>1.75</v>
      </c>
      <c r="M49" s="69">
        <f>IF(AND(ISNUMBER(tblY9[[#This Row],[Mean Stanine]]),ISNUMBER(tblY9[[#This Row],[Avg KS2 Band]]),ISNUMBER(SlopeY9)),tblY9[[#This Row],[Mean Stanine]]-(InterceptY9+SlopeY9*tblY9[[#This Row],[Avg KS2 Band]]),"")</f>
        <v>-1.79674320524836</v>
      </c>
      <c r="N49" s="66" t="n">
        <v>9</v>
      </c>
      <c r="O49" s="67">
        <f>IF(ISNUMBER(tblY9[[#This Row],[9B01 - Genetics
Raw Score]]),IFERROR(VLOOKUP(ROUND(STANDARDIZE(tblY9[[#This Row],[9B01 - Genetics
Raw Score]],AVERAGE(tblY9[[9B01 - Genetics
Raw Score]]),_xlfn.STDEV.P(tblY9[[9B01 - Genetics
Raw Score]])),9),_Stanine,2),5),"")</f>
        <v>1</v>
      </c>
      <c r="P49" s="66" t="n">
        <v>11</v>
      </c>
      <c r="Q49" s="67">
        <f>IF(ISNUMBER(tblY9[[#This Row],[9C01 - Chemical Reactions
Raw Score]]),IFERROR(VLOOKUP(ROUND(STANDARDIZE(tblY9[[#This Row],[9C01 - Chemical Reactions
Raw Score]],AVERAGE(tblY9[[9C01 - Chemical Reactions
Raw Score]]),_xlfn.STDEV.P(tblY9[[9C01 - Chemical Reactions
Raw Score]])),9),_Stanine,2),5),"")</f>
        <v>2</v>
      </c>
      <c r="R49" s="66" t="n">
        <v>12</v>
      </c>
      <c r="S49" s="67">
        <f>IF(ISNUMBER(tblY9[[#This Row],[9P01 - Electricity
Raw Score]]),IFERROR(VLOOKUP(ROUND(STANDARDIZE(tblY9[[#This Row],[9P01 - Electricity
Raw Score]],AVERAGE(tblY9[[9P01 - Electricity
Raw Score]]),_xlfn.STDEV.P(tblY9[[9P01 - Electricity
Raw Score]])),9),_Stanine,2),5),"")</f>
        <v>2</v>
      </c>
      <c r="T49" s="66" t="n">
        <v>10</v>
      </c>
      <c r="U49" s="67">
        <f>IF(ISNUMBER(tblY9[[#This Row],[9B02 - Ecology
Raw Score]]),IFERROR(VLOOKUP(ROUND(STANDARDIZE(tblY9[[#This Row],[9B02 - Ecology
Raw Score]],AVERAGE(tblY9[[9B02 - Ecology
Raw Score]]),_xlfn.STDEV.P(tblY9[[9B02 - Ecology
Raw Score]])),9),_Stanine,2),5),"")</f>
        <v>2</v>
      </c>
    </row>
    <row r="50">
      <c r="A50" s="65" t="inlineStr">
        <is>
          <t>X909808537853</t>
        </is>
      </c>
      <c r="B50" s="65" t="inlineStr">
        <is>
          <t>Barker</t>
        </is>
      </c>
      <c r="C50" s="65" t="inlineStr">
        <is>
          <t>Amara</t>
        </is>
      </c>
      <c r="D50" s="66" t="inlineStr">
        <is>
          <t>M</t>
        </is>
      </c>
      <c r="E50" s="66" t="inlineStr">
        <is>
          <t>K</t>
        </is>
      </c>
      <c r="F50" s="66" t="inlineStr">
        <is>
          <t>N</t>
        </is>
      </c>
      <c r="G50" s="34" t="n">
        <v>84.8</v>
      </c>
      <c r="H50" s="34" t="n">
        <v>99</v>
      </c>
      <c r="I50" s="67">
        <f>IF(ISNUMBER(tblY9[[#This Row],[Avg KS2]]),IFERROR(VLOOKUP(ROUND(STANDARDIZE(tblY9[[#This Row],[Avg KS2]],AVERAGE(tblY9[[Avg KS2]]),_xlfn.STDEV.P(tblY9[[Avg KS2]])),9),_Stanine,2),5),"")</f>
        <v>2</v>
      </c>
      <c r="J50" s="66" t="inlineStr">
        <is>
          <t>9A/Sc3</t>
        </is>
      </c>
      <c r="K50" s="67">
        <f>IF(tblY9[[#This Row],[Preferred Last name]]="","",COUNTIFS($N$1:$ZZ$1,"*"&amp;CHAR(10)&amp;"Stanine",$N50:$ZZ50,"&gt;=1"))</f>
        <v>4</v>
      </c>
      <c r="L50" s="68">
        <f>IFERROR(AVERAGEIF($N$1:$ZZ$1,"*"&amp;CHAR(10)&amp;"Stanine",$N50:$ZZ50),"")</f>
        <v>1</v>
      </c>
      <c r="M50" s="69">
        <f>IF(AND(ISNUMBER(tblY9[[#This Row],[Mean Stanine]]),ISNUMBER(tblY9[[#This Row],[Avg KS2 Band]]),ISNUMBER(SlopeY9)),tblY9[[#This Row],[Mean Stanine]]-(InterceptY9+SlopeY9*tblY9[[#This Row],[Avg KS2 Band]]),"")</f>
        <v>-1.78332942830366</v>
      </c>
      <c r="N50" s="66" t="n">
        <v>5</v>
      </c>
      <c r="O50" s="67">
        <f>IF(ISNUMBER(tblY9[[#This Row],[9B01 - Genetics
Raw Score]]),IFERROR(VLOOKUP(ROUND(STANDARDIZE(tblY9[[#This Row],[9B01 - Genetics
Raw Score]],AVERAGE(tblY9[[9B01 - Genetics
Raw Score]]),_xlfn.STDEV.P(tblY9[[9B01 - Genetics
Raw Score]])),9),_Stanine,2),5),"")</f>
        <v>1</v>
      </c>
      <c r="P50" s="66" t="n">
        <v>5</v>
      </c>
      <c r="Q50" s="67">
        <f>IF(ISNUMBER(tblY9[[#This Row],[9C01 - Chemical Reactions
Raw Score]]),IFERROR(VLOOKUP(ROUND(STANDARDIZE(tblY9[[#This Row],[9C01 - Chemical Reactions
Raw Score]],AVERAGE(tblY9[[9C01 - Chemical Reactions
Raw Score]]),_xlfn.STDEV.P(tblY9[[9C01 - Chemical Reactions
Raw Score]])),9),_Stanine,2),5),"")</f>
        <v>1</v>
      </c>
      <c r="R50" s="66" t="n">
        <v>9</v>
      </c>
      <c r="S50" s="67">
        <f>IF(ISNUMBER(tblY9[[#This Row],[9P01 - Electricity
Raw Score]]),IFERROR(VLOOKUP(ROUND(STANDARDIZE(tblY9[[#This Row],[9P01 - Electricity
Raw Score]],AVERAGE(tblY9[[9P01 - Electricity
Raw Score]]),_xlfn.STDEV.P(tblY9[[9P01 - Electricity
Raw Score]])),9),_Stanine,2),5),"")</f>
        <v>1</v>
      </c>
      <c r="T50" s="66" t="n">
        <v>6</v>
      </c>
      <c r="U50" s="67">
        <f>IF(ISNUMBER(tblY9[[#This Row],[9B02 - Ecology
Raw Score]]),IFERROR(VLOOKUP(ROUND(STANDARDIZE(tblY9[[#This Row],[9B02 - Ecology
Raw Score]],AVERAGE(tblY9[[9B02 - Ecology
Raw Score]]),_xlfn.STDEV.P(tblY9[[9B02 - Ecology
Raw Score]])),9),_Stanine,2),5),"")</f>
        <v>1</v>
      </c>
    </row>
    <row r="51">
      <c r="A51" s="65" t="inlineStr">
        <is>
          <t>X903254899076</t>
        </is>
      </c>
      <c r="B51" s="65" t="inlineStr">
        <is>
          <t>Barker</t>
        </is>
      </c>
      <c r="C51" s="65" t="inlineStr">
        <is>
          <t>Zofia</t>
        </is>
      </c>
      <c r="D51" s="66" t="inlineStr">
        <is>
          <t>M</t>
        </is>
      </c>
      <c r="E51" s="66" t="n"/>
      <c r="F51" s="66" t="inlineStr">
        <is>
          <t>N</t>
        </is>
      </c>
      <c r="G51" s="34" t="n">
        <v>93.7</v>
      </c>
      <c r="H51" s="34" t="n">
        <v>102</v>
      </c>
      <c r="I51" s="67">
        <f>IF(ISNUMBER(tblY9[[#This Row],[Avg KS2]]),IFERROR(VLOOKUP(ROUND(STANDARDIZE(tblY9[[#This Row],[Avg KS2]],AVERAGE(tblY9[[Avg KS2]]),_xlfn.STDEV.P(tblY9[[Avg KS2]])),9),_Stanine,2),5),"")</f>
        <v>3</v>
      </c>
      <c r="J51" s="66" t="inlineStr">
        <is>
          <t>9A/Sc3</t>
        </is>
      </c>
      <c r="K51" s="67">
        <f>IF(tblY9[[#This Row],[Preferred Last name]]="","",COUNTIFS($N$1:$ZZ$1,"*"&amp;CHAR(10)&amp;"Stanine",$N51:$ZZ51,"&gt;=1"))</f>
        <v>4</v>
      </c>
      <c r="L51" s="68">
        <f>IFERROR(AVERAGEIF($N$1:$ZZ$1,"*"&amp;CHAR(10)&amp;"Stanine",$N51:$ZZ51),"")</f>
        <v>1</v>
      </c>
      <c r="M51" s="69">
        <f>IF(AND(ISNUMBER(tblY9[[#This Row],[Mean Stanine]]),ISNUMBER(tblY9[[#This Row],[Avg KS2 Band]]),ISNUMBER(SlopeY9)),tblY9[[#This Row],[Mean Stanine]]-(InterceptY9+SlopeY9*tblY9[[#This Row],[Avg KS2 Band]]),"")</f>
        <v>-2.54674320524836</v>
      </c>
      <c r="N51" s="66" t="n">
        <v>10</v>
      </c>
      <c r="O51" s="67">
        <f>IF(ISNUMBER(tblY9[[#This Row],[9B01 - Genetics
Raw Score]]),IFERROR(VLOOKUP(ROUND(STANDARDIZE(tblY9[[#This Row],[9B01 - Genetics
Raw Score]],AVERAGE(tblY9[[9B01 - Genetics
Raw Score]]),_xlfn.STDEV.P(tblY9[[9B01 - Genetics
Raw Score]])),9),_Stanine,2),5),"")</f>
        <v>1</v>
      </c>
      <c r="P51" s="66" t="n">
        <v>7</v>
      </c>
      <c r="Q51" s="67">
        <f>IF(ISNUMBER(tblY9[[#This Row],[9C01 - Chemical Reactions
Raw Score]]),IFERROR(VLOOKUP(ROUND(STANDARDIZE(tblY9[[#This Row],[9C01 - Chemical Reactions
Raw Score]],AVERAGE(tblY9[[9C01 - Chemical Reactions
Raw Score]]),_xlfn.STDEV.P(tblY9[[9C01 - Chemical Reactions
Raw Score]])),9),_Stanine,2),5),"")</f>
        <v>1</v>
      </c>
      <c r="R51" s="66" t="n">
        <v>10</v>
      </c>
      <c r="S51" s="67">
        <f>IF(ISNUMBER(tblY9[[#This Row],[9P01 - Electricity
Raw Score]]),IFERROR(VLOOKUP(ROUND(STANDARDIZE(tblY9[[#This Row],[9P01 - Electricity
Raw Score]],AVERAGE(tblY9[[9P01 - Electricity
Raw Score]]),_xlfn.STDEV.P(tblY9[[9P01 - Electricity
Raw Score]])),9),_Stanine,2),5),"")</f>
        <v>1</v>
      </c>
      <c r="T51" s="66" t="n">
        <v>7</v>
      </c>
      <c r="U51" s="67">
        <f>IF(ISNUMBER(tblY9[[#This Row],[9B02 - Ecology
Raw Score]]),IFERROR(VLOOKUP(ROUND(STANDARDIZE(tblY9[[#This Row],[9B02 - Ecology
Raw Score]],AVERAGE(tblY9[[9B02 - Ecology
Raw Score]]),_xlfn.STDEV.P(tblY9[[9B02 - Ecology
Raw Score]])),9),_Stanine,2),5),"")</f>
        <v>1</v>
      </c>
    </row>
    <row r="52">
      <c r="A52" s="65" t="inlineStr">
        <is>
          <t>X909589194253</t>
        </is>
      </c>
      <c r="B52" s="65" t="inlineStr">
        <is>
          <t>Brown</t>
        </is>
      </c>
      <c r="C52" s="65" t="inlineStr">
        <is>
          <t>Nia</t>
        </is>
      </c>
      <c r="D52" s="66" t="inlineStr">
        <is>
          <t>M</t>
        </is>
      </c>
      <c r="E52" s="66" t="inlineStr">
        <is>
          <t>N</t>
        </is>
      </c>
      <c r="F52" s="66" t="inlineStr">
        <is>
          <t>N</t>
        </is>
      </c>
      <c r="G52" s="34" t="n">
        <v>96.40000000000001</v>
      </c>
      <c r="H52" s="34" t="n">
        <v>107</v>
      </c>
      <c r="I52" s="67">
        <f>IF(ISNUMBER(tblY9[[#This Row],[Avg KS2]]),IFERROR(VLOOKUP(ROUND(STANDARDIZE(tblY9[[#This Row],[Avg KS2]],AVERAGE(tblY9[[Avg KS2]]),_xlfn.STDEV.P(tblY9[[Avg KS2]])),9),_Stanine,2),5),"")</f>
        <v>5</v>
      </c>
      <c r="J52" s="66" t="inlineStr">
        <is>
          <t>9A/Sc3</t>
        </is>
      </c>
      <c r="K52" s="67">
        <f>IF(tblY9[[#This Row],[Preferred Last name]]="","",COUNTIFS($N$1:$ZZ$1,"*"&amp;CHAR(10)&amp;"Stanine",$N52:$ZZ52,"&gt;=1"))</f>
        <v>4</v>
      </c>
      <c r="L52" s="68">
        <f>IFERROR(AVERAGEIF($N$1:$ZZ$1,"*"&amp;CHAR(10)&amp;"Stanine",$N52:$ZZ52),"")</f>
        <v>5.75</v>
      </c>
      <c r="M52" s="69">
        <f>IF(AND(ISNUMBER(tblY9[[#This Row],[Mean Stanine]]),ISNUMBER(tblY9[[#This Row],[Avg KS2 Band]]),ISNUMBER(SlopeY9)),tblY9[[#This Row],[Mean Stanine]]-(InterceptY9+SlopeY9*tblY9[[#This Row],[Avg KS2 Band]]),"")</f>
        <v>0.67642924086223</v>
      </c>
      <c r="N52" s="66" t="n">
        <v>23</v>
      </c>
      <c r="O52" s="67">
        <f>IF(ISNUMBER(tblY9[[#This Row],[9B01 - Genetics
Raw Score]]),IFERROR(VLOOKUP(ROUND(STANDARDIZE(tblY9[[#This Row],[9B01 - Genetics
Raw Score]],AVERAGE(tblY9[[9B01 - Genetics
Raw Score]]),_xlfn.STDEV.P(tblY9[[9B01 - Genetics
Raw Score]])),9),_Stanine,2),5),"")</f>
        <v>6</v>
      </c>
      <c r="P52" s="66" t="n">
        <v>25</v>
      </c>
      <c r="Q52" s="67">
        <f>IF(ISNUMBER(tblY9[[#This Row],[9C01 - Chemical Reactions
Raw Score]]),IFERROR(VLOOKUP(ROUND(STANDARDIZE(tblY9[[#This Row],[9C01 - Chemical Reactions
Raw Score]],AVERAGE(tblY9[[9C01 - Chemical Reactions
Raw Score]]),_xlfn.STDEV.P(tblY9[[9C01 - Chemical Reactions
Raw Score]])),9),_Stanine,2),5),"")</f>
        <v>6</v>
      </c>
      <c r="R52" s="66" t="n">
        <v>23</v>
      </c>
      <c r="S52" s="67">
        <f>IF(ISNUMBER(tblY9[[#This Row],[9P01 - Electricity
Raw Score]]),IFERROR(VLOOKUP(ROUND(STANDARDIZE(tblY9[[#This Row],[9P01 - Electricity
Raw Score]],AVERAGE(tblY9[[9P01 - Electricity
Raw Score]]),_xlfn.STDEV.P(tblY9[[9P01 - Electricity
Raw Score]])),9),_Stanine,2),5),"")</f>
        <v>6</v>
      </c>
      <c r="T52" s="66" t="n">
        <v>18</v>
      </c>
      <c r="U52" s="67">
        <f>IF(ISNUMBER(tblY9[[#This Row],[9B02 - Ecology
Raw Score]]),IFERROR(VLOOKUP(ROUND(STANDARDIZE(tblY9[[#This Row],[9B02 - Ecology
Raw Score]],AVERAGE(tblY9[[9B02 - Ecology
Raw Score]]),_xlfn.STDEV.P(tblY9[[9B02 - Ecology
Raw Score]])),9),_Stanine,2),5),"")</f>
        <v>5</v>
      </c>
    </row>
    <row r="53">
      <c r="A53" s="65" t="inlineStr">
        <is>
          <t>X902767253198</t>
        </is>
      </c>
      <c r="B53" s="65" t="inlineStr">
        <is>
          <t>Evans</t>
        </is>
      </c>
      <c r="C53" s="65" t="inlineStr">
        <is>
          <t>Niamh</t>
        </is>
      </c>
      <c r="D53" s="66" t="inlineStr">
        <is>
          <t>F</t>
        </is>
      </c>
      <c r="E53" s="66" t="n"/>
      <c r="F53" s="66" t="inlineStr">
        <is>
          <t>N</t>
        </is>
      </c>
      <c r="G53" s="34" t="n">
        <v>100</v>
      </c>
      <c r="H53" s="34" t="n">
        <v>101.5</v>
      </c>
      <c r="I53" s="67">
        <f>IF(ISNUMBER(tblY9[[#This Row],[Avg KS2]]),IFERROR(VLOOKUP(ROUND(STANDARDIZE(tblY9[[#This Row],[Avg KS2]],AVERAGE(tblY9[[Avg KS2]]),_xlfn.STDEV.P(tblY9[[Avg KS2]])),9),_Stanine,2),5),"")</f>
        <v>3</v>
      </c>
      <c r="J53" s="66" t="inlineStr">
        <is>
          <t>9A/Sc3</t>
        </is>
      </c>
      <c r="K53" s="67">
        <f>IF(tblY9[[#This Row],[Preferred Last name]]="","",COUNTIFS($N$1:$ZZ$1,"*"&amp;CHAR(10)&amp;"Stanine",$N53:$ZZ53,"&gt;=1"))</f>
        <v>4</v>
      </c>
      <c r="L53" s="68">
        <f>IFERROR(AVERAGEIF($N$1:$ZZ$1,"*"&amp;CHAR(10)&amp;"Stanine",$N53:$ZZ53),"")</f>
        <v>2.5</v>
      </c>
      <c r="M53" s="69">
        <f>IF(AND(ISNUMBER(tblY9[[#This Row],[Mean Stanine]]),ISNUMBER(tblY9[[#This Row],[Avg KS2 Band]]),ISNUMBER(SlopeY9)),tblY9[[#This Row],[Mean Stanine]]-(InterceptY9+SlopeY9*tblY9[[#This Row],[Avg KS2 Band]]),"")</f>
        <v>-1.04674320524836</v>
      </c>
      <c r="N53" s="66" t="n">
        <v>12</v>
      </c>
      <c r="O53" s="67">
        <f>IF(ISNUMBER(tblY9[[#This Row],[9B01 - Genetics
Raw Score]]),IFERROR(VLOOKUP(ROUND(STANDARDIZE(tblY9[[#This Row],[9B01 - Genetics
Raw Score]],AVERAGE(tblY9[[9B01 - Genetics
Raw Score]]),_xlfn.STDEV.P(tblY9[[9B01 - Genetics
Raw Score]])),9),_Stanine,2),5),"")</f>
        <v>2</v>
      </c>
      <c r="P53" s="66" t="n">
        <v>16</v>
      </c>
      <c r="Q53" s="67">
        <f>IF(ISNUMBER(tblY9[[#This Row],[9C01 - Chemical Reactions
Raw Score]]),IFERROR(VLOOKUP(ROUND(STANDARDIZE(tblY9[[#This Row],[9C01 - Chemical Reactions
Raw Score]],AVERAGE(tblY9[[9C01 - Chemical Reactions
Raw Score]]),_xlfn.STDEV.P(tblY9[[9C01 - Chemical Reactions
Raw Score]])),9),_Stanine,2),5),"")</f>
        <v>3</v>
      </c>
      <c r="R53" s="66" t="n">
        <v>16</v>
      </c>
      <c r="S53" s="67">
        <f>IF(ISNUMBER(tblY9[[#This Row],[9P01 - Electricity
Raw Score]]),IFERROR(VLOOKUP(ROUND(STANDARDIZE(tblY9[[#This Row],[9P01 - Electricity
Raw Score]],AVERAGE(tblY9[[9P01 - Electricity
Raw Score]]),_xlfn.STDEV.P(tblY9[[9P01 - Electricity
Raw Score]])),9),_Stanine,2),5),"")</f>
        <v>3</v>
      </c>
      <c r="T53" s="66" t="n">
        <v>12</v>
      </c>
      <c r="U53" s="67">
        <f>IF(ISNUMBER(tblY9[[#This Row],[9B02 - Ecology
Raw Score]]),IFERROR(VLOOKUP(ROUND(STANDARDIZE(tblY9[[#This Row],[9B02 - Ecology
Raw Score]],AVERAGE(tblY9[[9B02 - Ecology
Raw Score]]),_xlfn.STDEV.P(tblY9[[9B02 - Ecology
Raw Score]])),9),_Stanine,2),5),"")</f>
        <v>2</v>
      </c>
    </row>
    <row r="54">
      <c r="A54" s="65" t="inlineStr">
        <is>
          <t>X906270626919</t>
        </is>
      </c>
      <c r="B54" s="65" t="inlineStr">
        <is>
          <t>Hughes</t>
        </is>
      </c>
      <c r="C54" s="65" t="inlineStr">
        <is>
          <t>Hollie</t>
        </is>
      </c>
      <c r="D54" s="66" t="inlineStr">
        <is>
          <t>F</t>
        </is>
      </c>
      <c r="E54" s="66" t="n"/>
      <c r="F54" s="66" t="inlineStr">
        <is>
          <t>Y</t>
        </is>
      </c>
      <c r="G54" s="34" t="n">
        <v>100</v>
      </c>
      <c r="H54" s="34" t="n">
        <v>107.5</v>
      </c>
      <c r="I54" s="67">
        <f>IF(ISNUMBER(tblY9[[#This Row],[Avg KS2]]),IFERROR(VLOOKUP(ROUND(STANDARDIZE(tblY9[[#This Row],[Avg KS2]],AVERAGE(tblY9[[Avg KS2]]),_xlfn.STDEV.P(tblY9[[Avg KS2]])),9),_Stanine,2),5),"")</f>
        <v>5</v>
      </c>
      <c r="J54" s="66" t="inlineStr">
        <is>
          <t>9A/Sc3</t>
        </is>
      </c>
      <c r="K54" s="67">
        <f>IF(tblY9[[#This Row],[Preferred Last name]]="","",COUNTIFS($N$1:$ZZ$1,"*"&amp;CHAR(10)&amp;"Stanine",$N54:$ZZ54,"&gt;=1"))</f>
        <v>4</v>
      </c>
      <c r="L54" s="68">
        <f>IFERROR(AVERAGEIF($N$1:$ZZ$1,"*"&amp;CHAR(10)&amp;"Stanine",$N54:$ZZ54),"")</f>
        <v>5.75</v>
      </c>
      <c r="M54" s="69">
        <f>IF(AND(ISNUMBER(tblY9[[#This Row],[Mean Stanine]]),ISNUMBER(tblY9[[#This Row],[Avg KS2 Band]]),ISNUMBER(SlopeY9)),tblY9[[#This Row],[Mean Stanine]]-(InterceptY9+SlopeY9*tblY9[[#This Row],[Avg KS2 Band]]),"")</f>
        <v>0.67642924086223</v>
      </c>
      <c r="N54" s="66" t="n">
        <v>27</v>
      </c>
      <c r="O54" s="67">
        <f>IF(ISNUMBER(tblY9[[#This Row],[9B01 - Genetics
Raw Score]]),IFERROR(VLOOKUP(ROUND(STANDARDIZE(tblY9[[#This Row],[9B01 - Genetics
Raw Score]],AVERAGE(tblY9[[9B01 - Genetics
Raw Score]]),_xlfn.STDEV.P(tblY9[[9B01 - Genetics
Raw Score]])),9),_Stanine,2),5),"")</f>
        <v>7</v>
      </c>
      <c r="P54" s="66" t="n">
        <v>24</v>
      </c>
      <c r="Q54" s="67">
        <f>IF(ISNUMBER(tblY9[[#This Row],[9C01 - Chemical Reactions
Raw Score]]),IFERROR(VLOOKUP(ROUND(STANDARDIZE(tblY9[[#This Row],[9C01 - Chemical Reactions
Raw Score]],AVERAGE(tblY9[[9C01 - Chemical Reactions
Raw Score]]),_xlfn.STDEV.P(tblY9[[9C01 - Chemical Reactions
Raw Score]])),9),_Stanine,2),5),"")</f>
        <v>6</v>
      </c>
      <c r="R54" s="66" t="n">
        <v>24</v>
      </c>
      <c r="S54" s="67">
        <f>IF(ISNUMBER(tblY9[[#This Row],[9P01 - Electricity
Raw Score]]),IFERROR(VLOOKUP(ROUND(STANDARDIZE(tblY9[[#This Row],[9P01 - Electricity
Raw Score]],AVERAGE(tblY9[[9P01 - Electricity
Raw Score]]),_xlfn.STDEV.P(tblY9[[9P01 - Electricity
Raw Score]])),9),_Stanine,2),5),"")</f>
        <v>6</v>
      </c>
      <c r="T54" s="66" t="n">
        <v>15</v>
      </c>
      <c r="U54" s="67">
        <f>IF(ISNUMBER(tblY9[[#This Row],[9B02 - Ecology
Raw Score]]),IFERROR(VLOOKUP(ROUND(STANDARDIZE(tblY9[[#This Row],[9B02 - Ecology
Raw Score]],AVERAGE(tblY9[[9B02 - Ecology
Raw Score]]),_xlfn.STDEV.P(tblY9[[9B02 - Ecology
Raw Score]])),9),_Stanine,2),5),"")</f>
        <v>4</v>
      </c>
    </row>
    <row r="55">
      <c r="A55" s="65" t="inlineStr">
        <is>
          <t>X909956124628</t>
        </is>
      </c>
      <c r="B55" s="65" t="inlineStr">
        <is>
          <t>Lewis</t>
        </is>
      </c>
      <c r="C55" s="65" t="inlineStr">
        <is>
          <t>Aisha</t>
        </is>
      </c>
      <c r="D55" s="66" t="inlineStr">
        <is>
          <t>F</t>
        </is>
      </c>
      <c r="E55" s="66" t="inlineStr">
        <is>
          <t>N</t>
        </is>
      </c>
      <c r="F55" s="66" t="inlineStr">
        <is>
          <t>N</t>
        </is>
      </c>
      <c r="G55" s="34" t="n">
        <v>86.09999999999999</v>
      </c>
      <c r="H55" s="34" t="n">
        <v>104</v>
      </c>
      <c r="I55" s="67">
        <f>IF(ISNUMBER(tblY9[[#This Row],[Avg KS2]]),IFERROR(VLOOKUP(ROUND(STANDARDIZE(tblY9[[#This Row],[Avg KS2]],AVERAGE(tblY9[[Avg KS2]]),_xlfn.STDEV.P(tblY9[[Avg KS2]])),9),_Stanine,2),5),"")</f>
        <v>4</v>
      </c>
      <c r="J55" s="66" t="inlineStr">
        <is>
          <t>9A/Sc3</t>
        </is>
      </c>
      <c r="K55" s="67">
        <f>IF(tblY9[[#This Row],[Preferred Last name]]="","",COUNTIFS($N$1:$ZZ$1,"*"&amp;CHAR(10)&amp;"Stanine",$N55:$ZZ55,"&gt;=1"))</f>
        <v>3</v>
      </c>
      <c r="L55" s="68">
        <f>IFERROR(AVERAGEIF($N$1:$ZZ$1,"*"&amp;CHAR(10)&amp;"Stanine",$N55:$ZZ55),"")</f>
        <v>1.66666666666667</v>
      </c>
      <c r="M55" s="69">
        <f>IF(AND(ISNUMBER(tblY9[[#This Row],[Mean Stanine]]),ISNUMBER(tblY9[[#This Row],[Avg KS2 Band]]),ISNUMBER(SlopeY9)),tblY9[[#This Row],[Mean Stanine]]-(InterceptY9+SlopeY9*tblY9[[#This Row],[Avg KS2 Band]]),"")</f>
        <v>-2.6434903155264</v>
      </c>
      <c r="N55" s="66" t="n">
        <v>11</v>
      </c>
      <c r="O55" s="67">
        <f>IF(ISNUMBER(tblY9[[#This Row],[9B01 - Genetics
Raw Score]]),IFERROR(VLOOKUP(ROUND(STANDARDIZE(tblY9[[#This Row],[9B01 - Genetics
Raw Score]],AVERAGE(tblY9[[9B01 - Genetics
Raw Score]]),_xlfn.STDEV.P(tblY9[[9B01 - Genetics
Raw Score]])),9),_Stanine,2),5),"")</f>
        <v>2</v>
      </c>
      <c r="P55" s="66" t="n">
        <v>9</v>
      </c>
      <c r="Q55" s="67">
        <f>IF(ISNUMBER(tblY9[[#This Row],[9C01 - Chemical Reactions
Raw Score]]),IFERROR(VLOOKUP(ROUND(STANDARDIZE(tblY9[[#This Row],[9C01 - Chemical Reactions
Raw Score]],AVERAGE(tblY9[[9C01 - Chemical Reactions
Raw Score]]),_xlfn.STDEV.P(tblY9[[9C01 - Chemical Reactions
Raw Score]])),9),_Stanine,2),5),"")</f>
        <v>1</v>
      </c>
      <c r="R55" s="66" t="n">
        <v>14</v>
      </c>
      <c r="S55" s="67">
        <f>IF(ISNUMBER(tblY9[[#This Row],[9P01 - Electricity
Raw Score]]),IFERROR(VLOOKUP(ROUND(STANDARDIZE(tblY9[[#This Row],[9P01 - Electricity
Raw Score]],AVERAGE(tblY9[[9P01 - Electricity
Raw Score]]),_xlfn.STDEV.P(tblY9[[9P01 - Electricity
Raw Score]])),9),_Stanine,2),5),"")</f>
        <v>2</v>
      </c>
      <c r="T55" s="66" t="inlineStr">
        <is>
          <t>A</t>
        </is>
      </c>
      <c r="U55" s="67" t="str">
        <f>IF(ISNUMBER(tblY9[[#This Row],[9B02 - Ecology
Raw Score]]),IFERROR(VLOOKUP(ROUND(STANDARDIZE(tblY9[[#This Row],[9B02 - Ecology
Raw Score]],AVERAGE(tblY9[[9B02 - Ecology
Raw Score]]),_xlfn.STDEV.P(tblY9[[9B02 - Ecology
Raw Score]])),9),_Stanine,2),5),"")</f>
        <v/>
      </c>
    </row>
    <row r="56">
      <c r="A56" s="65" t="inlineStr">
        <is>
          <t>X905233497467</t>
        </is>
      </c>
      <c r="B56" s="65" t="inlineStr">
        <is>
          <t>Lloyd</t>
        </is>
      </c>
      <c r="C56" s="65" t="inlineStr">
        <is>
          <t>Kai</t>
        </is>
      </c>
      <c r="D56" s="66" t="inlineStr">
        <is>
          <t>M</t>
        </is>
      </c>
      <c r="E56" s="66" t="inlineStr">
        <is>
          <t>N</t>
        </is>
      </c>
      <c r="F56" s="66" t="inlineStr">
        <is>
          <t>N</t>
        </is>
      </c>
      <c r="G56" s="34" t="n">
        <v>100</v>
      </c>
      <c r="H56" s="34" t="n">
        <v>108</v>
      </c>
      <c r="I56" s="67">
        <f>IF(ISNUMBER(tblY9[[#This Row],[Avg KS2]]),IFERROR(VLOOKUP(ROUND(STANDARDIZE(tblY9[[#This Row],[Avg KS2]],AVERAGE(tblY9[[Avg KS2]]),_xlfn.STDEV.P(tblY9[[Avg KS2]])),9),_Stanine,2),5),"")</f>
        <v>6</v>
      </c>
      <c r="J56" s="66" t="inlineStr">
        <is>
          <t>9A/Sc3</t>
        </is>
      </c>
      <c r="K56" s="67">
        <f>IF(tblY9[[#This Row],[Preferred Last name]]="","",COUNTIFS($N$1:$ZZ$1,"*"&amp;CHAR(10)&amp;"Stanine",$N56:$ZZ56,"&gt;=1"))</f>
        <v>3</v>
      </c>
      <c r="L56" s="68">
        <f>IFERROR(AVERAGEIF($N$1:$ZZ$1,"*"&amp;CHAR(10)&amp;"Stanine",$N56:$ZZ56),"")</f>
        <v>5.66666666666667</v>
      </c>
      <c r="M56" s="69">
        <f>IF(AND(ISNUMBER(tblY9[[#This Row],[Mean Stanine]]),ISNUMBER(tblY9[[#This Row],[Avg KS2 Band]]),ISNUMBER(SlopeY9)),tblY9[[#This Row],[Mean Stanine]]-(InterceptY9+SlopeY9*tblY9[[#This Row],[Avg KS2 Band]]),"")</f>
        <v>-0.170317869415807</v>
      </c>
      <c r="N56" s="66" t="n">
        <v>20</v>
      </c>
      <c r="O56" s="67">
        <f>IF(ISNUMBER(tblY9[[#This Row],[9B01 - Genetics
Raw Score]]),IFERROR(VLOOKUP(ROUND(STANDARDIZE(tblY9[[#This Row],[9B01 - Genetics
Raw Score]],AVERAGE(tblY9[[9B01 - Genetics
Raw Score]]),_xlfn.STDEV.P(tblY9[[9B01 - Genetics
Raw Score]])),9),_Stanine,2),5),"")</f>
        <v>5</v>
      </c>
      <c r="P56" s="66" t="n">
        <v>23</v>
      </c>
      <c r="Q56" s="67">
        <f>IF(ISNUMBER(tblY9[[#This Row],[9C01 - Chemical Reactions
Raw Score]]),IFERROR(VLOOKUP(ROUND(STANDARDIZE(tblY9[[#This Row],[9C01 - Chemical Reactions
Raw Score]],AVERAGE(tblY9[[9C01 - Chemical Reactions
Raw Score]]),_xlfn.STDEV.P(tblY9[[9C01 - Chemical Reactions
Raw Score]])),9),_Stanine,2),5),"")</f>
        <v>6</v>
      </c>
      <c r="R56" s="66" t="inlineStr">
        <is>
          <t>A</t>
        </is>
      </c>
      <c r="S56" s="67" t="str">
        <f>IF(ISNUMBER(tblY9[[#This Row],[9P01 - Electricity
Raw Score]]),IFERROR(VLOOKUP(ROUND(STANDARDIZE(tblY9[[#This Row],[9P01 - Electricity
Raw Score]],AVERAGE(tblY9[[9P01 - Electricity
Raw Score]]),_xlfn.STDEV.P(tblY9[[9P01 - Electricity
Raw Score]])),9),_Stanine,2),5),"")</f>
        <v/>
      </c>
      <c r="T56" s="66" t="n">
        <v>20</v>
      </c>
      <c r="U56" s="67">
        <f>IF(ISNUMBER(tblY9[[#This Row],[9B02 - Ecology
Raw Score]]),IFERROR(VLOOKUP(ROUND(STANDARDIZE(tblY9[[#This Row],[9B02 - Ecology
Raw Score]],AVERAGE(tblY9[[9B02 - Ecology
Raw Score]]),_xlfn.STDEV.P(tblY9[[9B02 - Ecology
Raw Score]])),9),_Stanine,2),5),"")</f>
        <v>6</v>
      </c>
    </row>
    <row r="57">
      <c r="A57" s="65" t="inlineStr">
        <is>
          <t>X901254560767</t>
        </is>
      </c>
      <c r="B57" s="65" t="inlineStr">
        <is>
          <t>Morgan</t>
        </is>
      </c>
      <c r="C57" s="65" t="inlineStr">
        <is>
          <t>Freya</t>
        </is>
      </c>
      <c r="D57" s="66" t="inlineStr">
        <is>
          <t>F</t>
        </is>
      </c>
      <c r="E57" s="66" t="n"/>
      <c r="F57" s="66" t="inlineStr">
        <is>
          <t>Y</t>
        </is>
      </c>
      <c r="G57" s="34" t="n">
        <v>89.7</v>
      </c>
      <c r="H57" s="34" t="n">
        <v>108.5</v>
      </c>
      <c r="I57" s="67">
        <f>IF(ISNUMBER(tblY9[[#This Row],[Avg KS2]]),IFERROR(VLOOKUP(ROUND(STANDARDIZE(tblY9[[#This Row],[Avg KS2]],AVERAGE(tblY9[[Avg KS2]]),_xlfn.STDEV.P(tblY9[[Avg KS2]])),9),_Stanine,2),5),"")</f>
        <v>6</v>
      </c>
      <c r="J57" s="66" t="inlineStr">
        <is>
          <t>9A/Sc3</t>
        </is>
      </c>
      <c r="K57" s="67">
        <f>IF(tblY9[[#This Row],[Preferred Last name]]="","",COUNTIFS($N$1:$ZZ$1,"*"&amp;CHAR(10)&amp;"Stanine",$N57:$ZZ57,"&gt;=1"))</f>
        <v>4</v>
      </c>
      <c r="L57" s="68">
        <f>IFERROR(AVERAGEIF($N$1:$ZZ$1,"*"&amp;CHAR(10)&amp;"Stanine",$N57:$ZZ57),"")</f>
        <v>5.25</v>
      </c>
      <c r="M57" s="69">
        <f>IF(AND(ISNUMBER(tblY9[[#This Row],[Mean Stanine]]),ISNUMBER(tblY9[[#This Row],[Avg KS2 Band]]),ISNUMBER(SlopeY9)),tblY9[[#This Row],[Mean Stanine]]-(InterceptY9+SlopeY9*tblY9[[#This Row],[Avg KS2 Band]]),"")</f>
        <v>-0.586984536082474</v>
      </c>
      <c r="N57" s="66" t="n">
        <v>18</v>
      </c>
      <c r="O57" s="67">
        <f>IF(ISNUMBER(tblY9[[#This Row],[9B01 - Genetics
Raw Score]]),IFERROR(VLOOKUP(ROUND(STANDARDIZE(tblY9[[#This Row],[9B01 - Genetics
Raw Score]],AVERAGE(tblY9[[9B01 - Genetics
Raw Score]]),_xlfn.STDEV.P(tblY9[[9B01 - Genetics
Raw Score]])),9),_Stanine,2),5),"")</f>
        <v>4</v>
      </c>
      <c r="P57" s="66" t="n">
        <v>25</v>
      </c>
      <c r="Q57" s="67">
        <f>IF(ISNUMBER(tblY9[[#This Row],[9C01 - Chemical Reactions
Raw Score]]),IFERROR(VLOOKUP(ROUND(STANDARDIZE(tblY9[[#This Row],[9C01 - Chemical Reactions
Raw Score]],AVERAGE(tblY9[[9C01 - Chemical Reactions
Raw Score]]),_xlfn.STDEV.P(tblY9[[9C01 - Chemical Reactions
Raw Score]])),9),_Stanine,2),5),"")</f>
        <v>6</v>
      </c>
      <c r="R57" s="66" t="n">
        <v>24</v>
      </c>
      <c r="S57" s="67">
        <f>IF(ISNUMBER(tblY9[[#This Row],[9P01 - Electricity
Raw Score]]),IFERROR(VLOOKUP(ROUND(STANDARDIZE(tblY9[[#This Row],[9P01 - Electricity
Raw Score]],AVERAGE(tblY9[[9P01 - Electricity
Raw Score]]),_xlfn.STDEV.P(tblY9[[9P01 - Electricity
Raw Score]])),9),_Stanine,2),5),"")</f>
        <v>6</v>
      </c>
      <c r="T57" s="66" t="n">
        <v>17</v>
      </c>
      <c r="U57" s="67">
        <f>IF(ISNUMBER(tblY9[[#This Row],[9B02 - Ecology
Raw Score]]),IFERROR(VLOOKUP(ROUND(STANDARDIZE(tblY9[[#This Row],[9B02 - Ecology
Raw Score]],AVERAGE(tblY9[[9B02 - Ecology
Raw Score]]),_xlfn.STDEV.P(tblY9[[9B02 - Ecology
Raw Score]])),9),_Stanine,2),5),"")</f>
        <v>5</v>
      </c>
    </row>
    <row r="58">
      <c r="A58" s="65" t="inlineStr">
        <is>
          <t>X907966871234</t>
        </is>
      </c>
      <c r="B58" s="65" t="inlineStr">
        <is>
          <t>Nowak</t>
        </is>
      </c>
      <c r="C58" s="65" t="inlineStr">
        <is>
          <t>Layla</t>
        </is>
      </c>
      <c r="D58" s="66" t="inlineStr">
        <is>
          <t>F</t>
        </is>
      </c>
      <c r="E58" s="66" t="n"/>
      <c r="F58" s="66" t="inlineStr">
        <is>
          <t>N</t>
        </is>
      </c>
      <c r="G58" s="34" t="n">
        <v>98.40000000000001</v>
      </c>
      <c r="H58" s="34" t="n">
        <v>104</v>
      </c>
      <c r="I58" s="67">
        <f>IF(ISNUMBER(tblY9[[#This Row],[Avg KS2]]),IFERROR(VLOOKUP(ROUND(STANDARDIZE(tblY9[[#This Row],[Avg KS2]],AVERAGE(tblY9[[Avg KS2]]),_xlfn.STDEV.P(tblY9[[Avg KS2]])),9),_Stanine,2),5),"")</f>
        <v>4</v>
      </c>
      <c r="J58" s="66" t="inlineStr">
        <is>
          <t>9A/Sc3</t>
        </is>
      </c>
      <c r="K58" s="67">
        <f>IF(tblY9[[#This Row],[Preferred Last name]]="","",COUNTIFS($N$1:$ZZ$1,"*"&amp;CHAR(10)&amp;"Stanine",$N58:$ZZ58,"&gt;=1"))</f>
        <v>4</v>
      </c>
      <c r="L58" s="68">
        <f>IFERROR(AVERAGEIF($N$1:$ZZ$1,"*"&amp;CHAR(10)&amp;"Stanine",$N58:$ZZ58),"")</f>
        <v>5.75</v>
      </c>
      <c r="M58" s="69">
        <f>IF(AND(ISNUMBER(tblY9[[#This Row],[Mean Stanine]]),ISNUMBER(tblY9[[#This Row],[Avg KS2 Band]]),ISNUMBER(SlopeY9)),tblY9[[#This Row],[Mean Stanine]]-(InterceptY9+SlopeY9*tblY9[[#This Row],[Avg KS2 Band]]),"")</f>
        <v>1.43984301780694</v>
      </c>
      <c r="N58" s="66" t="n">
        <v>19</v>
      </c>
      <c r="O58" s="67">
        <f>IF(ISNUMBER(tblY9[[#This Row],[9B01 - Genetics
Raw Score]]),IFERROR(VLOOKUP(ROUND(STANDARDIZE(tblY9[[#This Row],[9B01 - Genetics
Raw Score]],AVERAGE(tblY9[[9B01 - Genetics
Raw Score]]),_xlfn.STDEV.P(tblY9[[9B01 - Genetics
Raw Score]])),9),_Stanine,2),5),"")</f>
        <v>5</v>
      </c>
      <c r="P58" s="66" t="n">
        <v>24</v>
      </c>
      <c r="Q58" s="67">
        <f>IF(ISNUMBER(tblY9[[#This Row],[9C01 - Chemical Reactions
Raw Score]]),IFERROR(VLOOKUP(ROUND(STANDARDIZE(tblY9[[#This Row],[9C01 - Chemical Reactions
Raw Score]],AVERAGE(tblY9[[9C01 - Chemical Reactions
Raw Score]]),_xlfn.STDEV.P(tblY9[[9C01 - Chemical Reactions
Raw Score]])),9),_Stanine,2),5),"")</f>
        <v>6</v>
      </c>
      <c r="R58" s="66" t="n">
        <v>24</v>
      </c>
      <c r="S58" s="67">
        <f>IF(ISNUMBER(tblY9[[#This Row],[9P01 - Electricity
Raw Score]]),IFERROR(VLOOKUP(ROUND(STANDARDIZE(tblY9[[#This Row],[9P01 - Electricity
Raw Score]],AVERAGE(tblY9[[9P01 - Electricity
Raw Score]]),_xlfn.STDEV.P(tblY9[[9P01 - Electricity
Raw Score]])),9),_Stanine,2),5),"")</f>
        <v>6</v>
      </c>
      <c r="T58" s="66" t="n">
        <v>19</v>
      </c>
      <c r="U58" s="67">
        <f>IF(ISNUMBER(tblY9[[#This Row],[9B02 - Ecology
Raw Score]]),IFERROR(VLOOKUP(ROUND(STANDARDIZE(tblY9[[#This Row],[9B02 - Ecology
Raw Score]],AVERAGE(tblY9[[9B02 - Ecology
Raw Score]]),_xlfn.STDEV.P(tblY9[[9B02 - Ecology
Raw Score]])),9),_Stanine,2),5),"")</f>
        <v>6</v>
      </c>
    </row>
    <row r="59">
      <c r="A59" s="65" t="inlineStr">
        <is>
          <t>X900515394746</t>
        </is>
      </c>
      <c r="B59" s="65" t="inlineStr">
        <is>
          <t>Price</t>
        </is>
      </c>
      <c r="C59" s="65" t="inlineStr">
        <is>
          <t>Amelia</t>
        </is>
      </c>
      <c r="D59" s="66" t="inlineStr">
        <is>
          <t>M</t>
        </is>
      </c>
      <c r="E59" s="66" t="inlineStr">
        <is>
          <t>N</t>
        </is>
      </c>
      <c r="F59" s="66" t="inlineStr">
        <is>
          <t>N</t>
        </is>
      </c>
      <c r="G59" s="34" t="n">
        <v>92</v>
      </c>
      <c r="H59" s="34" t="n">
        <v>107</v>
      </c>
      <c r="I59" s="67">
        <f>IF(ISNUMBER(tblY9[[#This Row],[Avg KS2]]),IFERROR(VLOOKUP(ROUND(STANDARDIZE(tblY9[[#This Row],[Avg KS2]],AVERAGE(tblY9[[Avg KS2]]),_xlfn.STDEV.P(tblY9[[Avg KS2]])),9),_Stanine,2),5),"")</f>
        <v>5</v>
      </c>
      <c r="J59" s="66" t="inlineStr">
        <is>
          <t>9A/Sc3</t>
        </is>
      </c>
      <c r="K59" s="67">
        <f>IF(tblY9[[#This Row],[Preferred Last name]]="","",COUNTIFS($N$1:$ZZ$1,"*"&amp;CHAR(10)&amp;"Stanine",$N59:$ZZ59,"&gt;=1"))</f>
        <v>4</v>
      </c>
      <c r="L59" s="68">
        <f>IFERROR(AVERAGEIF($N$1:$ZZ$1,"*"&amp;CHAR(10)&amp;"Stanine",$N59:$ZZ59),"")</f>
        <v>5</v>
      </c>
      <c r="M59" s="69">
        <f>IF(AND(ISNUMBER(tblY9[[#This Row],[Mean Stanine]]),ISNUMBER(tblY9[[#This Row],[Avg KS2 Band]]),ISNUMBER(SlopeY9)),tblY9[[#This Row],[Mean Stanine]]-(InterceptY9+SlopeY9*tblY9[[#This Row],[Avg KS2 Band]]),"")</f>
        <v>-0.0735707591377697</v>
      </c>
      <c r="N59" s="66" t="n">
        <v>16</v>
      </c>
      <c r="O59" s="67">
        <f>IF(ISNUMBER(tblY9[[#This Row],[9B01 - Genetics
Raw Score]]),IFERROR(VLOOKUP(ROUND(STANDARDIZE(tblY9[[#This Row],[9B01 - Genetics
Raw Score]],AVERAGE(tblY9[[9B01 - Genetics
Raw Score]]),_xlfn.STDEV.P(tblY9[[9B01 - Genetics
Raw Score]])),9),_Stanine,2),5),"")</f>
        <v>4</v>
      </c>
      <c r="P59" s="66" t="n">
        <v>22</v>
      </c>
      <c r="Q59" s="67">
        <f>IF(ISNUMBER(tblY9[[#This Row],[9C01 - Chemical Reactions
Raw Score]]),IFERROR(VLOOKUP(ROUND(STANDARDIZE(tblY9[[#This Row],[9C01 - Chemical Reactions
Raw Score]],AVERAGE(tblY9[[9C01 - Chemical Reactions
Raw Score]]),_xlfn.STDEV.P(tblY9[[9C01 - Chemical Reactions
Raw Score]])),9),_Stanine,2),5),"")</f>
        <v>5</v>
      </c>
      <c r="R59" s="66" t="n">
        <v>21</v>
      </c>
      <c r="S59" s="67">
        <f>IF(ISNUMBER(tblY9[[#This Row],[9P01 - Electricity
Raw Score]]),IFERROR(VLOOKUP(ROUND(STANDARDIZE(tblY9[[#This Row],[9P01 - Electricity
Raw Score]],AVERAGE(tblY9[[9P01 - Electricity
Raw Score]]),_xlfn.STDEV.P(tblY9[[9P01 - Electricity
Raw Score]])),9),_Stanine,2),5),"")</f>
        <v>5</v>
      </c>
      <c r="T59" s="66" t="n">
        <v>20</v>
      </c>
      <c r="U59" s="67">
        <f>IF(ISNUMBER(tblY9[[#This Row],[9B02 - Ecology
Raw Score]]),IFERROR(VLOOKUP(ROUND(STANDARDIZE(tblY9[[#This Row],[9B02 - Ecology
Raw Score]],AVERAGE(tblY9[[9B02 - Ecology
Raw Score]]),_xlfn.STDEV.P(tblY9[[9B02 - Ecology
Raw Score]])),9),_Stanine,2),5),"")</f>
        <v>6</v>
      </c>
    </row>
    <row r="60">
      <c r="A60" s="65" t="inlineStr">
        <is>
          <t>X909087061239</t>
        </is>
      </c>
      <c r="B60" s="65" t="inlineStr">
        <is>
          <t>Shaw</t>
        </is>
      </c>
      <c r="C60" s="65" t="inlineStr">
        <is>
          <t>Jack</t>
        </is>
      </c>
      <c r="D60" s="66" t="inlineStr">
        <is>
          <t>M</t>
        </is>
      </c>
      <c r="E60" s="66" t="inlineStr">
        <is>
          <t>N</t>
        </is>
      </c>
      <c r="F60" s="66" t="inlineStr">
        <is>
          <t>N</t>
        </is>
      </c>
      <c r="G60" s="34" t="n">
        <v>97.2</v>
      </c>
      <c r="H60" s="34" t="n">
        <v>102</v>
      </c>
      <c r="I60" s="67">
        <f>IF(ISNUMBER(tblY9[[#This Row],[Avg KS2]]),IFERROR(VLOOKUP(ROUND(STANDARDIZE(tblY9[[#This Row],[Avg KS2]],AVERAGE(tblY9[[Avg KS2]]),_xlfn.STDEV.P(tblY9[[Avg KS2]])),9),_Stanine,2),5),"")</f>
        <v>3</v>
      </c>
      <c r="J60" s="66" t="inlineStr">
        <is>
          <t>9A/Sc3</t>
        </is>
      </c>
      <c r="K60" s="67">
        <f>IF(tblY9[[#This Row],[Preferred Last name]]="","",COUNTIFS($N$1:$ZZ$1,"*"&amp;CHAR(10)&amp;"Stanine",$N60:$ZZ60,"&gt;=1"))</f>
        <v>4</v>
      </c>
      <c r="L60" s="68">
        <f>IFERROR(AVERAGEIF($N$1:$ZZ$1,"*"&amp;CHAR(10)&amp;"Stanine",$N60:$ZZ60),"")</f>
        <v>3.5</v>
      </c>
      <c r="M60" s="69">
        <f>IF(AND(ISNUMBER(tblY9[[#This Row],[Mean Stanine]]),ISNUMBER(tblY9[[#This Row],[Avg KS2 Band]]),ISNUMBER(SlopeY9)),tblY9[[#This Row],[Mean Stanine]]-(InterceptY9+SlopeY9*tblY9[[#This Row],[Avg KS2 Band]]),"")</f>
        <v>-0.0467432052483598</v>
      </c>
      <c r="N60" s="66" t="n">
        <v>15</v>
      </c>
      <c r="O60" s="67">
        <f>IF(ISNUMBER(tblY9[[#This Row],[9B01 - Genetics
Raw Score]]),IFERROR(VLOOKUP(ROUND(STANDARDIZE(tblY9[[#This Row],[9B01 - Genetics
Raw Score]],AVERAGE(tblY9[[9B01 - Genetics
Raw Score]]),_xlfn.STDEV.P(tblY9[[9B01 - Genetics
Raw Score]])),9),_Stanine,2),5),"")</f>
        <v>3</v>
      </c>
      <c r="P60" s="66" t="n">
        <v>20</v>
      </c>
      <c r="Q60" s="67">
        <f>IF(ISNUMBER(tblY9[[#This Row],[9C01 - Chemical Reactions
Raw Score]]),IFERROR(VLOOKUP(ROUND(STANDARDIZE(tblY9[[#This Row],[9C01 - Chemical Reactions
Raw Score]],AVERAGE(tblY9[[9C01 - Chemical Reactions
Raw Score]]),_xlfn.STDEV.P(tblY9[[9C01 - Chemical Reactions
Raw Score]])),9),_Stanine,2),5),"")</f>
        <v>5</v>
      </c>
      <c r="R60" s="66" t="n">
        <v>19</v>
      </c>
      <c r="S60" s="67">
        <f>IF(ISNUMBER(tblY9[[#This Row],[9P01 - Electricity
Raw Score]]),IFERROR(VLOOKUP(ROUND(STANDARDIZE(tblY9[[#This Row],[9P01 - Electricity
Raw Score]],AVERAGE(tblY9[[9P01 - Electricity
Raw Score]]),_xlfn.STDEV.P(tblY9[[9P01 - Electricity
Raw Score]])),9),_Stanine,2),5),"")</f>
        <v>4</v>
      </c>
      <c r="T60" s="66" t="n">
        <v>10</v>
      </c>
      <c r="U60" s="67">
        <f>IF(ISNUMBER(tblY9[[#This Row],[9B02 - Ecology
Raw Score]]),IFERROR(VLOOKUP(ROUND(STANDARDIZE(tblY9[[#This Row],[9B02 - Ecology
Raw Score]],AVERAGE(tblY9[[9B02 - Ecology
Raw Score]]),_xlfn.STDEV.P(tblY9[[9B02 - Ecology
Raw Score]])),9),_Stanine,2),5),"")</f>
        <v>2</v>
      </c>
    </row>
    <row r="61">
      <c r="A61" s="65" t="inlineStr">
        <is>
          <t>X906225359055</t>
        </is>
      </c>
      <c r="B61" s="65" t="inlineStr">
        <is>
          <t>Taylor</t>
        </is>
      </c>
      <c r="C61" s="65" t="inlineStr">
        <is>
          <t>Arthur</t>
        </is>
      </c>
      <c r="D61" s="66" t="inlineStr">
        <is>
          <t>M</t>
        </is>
      </c>
      <c r="E61" s="66" t="inlineStr">
        <is>
          <t>K</t>
        </is>
      </c>
      <c r="F61" s="66" t="inlineStr">
        <is>
          <t>N</t>
        </is>
      </c>
      <c r="G61" s="34" t="n">
        <v>100</v>
      </c>
      <c r="H61" s="34" t="n">
        <v>100</v>
      </c>
      <c r="I61" s="67">
        <f>IF(ISNUMBER(tblY9[[#This Row],[Avg KS2]]),IFERROR(VLOOKUP(ROUND(STANDARDIZE(tblY9[[#This Row],[Avg KS2]],AVERAGE(tblY9[[Avg KS2]]),_xlfn.STDEV.P(tblY9[[Avg KS2]])),9),_Stanine,2),5),"")</f>
        <v>2</v>
      </c>
      <c r="J61" s="66" t="inlineStr">
        <is>
          <t>9A/Sc3</t>
        </is>
      </c>
      <c r="K61" s="67">
        <f>IF(tblY9[[#This Row],[Preferred Last name]]="","",COUNTIFS($N$1:$ZZ$1,"*"&amp;CHAR(10)&amp;"Stanine",$N61:$ZZ61,"&gt;=1"))</f>
        <v>4</v>
      </c>
      <c r="L61" s="68">
        <f>IFERROR(AVERAGEIF($N$1:$ZZ$1,"*"&amp;CHAR(10)&amp;"Stanine",$N61:$ZZ61),"")</f>
        <v>2</v>
      </c>
      <c r="M61" s="69">
        <f>IF(AND(ISNUMBER(tblY9[[#This Row],[Mean Stanine]]),ISNUMBER(tblY9[[#This Row],[Avg KS2 Band]]),ISNUMBER(SlopeY9)),tblY9[[#This Row],[Mean Stanine]]-(InterceptY9+SlopeY9*tblY9[[#This Row],[Avg KS2 Band]]),"")</f>
        <v>-0.783329428303655</v>
      </c>
      <c r="N61" s="66" t="n">
        <v>12</v>
      </c>
      <c r="O61" s="67">
        <f>IF(ISNUMBER(tblY9[[#This Row],[9B01 - Genetics
Raw Score]]),IFERROR(VLOOKUP(ROUND(STANDARDIZE(tblY9[[#This Row],[9B01 - Genetics
Raw Score]],AVERAGE(tblY9[[9B01 - Genetics
Raw Score]]),_xlfn.STDEV.P(tblY9[[9B01 - Genetics
Raw Score]])),9),_Stanine,2),5),"")</f>
        <v>2</v>
      </c>
      <c r="P61" s="66" t="n">
        <v>12</v>
      </c>
      <c r="Q61" s="67">
        <f>IF(ISNUMBER(tblY9[[#This Row],[9C01 - Chemical Reactions
Raw Score]]),IFERROR(VLOOKUP(ROUND(STANDARDIZE(tblY9[[#This Row],[9C01 - Chemical Reactions
Raw Score]],AVERAGE(tblY9[[9C01 - Chemical Reactions
Raw Score]]),_xlfn.STDEV.P(tblY9[[9C01 - Chemical Reactions
Raw Score]])),9),_Stanine,2),5),"")</f>
        <v>2</v>
      </c>
      <c r="R61" s="66" t="n">
        <v>12</v>
      </c>
      <c r="S61" s="67">
        <f>IF(ISNUMBER(tblY9[[#This Row],[9P01 - Electricity
Raw Score]]),IFERROR(VLOOKUP(ROUND(STANDARDIZE(tblY9[[#This Row],[9P01 - Electricity
Raw Score]],AVERAGE(tblY9[[9P01 - Electricity
Raw Score]]),_xlfn.STDEV.P(tblY9[[9P01 - Electricity
Raw Score]])),9),_Stanine,2),5),"")</f>
        <v>2</v>
      </c>
      <c r="T61" s="66" t="n">
        <v>11</v>
      </c>
      <c r="U61" s="67">
        <f>IF(ISNUMBER(tblY9[[#This Row],[9B02 - Ecology
Raw Score]]),IFERROR(VLOOKUP(ROUND(STANDARDIZE(tblY9[[#This Row],[9B02 - Ecology
Raw Score]],AVERAGE(tblY9[[9B02 - Ecology
Raw Score]]),_xlfn.STDEV.P(tblY9[[9B02 - Ecology
Raw Score]])),9),_Stanine,2),5),"")</f>
        <v>2</v>
      </c>
    </row>
    <row r="62">
      <c r="A62" s="65" t="inlineStr">
        <is>
          <t>X903214848629</t>
        </is>
      </c>
      <c r="B62" s="65" t="inlineStr">
        <is>
          <t>Thompson</t>
        </is>
      </c>
      <c r="C62" s="65" t="inlineStr">
        <is>
          <t>Reuben</t>
        </is>
      </c>
      <c r="D62" s="66" t="inlineStr">
        <is>
          <t>M</t>
        </is>
      </c>
      <c r="E62" s="66" t="inlineStr">
        <is>
          <t>K</t>
        </is>
      </c>
      <c r="F62" s="66" t="inlineStr">
        <is>
          <t>Y</t>
        </is>
      </c>
      <c r="G62" s="34" t="n">
        <v>92.40000000000001</v>
      </c>
      <c r="H62" s="34" t="n">
        <v>107</v>
      </c>
      <c r="I62" s="67">
        <f>IF(ISNUMBER(tblY9[[#This Row],[Avg KS2]]),IFERROR(VLOOKUP(ROUND(STANDARDIZE(tblY9[[#This Row],[Avg KS2]],AVERAGE(tblY9[[Avg KS2]]),_xlfn.STDEV.P(tblY9[[Avg KS2]])),9),_Stanine,2),5),"")</f>
        <v>5</v>
      </c>
      <c r="J62" s="66" t="inlineStr">
        <is>
          <t>9A/Sc3</t>
        </is>
      </c>
      <c r="K62" s="67">
        <f>IF(tblY9[[#This Row],[Preferred Last name]]="","",COUNTIFS($N$1:$ZZ$1,"*"&amp;CHAR(10)&amp;"Stanine",$N62:$ZZ62,"&gt;=1"))</f>
        <v>4</v>
      </c>
      <c r="L62" s="68">
        <f>IFERROR(AVERAGEIF($N$1:$ZZ$1,"*"&amp;CHAR(10)&amp;"Stanine",$N62:$ZZ62),"")</f>
        <v>5.25</v>
      </c>
      <c r="M62" s="69">
        <f>IF(AND(ISNUMBER(tblY9[[#This Row],[Mean Stanine]]),ISNUMBER(tblY9[[#This Row],[Avg KS2 Band]]),ISNUMBER(SlopeY9)),tblY9[[#This Row],[Mean Stanine]]-(InterceptY9+SlopeY9*tblY9[[#This Row],[Avg KS2 Band]]),"")</f>
        <v>0.17642924086223</v>
      </c>
      <c r="N62" s="66" t="n">
        <v>17</v>
      </c>
      <c r="O62" s="67">
        <f>IF(ISNUMBER(tblY9[[#This Row],[9B01 - Genetics
Raw Score]]),IFERROR(VLOOKUP(ROUND(STANDARDIZE(tblY9[[#This Row],[9B01 - Genetics
Raw Score]],AVERAGE(tblY9[[9B01 - Genetics
Raw Score]]),_xlfn.STDEV.P(tblY9[[9B01 - Genetics
Raw Score]])),9),_Stanine,2),5),"")</f>
        <v>4</v>
      </c>
      <c r="P62" s="66" t="n">
        <v>21</v>
      </c>
      <c r="Q62" s="67">
        <f>IF(ISNUMBER(tblY9[[#This Row],[9C01 - Chemical Reactions
Raw Score]]),IFERROR(VLOOKUP(ROUND(STANDARDIZE(tblY9[[#This Row],[9C01 - Chemical Reactions
Raw Score]],AVERAGE(tblY9[[9C01 - Chemical Reactions
Raw Score]]),_xlfn.STDEV.P(tblY9[[9C01 - Chemical Reactions
Raw Score]])),9),_Stanine,2),5),"")</f>
        <v>5</v>
      </c>
      <c r="R62" s="66" t="n">
        <v>22</v>
      </c>
      <c r="S62" s="67">
        <f>IF(ISNUMBER(tblY9[[#This Row],[9P01 - Electricity
Raw Score]]),IFERROR(VLOOKUP(ROUND(STANDARDIZE(tblY9[[#This Row],[9P01 - Electricity
Raw Score]],AVERAGE(tblY9[[9P01 - Electricity
Raw Score]]),_xlfn.STDEV.P(tblY9[[9P01 - Electricity
Raw Score]])),9),_Stanine,2),5),"")</f>
        <v>6</v>
      </c>
      <c r="T62" s="66" t="n">
        <v>19</v>
      </c>
      <c r="U62" s="67">
        <f>IF(ISNUMBER(tblY9[[#This Row],[9B02 - Ecology
Raw Score]]),IFERROR(VLOOKUP(ROUND(STANDARDIZE(tblY9[[#This Row],[9B02 - Ecology
Raw Score]],AVERAGE(tblY9[[9B02 - Ecology
Raw Score]]),_xlfn.STDEV.P(tblY9[[9B02 - Ecology
Raw Score]])),9),_Stanine,2),5),"")</f>
        <v>6</v>
      </c>
    </row>
    <row r="63">
      <c r="A63" s="65" t="inlineStr">
        <is>
          <t>X907128957749</t>
        </is>
      </c>
      <c r="B63" s="65" t="inlineStr">
        <is>
          <t>Walker</t>
        </is>
      </c>
      <c r="C63" s="65" t="inlineStr">
        <is>
          <t>Ivy</t>
        </is>
      </c>
      <c r="D63" s="66" t="inlineStr">
        <is>
          <t>M</t>
        </is>
      </c>
      <c r="E63" s="66" t="inlineStr">
        <is>
          <t>N</t>
        </is>
      </c>
      <c r="F63" s="66" t="inlineStr">
        <is>
          <t>N</t>
        </is>
      </c>
      <c r="G63" s="34" t="n">
        <v>99</v>
      </c>
      <c r="H63" s="34" t="n">
        <v>106.5</v>
      </c>
      <c r="I63" s="67">
        <f>IF(ISNUMBER(tblY9[[#This Row],[Avg KS2]]),IFERROR(VLOOKUP(ROUND(STANDARDIZE(tblY9[[#This Row],[Avg KS2]],AVERAGE(tblY9[[Avg KS2]]),_xlfn.STDEV.P(tblY9[[Avg KS2]])),9),_Stanine,2),5),"")</f>
        <v>5</v>
      </c>
      <c r="J63" s="66" t="inlineStr">
        <is>
          <t>9A/Sc3</t>
        </is>
      </c>
      <c r="K63" s="67">
        <f>IF(tblY9[[#This Row],[Preferred Last name]]="","",COUNTIFS($N$1:$ZZ$1,"*"&amp;CHAR(10)&amp;"Stanine",$N63:$ZZ63,"&gt;=1"))</f>
        <v>4</v>
      </c>
      <c r="L63" s="68">
        <f>IFERROR(AVERAGEIF($N$1:$ZZ$1,"*"&amp;CHAR(10)&amp;"Stanine",$N63:$ZZ63),"")</f>
        <v>3</v>
      </c>
      <c r="M63" s="69">
        <f>IF(AND(ISNUMBER(tblY9[[#This Row],[Mean Stanine]]),ISNUMBER(tblY9[[#This Row],[Avg KS2 Band]]),ISNUMBER(SlopeY9)),tblY9[[#This Row],[Mean Stanine]]-(InterceptY9+SlopeY9*tblY9[[#This Row],[Avg KS2 Band]]),"")</f>
        <v>-2.07357075913777</v>
      </c>
      <c r="N63" s="66" t="n">
        <v>13</v>
      </c>
      <c r="O63" s="67">
        <f>IF(ISNUMBER(tblY9[[#This Row],[9B01 - Genetics
Raw Score]]),IFERROR(VLOOKUP(ROUND(STANDARDIZE(tblY9[[#This Row],[9B01 - Genetics
Raw Score]],AVERAGE(tblY9[[9B01 - Genetics
Raw Score]]),_xlfn.STDEV.P(tblY9[[9B01 - Genetics
Raw Score]])),9),_Stanine,2),5),"")</f>
        <v>2</v>
      </c>
      <c r="P63" s="66" t="n">
        <v>14</v>
      </c>
      <c r="Q63" s="67">
        <f>IF(ISNUMBER(tblY9[[#This Row],[9C01 - Chemical Reactions
Raw Score]]),IFERROR(VLOOKUP(ROUND(STANDARDIZE(tblY9[[#This Row],[9C01 - Chemical Reactions
Raw Score]],AVERAGE(tblY9[[9C01 - Chemical Reactions
Raw Score]]),_xlfn.STDEV.P(tblY9[[9C01 - Chemical Reactions
Raw Score]])),9),_Stanine,2),5),"")</f>
        <v>3</v>
      </c>
      <c r="R63" s="66" t="n">
        <v>15</v>
      </c>
      <c r="S63" s="67">
        <f>IF(ISNUMBER(tblY9[[#This Row],[9P01 - Electricity
Raw Score]]),IFERROR(VLOOKUP(ROUND(STANDARDIZE(tblY9[[#This Row],[9P01 - Electricity
Raw Score]],AVERAGE(tblY9[[9P01 - Electricity
Raw Score]]),_xlfn.STDEV.P(tblY9[[9P01 - Electricity
Raw Score]])),9),_Stanine,2),5),"")</f>
        <v>3</v>
      </c>
      <c r="T63" s="66" t="n">
        <v>15</v>
      </c>
      <c r="U63" s="67">
        <f>IF(ISNUMBER(tblY9[[#This Row],[9B02 - Ecology
Raw Score]]),IFERROR(VLOOKUP(ROUND(STANDARDIZE(tblY9[[#This Row],[9B02 - Ecology
Raw Score]],AVERAGE(tblY9[[9B02 - Ecology
Raw Score]]),_xlfn.STDEV.P(tblY9[[9B02 - Ecology
Raw Score]])),9),_Stanine,2),5),"")</f>
        <v>4</v>
      </c>
    </row>
    <row r="64">
      <c r="A64" s="65" t="inlineStr">
        <is>
          <t>X902990164289</t>
        </is>
      </c>
      <c r="B64" s="65" t="inlineStr">
        <is>
          <t>Williams</t>
        </is>
      </c>
      <c r="C64" s="65" t="inlineStr">
        <is>
          <t>Arthur</t>
        </is>
      </c>
      <c r="D64" s="66" t="inlineStr">
        <is>
          <t>F</t>
        </is>
      </c>
      <c r="E64" s="66" t="inlineStr">
        <is>
          <t>N</t>
        </is>
      </c>
      <c r="F64" s="66" t="inlineStr">
        <is>
          <t>Y</t>
        </is>
      </c>
      <c r="G64" s="34" t="n">
        <v>94.09999999999999</v>
      </c>
      <c r="H64" s="34" t="n">
        <v>101</v>
      </c>
      <c r="I64" s="67">
        <f>IF(ISNUMBER(tblY9[[#This Row],[Avg KS2]]),IFERROR(VLOOKUP(ROUND(STANDARDIZE(tblY9[[#This Row],[Avg KS2]],AVERAGE(tblY9[[Avg KS2]]),_xlfn.STDEV.P(tblY9[[Avg KS2]])),9),_Stanine,2),5),"")</f>
        <v>3</v>
      </c>
      <c r="J64" s="66" t="inlineStr">
        <is>
          <t>9A/Sc3</t>
        </is>
      </c>
      <c r="K64" s="67">
        <f>IF(tblY9[[#This Row],[Preferred Last name]]="","",COUNTIFS($N$1:$ZZ$1,"*"&amp;CHAR(10)&amp;"Stanine",$N64:$ZZ64,"&gt;=1"))</f>
        <v>4</v>
      </c>
      <c r="L64" s="68">
        <f>IFERROR(AVERAGEIF($N$1:$ZZ$1,"*"&amp;CHAR(10)&amp;"Stanine",$N64:$ZZ64),"")</f>
        <v>1.75</v>
      </c>
      <c r="M64" s="69">
        <f>IF(AND(ISNUMBER(tblY9[[#This Row],[Mean Stanine]]),ISNUMBER(tblY9[[#This Row],[Avg KS2 Band]]),ISNUMBER(SlopeY9)),tblY9[[#This Row],[Mean Stanine]]-(InterceptY9+SlopeY9*tblY9[[#This Row],[Avg KS2 Band]]),"")</f>
        <v>-1.79674320524836</v>
      </c>
      <c r="N64" s="66" t="n">
        <v>11</v>
      </c>
      <c r="O64" s="67">
        <f>IF(ISNUMBER(tblY9[[#This Row],[9B01 - Genetics
Raw Score]]),IFERROR(VLOOKUP(ROUND(STANDARDIZE(tblY9[[#This Row],[9B01 - Genetics
Raw Score]],AVERAGE(tblY9[[9B01 - Genetics
Raw Score]]),_xlfn.STDEV.P(tblY9[[9B01 - Genetics
Raw Score]])),9),_Stanine,2),5),"")</f>
        <v>2</v>
      </c>
      <c r="P64" s="66" t="n">
        <v>10</v>
      </c>
      <c r="Q64" s="67">
        <f>IF(ISNUMBER(tblY9[[#This Row],[9C01 - Chemical Reactions
Raw Score]]),IFERROR(VLOOKUP(ROUND(STANDARDIZE(tblY9[[#This Row],[9C01 - Chemical Reactions
Raw Score]],AVERAGE(tblY9[[9C01 - Chemical Reactions
Raw Score]]),_xlfn.STDEV.P(tblY9[[9C01 - Chemical Reactions
Raw Score]])),9),_Stanine,2),5),"")</f>
        <v>1</v>
      </c>
      <c r="R64" s="66" t="n">
        <v>12</v>
      </c>
      <c r="S64" s="67">
        <f>IF(ISNUMBER(tblY9[[#This Row],[9P01 - Electricity
Raw Score]]),IFERROR(VLOOKUP(ROUND(STANDARDIZE(tblY9[[#This Row],[9P01 - Electricity
Raw Score]],AVERAGE(tblY9[[9P01 - Electricity
Raw Score]]),_xlfn.STDEV.P(tblY9[[9P01 - Electricity
Raw Score]])),9),_Stanine,2),5),"")</f>
        <v>2</v>
      </c>
      <c r="T64" s="66" t="n">
        <v>10</v>
      </c>
      <c r="U64" s="67">
        <f>IF(ISNUMBER(tblY9[[#This Row],[9B02 - Ecology
Raw Score]]),IFERROR(VLOOKUP(ROUND(STANDARDIZE(tblY9[[#This Row],[9B02 - Ecology
Raw Score]],AVERAGE(tblY9[[9B02 - Ecology
Raw Score]]),_xlfn.STDEV.P(tblY9[[9B02 - Ecology
Raw Score]])),9),_Stanine,2),5),"")</f>
        <v>2</v>
      </c>
    </row>
    <row r="65">
      <c r="A65" s="65" t="inlineStr">
        <is>
          <t>X901025517443</t>
        </is>
      </c>
      <c r="B65" s="65" t="inlineStr">
        <is>
          <t>Wood</t>
        </is>
      </c>
      <c r="C65" s="65" t="inlineStr">
        <is>
          <t>Finley</t>
        </is>
      </c>
      <c r="D65" s="66" t="inlineStr">
        <is>
          <t>M</t>
        </is>
      </c>
      <c r="E65" s="66" t="n"/>
      <c r="F65" s="66" t="inlineStr">
        <is>
          <t>N</t>
        </is>
      </c>
      <c r="G65" s="34" t="n">
        <v>97.40000000000001</v>
      </c>
      <c r="H65" s="34" t="n">
        <v>109</v>
      </c>
      <c r="I65" s="67">
        <f>IF(ISNUMBER(tblY9[[#This Row],[Avg KS2]]),IFERROR(VLOOKUP(ROUND(STANDARDIZE(tblY9[[#This Row],[Avg KS2]],AVERAGE(tblY9[[Avg KS2]]),_xlfn.STDEV.P(tblY9[[Avg KS2]])),9),_Stanine,2),5),"")</f>
        <v>6</v>
      </c>
      <c r="J65" s="66" t="inlineStr">
        <is>
          <t>9A/Sc3</t>
        </is>
      </c>
      <c r="K65" s="67">
        <f>IF(tblY9[[#This Row],[Preferred Last name]]="","",COUNTIFS($N$1:$ZZ$1,"*"&amp;CHAR(10)&amp;"Stanine",$N65:$ZZ65,"&gt;=1"))</f>
        <v>4</v>
      </c>
      <c r="L65" s="68">
        <f>IFERROR(AVERAGEIF($N$1:$ZZ$1,"*"&amp;CHAR(10)&amp;"Stanine",$N65:$ZZ65),"")</f>
        <v>6.5</v>
      </c>
      <c r="M65" s="69">
        <f>IF(AND(ISNUMBER(tblY9[[#This Row],[Mean Stanine]]),ISNUMBER(tblY9[[#This Row],[Avg KS2 Band]]),ISNUMBER(SlopeY9)),tblY9[[#This Row],[Mean Stanine]]-(InterceptY9+SlopeY9*tblY9[[#This Row],[Avg KS2 Band]]),"")</f>
        <v>0.663015463917526</v>
      </c>
      <c r="N65" s="66" t="n">
        <v>25</v>
      </c>
      <c r="O65" s="67">
        <f>IF(ISNUMBER(tblY9[[#This Row],[9B01 - Genetics
Raw Score]]),IFERROR(VLOOKUP(ROUND(STANDARDIZE(tblY9[[#This Row],[9B01 - Genetics
Raw Score]],AVERAGE(tblY9[[9B01 - Genetics
Raw Score]]),_xlfn.STDEV.P(tblY9[[9B01 - Genetics
Raw Score]])),9),_Stanine,2),5),"")</f>
        <v>7</v>
      </c>
      <c r="P65" s="66" t="n">
        <v>25</v>
      </c>
      <c r="Q65" s="67">
        <f>IF(ISNUMBER(tblY9[[#This Row],[9C01 - Chemical Reactions
Raw Score]]),IFERROR(VLOOKUP(ROUND(STANDARDIZE(tblY9[[#This Row],[9C01 - Chemical Reactions
Raw Score]],AVERAGE(tblY9[[9C01 - Chemical Reactions
Raw Score]]),_xlfn.STDEV.P(tblY9[[9C01 - Chemical Reactions
Raw Score]])),9),_Stanine,2),5),"")</f>
        <v>6</v>
      </c>
      <c r="R65" s="66" t="n">
        <v>24</v>
      </c>
      <c r="S65" s="67">
        <f>IF(ISNUMBER(tblY9[[#This Row],[9P01 - Electricity
Raw Score]]),IFERROR(VLOOKUP(ROUND(STANDARDIZE(tblY9[[#This Row],[9P01 - Electricity
Raw Score]],AVERAGE(tblY9[[9P01 - Electricity
Raw Score]]),_xlfn.STDEV.P(tblY9[[9P01 - Electricity
Raw Score]])),9),_Stanine,2),5),"")</f>
        <v>6</v>
      </c>
      <c r="T65" s="66" t="n">
        <v>22</v>
      </c>
      <c r="U65" s="67">
        <f>IF(ISNUMBER(tblY9[[#This Row],[9B02 - Ecology
Raw Score]]),IFERROR(VLOOKUP(ROUND(STANDARDIZE(tblY9[[#This Row],[9B02 - Ecology
Raw Score]],AVERAGE(tblY9[[9B02 - Ecology
Raw Score]]),_xlfn.STDEV.P(tblY9[[9B02 - Ecology
Raw Score]])),9),_Stanine,2),5),"")</f>
        <v>7</v>
      </c>
    </row>
    <row r="66">
      <c r="A66" s="65" t="inlineStr">
        <is>
          <t>X903445733807</t>
        </is>
      </c>
      <c r="B66" s="65" t="inlineStr">
        <is>
          <t>Wright</t>
        </is>
      </c>
      <c r="C66" s="65" t="inlineStr">
        <is>
          <t>Harry</t>
        </is>
      </c>
      <c r="D66" s="66" t="inlineStr">
        <is>
          <t>M</t>
        </is>
      </c>
      <c r="E66" s="66" t="inlineStr">
        <is>
          <t>N</t>
        </is>
      </c>
      <c r="F66" s="66" t="inlineStr">
        <is>
          <t>N</t>
        </is>
      </c>
      <c r="G66" s="34" t="n">
        <v>100</v>
      </c>
      <c r="H66" s="34" t="n">
        <v>105</v>
      </c>
      <c r="I66" s="67">
        <f>IF(ISNUMBER(tblY9[[#This Row],[Avg KS2]]),IFERROR(VLOOKUP(ROUND(STANDARDIZE(tblY9[[#This Row],[Avg KS2]],AVERAGE(tblY9[[Avg KS2]]),_xlfn.STDEV.P(tblY9[[Avg KS2]])),9),_Stanine,2),5),"")</f>
        <v>4</v>
      </c>
      <c r="J66" s="66" t="inlineStr">
        <is>
          <t>9A/Sc3</t>
        </is>
      </c>
      <c r="K66" s="67">
        <f>IF(tblY9[[#This Row],[Preferred Last name]]="","",COUNTIFS($N$1:$ZZ$1,"*"&amp;CHAR(10)&amp;"Stanine",$N66:$ZZ66,"&gt;=1"))</f>
        <v>4</v>
      </c>
      <c r="L66" s="68">
        <f>IFERROR(AVERAGEIF($N$1:$ZZ$1,"*"&amp;CHAR(10)&amp;"Stanine",$N66:$ZZ66),"")</f>
        <v>4.75</v>
      </c>
      <c r="M66" s="69">
        <f>IF(AND(ISNUMBER(tblY9[[#This Row],[Mean Stanine]]),ISNUMBER(tblY9[[#This Row],[Avg KS2 Band]]),ISNUMBER(SlopeY9)),tblY9[[#This Row],[Mean Stanine]]-(InterceptY9+SlopeY9*tblY9[[#This Row],[Avg KS2 Band]]),"")</f>
        <v>0.439843017806935</v>
      </c>
      <c r="N66" s="66" t="n">
        <v>18</v>
      </c>
      <c r="O66" s="67">
        <f>IF(ISNUMBER(tblY9[[#This Row],[9B01 - Genetics
Raw Score]]),IFERROR(VLOOKUP(ROUND(STANDARDIZE(tblY9[[#This Row],[9B01 - Genetics
Raw Score]],AVERAGE(tblY9[[9B01 - Genetics
Raw Score]]),_xlfn.STDEV.P(tblY9[[9B01 - Genetics
Raw Score]])),9),_Stanine,2),5),"")</f>
        <v>4</v>
      </c>
      <c r="P66" s="66" t="n">
        <v>20</v>
      </c>
      <c r="Q66" s="67">
        <f>IF(ISNUMBER(tblY9[[#This Row],[9C01 - Chemical Reactions
Raw Score]]),IFERROR(VLOOKUP(ROUND(STANDARDIZE(tblY9[[#This Row],[9C01 - Chemical Reactions
Raw Score]],AVERAGE(tblY9[[9C01 - Chemical Reactions
Raw Score]]),_xlfn.STDEV.P(tblY9[[9C01 - Chemical Reactions
Raw Score]])),9),_Stanine,2),5),"")</f>
        <v>5</v>
      </c>
      <c r="R66" s="66" t="n">
        <v>19</v>
      </c>
      <c r="S66" s="67">
        <f>IF(ISNUMBER(tblY9[[#This Row],[9P01 - Electricity
Raw Score]]),IFERROR(VLOOKUP(ROUND(STANDARDIZE(tblY9[[#This Row],[9P01 - Electricity
Raw Score]],AVERAGE(tblY9[[9P01 - Electricity
Raw Score]]),_xlfn.STDEV.P(tblY9[[9P01 - Electricity
Raw Score]])),9),_Stanine,2),5),"")</f>
        <v>4</v>
      </c>
      <c r="T66" s="66" t="n">
        <v>19</v>
      </c>
      <c r="U66" s="67">
        <f>IF(ISNUMBER(tblY9[[#This Row],[9B02 - Ecology
Raw Score]]),IFERROR(VLOOKUP(ROUND(STANDARDIZE(tblY9[[#This Row],[9B02 - Ecology
Raw Score]],AVERAGE(tblY9[[9B02 - Ecology
Raw Score]]),_xlfn.STDEV.P(tblY9[[9B02 - Ecology
Raw Score]])),9),_Stanine,2),5),"")</f>
        <v>6</v>
      </c>
    </row>
    <row r="67">
      <c r="A67" s="65" t="inlineStr">
        <is>
          <t>X907375717422</t>
        </is>
      </c>
      <c r="B67" s="65" t="inlineStr">
        <is>
          <t>Wright</t>
        </is>
      </c>
      <c r="C67" s="65" t="inlineStr">
        <is>
          <t>Sami</t>
        </is>
      </c>
      <c r="D67" s="66" t="inlineStr">
        <is>
          <t>M</t>
        </is>
      </c>
      <c r="E67" s="66" t="n"/>
      <c r="F67" s="66" t="inlineStr">
        <is>
          <t>Y</t>
        </is>
      </c>
      <c r="G67" s="34" t="n">
        <v>97.90000000000001</v>
      </c>
      <c r="H67" s="34" t="n">
        <v>99</v>
      </c>
      <c r="I67" s="67">
        <f>IF(ISNUMBER(tblY9[[#This Row],[Avg KS2]]),IFERROR(VLOOKUP(ROUND(STANDARDIZE(tblY9[[#This Row],[Avg KS2]],AVERAGE(tblY9[[Avg KS2]]),_xlfn.STDEV.P(tblY9[[Avg KS2]])),9),_Stanine,2),5),"")</f>
        <v>2</v>
      </c>
      <c r="J67" s="66" t="inlineStr">
        <is>
          <t>9A/Sc3</t>
        </is>
      </c>
      <c r="K67" s="67">
        <f>IF(tblY9[[#This Row],[Preferred Last name]]="","",COUNTIFS($N$1:$ZZ$1,"*"&amp;CHAR(10)&amp;"Stanine",$N67:$ZZ67,"&gt;=1"))</f>
        <v>4</v>
      </c>
      <c r="L67" s="68">
        <f>IFERROR(AVERAGEIF($N$1:$ZZ$1,"*"&amp;CHAR(10)&amp;"Stanine",$N67:$ZZ67),"")</f>
        <v>3.25</v>
      </c>
      <c r="M67" s="69">
        <f>IF(AND(ISNUMBER(tblY9[[#This Row],[Mean Stanine]]),ISNUMBER(tblY9[[#This Row],[Avg KS2 Band]]),ISNUMBER(SlopeY9)),tblY9[[#This Row],[Mean Stanine]]-(InterceptY9+SlopeY9*tblY9[[#This Row],[Avg KS2 Band]]),"")</f>
        <v>0.466670571696345</v>
      </c>
      <c r="N67" s="66" t="n">
        <v>16</v>
      </c>
      <c r="O67" s="67">
        <f>IF(ISNUMBER(tblY9[[#This Row],[9B01 - Genetics
Raw Score]]),IFERROR(VLOOKUP(ROUND(STANDARDIZE(tblY9[[#This Row],[9B01 - Genetics
Raw Score]],AVERAGE(tblY9[[9B01 - Genetics
Raw Score]]),_xlfn.STDEV.P(tblY9[[9B01 - Genetics
Raw Score]])),9),_Stanine,2),5),"")</f>
        <v>4</v>
      </c>
      <c r="P67" s="66" t="n">
        <v>14</v>
      </c>
      <c r="Q67" s="67">
        <f>IF(ISNUMBER(tblY9[[#This Row],[9C01 - Chemical Reactions
Raw Score]]),IFERROR(VLOOKUP(ROUND(STANDARDIZE(tblY9[[#This Row],[9C01 - Chemical Reactions
Raw Score]],AVERAGE(tblY9[[9C01 - Chemical Reactions
Raw Score]]),_xlfn.STDEV.P(tblY9[[9C01 - Chemical Reactions
Raw Score]])),9),_Stanine,2),5),"")</f>
        <v>3</v>
      </c>
      <c r="R67" s="66" t="n">
        <v>16</v>
      </c>
      <c r="S67" s="67">
        <f>IF(ISNUMBER(tblY9[[#This Row],[9P01 - Electricity
Raw Score]]),IFERROR(VLOOKUP(ROUND(STANDARDIZE(tblY9[[#This Row],[9P01 - Electricity
Raw Score]],AVERAGE(tblY9[[9P01 - Electricity
Raw Score]]),_xlfn.STDEV.P(tblY9[[9P01 - Electricity
Raw Score]])),9),_Stanine,2),5),"")</f>
        <v>3</v>
      </c>
      <c r="T67" s="66" t="n">
        <v>13</v>
      </c>
      <c r="U67" s="67">
        <f>IF(ISNUMBER(tblY9[[#This Row],[9B02 - Ecology
Raw Score]]),IFERROR(VLOOKUP(ROUND(STANDARDIZE(tblY9[[#This Row],[9B02 - Ecology
Raw Score]],AVERAGE(tblY9[[9B02 - Ecology
Raw Score]]),_xlfn.STDEV.P(tblY9[[9B02 - Ecology
Raw Score]])),9),_Stanine,2),5),"")</f>
        <v>3</v>
      </c>
    </row>
    <row r="68">
      <c r="A68" s="65" t="inlineStr">
        <is>
          <t>X908291821408</t>
        </is>
      </c>
      <c r="B68" s="65" t="inlineStr">
        <is>
          <t>Adeyemi</t>
        </is>
      </c>
      <c r="C68" s="65" t="inlineStr">
        <is>
          <t>Isla</t>
        </is>
      </c>
      <c r="D68" s="66" t="inlineStr">
        <is>
          <t>F</t>
        </is>
      </c>
      <c r="E68" s="66" t="n"/>
      <c r="F68" s="66" t="inlineStr">
        <is>
          <t>N</t>
        </is>
      </c>
      <c r="G68" s="34" t="n">
        <v>100</v>
      </c>
      <c r="H68" s="34" t="n">
        <v>110</v>
      </c>
      <c r="I68" s="67">
        <f>IF(ISNUMBER(tblY9[[#This Row],[Avg KS2]]),IFERROR(VLOOKUP(ROUND(STANDARDIZE(tblY9[[#This Row],[Avg KS2]],AVERAGE(tblY9[[Avg KS2]]),_xlfn.STDEV.P(tblY9[[Avg KS2]])),9),_Stanine,2),5),"")</f>
        <v>6</v>
      </c>
      <c r="J68" s="66" t="inlineStr">
        <is>
          <t>9B/Sc1</t>
        </is>
      </c>
      <c r="K68" s="67">
        <f>IF(tblY9[[#This Row],[Preferred Last name]]="","",COUNTIFS($N$1:$ZZ$1,"*"&amp;CHAR(10)&amp;"Stanine",$N68:$ZZ68,"&gt;=1"))</f>
        <v>4</v>
      </c>
      <c r="L68" s="68">
        <f>IFERROR(AVERAGEIF($N$1:$ZZ$1,"*"&amp;CHAR(10)&amp;"Stanine",$N68:$ZZ68),"")</f>
        <v>5.75</v>
      </c>
      <c r="M68" s="69">
        <f>IF(AND(ISNUMBER(tblY9[[#This Row],[Mean Stanine]]),ISNUMBER(tblY9[[#This Row],[Avg KS2 Band]]),ISNUMBER(SlopeY9)),tblY9[[#This Row],[Mean Stanine]]-(InterceptY9+SlopeY9*tblY9[[#This Row],[Avg KS2 Band]]),"")</f>
        <v>-0.0869845360824737</v>
      </c>
      <c r="N68" s="66" t="n">
        <v>23</v>
      </c>
      <c r="O68" s="67">
        <f>IF(ISNUMBER(tblY9[[#This Row],[9B01 - Genetics
Raw Score]]),IFERROR(VLOOKUP(ROUND(STANDARDIZE(tblY9[[#This Row],[9B01 - Genetics
Raw Score]],AVERAGE(tblY9[[9B01 - Genetics
Raw Score]]),_xlfn.STDEV.P(tblY9[[9B01 - Genetics
Raw Score]])),9),_Stanine,2),5),"")</f>
        <v>6</v>
      </c>
      <c r="P68" s="66" t="n">
        <v>24</v>
      </c>
      <c r="Q68" s="67">
        <f>IF(ISNUMBER(tblY9[[#This Row],[9C01 - Chemical Reactions
Raw Score]]),IFERROR(VLOOKUP(ROUND(STANDARDIZE(tblY9[[#This Row],[9C01 - Chemical Reactions
Raw Score]],AVERAGE(tblY9[[9C01 - Chemical Reactions
Raw Score]]),_xlfn.STDEV.P(tblY9[[9C01 - Chemical Reactions
Raw Score]])),9),_Stanine,2),5),"")</f>
        <v>6</v>
      </c>
      <c r="R68" s="66" t="n">
        <v>21</v>
      </c>
      <c r="S68" s="67">
        <f>IF(ISNUMBER(tblY9[[#This Row],[9P01 - Electricity
Raw Score]]),IFERROR(VLOOKUP(ROUND(STANDARDIZE(tblY9[[#This Row],[9P01 - Electricity
Raw Score]],AVERAGE(tblY9[[9P01 - Electricity
Raw Score]]),_xlfn.STDEV.P(tblY9[[9P01 - Electricity
Raw Score]])),9),_Stanine,2),5),"")</f>
        <v>5</v>
      </c>
      <c r="T68" s="66" t="n">
        <v>19</v>
      </c>
      <c r="U68" s="67">
        <f>IF(ISNUMBER(tblY9[[#This Row],[9B02 - Ecology
Raw Score]]),IFERROR(VLOOKUP(ROUND(STANDARDIZE(tblY9[[#This Row],[9B02 - Ecology
Raw Score]],AVERAGE(tblY9[[9B02 - Ecology
Raw Score]]),_xlfn.STDEV.P(tblY9[[9B02 - Ecology
Raw Score]])),9),_Stanine,2),5),"")</f>
        <v>6</v>
      </c>
    </row>
    <row r="69">
      <c r="A69" s="65" t="inlineStr">
        <is>
          <t>X905265866225</t>
        </is>
      </c>
      <c r="B69" s="65" t="inlineStr">
        <is>
          <t>Begum</t>
        </is>
      </c>
      <c r="C69" s="65" t="inlineStr">
        <is>
          <t>Lily</t>
        </is>
      </c>
      <c r="D69" s="66" t="inlineStr">
        <is>
          <t>M</t>
        </is>
      </c>
      <c r="E69" s="66" t="inlineStr">
        <is>
          <t>K</t>
        </is>
      </c>
      <c r="F69" s="66" t="inlineStr">
        <is>
          <t>N</t>
        </is>
      </c>
      <c r="G69" s="34" t="n">
        <v>89.59999999999999</v>
      </c>
      <c r="H69" s="34" t="n">
        <v>105</v>
      </c>
      <c r="I69" s="67">
        <f>IF(ISNUMBER(tblY9[[#This Row],[Avg KS2]]),IFERROR(VLOOKUP(ROUND(STANDARDIZE(tblY9[[#This Row],[Avg KS2]],AVERAGE(tblY9[[Avg KS2]]),_xlfn.STDEV.P(tblY9[[Avg KS2]])),9),_Stanine,2),5),"")</f>
        <v>4</v>
      </c>
      <c r="J69" s="66" t="inlineStr">
        <is>
          <t>9B/Sc1</t>
        </is>
      </c>
      <c r="K69" s="67">
        <f>IF(tblY9[[#This Row],[Preferred Last name]]="","",COUNTIFS($N$1:$ZZ$1,"*"&amp;CHAR(10)&amp;"Stanine",$N69:$ZZ69,"&gt;=1"))</f>
        <v>4</v>
      </c>
      <c r="L69" s="68">
        <f>IFERROR(AVERAGEIF($N$1:$ZZ$1,"*"&amp;CHAR(10)&amp;"Stanine",$N69:$ZZ69),"")</f>
        <v>5</v>
      </c>
      <c r="M69" s="69">
        <f>IF(AND(ISNUMBER(tblY9[[#This Row],[Mean Stanine]]),ISNUMBER(tblY9[[#This Row],[Avg KS2 Band]]),ISNUMBER(SlopeY9)),tblY9[[#This Row],[Mean Stanine]]-(InterceptY9+SlopeY9*tblY9[[#This Row],[Avg KS2 Band]]),"")</f>
        <v>0.689843017806935</v>
      </c>
      <c r="N69" s="66" t="n">
        <v>25</v>
      </c>
      <c r="O69" s="67">
        <f>IF(ISNUMBER(tblY9[[#This Row],[9B01 - Genetics
Raw Score]]),IFERROR(VLOOKUP(ROUND(STANDARDIZE(tblY9[[#This Row],[9B01 - Genetics
Raw Score]],AVERAGE(tblY9[[9B01 - Genetics
Raw Score]]),_xlfn.STDEV.P(tblY9[[9B01 - Genetics
Raw Score]])),9),_Stanine,2),5),"")</f>
        <v>7</v>
      </c>
      <c r="P69" s="66" t="n">
        <v>22</v>
      </c>
      <c r="Q69" s="67">
        <f>IF(ISNUMBER(tblY9[[#This Row],[9C01 - Chemical Reactions
Raw Score]]),IFERROR(VLOOKUP(ROUND(STANDARDIZE(tblY9[[#This Row],[9C01 - Chemical Reactions
Raw Score]],AVERAGE(tblY9[[9C01 - Chemical Reactions
Raw Score]]),_xlfn.STDEV.P(tblY9[[9C01 - Chemical Reactions
Raw Score]])),9),_Stanine,2),5),"")</f>
        <v>5</v>
      </c>
      <c r="R69" s="66" t="n">
        <v>19</v>
      </c>
      <c r="S69" s="67">
        <f>IF(ISNUMBER(tblY9[[#This Row],[9P01 - Electricity
Raw Score]]),IFERROR(VLOOKUP(ROUND(STANDARDIZE(tblY9[[#This Row],[9P01 - Electricity
Raw Score]],AVERAGE(tblY9[[9P01 - Electricity
Raw Score]]),_xlfn.STDEV.P(tblY9[[9P01 - Electricity
Raw Score]])),9),_Stanine,2),5),"")</f>
        <v>4</v>
      </c>
      <c r="T69" s="66" t="n">
        <v>15</v>
      </c>
      <c r="U69" s="67">
        <f>IF(ISNUMBER(tblY9[[#This Row],[9B02 - Ecology
Raw Score]]),IFERROR(VLOOKUP(ROUND(STANDARDIZE(tblY9[[#This Row],[9B02 - Ecology
Raw Score]],AVERAGE(tblY9[[9B02 - Ecology
Raw Score]]),_xlfn.STDEV.P(tblY9[[9B02 - Ecology
Raw Score]])),9),_Stanine,2),5),"")</f>
        <v>4</v>
      </c>
    </row>
    <row r="70">
      <c r="A70" s="65" t="inlineStr">
        <is>
          <t>X909552068479</t>
        </is>
      </c>
      <c r="B70" s="65" t="inlineStr">
        <is>
          <t>Brown</t>
        </is>
      </c>
      <c r="C70" s="65" t="inlineStr">
        <is>
          <t>Zara</t>
        </is>
      </c>
      <c r="D70" s="66" t="inlineStr">
        <is>
          <t>M</t>
        </is>
      </c>
      <c r="E70" s="66" t="inlineStr">
        <is>
          <t>K</t>
        </is>
      </c>
      <c r="F70" s="66" t="inlineStr">
        <is>
          <t>Y</t>
        </is>
      </c>
      <c r="G70" s="34" t="n">
        <v>94.59999999999999</v>
      </c>
      <c r="H70" s="34" t="n">
        <v>102.5</v>
      </c>
      <c r="I70" s="67">
        <f>IF(ISNUMBER(tblY9[[#This Row],[Avg KS2]]),IFERROR(VLOOKUP(ROUND(STANDARDIZE(tblY9[[#This Row],[Avg KS2]],AVERAGE(tblY9[[Avg KS2]]),_xlfn.STDEV.P(tblY9[[Avg KS2]])),9),_Stanine,2),5),"")</f>
        <v>3</v>
      </c>
      <c r="J70" s="66" t="inlineStr">
        <is>
          <t>9B/Sc1</t>
        </is>
      </c>
      <c r="K70" s="67">
        <f>IF(tblY9[[#This Row],[Preferred Last name]]="","",COUNTIFS($N$1:$ZZ$1,"*"&amp;CHAR(10)&amp;"Stanine",$N70:$ZZ70,"&gt;=1"))</f>
        <v>3</v>
      </c>
      <c r="L70" s="68">
        <f>IFERROR(AVERAGEIF($N$1:$ZZ$1,"*"&amp;CHAR(10)&amp;"Stanine",$N70:$ZZ70),"")</f>
        <v>5.33333333333333</v>
      </c>
      <c r="M70" s="69">
        <f>IF(AND(ISNUMBER(tblY9[[#This Row],[Mean Stanine]]),ISNUMBER(tblY9[[#This Row],[Avg KS2 Band]]),ISNUMBER(SlopeY9)),tblY9[[#This Row],[Mean Stanine]]-(InterceptY9+SlopeY9*tblY9[[#This Row],[Avg KS2 Band]]),"")</f>
        <v>1.78659012808497</v>
      </c>
      <c r="N70" s="66" t="n">
        <v>23</v>
      </c>
      <c r="O70" s="67">
        <f>IF(ISNUMBER(tblY9[[#This Row],[9B01 - Genetics
Raw Score]]),IFERROR(VLOOKUP(ROUND(STANDARDIZE(tblY9[[#This Row],[9B01 - Genetics
Raw Score]],AVERAGE(tblY9[[9B01 - Genetics
Raw Score]]),_xlfn.STDEV.P(tblY9[[9B01 - Genetics
Raw Score]])),9),_Stanine,2),5),"")</f>
        <v>6</v>
      </c>
      <c r="P70" s="66" t="n">
        <v>25</v>
      </c>
      <c r="Q70" s="67">
        <f>IF(ISNUMBER(tblY9[[#This Row],[9C01 - Chemical Reactions
Raw Score]]),IFERROR(VLOOKUP(ROUND(STANDARDIZE(tblY9[[#This Row],[9C01 - Chemical Reactions
Raw Score]],AVERAGE(tblY9[[9C01 - Chemical Reactions
Raw Score]]),_xlfn.STDEV.P(tblY9[[9C01 - Chemical Reactions
Raw Score]])),9),_Stanine,2),5),"")</f>
        <v>6</v>
      </c>
      <c r="R70" s="66" t="n">
        <v>19</v>
      </c>
      <c r="S70" s="67">
        <f>IF(ISNUMBER(tblY9[[#This Row],[9P01 - Electricity
Raw Score]]),IFERROR(VLOOKUP(ROUND(STANDARDIZE(tblY9[[#This Row],[9P01 - Electricity
Raw Score]],AVERAGE(tblY9[[9P01 - Electricity
Raw Score]]),_xlfn.STDEV.P(tblY9[[9P01 - Electricity
Raw Score]])),9),_Stanine,2),5),"")</f>
        <v>4</v>
      </c>
      <c r="T70" s="66" t="inlineStr">
        <is>
          <t>A</t>
        </is>
      </c>
      <c r="U70" s="67" t="str">
        <f>IF(ISNUMBER(tblY9[[#This Row],[9B02 - Ecology
Raw Score]]),IFERROR(VLOOKUP(ROUND(STANDARDIZE(tblY9[[#This Row],[9B02 - Ecology
Raw Score]],AVERAGE(tblY9[[9B02 - Ecology
Raw Score]]),_xlfn.STDEV.P(tblY9[[9B02 - Ecology
Raw Score]])),9),_Stanine,2),5),"")</f>
        <v/>
      </c>
    </row>
    <row r="71">
      <c r="A71" s="65" t="inlineStr">
        <is>
          <t>X902277272878</t>
        </is>
      </c>
      <c r="B71" s="65" t="inlineStr">
        <is>
          <t>Clarke</t>
        </is>
      </c>
      <c r="C71" s="65" t="inlineStr">
        <is>
          <t>Grace</t>
        </is>
      </c>
      <c r="D71" s="66" t="inlineStr">
        <is>
          <t>M</t>
        </is>
      </c>
      <c r="E71" s="66" t="inlineStr">
        <is>
          <t>N</t>
        </is>
      </c>
      <c r="F71" s="66" t="inlineStr">
        <is>
          <t>N</t>
        </is>
      </c>
      <c r="G71" s="34" t="n">
        <v>87</v>
      </c>
      <c r="H71" s="34" t="n">
        <v>111</v>
      </c>
      <c r="I71" s="67">
        <f>IF(ISNUMBER(tblY9[[#This Row],[Avg KS2]]),IFERROR(VLOOKUP(ROUND(STANDARDIZE(tblY9[[#This Row],[Avg KS2]],AVERAGE(tblY9[[Avg KS2]]),_xlfn.STDEV.P(tblY9[[Avg KS2]])),9),_Stanine,2),5),"")</f>
        <v>7</v>
      </c>
      <c r="J71" s="66" t="inlineStr">
        <is>
          <t>9B/Sc1</t>
        </is>
      </c>
      <c r="K71" s="67">
        <f>IF(tblY9[[#This Row],[Preferred Last name]]="","",COUNTIFS($N$1:$ZZ$1,"*"&amp;CHAR(10)&amp;"Stanine",$N71:$ZZ71,"&gt;=1"))</f>
        <v>3</v>
      </c>
      <c r="L71" s="68">
        <f>IFERROR(AVERAGEIF($N$1:$ZZ$1,"*"&amp;CHAR(10)&amp;"Stanine",$N71:$ZZ71),"")</f>
        <v>5</v>
      </c>
      <c r="M71" s="69">
        <f>IF(AND(ISNUMBER(tblY9[[#This Row],[Mean Stanine]]),ISNUMBER(tblY9[[#This Row],[Avg KS2 Band]]),ISNUMBER(SlopeY9)),tblY9[[#This Row],[Mean Stanine]]-(InterceptY9+SlopeY9*tblY9[[#This Row],[Avg KS2 Band]]),"")</f>
        <v>-1.60039831302718</v>
      </c>
      <c r="N71" s="66" t="inlineStr">
        <is>
          <t>A</t>
        </is>
      </c>
      <c r="O71" s="67" t="str">
        <f>IF(ISNUMBER(tblY9[[#This Row],[9B01 - Genetics
Raw Score]]),IFERROR(VLOOKUP(ROUND(STANDARDIZE(tblY9[[#This Row],[9B01 - Genetics
Raw Score]],AVERAGE(tblY9[[9B01 - Genetics
Raw Score]]),_xlfn.STDEV.P(tblY9[[9B01 - Genetics
Raw Score]])),9),_Stanine,2),5),"")</f>
        <v/>
      </c>
      <c r="P71" s="66" t="n">
        <v>21</v>
      </c>
      <c r="Q71" s="67">
        <f>IF(ISNUMBER(tblY9[[#This Row],[9C01 - Chemical Reactions
Raw Score]]),IFERROR(VLOOKUP(ROUND(STANDARDIZE(tblY9[[#This Row],[9C01 - Chemical Reactions
Raw Score]],AVERAGE(tblY9[[9C01 - Chemical Reactions
Raw Score]]),_xlfn.STDEV.P(tblY9[[9C01 - Chemical Reactions
Raw Score]])),9),_Stanine,2),5),"")</f>
        <v>5</v>
      </c>
      <c r="R71" s="66" t="n">
        <v>20</v>
      </c>
      <c r="S71" s="67">
        <f>IF(ISNUMBER(tblY9[[#This Row],[9P01 - Electricity
Raw Score]]),IFERROR(VLOOKUP(ROUND(STANDARDIZE(tblY9[[#This Row],[9P01 - Electricity
Raw Score]],AVERAGE(tblY9[[9P01 - Electricity
Raw Score]]),_xlfn.STDEV.P(tblY9[[9P01 - Electricity
Raw Score]])),9),_Stanine,2),5),"")</f>
        <v>5</v>
      </c>
      <c r="T71" s="66" t="n">
        <v>17</v>
      </c>
      <c r="U71" s="67">
        <f>IF(ISNUMBER(tblY9[[#This Row],[9B02 - Ecology
Raw Score]]),IFERROR(VLOOKUP(ROUND(STANDARDIZE(tblY9[[#This Row],[9B02 - Ecology
Raw Score]],AVERAGE(tblY9[[9B02 - Ecology
Raw Score]]),_xlfn.STDEV.P(tblY9[[9B02 - Ecology
Raw Score]])),9),_Stanine,2),5),"")</f>
        <v>5</v>
      </c>
    </row>
    <row r="72">
      <c r="A72" s="65" t="inlineStr">
        <is>
          <t>X904775006193</t>
        </is>
      </c>
      <c r="B72" s="65" t="inlineStr">
        <is>
          <t>Edwards</t>
        </is>
      </c>
      <c r="C72" s="65" t="inlineStr">
        <is>
          <t>Evie</t>
        </is>
      </c>
      <c r="D72" s="66" t="inlineStr">
        <is>
          <t>M</t>
        </is>
      </c>
      <c r="E72" s="66" t="inlineStr">
        <is>
          <t>N</t>
        </is>
      </c>
      <c r="F72" s="66" t="inlineStr">
        <is>
          <t>N</t>
        </is>
      </c>
      <c r="G72" s="34" t="n">
        <v>100</v>
      </c>
      <c r="H72" s="34" t="n">
        <v>107.5</v>
      </c>
      <c r="I72" s="67">
        <f>IF(ISNUMBER(tblY9[[#This Row],[Avg KS2]]),IFERROR(VLOOKUP(ROUND(STANDARDIZE(tblY9[[#This Row],[Avg KS2]],AVERAGE(tblY9[[Avg KS2]]),_xlfn.STDEV.P(tblY9[[Avg KS2]])),9),_Stanine,2),5),"")</f>
        <v>5</v>
      </c>
      <c r="J72" s="66" t="inlineStr">
        <is>
          <t>9B/Sc1</t>
        </is>
      </c>
      <c r="K72" s="67">
        <f>IF(tblY9[[#This Row],[Preferred Last name]]="","",COUNTIFS($N$1:$ZZ$1,"*"&amp;CHAR(10)&amp;"Stanine",$N72:$ZZ72,"&gt;=1"))</f>
        <v>4</v>
      </c>
      <c r="L72" s="68">
        <f>IFERROR(AVERAGEIF($N$1:$ZZ$1,"*"&amp;CHAR(10)&amp;"Stanine",$N72:$ZZ72),"")</f>
        <v>6</v>
      </c>
      <c r="M72" s="69">
        <f>IF(AND(ISNUMBER(tblY9[[#This Row],[Mean Stanine]]),ISNUMBER(tblY9[[#This Row],[Avg KS2 Band]]),ISNUMBER(SlopeY9)),tblY9[[#This Row],[Mean Stanine]]-(InterceptY9+SlopeY9*tblY9[[#This Row],[Avg KS2 Band]]),"")</f>
        <v>0.92642924086223</v>
      </c>
      <c r="N72" s="66" t="n">
        <v>22</v>
      </c>
      <c r="O72" s="67">
        <f>IF(ISNUMBER(tblY9[[#This Row],[9B01 - Genetics
Raw Score]]),IFERROR(VLOOKUP(ROUND(STANDARDIZE(tblY9[[#This Row],[9B01 - Genetics
Raw Score]],AVERAGE(tblY9[[9B01 - Genetics
Raw Score]]),_xlfn.STDEV.P(tblY9[[9B01 - Genetics
Raw Score]])),9),_Stanine,2),5),"")</f>
        <v>6</v>
      </c>
      <c r="P72" s="66" t="n">
        <v>23</v>
      </c>
      <c r="Q72" s="67">
        <f>IF(ISNUMBER(tblY9[[#This Row],[9C01 - Chemical Reactions
Raw Score]]),IFERROR(VLOOKUP(ROUND(STANDARDIZE(tblY9[[#This Row],[9C01 - Chemical Reactions
Raw Score]],AVERAGE(tblY9[[9C01 - Chemical Reactions
Raw Score]]),_xlfn.STDEV.P(tblY9[[9C01 - Chemical Reactions
Raw Score]])),9),_Stanine,2),5),"")</f>
        <v>6</v>
      </c>
      <c r="R72" s="66" t="n">
        <v>22</v>
      </c>
      <c r="S72" s="67">
        <f>IF(ISNUMBER(tblY9[[#This Row],[9P01 - Electricity
Raw Score]]),IFERROR(VLOOKUP(ROUND(STANDARDIZE(tblY9[[#This Row],[9P01 - Electricity
Raw Score]],AVERAGE(tblY9[[9P01 - Electricity
Raw Score]]),_xlfn.STDEV.P(tblY9[[9P01 - Electricity
Raw Score]])),9),_Stanine,2),5),"")</f>
        <v>6</v>
      </c>
      <c r="T72" s="66" t="n">
        <v>19</v>
      </c>
      <c r="U72" s="67">
        <f>IF(ISNUMBER(tblY9[[#This Row],[9B02 - Ecology
Raw Score]]),IFERROR(VLOOKUP(ROUND(STANDARDIZE(tblY9[[#This Row],[9B02 - Ecology
Raw Score]],AVERAGE(tblY9[[9B02 - Ecology
Raw Score]]),_xlfn.STDEV.P(tblY9[[9B02 - Ecology
Raw Score]])),9),_Stanine,2),5),"")</f>
        <v>6</v>
      </c>
    </row>
    <row r="73">
      <c r="A73" s="65" t="inlineStr">
        <is>
          <t>X907408392446</t>
        </is>
      </c>
      <c r="B73" s="65" t="inlineStr">
        <is>
          <t>Evans</t>
        </is>
      </c>
      <c r="C73" s="65" t="inlineStr">
        <is>
          <t>Evie</t>
        </is>
      </c>
      <c r="D73" s="66" t="inlineStr">
        <is>
          <t>M</t>
        </is>
      </c>
      <c r="E73" s="66" t="n"/>
      <c r="F73" s="66" t="inlineStr">
        <is>
          <t>Y</t>
        </is>
      </c>
      <c r="G73" s="34" t="n">
        <v>94.2</v>
      </c>
      <c r="H73" s="34" t="n">
        <v>110.5</v>
      </c>
      <c r="I73" s="67">
        <f>IF(ISNUMBER(tblY9[[#This Row],[Avg KS2]]),IFERROR(VLOOKUP(ROUND(STANDARDIZE(tblY9[[#This Row],[Avg KS2]],AVERAGE(tblY9[[Avg KS2]]),_xlfn.STDEV.P(tblY9[[Avg KS2]])),9),_Stanine,2),5),"")</f>
        <v>6</v>
      </c>
      <c r="J73" s="66" t="inlineStr">
        <is>
          <t>9B/Sc1</t>
        </is>
      </c>
      <c r="K73" s="67">
        <f>IF(tblY9[[#This Row],[Preferred Last name]]="","",COUNTIFS($N$1:$ZZ$1,"*"&amp;CHAR(10)&amp;"Stanine",$N73:$ZZ73,"&gt;=1"))</f>
        <v>4</v>
      </c>
      <c r="L73" s="68">
        <f>IFERROR(AVERAGEIF($N$1:$ZZ$1,"*"&amp;CHAR(10)&amp;"Stanine",$N73:$ZZ73),"")</f>
        <v>6.5</v>
      </c>
      <c r="M73" s="69">
        <f>IF(AND(ISNUMBER(tblY9[[#This Row],[Mean Stanine]]),ISNUMBER(tblY9[[#This Row],[Avg KS2 Band]]),ISNUMBER(SlopeY9)),tblY9[[#This Row],[Mean Stanine]]-(InterceptY9+SlopeY9*tblY9[[#This Row],[Avg KS2 Band]]),"")</f>
        <v>0.663015463917526</v>
      </c>
      <c r="N73" s="66" t="n">
        <v>24</v>
      </c>
      <c r="O73" s="67">
        <f>IF(ISNUMBER(tblY9[[#This Row],[9B01 - Genetics
Raw Score]]),IFERROR(VLOOKUP(ROUND(STANDARDIZE(tblY9[[#This Row],[9B01 - Genetics
Raw Score]],AVERAGE(tblY9[[9B01 - Genetics
Raw Score]]),_xlfn.STDEV.P(tblY9[[9B01 - Genetics
Raw Score]])),9),_Stanine,2),5),"")</f>
        <v>6</v>
      </c>
      <c r="P73" s="66" t="n">
        <v>26</v>
      </c>
      <c r="Q73" s="67">
        <f>IF(ISNUMBER(tblY9[[#This Row],[9C01 - Chemical Reactions
Raw Score]]),IFERROR(VLOOKUP(ROUND(STANDARDIZE(tblY9[[#This Row],[9C01 - Chemical Reactions
Raw Score]],AVERAGE(tblY9[[9C01 - Chemical Reactions
Raw Score]]),_xlfn.STDEV.P(tblY9[[9C01 - Chemical Reactions
Raw Score]])),9),_Stanine,2),5),"")</f>
        <v>7</v>
      </c>
      <c r="R73" s="66" t="n">
        <v>24</v>
      </c>
      <c r="S73" s="67">
        <f>IF(ISNUMBER(tblY9[[#This Row],[9P01 - Electricity
Raw Score]]),IFERROR(VLOOKUP(ROUND(STANDARDIZE(tblY9[[#This Row],[9P01 - Electricity
Raw Score]],AVERAGE(tblY9[[9P01 - Electricity
Raw Score]]),_xlfn.STDEV.P(tblY9[[9P01 - Electricity
Raw Score]])),9),_Stanine,2),5),"")</f>
        <v>6</v>
      </c>
      <c r="T73" s="66" t="n">
        <v>22</v>
      </c>
      <c r="U73" s="67">
        <f>IF(ISNUMBER(tblY9[[#This Row],[9B02 - Ecology
Raw Score]]),IFERROR(VLOOKUP(ROUND(STANDARDIZE(tblY9[[#This Row],[9B02 - Ecology
Raw Score]],AVERAGE(tblY9[[9B02 - Ecology
Raw Score]]),_xlfn.STDEV.P(tblY9[[9B02 - Ecology
Raw Score]])),9),_Stanine,2),5),"")</f>
        <v>7</v>
      </c>
    </row>
    <row r="74">
      <c r="A74" s="65" t="inlineStr">
        <is>
          <t>X904011377301</t>
        </is>
      </c>
      <c r="B74" s="65" t="inlineStr">
        <is>
          <t>Green</t>
        </is>
      </c>
      <c r="C74" s="65" t="inlineStr">
        <is>
          <t>Reuben</t>
        </is>
      </c>
      <c r="D74" s="66" t="inlineStr">
        <is>
          <t>F</t>
        </is>
      </c>
      <c r="E74" s="66" t="n"/>
      <c r="F74" s="66" t="inlineStr">
        <is>
          <t>N</t>
        </is>
      </c>
      <c r="G74" s="34" t="n">
        <v>88.3</v>
      </c>
      <c r="H74" s="34" t="n">
        <v>103</v>
      </c>
      <c r="I74" s="67">
        <f>IF(ISNUMBER(tblY9[[#This Row],[Avg KS2]]),IFERROR(VLOOKUP(ROUND(STANDARDIZE(tblY9[[#This Row],[Avg KS2]],AVERAGE(tblY9[[Avg KS2]]),_xlfn.STDEV.P(tblY9[[Avg KS2]])),9),_Stanine,2),5),"")</f>
        <v>4</v>
      </c>
      <c r="J74" s="66" t="inlineStr">
        <is>
          <t>9B/Sc1</t>
        </is>
      </c>
      <c r="K74" s="67">
        <f>IF(tblY9[[#This Row],[Preferred Last name]]="","",COUNTIFS($N$1:$ZZ$1,"*"&amp;CHAR(10)&amp;"Stanine",$N74:$ZZ74,"&gt;=1"))</f>
        <v>4</v>
      </c>
      <c r="L74" s="68">
        <f>IFERROR(AVERAGEIF($N$1:$ZZ$1,"*"&amp;CHAR(10)&amp;"Stanine",$N74:$ZZ74),"")</f>
        <v>5</v>
      </c>
      <c r="M74" s="69">
        <f>IF(AND(ISNUMBER(tblY9[[#This Row],[Mean Stanine]]),ISNUMBER(tblY9[[#This Row],[Avg KS2 Band]]),ISNUMBER(SlopeY9)),tblY9[[#This Row],[Mean Stanine]]-(InterceptY9+SlopeY9*tblY9[[#This Row],[Avg KS2 Band]]),"")</f>
        <v>0.689843017806935</v>
      </c>
      <c r="N74" s="66" t="n">
        <v>17</v>
      </c>
      <c r="O74" s="67">
        <f>IF(ISNUMBER(tblY9[[#This Row],[9B01 - Genetics
Raw Score]]),IFERROR(VLOOKUP(ROUND(STANDARDIZE(tblY9[[#This Row],[9B01 - Genetics
Raw Score]],AVERAGE(tblY9[[9B01 - Genetics
Raw Score]]),_xlfn.STDEV.P(tblY9[[9B01 - Genetics
Raw Score]])),9),_Stanine,2),5),"")</f>
        <v>4</v>
      </c>
      <c r="P74" s="66" t="n">
        <v>23</v>
      </c>
      <c r="Q74" s="67">
        <f>IF(ISNUMBER(tblY9[[#This Row],[9C01 - Chemical Reactions
Raw Score]]),IFERROR(VLOOKUP(ROUND(STANDARDIZE(tblY9[[#This Row],[9C01 - Chemical Reactions
Raw Score]],AVERAGE(tblY9[[9C01 - Chemical Reactions
Raw Score]]),_xlfn.STDEV.P(tblY9[[9C01 - Chemical Reactions
Raw Score]])),9),_Stanine,2),5),"")</f>
        <v>6</v>
      </c>
      <c r="R74" s="66" t="n">
        <v>18</v>
      </c>
      <c r="S74" s="67">
        <f>IF(ISNUMBER(tblY9[[#This Row],[9P01 - Electricity
Raw Score]]),IFERROR(VLOOKUP(ROUND(STANDARDIZE(tblY9[[#This Row],[9P01 - Electricity
Raw Score]],AVERAGE(tblY9[[9P01 - Electricity
Raw Score]]),_xlfn.STDEV.P(tblY9[[9P01 - Electricity
Raw Score]])),9),_Stanine,2),5),"")</f>
        <v>4</v>
      </c>
      <c r="T74" s="66" t="n">
        <v>19</v>
      </c>
      <c r="U74" s="67">
        <f>IF(ISNUMBER(tblY9[[#This Row],[9B02 - Ecology
Raw Score]]),IFERROR(VLOOKUP(ROUND(STANDARDIZE(tblY9[[#This Row],[9B02 - Ecology
Raw Score]],AVERAGE(tblY9[[9B02 - Ecology
Raw Score]]),_xlfn.STDEV.P(tblY9[[9B02 - Ecology
Raw Score]])),9),_Stanine,2),5),"")</f>
        <v>6</v>
      </c>
    </row>
    <row r="75">
      <c r="A75" s="65" t="inlineStr">
        <is>
          <t>X901857696116</t>
        </is>
      </c>
      <c r="B75" s="65" t="inlineStr">
        <is>
          <t>Griffiths</t>
        </is>
      </c>
      <c r="C75" s="65" t="inlineStr">
        <is>
          <t>Maya</t>
        </is>
      </c>
      <c r="D75" s="66" t="inlineStr">
        <is>
          <t>F</t>
        </is>
      </c>
      <c r="E75" s="66" t="n"/>
      <c r="F75" s="66" t="inlineStr">
        <is>
          <t>N</t>
        </is>
      </c>
      <c r="G75" s="34" t="n">
        <v>88.90000000000001</v>
      </c>
      <c r="H75" s="34" t="n">
        <v>109</v>
      </c>
      <c r="I75" s="67">
        <f>IF(ISNUMBER(tblY9[[#This Row],[Avg KS2]]),IFERROR(VLOOKUP(ROUND(STANDARDIZE(tblY9[[#This Row],[Avg KS2]],AVERAGE(tblY9[[Avg KS2]]),_xlfn.STDEV.P(tblY9[[Avg KS2]])),9),_Stanine,2),5),"")</f>
        <v>6</v>
      </c>
      <c r="J75" s="66" t="inlineStr">
        <is>
          <t>9B/Sc1</t>
        </is>
      </c>
      <c r="K75" s="67">
        <f>IF(tblY9[[#This Row],[Preferred Last name]]="","",COUNTIFS($N$1:$ZZ$1,"*"&amp;CHAR(10)&amp;"Stanine",$N75:$ZZ75,"&gt;=1"))</f>
        <v>3</v>
      </c>
      <c r="L75" s="68">
        <f>IFERROR(AVERAGEIF($N$1:$ZZ$1,"*"&amp;CHAR(10)&amp;"Stanine",$N75:$ZZ75),"")</f>
        <v>5.66666666666667</v>
      </c>
      <c r="M75" s="69">
        <f>IF(AND(ISNUMBER(tblY9[[#This Row],[Mean Stanine]]),ISNUMBER(tblY9[[#This Row],[Avg KS2 Band]]),ISNUMBER(SlopeY9)),tblY9[[#This Row],[Mean Stanine]]-(InterceptY9+SlopeY9*tblY9[[#This Row],[Avg KS2 Band]]),"")</f>
        <v>-0.170317869415807</v>
      </c>
      <c r="N75" s="66" t="inlineStr">
        <is>
          <t>A</t>
        </is>
      </c>
      <c r="O75" s="67" t="str">
        <f>IF(ISNUMBER(tblY9[[#This Row],[9B01 - Genetics
Raw Score]]),IFERROR(VLOOKUP(ROUND(STANDARDIZE(tblY9[[#This Row],[9B01 - Genetics
Raw Score]],AVERAGE(tblY9[[9B01 - Genetics
Raw Score]]),_xlfn.STDEV.P(tblY9[[9B01 - Genetics
Raw Score]])),9),_Stanine,2),5),"")</f>
        <v/>
      </c>
      <c r="P75" s="66" t="n">
        <v>24</v>
      </c>
      <c r="Q75" s="67">
        <f>IF(ISNUMBER(tblY9[[#This Row],[9C01 - Chemical Reactions
Raw Score]]),IFERROR(VLOOKUP(ROUND(STANDARDIZE(tblY9[[#This Row],[9C01 - Chemical Reactions
Raw Score]],AVERAGE(tblY9[[9C01 - Chemical Reactions
Raw Score]]),_xlfn.STDEV.P(tblY9[[9C01 - Chemical Reactions
Raw Score]])),9),_Stanine,2),5),"")</f>
        <v>6</v>
      </c>
      <c r="R75" s="66" t="n">
        <v>21</v>
      </c>
      <c r="S75" s="67">
        <f>IF(ISNUMBER(tblY9[[#This Row],[9P01 - Electricity
Raw Score]]),IFERROR(VLOOKUP(ROUND(STANDARDIZE(tblY9[[#This Row],[9P01 - Electricity
Raw Score]],AVERAGE(tblY9[[9P01 - Electricity
Raw Score]]),_xlfn.STDEV.P(tblY9[[9P01 - Electricity
Raw Score]])),9),_Stanine,2),5),"")</f>
        <v>5</v>
      </c>
      <c r="T75" s="66" t="n">
        <v>19</v>
      </c>
      <c r="U75" s="67">
        <f>IF(ISNUMBER(tblY9[[#This Row],[9B02 - Ecology
Raw Score]]),IFERROR(VLOOKUP(ROUND(STANDARDIZE(tblY9[[#This Row],[9B02 - Ecology
Raw Score]],AVERAGE(tblY9[[9B02 - Ecology
Raw Score]]),_xlfn.STDEV.P(tblY9[[9B02 - Ecology
Raw Score]])),9),_Stanine,2),5),"")</f>
        <v>6</v>
      </c>
    </row>
    <row r="76">
      <c r="A76" s="65" t="inlineStr">
        <is>
          <t>X906718174167</t>
        </is>
      </c>
      <c r="B76" s="65" t="inlineStr">
        <is>
          <t>Hall</t>
        </is>
      </c>
      <c r="C76" s="65" t="inlineStr">
        <is>
          <t>Hollie</t>
        </is>
      </c>
      <c r="D76" s="66" t="inlineStr">
        <is>
          <t>F</t>
        </is>
      </c>
      <c r="E76" s="66" t="inlineStr">
        <is>
          <t>N</t>
        </is>
      </c>
      <c r="F76" s="66" t="inlineStr">
        <is>
          <t>N</t>
        </is>
      </c>
      <c r="G76" s="34" t="n">
        <v>88.90000000000001</v>
      </c>
      <c r="H76" s="34" t="n">
        <v>115.5</v>
      </c>
      <c r="I76" s="67">
        <f>IF(ISNUMBER(tblY9[[#This Row],[Avg KS2]]),IFERROR(VLOOKUP(ROUND(STANDARDIZE(tblY9[[#This Row],[Avg KS2]],AVERAGE(tblY9[[Avg KS2]]),_xlfn.STDEV.P(tblY9[[Avg KS2]])),9),_Stanine,2),5),"")</f>
        <v>8</v>
      </c>
      <c r="J76" s="66" t="inlineStr">
        <is>
          <t>9B/Sc1</t>
        </is>
      </c>
      <c r="K76" s="67">
        <f>IF(tblY9[[#This Row],[Preferred Last name]]="","",COUNTIFS($N$1:$ZZ$1,"*"&amp;CHAR(10)&amp;"Stanine",$N76:$ZZ76,"&gt;=1"))</f>
        <v>4</v>
      </c>
      <c r="L76" s="68">
        <f>IFERROR(AVERAGEIF($N$1:$ZZ$1,"*"&amp;CHAR(10)&amp;"Stanine",$N76:$ZZ76),"")</f>
        <v>8</v>
      </c>
      <c r="M76" s="69">
        <f>IF(AND(ISNUMBER(tblY9[[#This Row],[Mean Stanine]]),ISNUMBER(tblY9[[#This Row],[Avg KS2 Band]]),ISNUMBER(SlopeY9)),tblY9[[#This Row],[Mean Stanine]]-(InterceptY9+SlopeY9*tblY9[[#This Row],[Avg KS2 Band]]),"")</f>
        <v>0.636187910028117</v>
      </c>
      <c r="N76" s="66" t="n">
        <v>29</v>
      </c>
      <c r="O76" s="67">
        <f>IF(ISNUMBER(tblY9[[#This Row],[9B01 - Genetics
Raw Score]]),IFERROR(VLOOKUP(ROUND(STANDARDIZE(tblY9[[#This Row],[9B01 - Genetics
Raw Score]],AVERAGE(tblY9[[9B01 - Genetics
Raw Score]]),_xlfn.STDEV.P(tblY9[[9B01 - Genetics
Raw Score]])),9),_Stanine,2),5),"")</f>
        <v>8</v>
      </c>
      <c r="P76" s="66" t="n">
        <v>31</v>
      </c>
      <c r="Q76" s="67">
        <f>IF(ISNUMBER(tblY9[[#This Row],[9C01 - Chemical Reactions
Raw Score]]),IFERROR(VLOOKUP(ROUND(STANDARDIZE(tblY9[[#This Row],[9C01 - Chemical Reactions
Raw Score]],AVERAGE(tblY9[[9C01 - Chemical Reactions
Raw Score]]),_xlfn.STDEV.P(tblY9[[9C01 - Chemical Reactions
Raw Score]])),9),_Stanine,2),5),"")</f>
        <v>8</v>
      </c>
      <c r="R76" s="66" t="n">
        <v>29</v>
      </c>
      <c r="S76" s="67">
        <f>IF(ISNUMBER(tblY9[[#This Row],[9P01 - Electricity
Raw Score]]),IFERROR(VLOOKUP(ROUND(STANDARDIZE(tblY9[[#This Row],[9P01 - Electricity
Raw Score]],AVERAGE(tblY9[[9P01 - Electricity
Raw Score]]),_xlfn.STDEV.P(tblY9[[9P01 - Electricity
Raw Score]])),9),_Stanine,2),5),"")</f>
        <v>8</v>
      </c>
      <c r="T76" s="66" t="n">
        <v>24</v>
      </c>
      <c r="U76" s="67">
        <f>IF(ISNUMBER(tblY9[[#This Row],[9B02 - Ecology
Raw Score]]),IFERROR(VLOOKUP(ROUND(STANDARDIZE(tblY9[[#This Row],[9B02 - Ecology
Raw Score]],AVERAGE(tblY9[[9B02 - Ecology
Raw Score]]),_xlfn.STDEV.P(tblY9[[9B02 - Ecology
Raw Score]])),9),_Stanine,2),5),"")</f>
        <v>8</v>
      </c>
    </row>
    <row r="77">
      <c r="A77" s="65" t="inlineStr">
        <is>
          <t>X903703059405</t>
        </is>
      </c>
      <c r="B77" s="65" t="inlineStr">
        <is>
          <t>Harrison</t>
        </is>
      </c>
      <c r="C77" s="65" t="inlineStr">
        <is>
          <t>Freya</t>
        </is>
      </c>
      <c r="D77" s="66" t="inlineStr">
        <is>
          <t>M</t>
        </is>
      </c>
      <c r="E77" s="66" t="inlineStr">
        <is>
          <t>N</t>
        </is>
      </c>
      <c r="F77" s="66" t="inlineStr">
        <is>
          <t>N</t>
        </is>
      </c>
      <c r="G77" s="34" t="n">
        <v>94.09999999999999</v>
      </c>
      <c r="H77" s="34" t="n">
        <v>105</v>
      </c>
      <c r="I77" s="67">
        <f>IF(ISNUMBER(tblY9[[#This Row],[Avg KS2]]),IFERROR(VLOOKUP(ROUND(STANDARDIZE(tblY9[[#This Row],[Avg KS2]],AVERAGE(tblY9[[Avg KS2]]),_xlfn.STDEV.P(tblY9[[Avg KS2]])),9),_Stanine,2),5),"")</f>
        <v>4</v>
      </c>
      <c r="J77" s="66" t="inlineStr">
        <is>
          <t>9B/Sc1</t>
        </is>
      </c>
      <c r="K77" s="67">
        <f>IF(tblY9[[#This Row],[Preferred Last name]]="","",COUNTIFS($N$1:$ZZ$1,"*"&amp;CHAR(10)&amp;"Stanine",$N77:$ZZ77,"&gt;=1"))</f>
        <v>4</v>
      </c>
      <c r="L77" s="68">
        <f>IFERROR(AVERAGEIF($N$1:$ZZ$1,"*"&amp;CHAR(10)&amp;"Stanine",$N77:$ZZ77),"")</f>
        <v>3.75</v>
      </c>
      <c r="M77" s="69">
        <f>IF(AND(ISNUMBER(tblY9[[#This Row],[Mean Stanine]]),ISNUMBER(tblY9[[#This Row],[Avg KS2 Band]]),ISNUMBER(SlopeY9)),tblY9[[#This Row],[Mean Stanine]]-(InterceptY9+SlopeY9*tblY9[[#This Row],[Avg KS2 Band]]),"")</f>
        <v>-0.560156982193065</v>
      </c>
      <c r="N77" s="66" t="n">
        <v>16</v>
      </c>
      <c r="O77" s="67">
        <f>IF(ISNUMBER(tblY9[[#This Row],[9B01 - Genetics
Raw Score]]),IFERROR(VLOOKUP(ROUND(STANDARDIZE(tblY9[[#This Row],[9B01 - Genetics
Raw Score]],AVERAGE(tblY9[[9B01 - Genetics
Raw Score]]),_xlfn.STDEV.P(tblY9[[9B01 - Genetics
Raw Score]])),9),_Stanine,2),5),"")</f>
        <v>4</v>
      </c>
      <c r="P77" s="66" t="n">
        <v>17</v>
      </c>
      <c r="Q77" s="67">
        <f>IF(ISNUMBER(tblY9[[#This Row],[9C01 - Chemical Reactions
Raw Score]]),IFERROR(VLOOKUP(ROUND(STANDARDIZE(tblY9[[#This Row],[9C01 - Chemical Reactions
Raw Score]],AVERAGE(tblY9[[9C01 - Chemical Reactions
Raw Score]]),_xlfn.STDEV.P(tblY9[[9C01 - Chemical Reactions
Raw Score]])),9),_Stanine,2),5),"")</f>
        <v>4</v>
      </c>
      <c r="R77" s="66" t="n">
        <v>18</v>
      </c>
      <c r="S77" s="67">
        <f>IF(ISNUMBER(tblY9[[#This Row],[9P01 - Electricity
Raw Score]]),IFERROR(VLOOKUP(ROUND(STANDARDIZE(tblY9[[#This Row],[9P01 - Electricity
Raw Score]],AVERAGE(tblY9[[9P01 - Electricity
Raw Score]]),_xlfn.STDEV.P(tblY9[[9P01 - Electricity
Raw Score]])),9),_Stanine,2),5),"")</f>
        <v>4</v>
      </c>
      <c r="T77" s="66" t="n">
        <v>13</v>
      </c>
      <c r="U77" s="67">
        <f>IF(ISNUMBER(tblY9[[#This Row],[9B02 - Ecology
Raw Score]]),IFERROR(VLOOKUP(ROUND(STANDARDIZE(tblY9[[#This Row],[9B02 - Ecology
Raw Score]],AVERAGE(tblY9[[9B02 - Ecology
Raw Score]]),_xlfn.STDEV.P(tblY9[[9B02 - Ecology
Raw Score]])),9),_Stanine,2),5),"")</f>
        <v>3</v>
      </c>
    </row>
    <row r="78">
      <c r="A78" s="65" t="inlineStr">
        <is>
          <t>X906341751551</t>
        </is>
      </c>
      <c r="B78" s="65" t="inlineStr">
        <is>
          <t>Hughes</t>
        </is>
      </c>
      <c r="C78" s="65" t="inlineStr">
        <is>
          <t>George</t>
        </is>
      </c>
      <c r="D78" s="66" t="inlineStr">
        <is>
          <t>F</t>
        </is>
      </c>
      <c r="E78" s="66" t="inlineStr">
        <is>
          <t>K</t>
        </is>
      </c>
      <c r="F78" s="66" t="inlineStr">
        <is>
          <t>Y</t>
        </is>
      </c>
      <c r="G78" s="34" t="n">
        <v>92.5</v>
      </c>
      <c r="H78" s="34" t="n">
        <v>114.5</v>
      </c>
      <c r="I78" s="67">
        <f>IF(ISNUMBER(tblY9[[#This Row],[Avg KS2]]),IFERROR(VLOOKUP(ROUND(STANDARDIZE(tblY9[[#This Row],[Avg KS2]],AVERAGE(tblY9[[Avg KS2]]),_xlfn.STDEV.P(tblY9[[Avg KS2]])),9),_Stanine,2),5),"")</f>
        <v>8</v>
      </c>
      <c r="J78" s="66" t="inlineStr">
        <is>
          <t>9B/Sc1</t>
        </is>
      </c>
      <c r="K78" s="67">
        <f>IF(tblY9[[#This Row],[Preferred Last name]]="","",COUNTIFS($N$1:$ZZ$1,"*"&amp;CHAR(10)&amp;"Stanine",$N78:$ZZ78,"&gt;=1"))</f>
        <v>4</v>
      </c>
      <c r="L78" s="68">
        <f>IFERROR(AVERAGEIF($N$1:$ZZ$1,"*"&amp;CHAR(10)&amp;"Stanine",$N78:$ZZ78),"")</f>
        <v>7.5</v>
      </c>
      <c r="M78" s="69">
        <f>IF(AND(ISNUMBER(tblY9[[#This Row],[Mean Stanine]]),ISNUMBER(tblY9[[#This Row],[Avg KS2 Band]]),ISNUMBER(SlopeY9)),tblY9[[#This Row],[Mean Stanine]]-(InterceptY9+SlopeY9*tblY9[[#This Row],[Avg KS2 Band]]),"")</f>
        <v>0.136187910028116</v>
      </c>
      <c r="N78" s="66" t="n">
        <v>26</v>
      </c>
      <c r="O78" s="67">
        <f>IF(ISNUMBER(tblY9[[#This Row],[9B01 - Genetics
Raw Score]]),IFERROR(VLOOKUP(ROUND(STANDARDIZE(tblY9[[#This Row],[9B01 - Genetics
Raw Score]],AVERAGE(tblY9[[9B01 - Genetics
Raw Score]]),_xlfn.STDEV.P(tblY9[[9B01 - Genetics
Raw Score]])),9),_Stanine,2),5),"")</f>
        <v>7</v>
      </c>
      <c r="P78" s="66" t="n">
        <v>29</v>
      </c>
      <c r="Q78" s="67">
        <f>IF(ISNUMBER(tblY9[[#This Row],[9C01 - Chemical Reactions
Raw Score]]),IFERROR(VLOOKUP(ROUND(STANDARDIZE(tblY9[[#This Row],[9C01 - Chemical Reactions
Raw Score]],AVERAGE(tblY9[[9C01 - Chemical Reactions
Raw Score]]),_xlfn.STDEV.P(tblY9[[9C01 - Chemical Reactions
Raw Score]])),9),_Stanine,2),5),"")</f>
        <v>8</v>
      </c>
      <c r="R78" s="66" t="n">
        <v>27</v>
      </c>
      <c r="S78" s="67">
        <f>IF(ISNUMBER(tblY9[[#This Row],[9P01 - Electricity
Raw Score]]),IFERROR(VLOOKUP(ROUND(STANDARDIZE(tblY9[[#This Row],[9P01 - Electricity
Raw Score]],AVERAGE(tblY9[[9P01 - Electricity
Raw Score]]),_xlfn.STDEV.P(tblY9[[9P01 - Electricity
Raw Score]])),9),_Stanine,2),5),"")</f>
        <v>8</v>
      </c>
      <c r="T78" s="66" t="n">
        <v>22</v>
      </c>
      <c r="U78" s="67">
        <f>IF(ISNUMBER(tblY9[[#This Row],[9B02 - Ecology
Raw Score]]),IFERROR(VLOOKUP(ROUND(STANDARDIZE(tblY9[[#This Row],[9B02 - Ecology
Raw Score]],AVERAGE(tblY9[[9B02 - Ecology
Raw Score]]),_xlfn.STDEV.P(tblY9[[9B02 - Ecology
Raw Score]])),9),_Stanine,2),5),"")</f>
        <v>7</v>
      </c>
    </row>
    <row r="79">
      <c r="A79" s="65" t="inlineStr">
        <is>
          <t>X905327493648</t>
        </is>
      </c>
      <c r="B79" s="65" t="inlineStr">
        <is>
          <t>Hughes</t>
        </is>
      </c>
      <c r="C79" s="65" t="inlineStr">
        <is>
          <t>Ivy</t>
        </is>
      </c>
      <c r="D79" s="66" t="inlineStr">
        <is>
          <t>M</t>
        </is>
      </c>
      <c r="E79" s="66" t="n"/>
      <c r="F79" s="66" t="inlineStr">
        <is>
          <t>Y</t>
        </is>
      </c>
      <c r="G79" s="34" t="n">
        <v>97.90000000000001</v>
      </c>
      <c r="H79" s="34" t="n">
        <v>114</v>
      </c>
      <c r="I79" s="67">
        <f>IF(ISNUMBER(tblY9[[#This Row],[Avg KS2]]),IFERROR(VLOOKUP(ROUND(STANDARDIZE(tblY9[[#This Row],[Avg KS2]],AVERAGE(tblY9[[Avg KS2]]),_xlfn.STDEV.P(tblY9[[Avg KS2]])),9),_Stanine,2),5),"")</f>
        <v>8</v>
      </c>
      <c r="J79" s="66" t="inlineStr">
        <is>
          <t>9B/Sc1</t>
        </is>
      </c>
      <c r="K79" s="67">
        <f>IF(tblY9[[#This Row],[Preferred Last name]]="","",COUNTIFS($N$1:$ZZ$1,"*"&amp;CHAR(10)&amp;"Stanine",$N79:$ZZ79,"&gt;=1"))</f>
        <v>4</v>
      </c>
      <c r="L79" s="68">
        <f>IFERROR(AVERAGEIF($N$1:$ZZ$1,"*"&amp;CHAR(10)&amp;"Stanine",$N79:$ZZ79),"")</f>
        <v>7</v>
      </c>
      <c r="M79" s="69">
        <f>IF(AND(ISNUMBER(tblY9[[#This Row],[Mean Stanine]]),ISNUMBER(tblY9[[#This Row],[Avg KS2 Band]]),ISNUMBER(SlopeY9)),tblY9[[#This Row],[Mean Stanine]]-(InterceptY9+SlopeY9*tblY9[[#This Row],[Avg KS2 Band]]),"")</f>
        <v>-0.363812089971884</v>
      </c>
      <c r="N79" s="66" t="n">
        <v>27</v>
      </c>
      <c r="O79" s="67">
        <f>IF(ISNUMBER(tblY9[[#This Row],[9B01 - Genetics
Raw Score]]),IFERROR(VLOOKUP(ROUND(STANDARDIZE(tblY9[[#This Row],[9B01 - Genetics
Raw Score]],AVERAGE(tblY9[[9B01 - Genetics
Raw Score]]),_xlfn.STDEV.P(tblY9[[9B01 - Genetics
Raw Score]])),9),_Stanine,2),5),"")</f>
        <v>7</v>
      </c>
      <c r="P79" s="66" t="n">
        <v>28</v>
      </c>
      <c r="Q79" s="67">
        <f>IF(ISNUMBER(tblY9[[#This Row],[9C01 - Chemical Reactions
Raw Score]]),IFERROR(VLOOKUP(ROUND(STANDARDIZE(tblY9[[#This Row],[9C01 - Chemical Reactions
Raw Score]],AVERAGE(tblY9[[9C01 - Chemical Reactions
Raw Score]]),_xlfn.STDEV.P(tblY9[[9C01 - Chemical Reactions
Raw Score]])),9),_Stanine,2),5),"")</f>
        <v>7</v>
      </c>
      <c r="R79" s="66" t="n">
        <v>26</v>
      </c>
      <c r="S79" s="67">
        <f>IF(ISNUMBER(tblY9[[#This Row],[9P01 - Electricity
Raw Score]]),IFERROR(VLOOKUP(ROUND(STANDARDIZE(tblY9[[#This Row],[9P01 - Electricity
Raw Score]],AVERAGE(tblY9[[9P01 - Electricity
Raw Score]]),_xlfn.STDEV.P(tblY9[[9P01 - Electricity
Raw Score]])),9),_Stanine,2),5),"")</f>
        <v>7</v>
      </c>
      <c r="T79" s="66" t="n">
        <v>22</v>
      </c>
      <c r="U79" s="67">
        <f>IF(ISNUMBER(tblY9[[#This Row],[9B02 - Ecology
Raw Score]]),IFERROR(VLOOKUP(ROUND(STANDARDIZE(tblY9[[#This Row],[9B02 - Ecology
Raw Score]],AVERAGE(tblY9[[9B02 - Ecology
Raw Score]]),_xlfn.STDEV.P(tblY9[[9B02 - Ecology
Raw Score]])),9),_Stanine,2),5),"")</f>
        <v>7</v>
      </c>
    </row>
    <row r="80">
      <c r="A80" s="65" t="inlineStr">
        <is>
          <t>X906112019702</t>
        </is>
      </c>
      <c r="B80" s="65" t="inlineStr">
        <is>
          <t>Hughes</t>
        </is>
      </c>
      <c r="C80" s="65" t="inlineStr">
        <is>
          <t>Priya</t>
        </is>
      </c>
      <c r="D80" s="66" t="inlineStr">
        <is>
          <t>F</t>
        </is>
      </c>
      <c r="E80" s="66" t="inlineStr">
        <is>
          <t>N</t>
        </is>
      </c>
      <c r="F80" s="66" t="inlineStr">
        <is>
          <t>Y</t>
        </is>
      </c>
      <c r="G80" s="34" t="n">
        <v>76.7</v>
      </c>
      <c r="H80" s="34" t="n">
        <v>110</v>
      </c>
      <c r="I80" s="67">
        <f>IF(ISNUMBER(tblY9[[#This Row],[Avg KS2]]),IFERROR(VLOOKUP(ROUND(STANDARDIZE(tblY9[[#This Row],[Avg KS2]],AVERAGE(tblY9[[Avg KS2]]),_xlfn.STDEV.P(tblY9[[Avg KS2]])),9),_Stanine,2),5),"")</f>
        <v>6</v>
      </c>
      <c r="J80" s="66" t="inlineStr">
        <is>
          <t>9B/Sc1</t>
        </is>
      </c>
      <c r="K80" s="67">
        <f>IF(tblY9[[#This Row],[Preferred Last name]]="","",COUNTIFS($N$1:$ZZ$1,"*"&amp;CHAR(10)&amp;"Stanine",$N80:$ZZ80,"&gt;=1"))</f>
        <v>4</v>
      </c>
      <c r="L80" s="68">
        <f>IFERROR(AVERAGEIF($N$1:$ZZ$1,"*"&amp;CHAR(10)&amp;"Stanine",$N80:$ZZ80),"")</f>
        <v>7</v>
      </c>
      <c r="M80" s="69">
        <f>IF(AND(ISNUMBER(tblY9[[#This Row],[Mean Stanine]]),ISNUMBER(tblY9[[#This Row],[Avg KS2 Band]]),ISNUMBER(SlopeY9)),tblY9[[#This Row],[Mean Stanine]]-(InterceptY9+SlopeY9*tblY9[[#This Row],[Avg KS2 Band]]),"")</f>
        <v>1.16301546391753</v>
      </c>
      <c r="N80" s="66" t="n">
        <v>25</v>
      </c>
      <c r="O80" s="67">
        <f>IF(ISNUMBER(tblY9[[#This Row],[9B01 - Genetics
Raw Score]]),IFERROR(VLOOKUP(ROUND(STANDARDIZE(tblY9[[#This Row],[9B01 - Genetics
Raw Score]],AVERAGE(tblY9[[9B01 - Genetics
Raw Score]]),_xlfn.STDEV.P(tblY9[[9B01 - Genetics
Raw Score]])),9),_Stanine,2),5),"")</f>
        <v>7</v>
      </c>
      <c r="P80" s="66" t="n">
        <v>26</v>
      </c>
      <c r="Q80" s="67">
        <f>IF(ISNUMBER(tblY9[[#This Row],[9C01 - Chemical Reactions
Raw Score]]),IFERROR(VLOOKUP(ROUND(STANDARDIZE(tblY9[[#This Row],[9C01 - Chemical Reactions
Raw Score]],AVERAGE(tblY9[[9C01 - Chemical Reactions
Raw Score]]),_xlfn.STDEV.P(tblY9[[9C01 - Chemical Reactions
Raw Score]])),9),_Stanine,2),5),"")</f>
        <v>7</v>
      </c>
      <c r="R80" s="66" t="n">
        <v>26</v>
      </c>
      <c r="S80" s="67">
        <f>IF(ISNUMBER(tblY9[[#This Row],[9P01 - Electricity
Raw Score]]),IFERROR(VLOOKUP(ROUND(STANDARDIZE(tblY9[[#This Row],[9P01 - Electricity
Raw Score]],AVERAGE(tblY9[[9P01 - Electricity
Raw Score]]),_xlfn.STDEV.P(tblY9[[9P01 - Electricity
Raw Score]])),9),_Stanine,2),5),"")</f>
        <v>7</v>
      </c>
      <c r="T80" s="66" t="n">
        <v>23</v>
      </c>
      <c r="U80" s="67">
        <f>IF(ISNUMBER(tblY9[[#This Row],[9B02 - Ecology
Raw Score]]),IFERROR(VLOOKUP(ROUND(STANDARDIZE(tblY9[[#This Row],[9B02 - Ecology
Raw Score]],AVERAGE(tblY9[[9B02 - Ecology
Raw Score]]),_xlfn.STDEV.P(tblY9[[9B02 - Ecology
Raw Score]])),9),_Stanine,2),5),"")</f>
        <v>7</v>
      </c>
    </row>
    <row r="81">
      <c r="A81" s="65" t="inlineStr">
        <is>
          <t>X905467419661</t>
        </is>
      </c>
      <c r="B81" s="65" t="inlineStr">
        <is>
          <t>Hussain</t>
        </is>
      </c>
      <c r="C81" s="65" t="inlineStr">
        <is>
          <t>Arthur</t>
        </is>
      </c>
      <c r="D81" s="66" t="inlineStr">
        <is>
          <t>F</t>
        </is>
      </c>
      <c r="E81" s="66" t="inlineStr">
        <is>
          <t>N</t>
        </is>
      </c>
      <c r="F81" s="66" t="inlineStr">
        <is>
          <t>Y</t>
        </is>
      </c>
      <c r="G81" s="34" t="n">
        <v>90.3</v>
      </c>
      <c r="H81" s="34" t="n">
        <v>108.5</v>
      </c>
      <c r="I81" s="67">
        <f>IF(ISNUMBER(tblY9[[#This Row],[Avg KS2]]),IFERROR(VLOOKUP(ROUND(STANDARDIZE(tblY9[[#This Row],[Avg KS2]],AVERAGE(tblY9[[Avg KS2]]),_xlfn.STDEV.P(tblY9[[Avg KS2]])),9),_Stanine,2),5),"")</f>
        <v>6</v>
      </c>
      <c r="J81" s="66" t="inlineStr">
        <is>
          <t>9B/Sc1</t>
        </is>
      </c>
      <c r="K81" s="67">
        <f>IF(tblY9[[#This Row],[Preferred Last name]]="","",COUNTIFS($N$1:$ZZ$1,"*"&amp;CHAR(10)&amp;"Stanine",$N81:$ZZ81,"&gt;=1"))</f>
        <v>4</v>
      </c>
      <c r="L81" s="68">
        <f>IFERROR(AVERAGEIF($N$1:$ZZ$1,"*"&amp;CHAR(10)&amp;"Stanine",$N81:$ZZ81),"")</f>
        <v>6</v>
      </c>
      <c r="M81" s="69">
        <f>IF(AND(ISNUMBER(tblY9[[#This Row],[Mean Stanine]]),ISNUMBER(tblY9[[#This Row],[Avg KS2 Band]]),ISNUMBER(SlopeY9)),tblY9[[#This Row],[Mean Stanine]]-(InterceptY9+SlopeY9*tblY9[[#This Row],[Avg KS2 Band]]),"")</f>
        <v>0.163015463917526</v>
      </c>
      <c r="N81" s="66" t="n">
        <v>22</v>
      </c>
      <c r="O81" s="67">
        <f>IF(ISNUMBER(tblY9[[#This Row],[9B01 - Genetics
Raw Score]]),IFERROR(VLOOKUP(ROUND(STANDARDIZE(tblY9[[#This Row],[9B01 - Genetics
Raw Score]],AVERAGE(tblY9[[9B01 - Genetics
Raw Score]]),_xlfn.STDEV.P(tblY9[[9B01 - Genetics
Raw Score]])),9),_Stanine,2),5),"")</f>
        <v>6</v>
      </c>
      <c r="P81" s="66" t="n">
        <v>23</v>
      </c>
      <c r="Q81" s="67">
        <f>IF(ISNUMBER(tblY9[[#This Row],[9C01 - Chemical Reactions
Raw Score]]),IFERROR(VLOOKUP(ROUND(STANDARDIZE(tblY9[[#This Row],[9C01 - Chemical Reactions
Raw Score]],AVERAGE(tblY9[[9C01 - Chemical Reactions
Raw Score]]),_xlfn.STDEV.P(tblY9[[9C01 - Chemical Reactions
Raw Score]])),9),_Stanine,2),5),"")</f>
        <v>6</v>
      </c>
      <c r="R81" s="66" t="n">
        <v>22</v>
      </c>
      <c r="S81" s="67">
        <f>IF(ISNUMBER(tblY9[[#This Row],[9P01 - Electricity
Raw Score]]),IFERROR(VLOOKUP(ROUND(STANDARDIZE(tblY9[[#This Row],[9P01 - Electricity
Raw Score]],AVERAGE(tblY9[[9P01 - Electricity
Raw Score]]),_xlfn.STDEV.P(tblY9[[9P01 - Electricity
Raw Score]])),9),_Stanine,2),5),"")</f>
        <v>6</v>
      </c>
      <c r="T81" s="66" t="n">
        <v>19</v>
      </c>
      <c r="U81" s="67">
        <f>IF(ISNUMBER(tblY9[[#This Row],[9B02 - Ecology
Raw Score]]),IFERROR(VLOOKUP(ROUND(STANDARDIZE(tblY9[[#This Row],[9B02 - Ecology
Raw Score]],AVERAGE(tblY9[[9B02 - Ecology
Raw Score]]),_xlfn.STDEV.P(tblY9[[9B02 - Ecology
Raw Score]])),9),_Stanine,2),5),"")</f>
        <v>6</v>
      </c>
    </row>
    <row r="82">
      <c r="A82" s="65" t="inlineStr">
        <is>
          <t>X901160894773</t>
        </is>
      </c>
      <c r="B82" s="65" t="inlineStr">
        <is>
          <t>Hussain</t>
        </is>
      </c>
      <c r="C82" s="65" t="inlineStr">
        <is>
          <t>Reuben</t>
        </is>
      </c>
      <c r="D82" s="66" t="inlineStr">
        <is>
          <t>M</t>
        </is>
      </c>
      <c r="E82" s="66" t="inlineStr">
        <is>
          <t>N</t>
        </is>
      </c>
      <c r="F82" s="66" t="inlineStr">
        <is>
          <t>N</t>
        </is>
      </c>
      <c r="G82" s="34" t="n">
        <v>85.59999999999999</v>
      </c>
      <c r="H82" s="34" t="n">
        <v>108</v>
      </c>
      <c r="I82" s="67">
        <f>IF(ISNUMBER(tblY9[[#This Row],[Avg KS2]]),IFERROR(VLOOKUP(ROUND(STANDARDIZE(tblY9[[#This Row],[Avg KS2]],AVERAGE(tblY9[[Avg KS2]]),_xlfn.STDEV.P(tblY9[[Avg KS2]])),9),_Stanine,2),5),"")</f>
        <v>6</v>
      </c>
      <c r="J82" s="66" t="inlineStr">
        <is>
          <t>9B/Sc1</t>
        </is>
      </c>
      <c r="K82" s="67">
        <f>IF(tblY9[[#This Row],[Preferred Last name]]="","",COUNTIFS($N$1:$ZZ$1,"*"&amp;CHAR(10)&amp;"Stanine",$N82:$ZZ82,"&gt;=1"))</f>
        <v>3</v>
      </c>
      <c r="L82" s="68">
        <f>IFERROR(AVERAGEIF($N$1:$ZZ$1,"*"&amp;CHAR(10)&amp;"Stanine",$N82:$ZZ82),"")</f>
        <v>7.66666666666667</v>
      </c>
      <c r="M82" s="69">
        <f>IF(AND(ISNUMBER(tblY9[[#This Row],[Mean Stanine]]),ISNUMBER(tblY9[[#This Row],[Avg KS2 Band]]),ISNUMBER(SlopeY9)),tblY9[[#This Row],[Mean Stanine]]-(InterceptY9+SlopeY9*tblY9[[#This Row],[Avg KS2 Band]]),"")</f>
        <v>1.82968213058419</v>
      </c>
      <c r="N82" s="66" t="n">
        <v>28</v>
      </c>
      <c r="O82" s="67">
        <f>IF(ISNUMBER(tblY9[[#This Row],[9B01 - Genetics
Raw Score]]),IFERROR(VLOOKUP(ROUND(STANDARDIZE(tblY9[[#This Row],[9B01 - Genetics
Raw Score]],AVERAGE(tblY9[[9B01 - Genetics
Raw Score]]),_xlfn.STDEV.P(tblY9[[9B01 - Genetics
Raw Score]])),9),_Stanine,2),5),"")</f>
        <v>8</v>
      </c>
      <c r="P82" s="66" t="n">
        <v>29</v>
      </c>
      <c r="Q82" s="67">
        <f>IF(ISNUMBER(tblY9[[#This Row],[9C01 - Chemical Reactions
Raw Score]]),IFERROR(VLOOKUP(ROUND(STANDARDIZE(tblY9[[#This Row],[9C01 - Chemical Reactions
Raw Score]],AVERAGE(tblY9[[9C01 - Chemical Reactions
Raw Score]]),_xlfn.STDEV.P(tblY9[[9C01 - Chemical Reactions
Raw Score]])),9),_Stanine,2),5),"")</f>
        <v>8</v>
      </c>
      <c r="R82" s="66" t="inlineStr">
        <is>
          <t>A</t>
        </is>
      </c>
      <c r="S82" s="67" t="str">
        <f>IF(ISNUMBER(tblY9[[#This Row],[9P01 - Electricity
Raw Score]]),IFERROR(VLOOKUP(ROUND(STANDARDIZE(tblY9[[#This Row],[9P01 - Electricity
Raw Score]],AVERAGE(tblY9[[9P01 - Electricity
Raw Score]]),_xlfn.STDEV.P(tblY9[[9P01 - Electricity
Raw Score]])),9),_Stanine,2),5),"")</f>
        <v/>
      </c>
      <c r="T82" s="66" t="n">
        <v>22</v>
      </c>
      <c r="U82" s="67">
        <f>IF(ISNUMBER(tblY9[[#This Row],[9B02 - Ecology
Raw Score]]),IFERROR(VLOOKUP(ROUND(STANDARDIZE(tblY9[[#This Row],[9B02 - Ecology
Raw Score]],AVERAGE(tblY9[[9B02 - Ecology
Raw Score]]),_xlfn.STDEV.P(tblY9[[9B02 - Ecology
Raw Score]])),9),_Stanine,2),5),"")</f>
        <v>7</v>
      </c>
    </row>
    <row r="83">
      <c r="A83" s="65" t="inlineStr">
        <is>
          <t>X903618544484</t>
        </is>
      </c>
      <c r="B83" s="65" t="inlineStr">
        <is>
          <t>Hussain</t>
        </is>
      </c>
      <c r="C83" s="65" t="inlineStr">
        <is>
          <t>Zofia</t>
        </is>
      </c>
      <c r="D83" s="66" t="inlineStr">
        <is>
          <t>F</t>
        </is>
      </c>
      <c r="E83" s="66" t="inlineStr">
        <is>
          <t>N</t>
        </is>
      </c>
      <c r="F83" s="66" t="inlineStr">
        <is>
          <t>N</t>
        </is>
      </c>
      <c r="G83" s="34" t="n">
        <v>82.7</v>
      </c>
      <c r="H83" s="34" t="n">
        <v>119</v>
      </c>
      <c r="I83" s="67">
        <f>IF(ISNUMBER(tblY9[[#This Row],[Avg KS2]]),IFERROR(VLOOKUP(ROUND(STANDARDIZE(tblY9[[#This Row],[Avg KS2]],AVERAGE(tblY9[[Avg KS2]]),_xlfn.STDEV.P(tblY9[[Avg KS2]])),9),_Stanine,2),5),"")</f>
        <v>9</v>
      </c>
      <c r="J83" s="66" t="inlineStr">
        <is>
          <t>9B/Sc1</t>
        </is>
      </c>
      <c r="K83" s="67">
        <f>IF(tblY9[[#This Row],[Preferred Last name]]="","",COUNTIFS($N$1:$ZZ$1,"*"&amp;CHAR(10)&amp;"Stanine",$N83:$ZZ83,"&gt;=1"))</f>
        <v>4</v>
      </c>
      <c r="L83" s="68">
        <f>IFERROR(AVERAGEIF($N$1:$ZZ$1,"*"&amp;CHAR(10)&amp;"Stanine",$N83:$ZZ83),"")</f>
        <v>7</v>
      </c>
      <c r="M83" s="69">
        <f>IF(AND(ISNUMBER(tblY9[[#This Row],[Mean Stanine]]),ISNUMBER(tblY9[[#This Row],[Avg KS2 Band]]),ISNUMBER(SlopeY9)),tblY9[[#This Row],[Mean Stanine]]-(InterceptY9+SlopeY9*tblY9[[#This Row],[Avg KS2 Band]]),"")</f>
        <v>-1.12722586691659</v>
      </c>
      <c r="N83" s="66" t="n">
        <v>26</v>
      </c>
      <c r="O83" s="67">
        <f>IF(ISNUMBER(tblY9[[#This Row],[9B01 - Genetics
Raw Score]]),IFERROR(VLOOKUP(ROUND(STANDARDIZE(tblY9[[#This Row],[9B01 - Genetics
Raw Score]],AVERAGE(tblY9[[9B01 - Genetics
Raw Score]]),_xlfn.STDEV.P(tblY9[[9B01 - Genetics
Raw Score]])),9),_Stanine,2),5),"")</f>
        <v>7</v>
      </c>
      <c r="P83" s="66" t="n">
        <v>26</v>
      </c>
      <c r="Q83" s="67">
        <f>IF(ISNUMBER(tblY9[[#This Row],[9C01 - Chemical Reactions
Raw Score]]),IFERROR(VLOOKUP(ROUND(STANDARDIZE(tblY9[[#This Row],[9C01 - Chemical Reactions
Raw Score]],AVERAGE(tblY9[[9C01 - Chemical Reactions
Raw Score]]),_xlfn.STDEV.P(tblY9[[9C01 - Chemical Reactions
Raw Score]])),9),_Stanine,2),5),"")</f>
        <v>7</v>
      </c>
      <c r="R83" s="66" t="n">
        <v>26</v>
      </c>
      <c r="S83" s="67">
        <f>IF(ISNUMBER(tblY9[[#This Row],[9P01 - Electricity
Raw Score]]),IFERROR(VLOOKUP(ROUND(STANDARDIZE(tblY9[[#This Row],[9P01 - Electricity
Raw Score]],AVERAGE(tblY9[[9P01 - Electricity
Raw Score]]),_xlfn.STDEV.P(tblY9[[9P01 - Electricity
Raw Score]])),9),_Stanine,2),5),"")</f>
        <v>7</v>
      </c>
      <c r="T83" s="66" t="n">
        <v>21</v>
      </c>
      <c r="U83" s="67">
        <f>IF(ISNUMBER(tblY9[[#This Row],[9B02 - Ecology
Raw Score]]),IFERROR(VLOOKUP(ROUND(STANDARDIZE(tblY9[[#This Row],[9B02 - Ecology
Raw Score]],AVERAGE(tblY9[[9B02 - Ecology
Raw Score]]),_xlfn.STDEV.P(tblY9[[9B02 - Ecology
Raw Score]])),9),_Stanine,2),5),"")</f>
        <v>7</v>
      </c>
    </row>
    <row r="84">
      <c r="A84" s="65" t="inlineStr">
        <is>
          <t>X904202819604</t>
        </is>
      </c>
      <c r="B84" s="65" t="inlineStr">
        <is>
          <t>Jackson</t>
        </is>
      </c>
      <c r="C84" s="65" t="inlineStr">
        <is>
          <t>Charlie</t>
        </is>
      </c>
      <c r="D84" s="66" t="inlineStr">
        <is>
          <t>M</t>
        </is>
      </c>
      <c r="E84" s="66" t="n"/>
      <c r="F84" s="66" t="inlineStr">
        <is>
          <t>N</t>
        </is>
      </c>
      <c r="G84" s="34" t="n">
        <v>87.40000000000001</v>
      </c>
      <c r="H84" s="34" t="n">
        <v>115</v>
      </c>
      <c r="I84" s="67">
        <f>IF(ISNUMBER(tblY9[[#This Row],[Avg KS2]]),IFERROR(VLOOKUP(ROUND(STANDARDIZE(tblY9[[#This Row],[Avg KS2]],AVERAGE(tblY9[[Avg KS2]]),_xlfn.STDEV.P(tblY9[[Avg KS2]])),9),_Stanine,2),5),"")</f>
        <v>8</v>
      </c>
      <c r="J84" s="66" t="inlineStr">
        <is>
          <t>9B/Sc1</t>
        </is>
      </c>
      <c r="K84" s="67">
        <f>IF(tblY9[[#This Row],[Preferred Last name]]="","",COUNTIFS($N$1:$ZZ$1,"*"&amp;CHAR(10)&amp;"Stanine",$N84:$ZZ84,"&gt;=1"))</f>
        <v>4</v>
      </c>
      <c r="L84" s="68">
        <f>IFERROR(AVERAGEIF($N$1:$ZZ$1,"*"&amp;CHAR(10)&amp;"Stanine",$N84:$ZZ84),"")</f>
        <v>6.75</v>
      </c>
      <c r="M84" s="69">
        <f>IF(AND(ISNUMBER(tblY9[[#This Row],[Mean Stanine]]),ISNUMBER(tblY9[[#This Row],[Avg KS2 Band]]),ISNUMBER(SlopeY9)),tblY9[[#This Row],[Mean Stanine]]-(InterceptY9+SlopeY9*tblY9[[#This Row],[Avg KS2 Band]]),"")</f>
        <v>-0.613812089971884</v>
      </c>
      <c r="N84" s="66" t="n">
        <v>26</v>
      </c>
      <c r="O84" s="67">
        <f>IF(ISNUMBER(tblY9[[#This Row],[9B01 - Genetics
Raw Score]]),IFERROR(VLOOKUP(ROUND(STANDARDIZE(tblY9[[#This Row],[9B01 - Genetics
Raw Score]],AVERAGE(tblY9[[9B01 - Genetics
Raw Score]]),_xlfn.STDEV.P(tblY9[[9B01 - Genetics
Raw Score]])),9),_Stanine,2),5),"")</f>
        <v>7</v>
      </c>
      <c r="P84" s="66" t="n">
        <v>28</v>
      </c>
      <c r="Q84" s="67">
        <f>IF(ISNUMBER(tblY9[[#This Row],[9C01 - Chemical Reactions
Raw Score]]),IFERROR(VLOOKUP(ROUND(STANDARDIZE(tblY9[[#This Row],[9C01 - Chemical Reactions
Raw Score]],AVERAGE(tblY9[[9C01 - Chemical Reactions
Raw Score]]),_xlfn.STDEV.P(tblY9[[9C01 - Chemical Reactions
Raw Score]])),9),_Stanine,2),5),"")</f>
        <v>7</v>
      </c>
      <c r="R84" s="66" t="n">
        <v>24</v>
      </c>
      <c r="S84" s="67">
        <f>IF(ISNUMBER(tblY9[[#This Row],[9P01 - Electricity
Raw Score]]),IFERROR(VLOOKUP(ROUND(STANDARDIZE(tblY9[[#This Row],[9P01 - Electricity
Raw Score]],AVERAGE(tblY9[[9P01 - Electricity
Raw Score]]),_xlfn.STDEV.P(tblY9[[9P01 - Electricity
Raw Score]])),9),_Stanine,2),5),"")</f>
        <v>6</v>
      </c>
      <c r="T84" s="66" t="n">
        <v>23</v>
      </c>
      <c r="U84" s="67">
        <f>IF(ISNUMBER(tblY9[[#This Row],[9B02 - Ecology
Raw Score]]),IFERROR(VLOOKUP(ROUND(STANDARDIZE(tblY9[[#This Row],[9B02 - Ecology
Raw Score]],AVERAGE(tblY9[[9B02 - Ecology
Raw Score]]),_xlfn.STDEV.P(tblY9[[9B02 - Ecology
Raw Score]])),9),_Stanine,2),5),"")</f>
        <v>7</v>
      </c>
    </row>
    <row r="85">
      <c r="A85" s="65" t="inlineStr">
        <is>
          <t>X908012130656</t>
        </is>
      </c>
      <c r="B85" s="65" t="inlineStr">
        <is>
          <t>Kowalski</t>
        </is>
      </c>
      <c r="C85" s="65" t="inlineStr">
        <is>
          <t>Harry</t>
        </is>
      </c>
      <c r="D85" s="66" t="inlineStr">
        <is>
          <t>M</t>
        </is>
      </c>
      <c r="E85" s="66" t="inlineStr">
        <is>
          <t>N</t>
        </is>
      </c>
      <c r="F85" s="66" t="inlineStr">
        <is>
          <t>N</t>
        </is>
      </c>
      <c r="G85" s="34" t="n">
        <v>94.90000000000001</v>
      </c>
      <c r="H85" s="34" t="n">
        <v>116.5</v>
      </c>
      <c r="I85" s="67">
        <f>IF(ISNUMBER(tblY9[[#This Row],[Avg KS2]]),IFERROR(VLOOKUP(ROUND(STANDARDIZE(tblY9[[#This Row],[Avg KS2]],AVERAGE(tblY9[[Avg KS2]]),_xlfn.STDEV.P(tblY9[[Avg KS2]])),9),_Stanine,2),5),"")</f>
        <v>9</v>
      </c>
      <c r="J85" s="66" t="inlineStr">
        <is>
          <t>9B/Sc1</t>
        </is>
      </c>
      <c r="K85" s="67">
        <f>IF(tblY9[[#This Row],[Preferred Last name]]="","",COUNTIFS($N$1:$ZZ$1,"*"&amp;CHAR(10)&amp;"Stanine",$N85:$ZZ85,"&gt;=1"))</f>
        <v>4</v>
      </c>
      <c r="L85" s="68">
        <f>IFERROR(AVERAGEIF($N$1:$ZZ$1,"*"&amp;CHAR(10)&amp;"Stanine",$N85:$ZZ85),"")</f>
        <v>7.75</v>
      </c>
      <c r="M85" s="69">
        <f>IF(AND(ISNUMBER(tblY9[[#This Row],[Mean Stanine]]),ISNUMBER(tblY9[[#This Row],[Avg KS2 Band]]),ISNUMBER(SlopeY9)),tblY9[[#This Row],[Mean Stanine]]-(InterceptY9+SlopeY9*tblY9[[#This Row],[Avg KS2 Band]]),"")</f>
        <v>-0.377225866916589</v>
      </c>
      <c r="N85" s="66" t="n">
        <v>27</v>
      </c>
      <c r="O85" s="67">
        <f>IF(ISNUMBER(tblY9[[#This Row],[9B01 - Genetics
Raw Score]]),IFERROR(VLOOKUP(ROUND(STANDARDIZE(tblY9[[#This Row],[9B01 - Genetics
Raw Score]],AVERAGE(tblY9[[9B01 - Genetics
Raw Score]]),_xlfn.STDEV.P(tblY9[[9B01 - Genetics
Raw Score]])),9),_Stanine,2),5),"")</f>
        <v>7</v>
      </c>
      <c r="P85" s="66" t="n">
        <v>30</v>
      </c>
      <c r="Q85" s="67">
        <f>IF(ISNUMBER(tblY9[[#This Row],[9C01 - Chemical Reactions
Raw Score]]),IFERROR(VLOOKUP(ROUND(STANDARDIZE(tblY9[[#This Row],[9C01 - Chemical Reactions
Raw Score]],AVERAGE(tblY9[[9C01 - Chemical Reactions
Raw Score]]),_xlfn.STDEV.P(tblY9[[9C01 - Chemical Reactions
Raw Score]])),9),_Stanine,2),5),"")</f>
        <v>8</v>
      </c>
      <c r="R85" s="66" t="n">
        <v>28</v>
      </c>
      <c r="S85" s="67">
        <f>IF(ISNUMBER(tblY9[[#This Row],[9P01 - Electricity
Raw Score]]),IFERROR(VLOOKUP(ROUND(STANDARDIZE(tblY9[[#This Row],[9P01 - Electricity
Raw Score]],AVERAGE(tblY9[[9P01 - Electricity
Raw Score]]),_xlfn.STDEV.P(tblY9[[9P01 - Electricity
Raw Score]])),9),_Stanine,2),5),"")</f>
        <v>8</v>
      </c>
      <c r="T85" s="66" t="n">
        <v>24</v>
      </c>
      <c r="U85" s="67">
        <f>IF(ISNUMBER(tblY9[[#This Row],[9B02 - Ecology
Raw Score]]),IFERROR(VLOOKUP(ROUND(STANDARDIZE(tblY9[[#This Row],[9B02 - Ecology
Raw Score]],AVERAGE(tblY9[[9B02 - Ecology
Raw Score]]),_xlfn.STDEV.P(tblY9[[9B02 - Ecology
Raw Score]])),9),_Stanine,2),5),"")</f>
        <v>8</v>
      </c>
    </row>
    <row r="86">
      <c r="A86" s="65" t="inlineStr">
        <is>
          <t>X901552284220</t>
        </is>
      </c>
      <c r="B86" s="65" t="inlineStr">
        <is>
          <t>Mistry</t>
        </is>
      </c>
      <c r="C86" s="65" t="inlineStr">
        <is>
          <t>Ivy</t>
        </is>
      </c>
      <c r="D86" s="66" t="inlineStr">
        <is>
          <t>M</t>
        </is>
      </c>
      <c r="E86" s="66" t="inlineStr">
        <is>
          <t>N</t>
        </is>
      </c>
      <c r="F86" s="66" t="inlineStr">
        <is>
          <t>Y</t>
        </is>
      </c>
      <c r="G86" s="34" t="n">
        <v>94.2</v>
      </c>
      <c r="H86" s="34" t="n">
        <v>108</v>
      </c>
      <c r="I86" s="67">
        <f>IF(ISNUMBER(tblY9[[#This Row],[Avg KS2]]),IFERROR(VLOOKUP(ROUND(STANDARDIZE(tblY9[[#This Row],[Avg KS2]],AVERAGE(tblY9[[Avg KS2]]),_xlfn.STDEV.P(tblY9[[Avg KS2]])),9),_Stanine,2),5),"")</f>
        <v>6</v>
      </c>
      <c r="J86" s="66" t="inlineStr">
        <is>
          <t>9B/Sc1</t>
        </is>
      </c>
      <c r="K86" s="67">
        <f>IF(tblY9[[#This Row],[Preferred Last name]]="","",COUNTIFS($N$1:$ZZ$1,"*"&amp;CHAR(10)&amp;"Stanine",$N86:$ZZ86,"&gt;=1"))</f>
        <v>4</v>
      </c>
      <c r="L86" s="68">
        <f>IFERROR(AVERAGEIF($N$1:$ZZ$1,"*"&amp;CHAR(10)&amp;"Stanine",$N86:$ZZ86),"")</f>
        <v>6</v>
      </c>
      <c r="M86" s="69">
        <f>IF(AND(ISNUMBER(tblY9[[#This Row],[Mean Stanine]]),ISNUMBER(tblY9[[#This Row],[Avg KS2 Band]]),ISNUMBER(SlopeY9)),tblY9[[#This Row],[Mean Stanine]]-(InterceptY9+SlopeY9*tblY9[[#This Row],[Avg KS2 Band]]),"")</f>
        <v>0.163015463917526</v>
      </c>
      <c r="N86" s="66" t="n">
        <v>24</v>
      </c>
      <c r="O86" s="67">
        <f>IF(ISNUMBER(tblY9[[#This Row],[9B01 - Genetics
Raw Score]]),IFERROR(VLOOKUP(ROUND(STANDARDIZE(tblY9[[#This Row],[9B01 - Genetics
Raw Score]],AVERAGE(tblY9[[9B01 - Genetics
Raw Score]]),_xlfn.STDEV.P(tblY9[[9B01 - Genetics
Raw Score]])),9),_Stanine,2),5),"")</f>
        <v>6</v>
      </c>
      <c r="P86" s="66" t="n">
        <v>24</v>
      </c>
      <c r="Q86" s="67">
        <f>IF(ISNUMBER(tblY9[[#This Row],[9C01 - Chemical Reactions
Raw Score]]),IFERROR(VLOOKUP(ROUND(STANDARDIZE(tblY9[[#This Row],[9C01 - Chemical Reactions
Raw Score]],AVERAGE(tblY9[[9C01 - Chemical Reactions
Raw Score]]),_xlfn.STDEV.P(tblY9[[9C01 - Chemical Reactions
Raw Score]])),9),_Stanine,2),5),"")</f>
        <v>6</v>
      </c>
      <c r="R86" s="66" t="n">
        <v>24</v>
      </c>
      <c r="S86" s="67">
        <f>IF(ISNUMBER(tblY9[[#This Row],[9P01 - Electricity
Raw Score]]),IFERROR(VLOOKUP(ROUND(STANDARDIZE(tblY9[[#This Row],[9P01 - Electricity
Raw Score]],AVERAGE(tblY9[[9P01 - Electricity
Raw Score]]),_xlfn.STDEV.P(tblY9[[9P01 - Electricity
Raw Score]])),9),_Stanine,2),5),"")</f>
        <v>6</v>
      </c>
      <c r="T86" s="66" t="n">
        <v>20</v>
      </c>
      <c r="U86" s="67">
        <f>IF(ISNUMBER(tblY9[[#This Row],[9B02 - Ecology
Raw Score]]),IFERROR(VLOOKUP(ROUND(STANDARDIZE(tblY9[[#This Row],[9B02 - Ecology
Raw Score]],AVERAGE(tblY9[[9B02 - Ecology
Raw Score]]),_xlfn.STDEV.P(tblY9[[9B02 - Ecology
Raw Score]])),9),_Stanine,2),5),"")</f>
        <v>6</v>
      </c>
    </row>
    <row r="87">
      <c r="A87" s="65" t="inlineStr">
        <is>
          <t>X901221644022</t>
        </is>
      </c>
      <c r="B87" s="65" t="inlineStr">
        <is>
          <t>Okafor</t>
        </is>
      </c>
      <c r="C87" s="65" t="inlineStr">
        <is>
          <t>Rosie</t>
        </is>
      </c>
      <c r="D87" s="66" t="inlineStr">
        <is>
          <t>F</t>
        </is>
      </c>
      <c r="E87" s="66" t="inlineStr">
        <is>
          <t>N</t>
        </is>
      </c>
      <c r="F87" s="66" t="inlineStr">
        <is>
          <t>N</t>
        </is>
      </c>
      <c r="G87" s="34" t="n">
        <v>97.7</v>
      </c>
      <c r="H87" s="34" t="n">
        <v>105</v>
      </c>
      <c r="I87" s="67">
        <f>IF(ISNUMBER(tblY9[[#This Row],[Avg KS2]]),IFERROR(VLOOKUP(ROUND(STANDARDIZE(tblY9[[#This Row],[Avg KS2]],AVERAGE(tblY9[[Avg KS2]]),_xlfn.STDEV.P(tblY9[[Avg KS2]])),9),_Stanine,2),5),"")</f>
        <v>4</v>
      </c>
      <c r="J87" s="66" t="inlineStr">
        <is>
          <t>9B/Sc1</t>
        </is>
      </c>
      <c r="K87" s="67">
        <f>IF(tblY9[[#This Row],[Preferred Last name]]="","",COUNTIFS($N$1:$ZZ$1,"*"&amp;CHAR(10)&amp;"Stanine",$N87:$ZZ87,"&gt;=1"))</f>
        <v>4</v>
      </c>
      <c r="L87" s="68">
        <f>IFERROR(AVERAGEIF($N$1:$ZZ$1,"*"&amp;CHAR(10)&amp;"Stanine",$N87:$ZZ87),"")</f>
        <v>5.25</v>
      </c>
      <c r="M87" s="69">
        <f>IF(AND(ISNUMBER(tblY9[[#This Row],[Mean Stanine]]),ISNUMBER(tblY9[[#This Row],[Avg KS2 Band]]),ISNUMBER(SlopeY9)),tblY9[[#This Row],[Mean Stanine]]-(InterceptY9+SlopeY9*tblY9[[#This Row],[Avg KS2 Band]]),"")</f>
        <v>0.939843017806935</v>
      </c>
      <c r="N87" s="66" t="n">
        <v>24</v>
      </c>
      <c r="O87" s="67">
        <f>IF(ISNUMBER(tblY9[[#This Row],[9B01 - Genetics
Raw Score]]),IFERROR(VLOOKUP(ROUND(STANDARDIZE(tblY9[[#This Row],[9B01 - Genetics
Raw Score]],AVERAGE(tblY9[[9B01 - Genetics
Raw Score]]),_xlfn.STDEV.P(tblY9[[9B01 - Genetics
Raw Score]])),9),_Stanine,2),5),"")</f>
        <v>6</v>
      </c>
      <c r="P87" s="66" t="n">
        <v>22</v>
      </c>
      <c r="Q87" s="67">
        <f>IF(ISNUMBER(tblY9[[#This Row],[9C01 - Chemical Reactions
Raw Score]]),IFERROR(VLOOKUP(ROUND(STANDARDIZE(tblY9[[#This Row],[9C01 - Chemical Reactions
Raw Score]],AVERAGE(tblY9[[9C01 - Chemical Reactions
Raw Score]]),_xlfn.STDEV.P(tblY9[[9C01 - Chemical Reactions
Raw Score]])),9),_Stanine,2),5),"")</f>
        <v>5</v>
      </c>
      <c r="R87" s="66" t="n">
        <v>19</v>
      </c>
      <c r="S87" s="67">
        <f>IF(ISNUMBER(tblY9[[#This Row],[9P01 - Electricity
Raw Score]]),IFERROR(VLOOKUP(ROUND(STANDARDIZE(tblY9[[#This Row],[9P01 - Electricity
Raw Score]],AVERAGE(tblY9[[9P01 - Electricity
Raw Score]]),_xlfn.STDEV.P(tblY9[[9P01 - Electricity
Raw Score]])),9),_Stanine,2),5),"")</f>
        <v>4</v>
      </c>
      <c r="T87" s="66" t="n">
        <v>19</v>
      </c>
      <c r="U87" s="67">
        <f>IF(ISNUMBER(tblY9[[#This Row],[9B02 - Ecology
Raw Score]]),IFERROR(VLOOKUP(ROUND(STANDARDIZE(tblY9[[#This Row],[9B02 - Ecology
Raw Score]],AVERAGE(tblY9[[9B02 - Ecology
Raw Score]]),_xlfn.STDEV.P(tblY9[[9B02 - Ecology
Raw Score]])),9),_Stanine,2),5),"")</f>
        <v>6</v>
      </c>
    </row>
    <row r="88">
      <c r="A88" s="65" t="inlineStr">
        <is>
          <t>X906195239259</t>
        </is>
      </c>
      <c r="B88" s="65" t="inlineStr">
        <is>
          <t>Price</t>
        </is>
      </c>
      <c r="C88" s="65" t="inlineStr">
        <is>
          <t>Ibrahim</t>
        </is>
      </c>
      <c r="D88" s="66" t="inlineStr">
        <is>
          <t>F</t>
        </is>
      </c>
      <c r="E88" s="66" t="n"/>
      <c r="F88" s="66" t="inlineStr">
        <is>
          <t>N</t>
        </is>
      </c>
      <c r="G88" s="34" t="n">
        <v>100</v>
      </c>
      <c r="H88" s="34" t="n">
        <v>120</v>
      </c>
      <c r="I88" s="67">
        <f>IF(ISNUMBER(tblY9[[#This Row],[Avg KS2]]),IFERROR(VLOOKUP(ROUND(STANDARDIZE(tblY9[[#This Row],[Avg KS2]],AVERAGE(tblY9[[Avg KS2]]),_xlfn.STDEV.P(tblY9[[Avg KS2]])),9),_Stanine,2),5),"")</f>
        <v>9</v>
      </c>
      <c r="J88" s="66" t="inlineStr">
        <is>
          <t>9B/Sc1</t>
        </is>
      </c>
      <c r="K88" s="67">
        <f>IF(tblY9[[#This Row],[Preferred Last name]]="","",COUNTIFS($N$1:$ZZ$1,"*"&amp;CHAR(10)&amp;"Stanine",$N88:$ZZ88,"&gt;=1"))</f>
        <v>4</v>
      </c>
      <c r="L88" s="68">
        <f>IFERROR(AVERAGEIF($N$1:$ZZ$1,"*"&amp;CHAR(10)&amp;"Stanine",$N88:$ZZ88),"")</f>
        <v>8</v>
      </c>
      <c r="M88" s="69">
        <f>IF(AND(ISNUMBER(tblY9[[#This Row],[Mean Stanine]]),ISNUMBER(tblY9[[#This Row],[Avg KS2 Band]]),ISNUMBER(SlopeY9)),tblY9[[#This Row],[Mean Stanine]]-(InterceptY9+SlopeY9*tblY9[[#This Row],[Avg KS2 Band]]),"")</f>
        <v>-0.127225866916589</v>
      </c>
      <c r="N88" s="66" t="n">
        <v>29</v>
      </c>
      <c r="O88" s="67">
        <f>IF(ISNUMBER(tblY9[[#This Row],[9B01 - Genetics
Raw Score]]),IFERROR(VLOOKUP(ROUND(STANDARDIZE(tblY9[[#This Row],[9B01 - Genetics
Raw Score]],AVERAGE(tblY9[[9B01 - Genetics
Raw Score]]),_xlfn.STDEV.P(tblY9[[9B01 - Genetics
Raw Score]])),9),_Stanine,2),5),"")</f>
        <v>8</v>
      </c>
      <c r="P88" s="66" t="n">
        <v>30</v>
      </c>
      <c r="Q88" s="67">
        <f>IF(ISNUMBER(tblY9[[#This Row],[9C01 - Chemical Reactions
Raw Score]]),IFERROR(VLOOKUP(ROUND(STANDARDIZE(tblY9[[#This Row],[9C01 - Chemical Reactions
Raw Score]],AVERAGE(tblY9[[9C01 - Chemical Reactions
Raw Score]]),_xlfn.STDEV.P(tblY9[[9C01 - Chemical Reactions
Raw Score]])),9),_Stanine,2),5),"")</f>
        <v>8</v>
      </c>
      <c r="R88" s="66" t="n">
        <v>28</v>
      </c>
      <c r="S88" s="67">
        <f>IF(ISNUMBER(tblY9[[#This Row],[9P01 - Electricity
Raw Score]]),IFERROR(VLOOKUP(ROUND(STANDARDIZE(tblY9[[#This Row],[9P01 - Electricity
Raw Score]],AVERAGE(tblY9[[9P01 - Electricity
Raw Score]]),_xlfn.STDEV.P(tblY9[[9P01 - Electricity
Raw Score]])),9),_Stanine,2),5),"")</f>
        <v>8</v>
      </c>
      <c r="T88" s="66" t="n">
        <v>24</v>
      </c>
      <c r="U88" s="67">
        <f>IF(ISNUMBER(tblY9[[#This Row],[9B02 - Ecology
Raw Score]]),IFERROR(VLOOKUP(ROUND(STANDARDIZE(tblY9[[#This Row],[9B02 - Ecology
Raw Score]],AVERAGE(tblY9[[9B02 - Ecology
Raw Score]]),_xlfn.STDEV.P(tblY9[[9B02 - Ecology
Raw Score]])),9),_Stanine,2),5),"")</f>
        <v>8</v>
      </c>
    </row>
    <row r="89">
      <c r="A89" s="65" t="inlineStr">
        <is>
          <t>X908179463436</t>
        </is>
      </c>
      <c r="B89" s="65" t="inlineStr">
        <is>
          <t>Robinson</t>
        </is>
      </c>
      <c r="C89" s="65" t="inlineStr">
        <is>
          <t>Kai</t>
        </is>
      </c>
      <c r="D89" s="66" t="inlineStr">
        <is>
          <t>F</t>
        </is>
      </c>
      <c r="E89" s="66" t="n"/>
      <c r="F89" s="66" t="inlineStr">
        <is>
          <t>N</t>
        </is>
      </c>
      <c r="G89" s="34" t="n">
        <v>100</v>
      </c>
      <c r="H89" s="34" t="n">
        <v>110</v>
      </c>
      <c r="I89" s="67">
        <f>IF(ISNUMBER(tblY9[[#This Row],[Avg KS2]]),IFERROR(VLOOKUP(ROUND(STANDARDIZE(tblY9[[#This Row],[Avg KS2]],AVERAGE(tblY9[[Avg KS2]]),_xlfn.STDEV.P(tblY9[[Avg KS2]])),9),_Stanine,2),5),"")</f>
        <v>6</v>
      </c>
      <c r="J89" s="66" t="inlineStr">
        <is>
          <t>9B/Sc1</t>
        </is>
      </c>
      <c r="K89" s="67">
        <f>IF(tblY9[[#This Row],[Preferred Last name]]="","",COUNTIFS($N$1:$ZZ$1,"*"&amp;CHAR(10)&amp;"Stanine",$N89:$ZZ89,"&gt;=1"))</f>
        <v>4</v>
      </c>
      <c r="L89" s="68">
        <f>IFERROR(AVERAGEIF($N$1:$ZZ$1,"*"&amp;CHAR(10)&amp;"Stanine",$N89:$ZZ89),"")</f>
        <v>7</v>
      </c>
      <c r="M89" s="69">
        <f>IF(AND(ISNUMBER(tblY9[[#This Row],[Mean Stanine]]),ISNUMBER(tblY9[[#This Row],[Avg KS2 Band]]),ISNUMBER(SlopeY9)),tblY9[[#This Row],[Mean Stanine]]-(InterceptY9+SlopeY9*tblY9[[#This Row],[Avg KS2 Band]]),"")</f>
        <v>1.16301546391753</v>
      </c>
      <c r="N89" s="66" t="n">
        <v>27</v>
      </c>
      <c r="O89" s="67">
        <f>IF(ISNUMBER(tblY9[[#This Row],[9B01 - Genetics
Raw Score]]),IFERROR(VLOOKUP(ROUND(STANDARDIZE(tblY9[[#This Row],[9B01 - Genetics
Raw Score]],AVERAGE(tblY9[[9B01 - Genetics
Raw Score]]),_xlfn.STDEV.P(tblY9[[9B01 - Genetics
Raw Score]])),9),_Stanine,2),5),"")</f>
        <v>7</v>
      </c>
      <c r="P89" s="66" t="n">
        <v>28</v>
      </c>
      <c r="Q89" s="67">
        <f>IF(ISNUMBER(tblY9[[#This Row],[9C01 - Chemical Reactions
Raw Score]]),IFERROR(VLOOKUP(ROUND(STANDARDIZE(tblY9[[#This Row],[9C01 - Chemical Reactions
Raw Score]],AVERAGE(tblY9[[9C01 - Chemical Reactions
Raw Score]]),_xlfn.STDEV.P(tblY9[[9C01 - Chemical Reactions
Raw Score]])),9),_Stanine,2),5),"")</f>
        <v>7</v>
      </c>
      <c r="R89" s="66" t="n">
        <v>25</v>
      </c>
      <c r="S89" s="67">
        <f>IF(ISNUMBER(tblY9[[#This Row],[9P01 - Electricity
Raw Score]]),IFERROR(VLOOKUP(ROUND(STANDARDIZE(tblY9[[#This Row],[9P01 - Electricity
Raw Score]],AVERAGE(tblY9[[9P01 - Electricity
Raw Score]]),_xlfn.STDEV.P(tblY9[[9P01 - Electricity
Raw Score]])),9),_Stanine,2),5),"")</f>
        <v>7</v>
      </c>
      <c r="T89" s="66" t="n">
        <v>22</v>
      </c>
      <c r="U89" s="67">
        <f>IF(ISNUMBER(tblY9[[#This Row],[9B02 - Ecology
Raw Score]]),IFERROR(VLOOKUP(ROUND(STANDARDIZE(tblY9[[#This Row],[9B02 - Ecology
Raw Score]],AVERAGE(tblY9[[9B02 - Ecology
Raw Score]]),_xlfn.STDEV.P(tblY9[[9B02 - Ecology
Raw Score]])),9),_Stanine,2),5),"")</f>
        <v>7</v>
      </c>
    </row>
    <row r="90">
      <c r="A90" s="65" t="inlineStr">
        <is>
          <t>X900974771627</t>
        </is>
      </c>
      <c r="B90" s="65" t="inlineStr">
        <is>
          <t>Shaw</t>
        </is>
      </c>
      <c r="C90" s="65" t="inlineStr">
        <is>
          <t>Maisie</t>
        </is>
      </c>
      <c r="D90" s="66" t="inlineStr">
        <is>
          <t>M</t>
        </is>
      </c>
      <c r="E90" s="66" t="inlineStr">
        <is>
          <t>K</t>
        </is>
      </c>
      <c r="F90" s="66" t="inlineStr">
        <is>
          <t>N</t>
        </is>
      </c>
      <c r="G90" s="34" t="n">
        <v>88.3</v>
      </c>
      <c r="H90" s="34" t="n">
        <v>104</v>
      </c>
      <c r="I90" s="67">
        <f>IF(ISNUMBER(tblY9[[#This Row],[Avg KS2]]),IFERROR(VLOOKUP(ROUND(STANDARDIZE(tblY9[[#This Row],[Avg KS2]],AVERAGE(tblY9[[Avg KS2]]),_xlfn.STDEV.P(tblY9[[Avg KS2]])),9),_Stanine,2),5),"")</f>
        <v>4</v>
      </c>
      <c r="J90" s="66" t="inlineStr">
        <is>
          <t>9B/Sc1</t>
        </is>
      </c>
      <c r="K90" s="67">
        <f>IF(tblY9[[#This Row],[Preferred Last name]]="","",COUNTIFS($N$1:$ZZ$1,"*"&amp;CHAR(10)&amp;"Stanine",$N90:$ZZ90,"&gt;=1"))</f>
        <v>4</v>
      </c>
      <c r="L90" s="68">
        <f>IFERROR(AVERAGEIF($N$1:$ZZ$1,"*"&amp;CHAR(10)&amp;"Stanine",$N90:$ZZ90),"")</f>
        <v>4.25</v>
      </c>
      <c r="M90" s="69">
        <f>IF(AND(ISNUMBER(tblY9[[#This Row],[Mean Stanine]]),ISNUMBER(tblY9[[#This Row],[Avg KS2 Band]]),ISNUMBER(SlopeY9)),tblY9[[#This Row],[Mean Stanine]]-(InterceptY9+SlopeY9*tblY9[[#This Row],[Avg KS2 Band]]),"")</f>
        <v>-0.0601569821930648</v>
      </c>
      <c r="N90" s="66" t="n">
        <v>20</v>
      </c>
      <c r="O90" s="67">
        <f>IF(ISNUMBER(tblY9[[#This Row],[9B01 - Genetics
Raw Score]]),IFERROR(VLOOKUP(ROUND(STANDARDIZE(tblY9[[#This Row],[9B01 - Genetics
Raw Score]],AVERAGE(tblY9[[9B01 - Genetics
Raw Score]]),_xlfn.STDEV.P(tblY9[[9B01 - Genetics
Raw Score]])),9),_Stanine,2),5),"")</f>
        <v>5</v>
      </c>
      <c r="P90" s="66" t="n">
        <v>16</v>
      </c>
      <c r="Q90" s="67">
        <f>IF(ISNUMBER(tblY9[[#This Row],[9C01 - Chemical Reactions
Raw Score]]),IFERROR(VLOOKUP(ROUND(STANDARDIZE(tblY9[[#This Row],[9C01 - Chemical Reactions
Raw Score]],AVERAGE(tblY9[[9C01 - Chemical Reactions
Raw Score]]),_xlfn.STDEV.P(tblY9[[9C01 - Chemical Reactions
Raw Score]])),9),_Stanine,2),5),"")</f>
        <v>3</v>
      </c>
      <c r="R90" s="66" t="n">
        <v>18</v>
      </c>
      <c r="S90" s="67">
        <f>IF(ISNUMBER(tblY9[[#This Row],[9P01 - Electricity
Raw Score]]),IFERROR(VLOOKUP(ROUND(STANDARDIZE(tblY9[[#This Row],[9P01 - Electricity
Raw Score]],AVERAGE(tblY9[[9P01 - Electricity
Raw Score]]),_xlfn.STDEV.P(tblY9[[9P01 - Electricity
Raw Score]])),9),_Stanine,2),5),"")</f>
        <v>4</v>
      </c>
      <c r="T90" s="66" t="n">
        <v>18</v>
      </c>
      <c r="U90" s="67">
        <f>IF(ISNUMBER(tblY9[[#This Row],[9B02 - Ecology
Raw Score]]),IFERROR(VLOOKUP(ROUND(STANDARDIZE(tblY9[[#This Row],[9B02 - Ecology
Raw Score]],AVERAGE(tblY9[[9B02 - Ecology
Raw Score]]),_xlfn.STDEV.P(tblY9[[9B02 - Ecology
Raw Score]])),9),_Stanine,2),5),"")</f>
        <v>5</v>
      </c>
    </row>
    <row r="91">
      <c r="A91" s="65" t="inlineStr">
        <is>
          <t>X903266358614</t>
        </is>
      </c>
      <c r="B91" s="65" t="inlineStr">
        <is>
          <t>Smith</t>
        </is>
      </c>
      <c r="C91" s="65" t="inlineStr">
        <is>
          <t>Leo</t>
        </is>
      </c>
      <c r="D91" s="66" t="inlineStr">
        <is>
          <t>M</t>
        </is>
      </c>
      <c r="E91" s="66" t="inlineStr">
        <is>
          <t>N</t>
        </is>
      </c>
      <c r="F91" s="66" t="inlineStr">
        <is>
          <t>Y</t>
        </is>
      </c>
      <c r="G91" s="34" t="n">
        <v>83</v>
      </c>
      <c r="H91" s="34" t="n">
        <v>102.5</v>
      </c>
      <c r="I91" s="67">
        <f>IF(ISNUMBER(tblY9[[#This Row],[Avg KS2]]),IFERROR(VLOOKUP(ROUND(STANDARDIZE(tblY9[[#This Row],[Avg KS2]],AVERAGE(tblY9[[Avg KS2]]),_xlfn.STDEV.P(tblY9[[Avg KS2]])),9),_Stanine,2),5),"")</f>
        <v>3</v>
      </c>
      <c r="J91" s="66" t="inlineStr">
        <is>
          <t>9B/Sc1</t>
        </is>
      </c>
      <c r="K91" s="67">
        <f>IF(tblY9[[#This Row],[Preferred Last name]]="","",COUNTIFS($N$1:$ZZ$1,"*"&amp;CHAR(10)&amp;"Stanine",$N91:$ZZ91,"&gt;=1"))</f>
        <v>4</v>
      </c>
      <c r="L91" s="68">
        <f>IFERROR(AVERAGEIF($N$1:$ZZ$1,"*"&amp;CHAR(10)&amp;"Stanine",$N91:$ZZ91),"")</f>
        <v>4.5</v>
      </c>
      <c r="M91" s="69">
        <f>IF(AND(ISNUMBER(tblY9[[#This Row],[Mean Stanine]]),ISNUMBER(tblY9[[#This Row],[Avg KS2 Band]]),ISNUMBER(SlopeY9)),tblY9[[#This Row],[Mean Stanine]]-(InterceptY9+SlopeY9*tblY9[[#This Row],[Avg KS2 Band]]),"")</f>
        <v>0.95325679475164</v>
      </c>
      <c r="N91" s="66" t="n">
        <v>17</v>
      </c>
      <c r="O91" s="67">
        <f>IF(ISNUMBER(tblY9[[#This Row],[9B01 - Genetics
Raw Score]]),IFERROR(VLOOKUP(ROUND(STANDARDIZE(tblY9[[#This Row],[9B01 - Genetics
Raw Score]],AVERAGE(tblY9[[9B01 - Genetics
Raw Score]]),_xlfn.STDEV.P(tblY9[[9B01 - Genetics
Raw Score]])),9),_Stanine,2),5),"")</f>
        <v>4</v>
      </c>
      <c r="P91" s="66" t="n">
        <v>21</v>
      </c>
      <c r="Q91" s="67">
        <f>IF(ISNUMBER(tblY9[[#This Row],[9C01 - Chemical Reactions
Raw Score]]),IFERROR(VLOOKUP(ROUND(STANDARDIZE(tblY9[[#This Row],[9C01 - Chemical Reactions
Raw Score]],AVERAGE(tblY9[[9C01 - Chemical Reactions
Raw Score]]),_xlfn.STDEV.P(tblY9[[9C01 - Chemical Reactions
Raw Score]])),9),_Stanine,2),5),"")</f>
        <v>5</v>
      </c>
      <c r="R91" s="66" t="n">
        <v>18</v>
      </c>
      <c r="S91" s="67">
        <f>IF(ISNUMBER(tblY9[[#This Row],[9P01 - Electricity
Raw Score]]),IFERROR(VLOOKUP(ROUND(STANDARDIZE(tblY9[[#This Row],[9P01 - Electricity
Raw Score]],AVERAGE(tblY9[[9P01 - Electricity
Raw Score]]),_xlfn.STDEV.P(tblY9[[9P01 - Electricity
Raw Score]])),9),_Stanine,2),5),"")</f>
        <v>4</v>
      </c>
      <c r="T91" s="66" t="n">
        <v>18</v>
      </c>
      <c r="U91" s="67">
        <f>IF(ISNUMBER(tblY9[[#This Row],[9B02 - Ecology
Raw Score]]),IFERROR(VLOOKUP(ROUND(STANDARDIZE(tblY9[[#This Row],[9B02 - Ecology
Raw Score]],AVERAGE(tblY9[[9B02 - Ecology
Raw Score]]),_xlfn.STDEV.P(tblY9[[9B02 - Ecology
Raw Score]])),9),_Stanine,2),5),"")</f>
        <v>5</v>
      </c>
    </row>
    <row r="92">
      <c r="A92" s="65" t="inlineStr">
        <is>
          <t>X903754594210</t>
        </is>
      </c>
      <c r="B92" s="65" t="inlineStr">
        <is>
          <t>Thompson</t>
        </is>
      </c>
      <c r="C92" s="65" t="inlineStr">
        <is>
          <t>Jacob</t>
        </is>
      </c>
      <c r="D92" s="66" t="inlineStr">
        <is>
          <t>F</t>
        </is>
      </c>
      <c r="E92" s="66" t="inlineStr">
        <is>
          <t>N</t>
        </is>
      </c>
      <c r="F92" s="66" t="inlineStr">
        <is>
          <t>N</t>
        </is>
      </c>
      <c r="G92" s="34" t="n">
        <v>91.8</v>
      </c>
      <c r="H92" s="34" t="n">
        <v>109.5</v>
      </c>
      <c r="I92" s="67">
        <f>IF(ISNUMBER(tblY9[[#This Row],[Avg KS2]]),IFERROR(VLOOKUP(ROUND(STANDARDIZE(tblY9[[#This Row],[Avg KS2]],AVERAGE(tblY9[[Avg KS2]]),_xlfn.STDEV.P(tblY9[[Avg KS2]])),9),_Stanine,2),5),"")</f>
        <v>6</v>
      </c>
      <c r="J92" s="66" t="inlineStr">
        <is>
          <t>9B/Sc1</t>
        </is>
      </c>
      <c r="K92" s="67">
        <f>IF(tblY9[[#This Row],[Preferred Last name]]="","",COUNTIFS($N$1:$ZZ$1,"*"&amp;CHAR(10)&amp;"Stanine",$N92:$ZZ92,"&gt;=1"))</f>
        <v>4</v>
      </c>
      <c r="L92" s="68">
        <f>IFERROR(AVERAGEIF($N$1:$ZZ$1,"*"&amp;CHAR(10)&amp;"Stanine",$N92:$ZZ92),"")</f>
        <v>5.25</v>
      </c>
      <c r="M92" s="69">
        <f>IF(AND(ISNUMBER(tblY9[[#This Row],[Mean Stanine]]),ISNUMBER(tblY9[[#This Row],[Avg KS2 Band]]),ISNUMBER(SlopeY9)),tblY9[[#This Row],[Mean Stanine]]-(InterceptY9+SlopeY9*tblY9[[#This Row],[Avg KS2 Band]]),"")</f>
        <v>-0.586984536082474</v>
      </c>
      <c r="N92" s="66" t="n">
        <v>21</v>
      </c>
      <c r="O92" s="67">
        <f>IF(ISNUMBER(tblY9[[#This Row],[9B01 - Genetics
Raw Score]]),IFERROR(VLOOKUP(ROUND(STANDARDIZE(tblY9[[#This Row],[9B01 - Genetics
Raw Score]],AVERAGE(tblY9[[9B01 - Genetics
Raw Score]]),_xlfn.STDEV.P(tblY9[[9B01 - Genetics
Raw Score]])),9),_Stanine,2),5),"")</f>
        <v>5</v>
      </c>
      <c r="P92" s="66" t="n">
        <v>23</v>
      </c>
      <c r="Q92" s="67">
        <f>IF(ISNUMBER(tblY9[[#This Row],[9C01 - Chemical Reactions
Raw Score]]),IFERROR(VLOOKUP(ROUND(STANDARDIZE(tblY9[[#This Row],[9C01 - Chemical Reactions
Raw Score]],AVERAGE(tblY9[[9C01 - Chemical Reactions
Raw Score]]),_xlfn.STDEV.P(tblY9[[9C01 - Chemical Reactions
Raw Score]])),9),_Stanine,2),5),"")</f>
        <v>6</v>
      </c>
      <c r="R92" s="66" t="n">
        <v>21</v>
      </c>
      <c r="S92" s="67">
        <f>IF(ISNUMBER(tblY9[[#This Row],[9P01 - Electricity
Raw Score]]),IFERROR(VLOOKUP(ROUND(STANDARDIZE(tblY9[[#This Row],[9P01 - Electricity
Raw Score]],AVERAGE(tblY9[[9P01 - Electricity
Raw Score]]),_xlfn.STDEV.P(tblY9[[9P01 - Electricity
Raw Score]])),9),_Stanine,2),5),"")</f>
        <v>5</v>
      </c>
      <c r="T92" s="66" t="n">
        <v>17</v>
      </c>
      <c r="U92" s="67">
        <f>IF(ISNUMBER(tblY9[[#This Row],[9B02 - Ecology
Raw Score]]),IFERROR(VLOOKUP(ROUND(STANDARDIZE(tblY9[[#This Row],[9B02 - Ecology
Raw Score]],AVERAGE(tblY9[[9B02 - Ecology
Raw Score]]),_xlfn.STDEV.P(tblY9[[9B02 - Ecology
Raw Score]])),9),_Stanine,2),5),"")</f>
        <v>5</v>
      </c>
    </row>
    <row r="93">
      <c r="A93" s="65" t="inlineStr">
        <is>
          <t>X908213914289</t>
        </is>
      </c>
      <c r="B93" s="65" t="inlineStr">
        <is>
          <t>Ward</t>
        </is>
      </c>
      <c r="C93" s="65" t="inlineStr">
        <is>
          <t>Megan</t>
        </is>
      </c>
      <c r="D93" s="66" t="inlineStr">
        <is>
          <t>F</t>
        </is>
      </c>
      <c r="E93" s="66" t="n"/>
      <c r="F93" s="66" t="inlineStr">
        <is>
          <t>N</t>
        </is>
      </c>
      <c r="G93" s="34" t="n">
        <v>87.7</v>
      </c>
      <c r="H93" s="34" t="n">
        <v>109</v>
      </c>
      <c r="I93" s="67">
        <f>IF(ISNUMBER(tblY9[[#This Row],[Avg KS2]]),IFERROR(VLOOKUP(ROUND(STANDARDIZE(tblY9[[#This Row],[Avg KS2]],AVERAGE(tblY9[[Avg KS2]]),_xlfn.STDEV.P(tblY9[[Avg KS2]])),9),_Stanine,2),5),"")</f>
        <v>6</v>
      </c>
      <c r="J93" s="66" t="inlineStr">
        <is>
          <t>9B/Sc1</t>
        </is>
      </c>
      <c r="K93" s="67">
        <f>IF(tblY9[[#This Row],[Preferred Last name]]="","",COUNTIFS($N$1:$ZZ$1,"*"&amp;CHAR(10)&amp;"Stanine",$N93:$ZZ93,"&gt;=1"))</f>
        <v>3</v>
      </c>
      <c r="L93" s="68">
        <f>IFERROR(AVERAGEIF($N$1:$ZZ$1,"*"&amp;CHAR(10)&amp;"Stanine",$N93:$ZZ93),"")</f>
        <v>5.33333333333333</v>
      </c>
      <c r="M93" s="69">
        <f>IF(AND(ISNUMBER(tblY9[[#This Row],[Mean Stanine]]),ISNUMBER(tblY9[[#This Row],[Avg KS2 Band]]),ISNUMBER(SlopeY9)),tblY9[[#This Row],[Mean Stanine]]-(InterceptY9+SlopeY9*tblY9[[#This Row],[Avg KS2 Band]]),"")</f>
        <v>-0.503651202749141</v>
      </c>
      <c r="N93" s="66" t="inlineStr">
        <is>
          <t>A</t>
        </is>
      </c>
      <c r="O93" s="67" t="str">
        <f>IF(ISNUMBER(tblY9[[#This Row],[9B01 - Genetics
Raw Score]]),IFERROR(VLOOKUP(ROUND(STANDARDIZE(tblY9[[#This Row],[9B01 - Genetics
Raw Score]],AVERAGE(tblY9[[9B01 - Genetics
Raw Score]]),_xlfn.STDEV.P(tblY9[[9B01 - Genetics
Raw Score]])),9),_Stanine,2),5),"")</f>
        <v/>
      </c>
      <c r="P93" s="66" t="n">
        <v>22</v>
      </c>
      <c r="Q93" s="67">
        <f>IF(ISNUMBER(tblY9[[#This Row],[9C01 - Chemical Reactions
Raw Score]]),IFERROR(VLOOKUP(ROUND(STANDARDIZE(tblY9[[#This Row],[9C01 - Chemical Reactions
Raw Score]],AVERAGE(tblY9[[9C01 - Chemical Reactions
Raw Score]]),_xlfn.STDEV.P(tblY9[[9C01 - Chemical Reactions
Raw Score]])),9),_Stanine,2),5),"")</f>
        <v>5</v>
      </c>
      <c r="R93" s="66" t="n">
        <v>21</v>
      </c>
      <c r="S93" s="67">
        <f>IF(ISNUMBER(tblY9[[#This Row],[9P01 - Electricity
Raw Score]]),IFERROR(VLOOKUP(ROUND(STANDARDIZE(tblY9[[#This Row],[9P01 - Electricity
Raw Score]],AVERAGE(tblY9[[9P01 - Electricity
Raw Score]]),_xlfn.STDEV.P(tblY9[[9P01 - Electricity
Raw Score]])),9),_Stanine,2),5),"")</f>
        <v>5</v>
      </c>
      <c r="T93" s="66" t="n">
        <v>19</v>
      </c>
      <c r="U93" s="67">
        <f>IF(ISNUMBER(tblY9[[#This Row],[9B02 - Ecology
Raw Score]]),IFERROR(VLOOKUP(ROUND(STANDARDIZE(tblY9[[#This Row],[9B02 - Ecology
Raw Score]],AVERAGE(tblY9[[9B02 - Ecology
Raw Score]]),_xlfn.STDEV.P(tblY9[[9B02 - Ecology
Raw Score]])),9),_Stanine,2),5),"")</f>
        <v>6</v>
      </c>
    </row>
    <row r="94">
      <c r="A94" s="65" t="inlineStr">
        <is>
          <t>X907953572438</t>
        </is>
      </c>
      <c r="B94" s="65" t="inlineStr">
        <is>
          <t>Wilson</t>
        </is>
      </c>
      <c r="C94" s="65" t="inlineStr">
        <is>
          <t>George</t>
        </is>
      </c>
      <c r="D94" s="66" t="inlineStr">
        <is>
          <t>F</t>
        </is>
      </c>
      <c r="E94" s="66" t="inlineStr">
        <is>
          <t>K</t>
        </is>
      </c>
      <c r="F94" s="66" t="inlineStr">
        <is>
          <t>N</t>
        </is>
      </c>
      <c r="G94" s="34" t="n">
        <v>100</v>
      </c>
      <c r="H94" s="34" t="n">
        <v>113</v>
      </c>
      <c r="I94" s="67">
        <f>IF(ISNUMBER(tblY9[[#This Row],[Avg KS2]]),IFERROR(VLOOKUP(ROUND(STANDARDIZE(tblY9[[#This Row],[Avg KS2]],AVERAGE(tblY9[[Avg KS2]]),_xlfn.STDEV.P(tblY9[[Avg KS2]])),9),_Stanine,2),5),"")</f>
        <v>7</v>
      </c>
      <c r="J94" s="66" t="inlineStr">
        <is>
          <t>9B/Sc1</t>
        </is>
      </c>
      <c r="K94" s="67">
        <f>IF(tblY9[[#This Row],[Preferred Last name]]="","",COUNTIFS($N$1:$ZZ$1,"*"&amp;CHAR(10)&amp;"Stanine",$N94:$ZZ94,"&gt;=1"))</f>
        <v>4</v>
      </c>
      <c r="L94" s="68">
        <f>IFERROR(AVERAGEIF($N$1:$ZZ$1,"*"&amp;CHAR(10)&amp;"Stanine",$N94:$ZZ94),"")</f>
        <v>7</v>
      </c>
      <c r="M94" s="69">
        <f>IF(AND(ISNUMBER(tblY9[[#This Row],[Mean Stanine]]),ISNUMBER(tblY9[[#This Row],[Avg KS2 Band]]),ISNUMBER(SlopeY9)),tblY9[[#This Row],[Mean Stanine]]-(InterceptY9+SlopeY9*tblY9[[#This Row],[Avg KS2 Band]]),"")</f>
        <v>0.399601686972821</v>
      </c>
      <c r="N94" s="66" t="n">
        <v>27</v>
      </c>
      <c r="O94" s="67">
        <f>IF(ISNUMBER(tblY9[[#This Row],[9B01 - Genetics
Raw Score]]),IFERROR(VLOOKUP(ROUND(STANDARDIZE(tblY9[[#This Row],[9B01 - Genetics
Raw Score]],AVERAGE(tblY9[[9B01 - Genetics
Raw Score]]),_xlfn.STDEV.P(tblY9[[9B01 - Genetics
Raw Score]])),9),_Stanine,2),5),"")</f>
        <v>7</v>
      </c>
      <c r="P94" s="66" t="n">
        <v>27</v>
      </c>
      <c r="Q94" s="67">
        <f>IF(ISNUMBER(tblY9[[#This Row],[9C01 - Chemical Reactions
Raw Score]]),IFERROR(VLOOKUP(ROUND(STANDARDIZE(tblY9[[#This Row],[9C01 - Chemical Reactions
Raw Score]],AVERAGE(tblY9[[9C01 - Chemical Reactions
Raw Score]]),_xlfn.STDEV.P(tblY9[[9C01 - Chemical Reactions
Raw Score]])),9),_Stanine,2),5),"")</f>
        <v>7</v>
      </c>
      <c r="R94" s="66" t="n">
        <v>26</v>
      </c>
      <c r="S94" s="67">
        <f>IF(ISNUMBER(tblY9[[#This Row],[9P01 - Electricity
Raw Score]]),IFERROR(VLOOKUP(ROUND(STANDARDIZE(tblY9[[#This Row],[9P01 - Electricity
Raw Score]],AVERAGE(tblY9[[9P01 - Electricity
Raw Score]]),_xlfn.STDEV.P(tblY9[[9P01 - Electricity
Raw Score]])),9),_Stanine,2),5),"")</f>
        <v>7</v>
      </c>
      <c r="T94" s="66" t="n">
        <v>23</v>
      </c>
      <c r="U94" s="67">
        <f>IF(ISNUMBER(tblY9[[#This Row],[9B02 - Ecology
Raw Score]]),IFERROR(VLOOKUP(ROUND(STANDARDIZE(tblY9[[#This Row],[9B02 - Ecology
Raw Score]],AVERAGE(tblY9[[9B02 - Ecology
Raw Score]]),_xlfn.STDEV.P(tblY9[[9B02 - Ecology
Raw Score]])),9),_Stanine,2),5),"")</f>
        <v>7</v>
      </c>
    </row>
    <row r="95">
      <c r="A95" s="65" t="inlineStr">
        <is>
          <t>X909361541664</t>
        </is>
      </c>
      <c r="B95" s="65" t="inlineStr">
        <is>
          <t>Adeyemi</t>
        </is>
      </c>
      <c r="C95" s="65" t="inlineStr">
        <is>
          <t>Amelia</t>
        </is>
      </c>
      <c r="D95" s="66" t="inlineStr">
        <is>
          <t>M</t>
        </is>
      </c>
      <c r="E95" s="66" t="inlineStr">
        <is>
          <t>K</t>
        </is>
      </c>
      <c r="F95" s="66" t="inlineStr">
        <is>
          <t>Y</t>
        </is>
      </c>
      <c r="G95" s="34" t="n">
        <v>87.8</v>
      </c>
      <c r="H95" s="34" t="n">
        <v>100.5</v>
      </c>
      <c r="I95" s="67">
        <f>IF(ISNUMBER(tblY9[[#This Row],[Avg KS2]]),IFERROR(VLOOKUP(ROUND(STANDARDIZE(tblY9[[#This Row],[Avg KS2]],AVERAGE(tblY9[[Avg KS2]]),_xlfn.STDEV.P(tblY9[[Avg KS2]])),9),_Stanine,2),5),"")</f>
        <v>3</v>
      </c>
      <c r="J95" s="66" t="inlineStr">
        <is>
          <t>9B/Sc2</t>
        </is>
      </c>
      <c r="K95" s="67">
        <f>IF(tblY9[[#This Row],[Preferred Last name]]="","",COUNTIFS($N$1:$ZZ$1,"*"&amp;CHAR(10)&amp;"Stanine",$N95:$ZZ95,"&gt;=1"))</f>
        <v>4</v>
      </c>
      <c r="L95" s="68">
        <f>IFERROR(AVERAGEIF($N$1:$ZZ$1,"*"&amp;CHAR(10)&amp;"Stanine",$N95:$ZZ95),"")</f>
        <v>5</v>
      </c>
      <c r="M95" s="69">
        <f>IF(AND(ISNUMBER(tblY9[[#This Row],[Mean Stanine]]),ISNUMBER(tblY9[[#This Row],[Avg KS2 Band]]),ISNUMBER(SlopeY9)),tblY9[[#This Row],[Mean Stanine]]-(InterceptY9+SlopeY9*tblY9[[#This Row],[Avg KS2 Band]]),"")</f>
        <v>1.45325679475164</v>
      </c>
      <c r="N95" s="66" t="n">
        <v>19</v>
      </c>
      <c r="O95" s="67">
        <f>IF(ISNUMBER(tblY9[[#This Row],[9B01 - Genetics
Raw Score]]),IFERROR(VLOOKUP(ROUND(STANDARDIZE(tblY9[[#This Row],[9B01 - Genetics
Raw Score]],AVERAGE(tblY9[[9B01 - Genetics
Raw Score]]),_xlfn.STDEV.P(tblY9[[9B01 - Genetics
Raw Score]])),9),_Stanine,2),5),"")</f>
        <v>5</v>
      </c>
      <c r="P95" s="66" t="n">
        <v>22</v>
      </c>
      <c r="Q95" s="67">
        <f>IF(ISNUMBER(tblY9[[#This Row],[9C01 - Chemical Reactions
Raw Score]]),IFERROR(VLOOKUP(ROUND(STANDARDIZE(tblY9[[#This Row],[9C01 - Chemical Reactions
Raw Score]],AVERAGE(tblY9[[9C01 - Chemical Reactions
Raw Score]]),_xlfn.STDEV.P(tblY9[[9C01 - Chemical Reactions
Raw Score]])),9),_Stanine,2),5),"")</f>
        <v>5</v>
      </c>
      <c r="R95" s="66" t="n">
        <v>19</v>
      </c>
      <c r="S95" s="67">
        <f>IF(ISNUMBER(tblY9[[#This Row],[9P01 - Electricity
Raw Score]]),IFERROR(VLOOKUP(ROUND(STANDARDIZE(tblY9[[#This Row],[9P01 - Electricity
Raw Score]],AVERAGE(tblY9[[9P01 - Electricity
Raw Score]]),_xlfn.STDEV.P(tblY9[[9P01 - Electricity
Raw Score]])),9),_Stanine,2),5),"")</f>
        <v>4</v>
      </c>
      <c r="T95" s="66" t="n">
        <v>20</v>
      </c>
      <c r="U95" s="67">
        <f>IF(ISNUMBER(tblY9[[#This Row],[9B02 - Ecology
Raw Score]]),IFERROR(VLOOKUP(ROUND(STANDARDIZE(tblY9[[#This Row],[9B02 - Ecology
Raw Score]],AVERAGE(tblY9[[9B02 - Ecology
Raw Score]]),_xlfn.STDEV.P(tblY9[[9B02 - Ecology
Raw Score]])),9),_Stanine,2),5),"")</f>
        <v>6</v>
      </c>
    </row>
    <row r="96">
      <c r="A96" s="65" t="inlineStr">
        <is>
          <t>X907197499321</t>
        </is>
      </c>
      <c r="B96" s="65" t="inlineStr">
        <is>
          <t>Ahmed</t>
        </is>
      </c>
      <c r="C96" s="65" t="inlineStr">
        <is>
          <t>George</t>
        </is>
      </c>
      <c r="D96" s="66" t="inlineStr">
        <is>
          <t>M</t>
        </is>
      </c>
      <c r="E96" s="66" t="n"/>
      <c r="F96" s="66" t="inlineStr">
        <is>
          <t>Y</t>
        </is>
      </c>
      <c r="G96" s="34" t="n">
        <v>98.2</v>
      </c>
      <c r="H96" s="34" t="n">
        <v>102.5</v>
      </c>
      <c r="I96" s="67">
        <f>IF(ISNUMBER(tblY9[[#This Row],[Avg KS2]]),IFERROR(VLOOKUP(ROUND(STANDARDIZE(tblY9[[#This Row],[Avg KS2]],AVERAGE(tblY9[[Avg KS2]]),_xlfn.STDEV.P(tblY9[[Avg KS2]])),9),_Stanine,2),5),"")</f>
        <v>3</v>
      </c>
      <c r="J96" s="66" t="inlineStr">
        <is>
          <t>9B/Sc2</t>
        </is>
      </c>
      <c r="K96" s="67">
        <f>IF(tblY9[[#This Row],[Preferred Last name]]="","",COUNTIFS($N$1:$ZZ$1,"*"&amp;CHAR(10)&amp;"Stanine",$N96:$ZZ96,"&gt;=1"))</f>
        <v>4</v>
      </c>
      <c r="L96" s="68">
        <f>IFERROR(AVERAGEIF($N$1:$ZZ$1,"*"&amp;CHAR(10)&amp;"Stanine",$N96:$ZZ96),"")</f>
        <v>1</v>
      </c>
      <c r="M96" s="69">
        <f>IF(AND(ISNUMBER(tblY9[[#This Row],[Mean Stanine]]),ISNUMBER(tblY9[[#This Row],[Avg KS2 Band]]),ISNUMBER(SlopeY9)),tblY9[[#This Row],[Mean Stanine]]-(InterceptY9+SlopeY9*tblY9[[#This Row],[Avg KS2 Band]]),"")</f>
        <v>-2.54674320524836</v>
      </c>
      <c r="N96" s="66" t="n">
        <v>8</v>
      </c>
      <c r="O96" s="67">
        <f>IF(ISNUMBER(tblY9[[#This Row],[9B01 - Genetics
Raw Score]]),IFERROR(VLOOKUP(ROUND(STANDARDIZE(tblY9[[#This Row],[9B01 - Genetics
Raw Score]],AVERAGE(tblY9[[9B01 - Genetics
Raw Score]]),_xlfn.STDEV.P(tblY9[[9B01 - Genetics
Raw Score]])),9),_Stanine,2),5),"")</f>
        <v>1</v>
      </c>
      <c r="P96" s="66" t="n">
        <v>10</v>
      </c>
      <c r="Q96" s="67">
        <f>IF(ISNUMBER(tblY9[[#This Row],[9C01 - Chemical Reactions
Raw Score]]),IFERROR(VLOOKUP(ROUND(STANDARDIZE(tblY9[[#This Row],[9C01 - Chemical Reactions
Raw Score]],AVERAGE(tblY9[[9C01 - Chemical Reactions
Raw Score]]),_xlfn.STDEV.P(tblY9[[9C01 - Chemical Reactions
Raw Score]])),9),_Stanine,2),5),"")</f>
        <v>1</v>
      </c>
      <c r="R96" s="66" t="n">
        <v>9</v>
      </c>
      <c r="S96" s="67">
        <f>IF(ISNUMBER(tblY9[[#This Row],[9P01 - Electricity
Raw Score]]),IFERROR(VLOOKUP(ROUND(STANDARDIZE(tblY9[[#This Row],[9P01 - Electricity
Raw Score]],AVERAGE(tblY9[[9P01 - Electricity
Raw Score]]),_xlfn.STDEV.P(tblY9[[9P01 - Electricity
Raw Score]])),9),_Stanine,2),5),"")</f>
        <v>1</v>
      </c>
      <c r="T96" s="66" t="n">
        <v>9</v>
      </c>
      <c r="U96" s="67">
        <f>IF(ISNUMBER(tblY9[[#This Row],[9B02 - Ecology
Raw Score]]),IFERROR(VLOOKUP(ROUND(STANDARDIZE(tblY9[[#This Row],[9B02 - Ecology
Raw Score]],AVERAGE(tblY9[[9B02 - Ecology
Raw Score]]),_xlfn.STDEV.P(tblY9[[9B02 - Ecology
Raw Score]])),9),_Stanine,2),5),"")</f>
        <v>1</v>
      </c>
    </row>
    <row r="97">
      <c r="A97" s="65" t="inlineStr">
        <is>
          <t>X902068182736</t>
        </is>
      </c>
      <c r="B97" s="65" t="inlineStr">
        <is>
          <t>Begum</t>
        </is>
      </c>
      <c r="C97" s="65" t="inlineStr">
        <is>
          <t>Finley</t>
        </is>
      </c>
      <c r="D97" s="66" t="inlineStr">
        <is>
          <t>M</t>
        </is>
      </c>
      <c r="E97" s="66" t="inlineStr">
        <is>
          <t>N</t>
        </is>
      </c>
      <c r="F97" s="66" t="inlineStr">
        <is>
          <t>N</t>
        </is>
      </c>
      <c r="G97" s="34" t="n">
        <v>92.3</v>
      </c>
      <c r="H97" s="34" t="n">
        <v>108.5</v>
      </c>
      <c r="I97" s="67">
        <f>IF(ISNUMBER(tblY9[[#This Row],[Avg KS2]]),IFERROR(VLOOKUP(ROUND(STANDARDIZE(tblY9[[#This Row],[Avg KS2]],AVERAGE(tblY9[[Avg KS2]]),_xlfn.STDEV.P(tblY9[[Avg KS2]])),9),_Stanine,2),5),"")</f>
        <v>6</v>
      </c>
      <c r="J97" s="66" t="inlineStr">
        <is>
          <t>9B/Sc2</t>
        </is>
      </c>
      <c r="K97" s="67">
        <f>IF(tblY9[[#This Row],[Preferred Last name]]="","",COUNTIFS($N$1:$ZZ$1,"*"&amp;CHAR(10)&amp;"Stanine",$N97:$ZZ97,"&gt;=1"))</f>
        <v>4</v>
      </c>
      <c r="L97" s="68">
        <f>IFERROR(AVERAGEIF($N$1:$ZZ$1,"*"&amp;CHAR(10)&amp;"Stanine",$N97:$ZZ97),"")</f>
        <v>5.75</v>
      </c>
      <c r="M97" s="69">
        <f>IF(AND(ISNUMBER(tblY9[[#This Row],[Mean Stanine]]),ISNUMBER(tblY9[[#This Row],[Avg KS2 Band]]),ISNUMBER(SlopeY9)),tblY9[[#This Row],[Mean Stanine]]-(InterceptY9+SlopeY9*tblY9[[#This Row],[Avg KS2 Band]]),"")</f>
        <v>-0.0869845360824737</v>
      </c>
      <c r="N97" s="66" t="n">
        <v>21</v>
      </c>
      <c r="O97" s="67">
        <f>IF(ISNUMBER(tblY9[[#This Row],[9B01 - Genetics
Raw Score]]),IFERROR(VLOOKUP(ROUND(STANDARDIZE(tblY9[[#This Row],[9B01 - Genetics
Raw Score]],AVERAGE(tblY9[[9B01 - Genetics
Raw Score]]),_xlfn.STDEV.P(tblY9[[9B01 - Genetics
Raw Score]])),9),_Stanine,2),5),"")</f>
        <v>5</v>
      </c>
      <c r="P97" s="66" t="n">
        <v>26</v>
      </c>
      <c r="Q97" s="67">
        <f>IF(ISNUMBER(tblY9[[#This Row],[9C01 - Chemical Reactions
Raw Score]]),IFERROR(VLOOKUP(ROUND(STANDARDIZE(tblY9[[#This Row],[9C01 - Chemical Reactions
Raw Score]],AVERAGE(tblY9[[9C01 - Chemical Reactions
Raw Score]]),_xlfn.STDEV.P(tblY9[[9C01 - Chemical Reactions
Raw Score]])),9),_Stanine,2),5),"")</f>
        <v>7</v>
      </c>
      <c r="R97" s="66" t="n">
        <v>24</v>
      </c>
      <c r="S97" s="67">
        <f>IF(ISNUMBER(tblY9[[#This Row],[9P01 - Electricity
Raw Score]]),IFERROR(VLOOKUP(ROUND(STANDARDIZE(tblY9[[#This Row],[9P01 - Electricity
Raw Score]],AVERAGE(tblY9[[9P01 - Electricity
Raw Score]]),_xlfn.STDEV.P(tblY9[[9P01 - Electricity
Raw Score]])),9),_Stanine,2),5),"")</f>
        <v>6</v>
      </c>
      <c r="T97" s="66" t="n">
        <v>18</v>
      </c>
      <c r="U97" s="67">
        <f>IF(ISNUMBER(tblY9[[#This Row],[9B02 - Ecology
Raw Score]]),IFERROR(VLOOKUP(ROUND(STANDARDIZE(tblY9[[#This Row],[9B02 - Ecology
Raw Score]],AVERAGE(tblY9[[9B02 - Ecology
Raw Score]]),_xlfn.STDEV.P(tblY9[[9B02 - Ecology
Raw Score]])),9),_Stanine,2),5),"")</f>
        <v>5</v>
      </c>
    </row>
    <row r="98">
      <c r="A98" s="65" t="inlineStr">
        <is>
          <t>X902885096279</t>
        </is>
      </c>
      <c r="B98" s="65" t="inlineStr">
        <is>
          <t>Brown</t>
        </is>
      </c>
      <c r="C98" s="65" t="inlineStr">
        <is>
          <t>Zara</t>
        </is>
      </c>
      <c r="D98" s="66" t="inlineStr">
        <is>
          <t>F</t>
        </is>
      </c>
      <c r="E98" s="66" t="inlineStr">
        <is>
          <t>N</t>
        </is>
      </c>
      <c r="F98" s="66" t="inlineStr">
        <is>
          <t>Y</t>
        </is>
      </c>
      <c r="G98" s="34" t="n">
        <v>90.2</v>
      </c>
      <c r="H98" s="34" t="n">
        <v>106.5</v>
      </c>
      <c r="I98" s="67">
        <f>IF(ISNUMBER(tblY9[[#This Row],[Avg KS2]]),IFERROR(VLOOKUP(ROUND(STANDARDIZE(tblY9[[#This Row],[Avg KS2]],AVERAGE(tblY9[[Avg KS2]]),_xlfn.STDEV.P(tblY9[[Avg KS2]])),9),_Stanine,2),5),"")</f>
        <v>5</v>
      </c>
      <c r="J98" s="66" t="inlineStr">
        <is>
          <t>9B/Sc2</t>
        </is>
      </c>
      <c r="K98" s="67">
        <f>IF(tblY9[[#This Row],[Preferred Last name]]="","",COUNTIFS($N$1:$ZZ$1,"*"&amp;CHAR(10)&amp;"Stanine",$N98:$ZZ98,"&gt;=1"))</f>
        <v>4</v>
      </c>
      <c r="L98" s="68">
        <f>IFERROR(AVERAGEIF($N$1:$ZZ$1,"*"&amp;CHAR(10)&amp;"Stanine",$N98:$ZZ98),"")</f>
        <v>3.25</v>
      </c>
      <c r="M98" s="69">
        <f>IF(AND(ISNUMBER(tblY9[[#This Row],[Mean Stanine]]),ISNUMBER(tblY9[[#This Row],[Avg KS2 Band]]),ISNUMBER(SlopeY9)),tblY9[[#This Row],[Mean Stanine]]-(InterceptY9+SlopeY9*tblY9[[#This Row],[Avg KS2 Band]]),"")</f>
        <v>-1.82357075913777</v>
      </c>
      <c r="N98" s="66" t="n">
        <v>18</v>
      </c>
      <c r="O98" s="67">
        <f>IF(ISNUMBER(tblY9[[#This Row],[9B01 - Genetics
Raw Score]]),IFERROR(VLOOKUP(ROUND(STANDARDIZE(tblY9[[#This Row],[9B01 - Genetics
Raw Score]],AVERAGE(tblY9[[9B01 - Genetics
Raw Score]]),_xlfn.STDEV.P(tblY9[[9B01 - Genetics
Raw Score]])),9),_Stanine,2),5),"")</f>
        <v>4</v>
      </c>
      <c r="P98" s="66" t="n">
        <v>12</v>
      </c>
      <c r="Q98" s="67">
        <f>IF(ISNUMBER(tblY9[[#This Row],[9C01 - Chemical Reactions
Raw Score]]),IFERROR(VLOOKUP(ROUND(STANDARDIZE(tblY9[[#This Row],[9C01 - Chemical Reactions
Raw Score]],AVERAGE(tblY9[[9C01 - Chemical Reactions
Raw Score]]),_xlfn.STDEV.P(tblY9[[9C01 - Chemical Reactions
Raw Score]])),9),_Stanine,2),5),"")</f>
        <v>2</v>
      </c>
      <c r="R98" s="66" t="n">
        <v>16</v>
      </c>
      <c r="S98" s="67">
        <f>IF(ISNUMBER(tblY9[[#This Row],[9P01 - Electricity
Raw Score]]),IFERROR(VLOOKUP(ROUND(STANDARDIZE(tblY9[[#This Row],[9P01 - Electricity
Raw Score]],AVERAGE(tblY9[[9P01 - Electricity
Raw Score]]),_xlfn.STDEV.P(tblY9[[9P01 - Electricity
Raw Score]])),9),_Stanine,2),5),"")</f>
        <v>3</v>
      </c>
      <c r="T98" s="66" t="n">
        <v>15</v>
      </c>
      <c r="U98" s="67">
        <f>IF(ISNUMBER(tblY9[[#This Row],[9B02 - Ecology
Raw Score]]),IFERROR(VLOOKUP(ROUND(STANDARDIZE(tblY9[[#This Row],[9B02 - Ecology
Raw Score]],AVERAGE(tblY9[[9B02 - Ecology
Raw Score]]),_xlfn.STDEV.P(tblY9[[9B02 - Ecology
Raw Score]])),9),_Stanine,2),5),"")</f>
        <v>4</v>
      </c>
    </row>
    <row r="99">
      <c r="A99" s="65" t="inlineStr">
        <is>
          <t>X904603522724</t>
        </is>
      </c>
      <c r="B99" s="65" t="inlineStr">
        <is>
          <t>Clarke</t>
        </is>
      </c>
      <c r="C99" s="65" t="inlineStr">
        <is>
          <t>Arjun</t>
        </is>
      </c>
      <c r="D99" s="66" t="inlineStr">
        <is>
          <t>M</t>
        </is>
      </c>
      <c r="E99" s="66" t="n"/>
      <c r="F99" s="66" t="inlineStr">
        <is>
          <t>N</t>
        </is>
      </c>
      <c r="G99" s="34" t="n">
        <v>88.8</v>
      </c>
      <c r="H99" s="34" t="n">
        <v>102</v>
      </c>
      <c r="I99" s="67">
        <f>IF(ISNUMBER(tblY9[[#This Row],[Avg KS2]]),IFERROR(VLOOKUP(ROUND(STANDARDIZE(tblY9[[#This Row],[Avg KS2]],AVERAGE(tblY9[[Avg KS2]]),_xlfn.STDEV.P(tblY9[[Avg KS2]])),9),_Stanine,2),5),"")</f>
        <v>3</v>
      </c>
      <c r="J99" s="66" t="inlineStr">
        <is>
          <t>9B/Sc2</t>
        </is>
      </c>
      <c r="K99" s="67">
        <f>IF(tblY9[[#This Row],[Preferred Last name]]="","",COUNTIFS($N$1:$ZZ$1,"*"&amp;CHAR(10)&amp;"Stanine",$N99:$ZZ99,"&gt;=1"))</f>
        <v>4</v>
      </c>
      <c r="L99" s="68">
        <f>IFERROR(AVERAGEIF($N$1:$ZZ$1,"*"&amp;CHAR(10)&amp;"Stanine",$N99:$ZZ99),"")</f>
        <v>3.25</v>
      </c>
      <c r="M99" s="69">
        <f>IF(AND(ISNUMBER(tblY9[[#This Row],[Mean Stanine]]),ISNUMBER(tblY9[[#This Row],[Avg KS2 Band]]),ISNUMBER(SlopeY9)),tblY9[[#This Row],[Mean Stanine]]-(InterceptY9+SlopeY9*tblY9[[#This Row],[Avg KS2 Band]]),"")</f>
        <v>-0.29674320524836</v>
      </c>
      <c r="N99" s="66" t="n">
        <v>17</v>
      </c>
      <c r="O99" s="67">
        <f>IF(ISNUMBER(tblY9[[#This Row],[9B01 - Genetics
Raw Score]]),IFERROR(VLOOKUP(ROUND(STANDARDIZE(tblY9[[#This Row],[9B01 - Genetics
Raw Score]],AVERAGE(tblY9[[9B01 - Genetics
Raw Score]]),_xlfn.STDEV.P(tblY9[[9B01 - Genetics
Raw Score]])),9),_Stanine,2),5),"")</f>
        <v>4</v>
      </c>
      <c r="P99" s="66" t="n">
        <v>16</v>
      </c>
      <c r="Q99" s="67">
        <f>IF(ISNUMBER(tblY9[[#This Row],[9C01 - Chemical Reactions
Raw Score]]),IFERROR(VLOOKUP(ROUND(STANDARDIZE(tblY9[[#This Row],[9C01 - Chemical Reactions
Raw Score]],AVERAGE(tblY9[[9C01 - Chemical Reactions
Raw Score]]),_xlfn.STDEV.P(tblY9[[9C01 - Chemical Reactions
Raw Score]])),9),_Stanine,2),5),"")</f>
        <v>3</v>
      </c>
      <c r="R99" s="66" t="n">
        <v>16</v>
      </c>
      <c r="S99" s="67">
        <f>IF(ISNUMBER(tblY9[[#This Row],[9P01 - Electricity
Raw Score]]),IFERROR(VLOOKUP(ROUND(STANDARDIZE(tblY9[[#This Row],[9P01 - Electricity
Raw Score]],AVERAGE(tblY9[[9P01 - Electricity
Raw Score]]),_xlfn.STDEV.P(tblY9[[9P01 - Electricity
Raw Score]])),9),_Stanine,2),5),"")</f>
        <v>3</v>
      </c>
      <c r="T99" s="66" t="n">
        <v>14</v>
      </c>
      <c r="U99" s="67">
        <f>IF(ISNUMBER(tblY9[[#This Row],[9B02 - Ecology
Raw Score]]),IFERROR(VLOOKUP(ROUND(STANDARDIZE(tblY9[[#This Row],[9B02 - Ecology
Raw Score]],AVERAGE(tblY9[[9B02 - Ecology
Raw Score]]),_xlfn.STDEV.P(tblY9[[9B02 - Ecology
Raw Score]])),9),_Stanine,2),5),"")</f>
        <v>3</v>
      </c>
    </row>
    <row r="100">
      <c r="A100" s="65" t="inlineStr">
        <is>
          <t>X908218327011</t>
        </is>
      </c>
      <c r="B100" s="65" t="inlineStr">
        <is>
          <t>Clarke</t>
        </is>
      </c>
      <c r="C100" s="65" t="inlineStr">
        <is>
          <t>Callum</t>
        </is>
      </c>
      <c r="D100" s="66" t="inlineStr">
        <is>
          <t>M</t>
        </is>
      </c>
      <c r="E100" s="66" t="inlineStr">
        <is>
          <t>N</t>
        </is>
      </c>
      <c r="F100" s="66" t="inlineStr">
        <is>
          <t>N</t>
        </is>
      </c>
      <c r="G100" s="34" t="n">
        <v>99.3</v>
      </c>
      <c r="H100" s="34" t="n">
        <v>108</v>
      </c>
      <c r="I100" s="67">
        <f>IF(ISNUMBER(tblY9[[#This Row],[Avg KS2]]),IFERROR(VLOOKUP(ROUND(STANDARDIZE(tblY9[[#This Row],[Avg KS2]],AVERAGE(tblY9[[Avg KS2]]),_xlfn.STDEV.P(tblY9[[Avg KS2]])),9),_Stanine,2),5),"")</f>
        <v>6</v>
      </c>
      <c r="J100" s="66" t="inlineStr">
        <is>
          <t>9B/Sc2</t>
        </is>
      </c>
      <c r="K100" s="67">
        <f>IF(tblY9[[#This Row],[Preferred Last name]]="","",COUNTIFS($N$1:$ZZ$1,"*"&amp;CHAR(10)&amp;"Stanine",$N100:$ZZ100,"&gt;=1"))</f>
        <v>3</v>
      </c>
      <c r="L100" s="68">
        <f>IFERROR(AVERAGEIF($N$1:$ZZ$1,"*"&amp;CHAR(10)&amp;"Stanine",$N100:$ZZ100),"")</f>
        <v>6</v>
      </c>
      <c r="M100" s="69">
        <f>IF(AND(ISNUMBER(tblY9[[#This Row],[Mean Stanine]]),ISNUMBER(tblY9[[#This Row],[Avg KS2 Band]]),ISNUMBER(SlopeY9)),tblY9[[#This Row],[Mean Stanine]]-(InterceptY9+SlopeY9*tblY9[[#This Row],[Avg KS2 Band]]),"")</f>
        <v>0.163015463917526</v>
      </c>
      <c r="N100" s="66" t="n">
        <v>24</v>
      </c>
      <c r="O100" s="67">
        <f>IF(ISNUMBER(tblY9[[#This Row],[9B01 - Genetics
Raw Score]]),IFERROR(VLOOKUP(ROUND(STANDARDIZE(tblY9[[#This Row],[9B01 - Genetics
Raw Score]],AVERAGE(tblY9[[9B01 - Genetics
Raw Score]]),_xlfn.STDEV.P(tblY9[[9B01 - Genetics
Raw Score]])),9),_Stanine,2),5),"")</f>
        <v>6</v>
      </c>
      <c r="P100" s="66" t="n">
        <v>25</v>
      </c>
      <c r="Q100" s="67">
        <f>IF(ISNUMBER(tblY9[[#This Row],[9C01 - Chemical Reactions
Raw Score]]),IFERROR(VLOOKUP(ROUND(STANDARDIZE(tblY9[[#This Row],[9C01 - Chemical Reactions
Raw Score]],AVERAGE(tblY9[[9C01 - Chemical Reactions
Raw Score]]),_xlfn.STDEV.P(tblY9[[9C01 - Chemical Reactions
Raw Score]])),9),_Stanine,2),5),"")</f>
        <v>6</v>
      </c>
      <c r="R100" s="66" t="inlineStr">
        <is>
          <t>A</t>
        </is>
      </c>
      <c r="S100" s="67" t="str">
        <f>IF(ISNUMBER(tblY9[[#This Row],[9P01 - Electricity
Raw Score]]),IFERROR(VLOOKUP(ROUND(STANDARDIZE(tblY9[[#This Row],[9P01 - Electricity
Raw Score]],AVERAGE(tblY9[[9P01 - Electricity
Raw Score]]),_xlfn.STDEV.P(tblY9[[9P01 - Electricity
Raw Score]])),9),_Stanine,2),5),"")</f>
        <v/>
      </c>
      <c r="T100" s="66" t="n">
        <v>20</v>
      </c>
      <c r="U100" s="67">
        <f>IF(ISNUMBER(tblY9[[#This Row],[9B02 - Ecology
Raw Score]]),IFERROR(VLOOKUP(ROUND(STANDARDIZE(tblY9[[#This Row],[9B02 - Ecology
Raw Score]],AVERAGE(tblY9[[9B02 - Ecology
Raw Score]]),_xlfn.STDEV.P(tblY9[[9B02 - Ecology
Raw Score]])),9),_Stanine,2),5),"")</f>
        <v>6</v>
      </c>
    </row>
    <row r="101">
      <c r="A101" s="65" t="inlineStr">
        <is>
          <t>X904997628588</t>
        </is>
      </c>
      <c r="B101" s="65" t="inlineStr">
        <is>
          <t>Cooper</t>
        </is>
      </c>
      <c r="C101" s="65" t="inlineStr">
        <is>
          <t>Lewis</t>
        </is>
      </c>
      <c r="D101" s="66" t="inlineStr">
        <is>
          <t>F</t>
        </is>
      </c>
      <c r="E101" s="66" t="inlineStr">
        <is>
          <t>N</t>
        </is>
      </c>
      <c r="F101" s="66" t="inlineStr">
        <is>
          <t>N</t>
        </is>
      </c>
      <c r="G101" s="34" t="n">
        <v>94.8</v>
      </c>
      <c r="H101" s="34" t="n">
        <v>99</v>
      </c>
      <c r="I101" s="67">
        <f>IF(ISNUMBER(tblY9[[#This Row],[Avg KS2]]),IFERROR(VLOOKUP(ROUND(STANDARDIZE(tblY9[[#This Row],[Avg KS2]],AVERAGE(tblY9[[Avg KS2]]),_xlfn.STDEV.P(tblY9[[Avg KS2]])),9),_Stanine,2),5),"")</f>
        <v>2</v>
      </c>
      <c r="J101" s="66" t="inlineStr">
        <is>
          <t>9B/Sc2</t>
        </is>
      </c>
      <c r="K101" s="67">
        <f>IF(tblY9[[#This Row],[Preferred Last name]]="","",COUNTIFS($N$1:$ZZ$1,"*"&amp;CHAR(10)&amp;"Stanine",$N101:$ZZ101,"&gt;=1"))</f>
        <v>4</v>
      </c>
      <c r="L101" s="68">
        <f>IFERROR(AVERAGEIF($N$1:$ZZ$1,"*"&amp;CHAR(10)&amp;"Stanine",$N101:$ZZ101),"")</f>
        <v>4.5</v>
      </c>
      <c r="M101" s="69">
        <f>IF(AND(ISNUMBER(tblY9[[#This Row],[Mean Stanine]]),ISNUMBER(tblY9[[#This Row],[Avg KS2 Band]]),ISNUMBER(SlopeY9)),tblY9[[#This Row],[Mean Stanine]]-(InterceptY9+SlopeY9*tblY9[[#This Row],[Avg KS2 Band]]),"")</f>
        <v>1.71667057169635</v>
      </c>
      <c r="N101" s="66" t="n">
        <v>21</v>
      </c>
      <c r="O101" s="67">
        <f>IF(ISNUMBER(tblY9[[#This Row],[9B01 - Genetics
Raw Score]]),IFERROR(VLOOKUP(ROUND(STANDARDIZE(tblY9[[#This Row],[9B01 - Genetics
Raw Score]],AVERAGE(tblY9[[9B01 - Genetics
Raw Score]]),_xlfn.STDEV.P(tblY9[[9B01 - Genetics
Raw Score]])),9),_Stanine,2),5),"")</f>
        <v>5</v>
      </c>
      <c r="P101" s="66" t="n">
        <v>18</v>
      </c>
      <c r="Q101" s="67">
        <f>IF(ISNUMBER(tblY9[[#This Row],[9C01 - Chemical Reactions
Raw Score]]),IFERROR(VLOOKUP(ROUND(STANDARDIZE(tblY9[[#This Row],[9C01 - Chemical Reactions
Raw Score]],AVERAGE(tblY9[[9C01 - Chemical Reactions
Raw Score]]),_xlfn.STDEV.P(tblY9[[9C01 - Chemical Reactions
Raw Score]])),9),_Stanine,2),5),"")</f>
        <v>4</v>
      </c>
      <c r="R101" s="66" t="n">
        <v>17</v>
      </c>
      <c r="S101" s="67">
        <f>IF(ISNUMBER(tblY9[[#This Row],[9P01 - Electricity
Raw Score]]),IFERROR(VLOOKUP(ROUND(STANDARDIZE(tblY9[[#This Row],[9P01 - Electricity
Raw Score]],AVERAGE(tblY9[[9P01 - Electricity
Raw Score]]),_xlfn.STDEV.P(tblY9[[9P01 - Electricity
Raw Score]])),9),_Stanine,2),5),"")</f>
        <v>4</v>
      </c>
      <c r="T101" s="66" t="n">
        <v>17</v>
      </c>
      <c r="U101" s="67">
        <f>IF(ISNUMBER(tblY9[[#This Row],[9B02 - Ecology
Raw Score]]),IFERROR(VLOOKUP(ROUND(STANDARDIZE(tblY9[[#This Row],[9B02 - Ecology
Raw Score]],AVERAGE(tblY9[[9B02 - Ecology
Raw Score]]),_xlfn.STDEV.P(tblY9[[9B02 - Ecology
Raw Score]])),9),_Stanine,2),5),"")</f>
        <v>5</v>
      </c>
    </row>
    <row r="102">
      <c r="A102" s="65" t="inlineStr">
        <is>
          <t>X901411541716</t>
        </is>
      </c>
      <c r="B102" s="65" t="inlineStr">
        <is>
          <t>Green</t>
        </is>
      </c>
      <c r="C102" s="65" t="inlineStr">
        <is>
          <t>Priya</t>
        </is>
      </c>
      <c r="D102" s="66" t="inlineStr">
        <is>
          <t>M</t>
        </is>
      </c>
      <c r="E102" s="66" t="n"/>
      <c r="F102" s="66" t="inlineStr">
        <is>
          <t>N</t>
        </is>
      </c>
      <c r="G102" s="34" t="n">
        <v>96.2</v>
      </c>
      <c r="H102" s="34" t="n">
        <v>107.5</v>
      </c>
      <c r="I102" s="67">
        <f>IF(ISNUMBER(tblY9[[#This Row],[Avg KS2]]),IFERROR(VLOOKUP(ROUND(STANDARDIZE(tblY9[[#This Row],[Avg KS2]],AVERAGE(tblY9[[Avg KS2]]),_xlfn.STDEV.P(tblY9[[Avg KS2]])),9),_Stanine,2),5),"")</f>
        <v>5</v>
      </c>
      <c r="J102" s="66" t="inlineStr">
        <is>
          <t>9B/Sc2</t>
        </is>
      </c>
      <c r="K102" s="67">
        <f>IF(tblY9[[#This Row],[Preferred Last name]]="","",COUNTIFS($N$1:$ZZ$1,"*"&amp;CHAR(10)&amp;"Stanine",$N102:$ZZ102,"&gt;=1"))</f>
        <v>4</v>
      </c>
      <c r="L102" s="68">
        <f>IFERROR(AVERAGEIF($N$1:$ZZ$1,"*"&amp;CHAR(10)&amp;"Stanine",$N102:$ZZ102),"")</f>
        <v>4.25</v>
      </c>
      <c r="M102" s="69">
        <f>IF(AND(ISNUMBER(tblY9[[#This Row],[Mean Stanine]]),ISNUMBER(tblY9[[#This Row],[Avg KS2 Band]]),ISNUMBER(SlopeY9)),tblY9[[#This Row],[Mean Stanine]]-(InterceptY9+SlopeY9*tblY9[[#This Row],[Avg KS2 Band]]),"")</f>
        <v>-0.82357075913777</v>
      </c>
      <c r="N102" s="66" t="n">
        <v>23</v>
      </c>
      <c r="O102" s="67">
        <f>IF(ISNUMBER(tblY9[[#This Row],[9B01 - Genetics
Raw Score]]),IFERROR(VLOOKUP(ROUND(STANDARDIZE(tblY9[[#This Row],[9B01 - Genetics
Raw Score]],AVERAGE(tblY9[[9B01 - Genetics
Raw Score]]),_xlfn.STDEV.P(tblY9[[9B01 - Genetics
Raw Score]])),9),_Stanine,2),5),"")</f>
        <v>6</v>
      </c>
      <c r="P102" s="66" t="n">
        <v>18</v>
      </c>
      <c r="Q102" s="67">
        <f>IF(ISNUMBER(tblY9[[#This Row],[9C01 - Chemical Reactions
Raw Score]]),IFERROR(VLOOKUP(ROUND(STANDARDIZE(tblY9[[#This Row],[9C01 - Chemical Reactions
Raw Score]],AVERAGE(tblY9[[9C01 - Chemical Reactions
Raw Score]]),_xlfn.STDEV.P(tblY9[[9C01 - Chemical Reactions
Raw Score]])),9),_Stanine,2),5),"")</f>
        <v>4</v>
      </c>
      <c r="R102" s="66" t="n">
        <v>19</v>
      </c>
      <c r="S102" s="67">
        <f>IF(ISNUMBER(tblY9[[#This Row],[9P01 - Electricity
Raw Score]]),IFERROR(VLOOKUP(ROUND(STANDARDIZE(tblY9[[#This Row],[9P01 - Electricity
Raw Score]],AVERAGE(tblY9[[9P01 - Electricity
Raw Score]]),_xlfn.STDEV.P(tblY9[[9P01 - Electricity
Raw Score]])),9),_Stanine,2),5),"")</f>
        <v>4</v>
      </c>
      <c r="T102" s="66" t="n">
        <v>14</v>
      </c>
      <c r="U102" s="67">
        <f>IF(ISNUMBER(tblY9[[#This Row],[9B02 - Ecology
Raw Score]]),IFERROR(VLOOKUP(ROUND(STANDARDIZE(tblY9[[#This Row],[9B02 - Ecology
Raw Score]],AVERAGE(tblY9[[9B02 - Ecology
Raw Score]]),_xlfn.STDEV.P(tblY9[[9B02 - Ecology
Raw Score]])),9),_Stanine,2),5),"")</f>
        <v>3</v>
      </c>
    </row>
    <row r="103">
      <c r="A103" s="65" t="inlineStr">
        <is>
          <t>X905167634291</t>
        </is>
      </c>
      <c r="B103" s="65" t="inlineStr">
        <is>
          <t>Griffiths</t>
        </is>
      </c>
      <c r="C103" s="65" t="inlineStr">
        <is>
          <t>Grace</t>
        </is>
      </c>
      <c r="D103" s="66" t="inlineStr">
        <is>
          <t>F</t>
        </is>
      </c>
      <c r="E103" s="66" t="n"/>
      <c r="F103" s="66" t="inlineStr">
        <is>
          <t>Y</t>
        </is>
      </c>
      <c r="G103" s="34" t="n">
        <v>99.59999999999999</v>
      </c>
      <c r="H103" s="34" t="n">
        <v>112</v>
      </c>
      <c r="I103" s="67">
        <f>IF(ISNUMBER(tblY9[[#This Row],[Avg KS2]]),IFERROR(VLOOKUP(ROUND(STANDARDIZE(tblY9[[#This Row],[Avg KS2]],AVERAGE(tblY9[[Avg KS2]]),_xlfn.STDEV.P(tblY9[[Avg KS2]])),9),_Stanine,2),5),"")</f>
        <v>7</v>
      </c>
      <c r="J103" s="66" t="inlineStr">
        <is>
          <t>9B/Sc2</t>
        </is>
      </c>
      <c r="K103" s="67">
        <f>IF(tblY9[[#This Row],[Preferred Last name]]="","",COUNTIFS($N$1:$ZZ$1,"*"&amp;CHAR(10)&amp;"Stanine",$N103:$ZZ103,"&gt;=1"))</f>
        <v>4</v>
      </c>
      <c r="L103" s="68">
        <f>IFERROR(AVERAGEIF($N$1:$ZZ$1,"*"&amp;CHAR(10)&amp;"Stanine",$N103:$ZZ103),"")</f>
        <v>6</v>
      </c>
      <c r="M103" s="69">
        <f>IF(AND(ISNUMBER(tblY9[[#This Row],[Mean Stanine]]),ISNUMBER(tblY9[[#This Row],[Avg KS2 Band]]),ISNUMBER(SlopeY9)),tblY9[[#This Row],[Mean Stanine]]-(InterceptY9+SlopeY9*tblY9[[#This Row],[Avg KS2 Band]]),"")</f>
        <v>-0.600398313027179</v>
      </c>
      <c r="N103" s="66" t="n">
        <v>24</v>
      </c>
      <c r="O103" s="67">
        <f>IF(ISNUMBER(tblY9[[#This Row],[9B01 - Genetics
Raw Score]]),IFERROR(VLOOKUP(ROUND(STANDARDIZE(tblY9[[#This Row],[9B01 - Genetics
Raw Score]],AVERAGE(tblY9[[9B01 - Genetics
Raw Score]]),_xlfn.STDEV.P(tblY9[[9B01 - Genetics
Raw Score]])),9),_Stanine,2),5),"")</f>
        <v>6</v>
      </c>
      <c r="P103" s="66" t="n">
        <v>25</v>
      </c>
      <c r="Q103" s="67">
        <f>IF(ISNUMBER(tblY9[[#This Row],[9C01 - Chemical Reactions
Raw Score]]),IFERROR(VLOOKUP(ROUND(STANDARDIZE(tblY9[[#This Row],[9C01 - Chemical Reactions
Raw Score]],AVERAGE(tblY9[[9C01 - Chemical Reactions
Raw Score]]),_xlfn.STDEV.P(tblY9[[9C01 - Chemical Reactions
Raw Score]])),9),_Stanine,2),5),"")</f>
        <v>6</v>
      </c>
      <c r="R103" s="66" t="n">
        <v>24</v>
      </c>
      <c r="S103" s="67">
        <f>IF(ISNUMBER(tblY9[[#This Row],[9P01 - Electricity
Raw Score]]),IFERROR(VLOOKUP(ROUND(STANDARDIZE(tblY9[[#This Row],[9P01 - Electricity
Raw Score]],AVERAGE(tblY9[[9P01 - Electricity
Raw Score]]),_xlfn.STDEV.P(tblY9[[9P01 - Electricity
Raw Score]])),9),_Stanine,2),5),"")</f>
        <v>6</v>
      </c>
      <c r="T103" s="66" t="n">
        <v>19</v>
      </c>
      <c r="U103" s="67">
        <f>IF(ISNUMBER(tblY9[[#This Row],[9B02 - Ecology
Raw Score]]),IFERROR(VLOOKUP(ROUND(STANDARDIZE(tblY9[[#This Row],[9B02 - Ecology
Raw Score]],AVERAGE(tblY9[[9B02 - Ecology
Raw Score]]),_xlfn.STDEV.P(tblY9[[9B02 - Ecology
Raw Score]])),9),_Stanine,2),5),"")</f>
        <v>6</v>
      </c>
    </row>
    <row r="104">
      <c r="A104" s="65" t="inlineStr">
        <is>
          <t>X908231489037</t>
        </is>
      </c>
      <c r="B104" s="65" t="inlineStr">
        <is>
          <t>Hall</t>
        </is>
      </c>
      <c r="C104" s="65" t="inlineStr">
        <is>
          <t>Rhys</t>
        </is>
      </c>
      <c r="D104" s="66" t="inlineStr">
        <is>
          <t>M</t>
        </is>
      </c>
      <c r="E104" s="66" t="inlineStr">
        <is>
          <t>N</t>
        </is>
      </c>
      <c r="F104" s="66" t="inlineStr">
        <is>
          <t>N</t>
        </is>
      </c>
      <c r="G104" s="34" t="n">
        <v>97</v>
      </c>
      <c r="H104" s="34" t="n">
        <v>103</v>
      </c>
      <c r="I104" s="67">
        <f>IF(ISNUMBER(tblY9[[#This Row],[Avg KS2]]),IFERROR(VLOOKUP(ROUND(STANDARDIZE(tblY9[[#This Row],[Avg KS2]],AVERAGE(tblY9[[Avg KS2]]),_xlfn.STDEV.P(tblY9[[Avg KS2]])),9),_Stanine,2),5),"")</f>
        <v>4</v>
      </c>
      <c r="J104" s="66" t="inlineStr">
        <is>
          <t>9B/Sc2</t>
        </is>
      </c>
      <c r="K104" s="67">
        <f>IF(tblY9[[#This Row],[Preferred Last name]]="","",COUNTIFS($N$1:$ZZ$1,"*"&amp;CHAR(10)&amp;"Stanine",$N104:$ZZ104,"&gt;=1"))</f>
        <v>4</v>
      </c>
      <c r="L104" s="68">
        <f>IFERROR(AVERAGEIF($N$1:$ZZ$1,"*"&amp;CHAR(10)&amp;"Stanine",$N104:$ZZ104),"")</f>
        <v>5</v>
      </c>
      <c r="M104" s="69">
        <f>IF(AND(ISNUMBER(tblY9[[#This Row],[Mean Stanine]]),ISNUMBER(tblY9[[#This Row],[Avg KS2 Band]]),ISNUMBER(SlopeY9)),tblY9[[#This Row],[Mean Stanine]]-(InterceptY9+SlopeY9*tblY9[[#This Row],[Avg KS2 Band]]),"")</f>
        <v>0.689843017806935</v>
      </c>
      <c r="N104" s="66" t="n">
        <v>20</v>
      </c>
      <c r="O104" s="67">
        <f>IF(ISNUMBER(tblY9[[#This Row],[9B01 - Genetics
Raw Score]]),IFERROR(VLOOKUP(ROUND(STANDARDIZE(tblY9[[#This Row],[9B01 - Genetics
Raw Score]],AVERAGE(tblY9[[9B01 - Genetics
Raw Score]]),_xlfn.STDEV.P(tblY9[[9B01 - Genetics
Raw Score]])),9),_Stanine,2),5),"")</f>
        <v>5</v>
      </c>
      <c r="P104" s="66" t="n">
        <v>22</v>
      </c>
      <c r="Q104" s="67">
        <f>IF(ISNUMBER(tblY9[[#This Row],[9C01 - Chemical Reactions
Raw Score]]),IFERROR(VLOOKUP(ROUND(STANDARDIZE(tblY9[[#This Row],[9C01 - Chemical Reactions
Raw Score]],AVERAGE(tblY9[[9C01 - Chemical Reactions
Raw Score]]),_xlfn.STDEV.P(tblY9[[9C01 - Chemical Reactions
Raw Score]])),9),_Stanine,2),5),"")</f>
        <v>5</v>
      </c>
      <c r="R104" s="66" t="n">
        <v>20</v>
      </c>
      <c r="S104" s="67">
        <f>IF(ISNUMBER(tblY9[[#This Row],[9P01 - Electricity
Raw Score]]),IFERROR(VLOOKUP(ROUND(STANDARDIZE(tblY9[[#This Row],[9P01 - Electricity
Raw Score]],AVERAGE(tblY9[[9P01 - Electricity
Raw Score]]),_xlfn.STDEV.P(tblY9[[9P01 - Electricity
Raw Score]])),9),_Stanine,2),5),"")</f>
        <v>5</v>
      </c>
      <c r="T104" s="66" t="n">
        <v>17</v>
      </c>
      <c r="U104" s="67">
        <f>IF(ISNUMBER(tblY9[[#This Row],[9B02 - Ecology
Raw Score]]),IFERROR(VLOOKUP(ROUND(STANDARDIZE(tblY9[[#This Row],[9B02 - Ecology
Raw Score]],AVERAGE(tblY9[[9B02 - Ecology
Raw Score]]),_xlfn.STDEV.P(tblY9[[9B02 - Ecology
Raw Score]])),9),_Stanine,2),5),"")</f>
        <v>5</v>
      </c>
    </row>
    <row r="105">
      <c r="A105" s="65" t="inlineStr">
        <is>
          <t>X903598472793</t>
        </is>
      </c>
      <c r="B105" s="65" t="inlineStr">
        <is>
          <t>Hughes</t>
        </is>
      </c>
      <c r="C105" s="65" t="inlineStr">
        <is>
          <t>Amara</t>
        </is>
      </c>
      <c r="D105" s="66" t="inlineStr">
        <is>
          <t>M</t>
        </is>
      </c>
      <c r="E105" s="66" t="n"/>
      <c r="F105" s="66" t="inlineStr">
        <is>
          <t>N</t>
        </is>
      </c>
      <c r="G105" s="34" t="n">
        <v>92.59999999999999</v>
      </c>
      <c r="H105" s="34" t="n">
        <v>103.5</v>
      </c>
      <c r="I105" s="67">
        <f>IF(ISNUMBER(tblY9[[#This Row],[Avg KS2]]),IFERROR(VLOOKUP(ROUND(STANDARDIZE(tblY9[[#This Row],[Avg KS2]],AVERAGE(tblY9[[Avg KS2]]),_xlfn.STDEV.P(tblY9[[Avg KS2]])),9),_Stanine,2),5),"")</f>
        <v>4</v>
      </c>
      <c r="J105" s="66" t="inlineStr">
        <is>
          <t>9B/Sc2</t>
        </is>
      </c>
      <c r="K105" s="67">
        <f>IF(tblY9[[#This Row],[Preferred Last name]]="","",COUNTIFS($N$1:$ZZ$1,"*"&amp;CHAR(10)&amp;"Stanine",$N105:$ZZ105,"&gt;=1"))</f>
        <v>3</v>
      </c>
      <c r="L105" s="68">
        <f>IFERROR(AVERAGEIF($N$1:$ZZ$1,"*"&amp;CHAR(10)&amp;"Stanine",$N105:$ZZ105),"")</f>
        <v>4</v>
      </c>
      <c r="M105" s="69">
        <f>IF(AND(ISNUMBER(tblY9[[#This Row],[Mean Stanine]]),ISNUMBER(tblY9[[#This Row],[Avg KS2 Band]]),ISNUMBER(SlopeY9)),tblY9[[#This Row],[Mean Stanine]]-(InterceptY9+SlopeY9*tblY9[[#This Row],[Avg KS2 Band]]),"")</f>
        <v>-0.310156982193065</v>
      </c>
      <c r="N105" s="66" t="n">
        <v>14</v>
      </c>
      <c r="O105" s="67">
        <f>IF(ISNUMBER(tblY9[[#This Row],[9B01 - Genetics
Raw Score]]),IFERROR(VLOOKUP(ROUND(STANDARDIZE(tblY9[[#This Row],[9B01 - Genetics
Raw Score]],AVERAGE(tblY9[[9B01 - Genetics
Raw Score]]),_xlfn.STDEV.P(tblY9[[9B01 - Genetics
Raw Score]])),9),_Stanine,2),5),"")</f>
        <v>3</v>
      </c>
      <c r="P105" s="66" t="inlineStr">
        <is>
          <t>A</t>
        </is>
      </c>
      <c r="Q105" s="67" t="str">
        <f>IF(ISNUMBER(tblY9[[#This Row],[9C01 - Chemical Reactions
Raw Score]]),IFERROR(VLOOKUP(ROUND(STANDARDIZE(tblY9[[#This Row],[9C01 - Chemical Reactions
Raw Score]],AVERAGE(tblY9[[9C01 - Chemical Reactions
Raw Score]]),_xlfn.STDEV.P(tblY9[[9C01 - Chemical Reactions
Raw Score]])),9),_Stanine,2),5),"")</f>
        <v/>
      </c>
      <c r="R105" s="66" t="n">
        <v>20</v>
      </c>
      <c r="S105" s="67">
        <f>IF(ISNUMBER(tblY9[[#This Row],[9P01 - Electricity
Raw Score]]),IFERROR(VLOOKUP(ROUND(STANDARDIZE(tblY9[[#This Row],[9P01 - Electricity
Raw Score]],AVERAGE(tblY9[[9P01 - Electricity
Raw Score]]),_xlfn.STDEV.P(tblY9[[9P01 - Electricity
Raw Score]])),9),_Stanine,2),5),"")</f>
        <v>5</v>
      </c>
      <c r="T105" s="66" t="n">
        <v>16</v>
      </c>
      <c r="U105" s="67">
        <f>IF(ISNUMBER(tblY9[[#This Row],[9B02 - Ecology
Raw Score]]),IFERROR(VLOOKUP(ROUND(STANDARDIZE(tblY9[[#This Row],[9B02 - Ecology
Raw Score]],AVERAGE(tblY9[[9B02 - Ecology
Raw Score]]),_xlfn.STDEV.P(tblY9[[9B02 - Ecology
Raw Score]])),9),_Stanine,2),5),"")</f>
        <v>4</v>
      </c>
    </row>
    <row r="106">
      <c r="A106" s="65" t="inlineStr">
        <is>
          <t>X906261152639</t>
        </is>
      </c>
      <c r="B106" s="65" t="inlineStr">
        <is>
          <t>Hussain</t>
        </is>
      </c>
      <c r="C106" s="65" t="inlineStr">
        <is>
          <t>Mia</t>
        </is>
      </c>
      <c r="D106" s="66" t="inlineStr">
        <is>
          <t>F</t>
        </is>
      </c>
      <c r="E106" s="66" t="n"/>
      <c r="F106" s="66" t="inlineStr">
        <is>
          <t>N</t>
        </is>
      </c>
      <c r="G106" s="34" t="n">
        <v>96.40000000000001</v>
      </c>
      <c r="H106" s="34" t="n">
        <v>97.5</v>
      </c>
      <c r="I106" s="67">
        <f>IF(ISNUMBER(tblY9[[#This Row],[Avg KS2]]),IFERROR(VLOOKUP(ROUND(STANDARDIZE(tblY9[[#This Row],[Avg KS2]],AVERAGE(tblY9[[Avg KS2]]),_xlfn.STDEV.P(tblY9[[Avg KS2]])),9),_Stanine,2),5),"")</f>
        <v>1</v>
      </c>
      <c r="J106" s="66" t="inlineStr">
        <is>
          <t>9B/Sc2</t>
        </is>
      </c>
      <c r="K106" s="67">
        <f>IF(tblY9[[#This Row],[Preferred Last name]]="","",COUNTIFS($N$1:$ZZ$1,"*"&amp;CHAR(10)&amp;"Stanine",$N106:$ZZ106,"&gt;=1"))</f>
        <v>4</v>
      </c>
      <c r="L106" s="68">
        <f>IFERROR(AVERAGEIF($N$1:$ZZ$1,"*"&amp;CHAR(10)&amp;"Stanine",$N106:$ZZ106),"")</f>
        <v>3.25</v>
      </c>
      <c r="M106" s="69">
        <f>IF(AND(ISNUMBER(tblY9[[#This Row],[Mean Stanine]]),ISNUMBER(tblY9[[#This Row],[Avg KS2 Band]]),ISNUMBER(SlopeY9)),tblY9[[#This Row],[Mean Stanine]]-(InterceptY9+SlopeY9*tblY9[[#This Row],[Avg KS2 Band]]),"")</f>
        <v>1.23008434864105</v>
      </c>
      <c r="N106" s="66" t="n">
        <v>14</v>
      </c>
      <c r="O106" s="67">
        <f>IF(ISNUMBER(tblY9[[#This Row],[9B01 - Genetics
Raw Score]]),IFERROR(VLOOKUP(ROUND(STANDARDIZE(tblY9[[#This Row],[9B01 - Genetics
Raw Score]],AVERAGE(tblY9[[9B01 - Genetics
Raw Score]]),_xlfn.STDEV.P(tblY9[[9B01 - Genetics
Raw Score]])),9),_Stanine,2),5),"")</f>
        <v>3</v>
      </c>
      <c r="P106" s="66" t="n">
        <v>14</v>
      </c>
      <c r="Q106" s="67">
        <f>IF(ISNUMBER(tblY9[[#This Row],[9C01 - Chemical Reactions
Raw Score]]),IFERROR(VLOOKUP(ROUND(STANDARDIZE(tblY9[[#This Row],[9C01 - Chemical Reactions
Raw Score]],AVERAGE(tblY9[[9C01 - Chemical Reactions
Raw Score]]),_xlfn.STDEV.P(tblY9[[9C01 - Chemical Reactions
Raw Score]])),9),_Stanine,2),5),"")</f>
        <v>3</v>
      </c>
      <c r="R106" s="66" t="n">
        <v>15</v>
      </c>
      <c r="S106" s="67">
        <f>IF(ISNUMBER(tblY9[[#This Row],[9P01 - Electricity
Raw Score]]),IFERROR(VLOOKUP(ROUND(STANDARDIZE(tblY9[[#This Row],[9P01 - Electricity
Raw Score]],AVERAGE(tblY9[[9P01 - Electricity
Raw Score]]),_xlfn.STDEV.P(tblY9[[9P01 - Electricity
Raw Score]])),9),_Stanine,2),5),"")</f>
        <v>3</v>
      </c>
      <c r="T106" s="66" t="n">
        <v>16</v>
      </c>
      <c r="U106" s="67">
        <f>IF(ISNUMBER(tblY9[[#This Row],[9B02 - Ecology
Raw Score]]),IFERROR(VLOOKUP(ROUND(STANDARDIZE(tblY9[[#This Row],[9B02 - Ecology
Raw Score]],AVERAGE(tblY9[[9B02 - Ecology
Raw Score]]),_xlfn.STDEV.P(tblY9[[9B02 - Ecology
Raw Score]])),9),_Stanine,2),5),"")</f>
        <v>4</v>
      </c>
    </row>
    <row r="107">
      <c r="A107" s="65" t="inlineStr">
        <is>
          <t>X907167570462</t>
        </is>
      </c>
      <c r="B107" s="65" t="inlineStr">
        <is>
          <t>Johnson</t>
        </is>
      </c>
      <c r="C107" s="65" t="inlineStr">
        <is>
          <t>Maisie</t>
        </is>
      </c>
      <c r="D107" s="66" t="inlineStr">
        <is>
          <t>F</t>
        </is>
      </c>
      <c r="E107" s="66" t="n"/>
      <c r="F107" s="66" t="inlineStr">
        <is>
          <t>N</t>
        </is>
      </c>
      <c r="G107" s="34" t="n">
        <v>96.3</v>
      </c>
      <c r="H107" s="34" t="n">
        <v>104.5</v>
      </c>
      <c r="I107" s="67">
        <f>IF(ISNUMBER(tblY9[[#This Row],[Avg KS2]]),IFERROR(VLOOKUP(ROUND(STANDARDIZE(tblY9[[#This Row],[Avg KS2]],AVERAGE(tblY9[[Avg KS2]]),_xlfn.STDEV.P(tblY9[[Avg KS2]])),9),_Stanine,2),5),"")</f>
        <v>4</v>
      </c>
      <c r="J107" s="66" t="inlineStr">
        <is>
          <t>9B/Sc2</t>
        </is>
      </c>
      <c r="K107" s="67">
        <f>IF(tblY9[[#This Row],[Preferred Last name]]="","",COUNTIFS($N$1:$ZZ$1,"*"&amp;CHAR(10)&amp;"Stanine",$N107:$ZZ107,"&gt;=1"))</f>
        <v>4</v>
      </c>
      <c r="L107" s="68">
        <f>IFERROR(AVERAGEIF($N$1:$ZZ$1,"*"&amp;CHAR(10)&amp;"Stanine",$N107:$ZZ107),"")</f>
        <v>6</v>
      </c>
      <c r="M107" s="69">
        <f>IF(AND(ISNUMBER(tblY9[[#This Row],[Mean Stanine]]),ISNUMBER(tblY9[[#This Row],[Avg KS2 Band]]),ISNUMBER(SlopeY9)),tblY9[[#This Row],[Mean Stanine]]-(InterceptY9+SlopeY9*tblY9[[#This Row],[Avg KS2 Band]]),"")</f>
        <v>1.68984301780694</v>
      </c>
      <c r="N107" s="66" t="n">
        <v>20</v>
      </c>
      <c r="O107" s="67">
        <f>IF(ISNUMBER(tblY9[[#This Row],[9B01 - Genetics
Raw Score]]),IFERROR(VLOOKUP(ROUND(STANDARDIZE(tblY9[[#This Row],[9B01 - Genetics
Raw Score]],AVERAGE(tblY9[[9B01 - Genetics
Raw Score]]),_xlfn.STDEV.P(tblY9[[9B01 - Genetics
Raw Score]])),9),_Stanine,2),5),"")</f>
        <v>5</v>
      </c>
      <c r="P107" s="66" t="n">
        <v>26</v>
      </c>
      <c r="Q107" s="67">
        <f>IF(ISNUMBER(tblY9[[#This Row],[9C01 - Chemical Reactions
Raw Score]]),IFERROR(VLOOKUP(ROUND(STANDARDIZE(tblY9[[#This Row],[9C01 - Chemical Reactions
Raw Score]],AVERAGE(tblY9[[9C01 - Chemical Reactions
Raw Score]]),_xlfn.STDEV.P(tblY9[[9C01 - Chemical Reactions
Raw Score]])),9),_Stanine,2),5),"")</f>
        <v>7</v>
      </c>
      <c r="R107" s="66" t="n">
        <v>24</v>
      </c>
      <c r="S107" s="67">
        <f>IF(ISNUMBER(tblY9[[#This Row],[9P01 - Electricity
Raw Score]]),IFERROR(VLOOKUP(ROUND(STANDARDIZE(tblY9[[#This Row],[9P01 - Electricity
Raw Score]],AVERAGE(tblY9[[9P01 - Electricity
Raw Score]]),_xlfn.STDEV.P(tblY9[[9P01 - Electricity
Raw Score]])),9),_Stanine,2),5),"")</f>
        <v>6</v>
      </c>
      <c r="T107" s="66" t="n">
        <v>20</v>
      </c>
      <c r="U107" s="67">
        <f>IF(ISNUMBER(tblY9[[#This Row],[9B02 - Ecology
Raw Score]]),IFERROR(VLOOKUP(ROUND(STANDARDIZE(tblY9[[#This Row],[9B02 - Ecology
Raw Score]],AVERAGE(tblY9[[9B02 - Ecology
Raw Score]]),_xlfn.STDEV.P(tblY9[[9B02 - Ecology
Raw Score]])),9),_Stanine,2),5),"")</f>
        <v>6</v>
      </c>
    </row>
    <row r="108">
      <c r="A108" s="65" t="inlineStr">
        <is>
          <t>X908515549038</t>
        </is>
      </c>
      <c r="B108" s="65" t="inlineStr">
        <is>
          <t>Kelly</t>
        </is>
      </c>
      <c r="C108" s="65" t="inlineStr">
        <is>
          <t>Poppy</t>
        </is>
      </c>
      <c r="D108" s="66" t="inlineStr">
        <is>
          <t>F</t>
        </is>
      </c>
      <c r="E108" s="66" t="n"/>
      <c r="F108" s="66" t="inlineStr">
        <is>
          <t>Y</t>
        </is>
      </c>
      <c r="G108" s="34" t="n">
        <v>88.8</v>
      </c>
      <c r="H108" s="34" t="n">
        <v>108.5</v>
      </c>
      <c r="I108" s="67">
        <f>IF(ISNUMBER(tblY9[[#This Row],[Avg KS2]]),IFERROR(VLOOKUP(ROUND(STANDARDIZE(tblY9[[#This Row],[Avg KS2]],AVERAGE(tblY9[[Avg KS2]]),_xlfn.STDEV.P(tblY9[[Avg KS2]])),9),_Stanine,2),5),"")</f>
        <v>6</v>
      </c>
      <c r="J108" s="66" t="inlineStr">
        <is>
          <t>9B/Sc2</t>
        </is>
      </c>
      <c r="K108" s="67">
        <f>IF(tblY9[[#This Row],[Preferred Last name]]="","",COUNTIFS($N$1:$ZZ$1,"*"&amp;CHAR(10)&amp;"Stanine",$N108:$ZZ108,"&gt;=1"))</f>
        <v>3</v>
      </c>
      <c r="L108" s="68">
        <f>IFERROR(AVERAGEIF($N$1:$ZZ$1,"*"&amp;CHAR(10)&amp;"Stanine",$N108:$ZZ108),"")</f>
        <v>5.33333333333333</v>
      </c>
      <c r="M108" s="69">
        <f>IF(AND(ISNUMBER(tblY9[[#This Row],[Mean Stanine]]),ISNUMBER(tblY9[[#This Row],[Avg KS2 Band]]),ISNUMBER(SlopeY9)),tblY9[[#This Row],[Mean Stanine]]-(InterceptY9+SlopeY9*tblY9[[#This Row],[Avg KS2 Band]]),"")</f>
        <v>-0.503651202749141</v>
      </c>
      <c r="N108" s="66" t="n">
        <v>19</v>
      </c>
      <c r="O108" s="67">
        <f>IF(ISNUMBER(tblY9[[#This Row],[9B01 - Genetics
Raw Score]]),IFERROR(VLOOKUP(ROUND(STANDARDIZE(tblY9[[#This Row],[9B01 - Genetics
Raw Score]],AVERAGE(tblY9[[9B01 - Genetics
Raw Score]]),_xlfn.STDEV.P(tblY9[[9B01 - Genetics
Raw Score]])),9),_Stanine,2),5),"")</f>
        <v>5</v>
      </c>
      <c r="P108" s="66" t="inlineStr">
        <is>
          <t>A</t>
        </is>
      </c>
      <c r="Q108" s="67" t="str">
        <f>IF(ISNUMBER(tblY9[[#This Row],[9C01 - Chemical Reactions
Raw Score]]),IFERROR(VLOOKUP(ROUND(STANDARDIZE(tblY9[[#This Row],[9C01 - Chemical Reactions
Raw Score]],AVERAGE(tblY9[[9C01 - Chemical Reactions
Raw Score]]),_xlfn.STDEV.P(tblY9[[9C01 - Chemical Reactions
Raw Score]])),9),_Stanine,2),5),"")</f>
        <v/>
      </c>
      <c r="R108" s="66" t="n">
        <v>23</v>
      </c>
      <c r="S108" s="67">
        <f>IF(ISNUMBER(tblY9[[#This Row],[9P01 - Electricity
Raw Score]]),IFERROR(VLOOKUP(ROUND(STANDARDIZE(tblY9[[#This Row],[9P01 - Electricity
Raw Score]],AVERAGE(tblY9[[9P01 - Electricity
Raw Score]]),_xlfn.STDEV.P(tblY9[[9P01 - Electricity
Raw Score]])),9),_Stanine,2),5),"")</f>
        <v>6</v>
      </c>
      <c r="T108" s="66" t="n">
        <v>18</v>
      </c>
      <c r="U108" s="67">
        <f>IF(ISNUMBER(tblY9[[#This Row],[9B02 - Ecology
Raw Score]]),IFERROR(VLOOKUP(ROUND(STANDARDIZE(tblY9[[#This Row],[9B02 - Ecology
Raw Score]],AVERAGE(tblY9[[9B02 - Ecology
Raw Score]]),_xlfn.STDEV.P(tblY9[[9B02 - Ecology
Raw Score]])),9),_Stanine,2),5),"")</f>
        <v>5</v>
      </c>
    </row>
    <row r="109">
      <c r="A109" s="65" t="inlineStr">
        <is>
          <t>X904222771019</t>
        </is>
      </c>
      <c r="B109" s="65" t="inlineStr">
        <is>
          <t>Kowalski</t>
        </is>
      </c>
      <c r="C109" s="65" t="inlineStr">
        <is>
          <t>Ivy</t>
        </is>
      </c>
      <c r="D109" s="66" t="inlineStr">
        <is>
          <t>M</t>
        </is>
      </c>
      <c r="E109" s="66" t="inlineStr">
        <is>
          <t>N</t>
        </is>
      </c>
      <c r="F109" s="66" t="inlineStr">
        <is>
          <t>N</t>
        </is>
      </c>
      <c r="G109" s="34" t="n">
        <v>85</v>
      </c>
      <c r="H109" s="34" t="n">
        <v>105</v>
      </c>
      <c r="I109" s="67">
        <f>IF(ISNUMBER(tblY9[[#This Row],[Avg KS2]]),IFERROR(VLOOKUP(ROUND(STANDARDIZE(tblY9[[#This Row],[Avg KS2]],AVERAGE(tblY9[[Avg KS2]]),_xlfn.STDEV.P(tblY9[[Avg KS2]])),9),_Stanine,2),5),"")</f>
        <v>4</v>
      </c>
      <c r="J109" s="66" t="inlineStr">
        <is>
          <t>9B/Sc2</t>
        </is>
      </c>
      <c r="K109" s="67">
        <f>IF(tblY9[[#This Row],[Preferred Last name]]="","",COUNTIFS($N$1:$ZZ$1,"*"&amp;CHAR(10)&amp;"Stanine",$N109:$ZZ109,"&gt;=1"))</f>
        <v>3</v>
      </c>
      <c r="L109" s="68">
        <f>IFERROR(AVERAGEIF($N$1:$ZZ$1,"*"&amp;CHAR(10)&amp;"Stanine",$N109:$ZZ109),"")</f>
        <v>5.66666666666667</v>
      </c>
      <c r="M109" s="69">
        <f>IF(AND(ISNUMBER(tblY9[[#This Row],[Mean Stanine]]),ISNUMBER(tblY9[[#This Row],[Avg KS2 Band]]),ISNUMBER(SlopeY9)),tblY9[[#This Row],[Mean Stanine]]-(InterceptY9+SlopeY9*tblY9[[#This Row],[Avg KS2 Band]]),"")</f>
        <v>1.3565096844736</v>
      </c>
      <c r="N109" s="66" t="inlineStr">
        <is>
          <t>A</t>
        </is>
      </c>
      <c r="O109" s="67" t="str">
        <f>IF(ISNUMBER(tblY9[[#This Row],[9B01 - Genetics
Raw Score]]),IFERROR(VLOOKUP(ROUND(STANDARDIZE(tblY9[[#This Row],[9B01 - Genetics
Raw Score]],AVERAGE(tblY9[[9B01 - Genetics
Raw Score]]),_xlfn.STDEV.P(tblY9[[9B01 - Genetics
Raw Score]])),9),_Stanine,2),5),"")</f>
        <v/>
      </c>
      <c r="P109" s="66" t="n">
        <v>20</v>
      </c>
      <c r="Q109" s="67">
        <f>IF(ISNUMBER(tblY9[[#This Row],[9C01 - Chemical Reactions
Raw Score]]),IFERROR(VLOOKUP(ROUND(STANDARDIZE(tblY9[[#This Row],[9C01 - Chemical Reactions
Raw Score]],AVERAGE(tblY9[[9C01 - Chemical Reactions
Raw Score]]),_xlfn.STDEV.P(tblY9[[9C01 - Chemical Reactions
Raw Score]])),9),_Stanine,2),5),"")</f>
        <v>5</v>
      </c>
      <c r="R109" s="66" t="n">
        <v>23</v>
      </c>
      <c r="S109" s="67">
        <f>IF(ISNUMBER(tblY9[[#This Row],[9P01 - Electricity
Raw Score]]),IFERROR(VLOOKUP(ROUND(STANDARDIZE(tblY9[[#This Row],[9P01 - Electricity
Raw Score]],AVERAGE(tblY9[[9P01 - Electricity
Raw Score]]),_xlfn.STDEV.P(tblY9[[9P01 - Electricity
Raw Score]])),9),_Stanine,2),5),"")</f>
        <v>6</v>
      </c>
      <c r="T109" s="66" t="n">
        <v>19</v>
      </c>
      <c r="U109" s="67">
        <f>IF(ISNUMBER(tblY9[[#This Row],[9B02 - Ecology
Raw Score]]),IFERROR(VLOOKUP(ROUND(STANDARDIZE(tblY9[[#This Row],[9B02 - Ecology
Raw Score]],AVERAGE(tblY9[[9B02 - Ecology
Raw Score]]),_xlfn.STDEV.P(tblY9[[9B02 - Ecology
Raw Score]])),9),_Stanine,2),5),"")</f>
        <v>6</v>
      </c>
    </row>
    <row r="110">
      <c r="A110" s="65" t="inlineStr">
        <is>
          <t>X906170203881</t>
        </is>
      </c>
      <c r="B110" s="65" t="inlineStr">
        <is>
          <t>Lewis</t>
        </is>
      </c>
      <c r="C110" s="65" t="inlineStr">
        <is>
          <t>Arthur</t>
        </is>
      </c>
      <c r="D110" s="66" t="inlineStr">
        <is>
          <t>M</t>
        </is>
      </c>
      <c r="E110" s="66" t="inlineStr">
        <is>
          <t>N</t>
        </is>
      </c>
      <c r="F110" s="66" t="inlineStr">
        <is>
          <t>Y</t>
        </is>
      </c>
      <c r="G110" s="34" t="n">
        <v>93</v>
      </c>
      <c r="H110" s="34" t="n">
        <v>103</v>
      </c>
      <c r="I110" s="67">
        <f>IF(ISNUMBER(tblY9[[#This Row],[Avg KS2]]),IFERROR(VLOOKUP(ROUND(STANDARDIZE(tblY9[[#This Row],[Avg KS2]],AVERAGE(tblY9[[Avg KS2]]),_xlfn.STDEV.P(tblY9[[Avg KS2]])),9),_Stanine,2),5),"")</f>
        <v>4</v>
      </c>
      <c r="J110" s="66" t="inlineStr">
        <is>
          <t>9B/Sc2</t>
        </is>
      </c>
      <c r="K110" s="67">
        <f>IF(tblY9[[#This Row],[Preferred Last name]]="","",COUNTIFS($N$1:$ZZ$1,"*"&amp;CHAR(10)&amp;"Stanine",$N110:$ZZ110,"&gt;=1"))</f>
        <v>3</v>
      </c>
      <c r="L110" s="68">
        <f>IFERROR(AVERAGEIF($N$1:$ZZ$1,"*"&amp;CHAR(10)&amp;"Stanine",$N110:$ZZ110),"")</f>
        <v>5</v>
      </c>
      <c r="M110" s="69">
        <f>IF(AND(ISNUMBER(tblY9[[#This Row],[Mean Stanine]]),ISNUMBER(tblY9[[#This Row],[Avg KS2 Band]]),ISNUMBER(SlopeY9)),tblY9[[#This Row],[Mean Stanine]]-(InterceptY9+SlopeY9*tblY9[[#This Row],[Avg KS2 Band]]),"")</f>
        <v>0.689843017806935</v>
      </c>
      <c r="N110" s="66" t="n">
        <v>22</v>
      </c>
      <c r="O110" s="67">
        <f>IF(ISNUMBER(tblY9[[#This Row],[9B01 - Genetics
Raw Score]]),IFERROR(VLOOKUP(ROUND(STANDARDIZE(tblY9[[#This Row],[9B01 - Genetics
Raw Score]],AVERAGE(tblY9[[9B01 - Genetics
Raw Score]]),_xlfn.STDEV.P(tblY9[[9B01 - Genetics
Raw Score]])),9),_Stanine,2),5),"")</f>
        <v>6</v>
      </c>
      <c r="P110" s="66" t="n">
        <v>19</v>
      </c>
      <c r="Q110" s="67">
        <f>IF(ISNUMBER(tblY9[[#This Row],[9C01 - Chemical Reactions
Raw Score]]),IFERROR(VLOOKUP(ROUND(STANDARDIZE(tblY9[[#This Row],[9C01 - Chemical Reactions
Raw Score]],AVERAGE(tblY9[[9C01 - Chemical Reactions
Raw Score]]),_xlfn.STDEV.P(tblY9[[9C01 - Chemical Reactions
Raw Score]])),9),_Stanine,2),5),"")</f>
        <v>4</v>
      </c>
      <c r="R110" s="66" t="n">
        <v>21</v>
      </c>
      <c r="S110" s="67">
        <f>IF(ISNUMBER(tblY9[[#This Row],[9P01 - Electricity
Raw Score]]),IFERROR(VLOOKUP(ROUND(STANDARDIZE(tblY9[[#This Row],[9P01 - Electricity
Raw Score]],AVERAGE(tblY9[[9P01 - Electricity
Raw Score]]),_xlfn.STDEV.P(tblY9[[9P01 - Electricity
Raw Score]])),9),_Stanine,2),5),"")</f>
        <v>5</v>
      </c>
      <c r="T110" s="66" t="inlineStr">
        <is>
          <t>A</t>
        </is>
      </c>
      <c r="U110" s="67" t="str">
        <f>IF(ISNUMBER(tblY9[[#This Row],[9B02 - Ecology
Raw Score]]),IFERROR(VLOOKUP(ROUND(STANDARDIZE(tblY9[[#This Row],[9B02 - Ecology
Raw Score]],AVERAGE(tblY9[[9B02 - Ecology
Raw Score]]),_xlfn.STDEV.P(tblY9[[9B02 - Ecology
Raw Score]])),9),_Stanine,2),5),"")</f>
        <v/>
      </c>
    </row>
    <row r="111">
      <c r="A111" s="65" t="inlineStr">
        <is>
          <t>X905816792430</t>
        </is>
      </c>
      <c r="B111" s="65" t="inlineStr">
        <is>
          <t>Murphy</t>
        </is>
      </c>
      <c r="C111" s="65" t="inlineStr">
        <is>
          <t>Leo</t>
        </is>
      </c>
      <c r="D111" s="66" t="inlineStr">
        <is>
          <t>F</t>
        </is>
      </c>
      <c r="E111" s="66" t="inlineStr">
        <is>
          <t>K</t>
        </is>
      </c>
      <c r="F111" s="66" t="inlineStr">
        <is>
          <t>N</t>
        </is>
      </c>
      <c r="G111" s="34" t="n">
        <v>100</v>
      </c>
      <c r="H111" s="34" t="n">
        <v>109</v>
      </c>
      <c r="I111" s="67">
        <f>IF(ISNUMBER(tblY9[[#This Row],[Avg KS2]]),IFERROR(VLOOKUP(ROUND(STANDARDIZE(tblY9[[#This Row],[Avg KS2]],AVERAGE(tblY9[[Avg KS2]]),_xlfn.STDEV.P(tblY9[[Avg KS2]])),9),_Stanine,2),5),"")</f>
        <v>6</v>
      </c>
      <c r="J111" s="66" t="inlineStr">
        <is>
          <t>9B/Sc2</t>
        </is>
      </c>
      <c r="K111" s="67">
        <f>IF(tblY9[[#This Row],[Preferred Last name]]="","",COUNTIFS($N$1:$ZZ$1,"*"&amp;CHAR(10)&amp;"Stanine",$N111:$ZZ111,"&gt;=1"))</f>
        <v>4</v>
      </c>
      <c r="L111" s="68">
        <f>IFERROR(AVERAGEIF($N$1:$ZZ$1,"*"&amp;CHAR(10)&amp;"Stanine",$N111:$ZZ111),"")</f>
        <v>4.5</v>
      </c>
      <c r="M111" s="69">
        <f>IF(AND(ISNUMBER(tblY9[[#This Row],[Mean Stanine]]),ISNUMBER(tblY9[[#This Row],[Avg KS2 Band]]),ISNUMBER(SlopeY9)),tblY9[[#This Row],[Mean Stanine]]-(InterceptY9+SlopeY9*tblY9[[#This Row],[Avg KS2 Band]]),"")</f>
        <v>-1.33698453608247</v>
      </c>
      <c r="N111" s="66" t="n">
        <v>18</v>
      </c>
      <c r="O111" s="67">
        <f>IF(ISNUMBER(tblY9[[#This Row],[9B01 - Genetics
Raw Score]]),IFERROR(VLOOKUP(ROUND(STANDARDIZE(tblY9[[#This Row],[9B01 - Genetics
Raw Score]],AVERAGE(tblY9[[9B01 - Genetics
Raw Score]]),_xlfn.STDEV.P(tblY9[[9B01 - Genetics
Raw Score]])),9),_Stanine,2),5),"")</f>
        <v>4</v>
      </c>
      <c r="P111" s="66" t="n">
        <v>19</v>
      </c>
      <c r="Q111" s="67">
        <f>IF(ISNUMBER(tblY9[[#This Row],[9C01 - Chemical Reactions
Raw Score]]),IFERROR(VLOOKUP(ROUND(STANDARDIZE(tblY9[[#This Row],[9C01 - Chemical Reactions
Raw Score]],AVERAGE(tblY9[[9C01 - Chemical Reactions
Raw Score]]),_xlfn.STDEV.P(tblY9[[9C01 - Chemical Reactions
Raw Score]])),9),_Stanine,2),5),"")</f>
        <v>4</v>
      </c>
      <c r="R111" s="66" t="n">
        <v>19</v>
      </c>
      <c r="S111" s="67">
        <f>IF(ISNUMBER(tblY9[[#This Row],[9P01 - Electricity
Raw Score]]),IFERROR(VLOOKUP(ROUND(STANDARDIZE(tblY9[[#This Row],[9P01 - Electricity
Raw Score]],AVERAGE(tblY9[[9P01 - Electricity
Raw Score]]),_xlfn.STDEV.P(tblY9[[9P01 - Electricity
Raw Score]])),9),_Stanine,2),5),"")</f>
        <v>4</v>
      </c>
      <c r="T111" s="66" t="n">
        <v>19</v>
      </c>
      <c r="U111" s="67">
        <f>IF(ISNUMBER(tblY9[[#This Row],[9B02 - Ecology
Raw Score]]),IFERROR(VLOOKUP(ROUND(STANDARDIZE(tblY9[[#This Row],[9B02 - Ecology
Raw Score]],AVERAGE(tblY9[[9B02 - Ecology
Raw Score]]),_xlfn.STDEV.P(tblY9[[9B02 - Ecology
Raw Score]])),9),_Stanine,2),5),"")</f>
        <v>6</v>
      </c>
    </row>
    <row r="112">
      <c r="A112" s="65" t="inlineStr">
        <is>
          <t>X907883704444</t>
        </is>
      </c>
      <c r="B112" s="65" t="inlineStr">
        <is>
          <t>Nowak</t>
        </is>
      </c>
      <c r="C112" s="65" t="inlineStr">
        <is>
          <t>Ava</t>
        </is>
      </c>
      <c r="D112" s="66" t="inlineStr">
        <is>
          <t>M</t>
        </is>
      </c>
      <c r="E112" s="66" t="inlineStr">
        <is>
          <t>N</t>
        </is>
      </c>
      <c r="F112" s="66" t="inlineStr">
        <is>
          <t>N</t>
        </is>
      </c>
      <c r="G112" s="34" t="n">
        <v>100</v>
      </c>
      <c r="H112" s="34" t="n">
        <v>110.5</v>
      </c>
      <c r="I112" s="67">
        <f>IF(ISNUMBER(tblY9[[#This Row],[Avg KS2]]),IFERROR(VLOOKUP(ROUND(STANDARDIZE(tblY9[[#This Row],[Avg KS2]],AVERAGE(tblY9[[Avg KS2]]),_xlfn.STDEV.P(tblY9[[Avg KS2]])),9),_Stanine,2),5),"")</f>
        <v>6</v>
      </c>
      <c r="J112" s="66" t="inlineStr">
        <is>
          <t>9B/Sc2</t>
        </is>
      </c>
      <c r="K112" s="67">
        <f>IF(tblY9[[#This Row],[Preferred Last name]]="","",COUNTIFS($N$1:$ZZ$1,"*"&amp;CHAR(10)&amp;"Stanine",$N112:$ZZ112,"&gt;=1"))</f>
        <v>4</v>
      </c>
      <c r="L112" s="68">
        <f>IFERROR(AVERAGEIF($N$1:$ZZ$1,"*"&amp;CHAR(10)&amp;"Stanine",$N112:$ZZ112),"")</f>
        <v>6.75</v>
      </c>
      <c r="M112" s="69">
        <f>IF(AND(ISNUMBER(tblY9[[#This Row],[Mean Stanine]]),ISNUMBER(tblY9[[#This Row],[Avg KS2 Band]]),ISNUMBER(SlopeY9)),tblY9[[#This Row],[Mean Stanine]]-(InterceptY9+SlopeY9*tblY9[[#This Row],[Avg KS2 Band]]),"")</f>
        <v>0.913015463917526</v>
      </c>
      <c r="N112" s="66" t="n">
        <v>26</v>
      </c>
      <c r="O112" s="67">
        <f>IF(ISNUMBER(tblY9[[#This Row],[9B01 - Genetics
Raw Score]]),IFERROR(VLOOKUP(ROUND(STANDARDIZE(tblY9[[#This Row],[9B01 - Genetics
Raw Score]],AVERAGE(tblY9[[9B01 - Genetics
Raw Score]]),_xlfn.STDEV.P(tblY9[[9B01 - Genetics
Raw Score]])),9),_Stanine,2),5),"")</f>
        <v>7</v>
      </c>
      <c r="P112" s="66" t="n">
        <v>27</v>
      </c>
      <c r="Q112" s="67">
        <f>IF(ISNUMBER(tblY9[[#This Row],[9C01 - Chemical Reactions
Raw Score]]),IFERROR(VLOOKUP(ROUND(STANDARDIZE(tblY9[[#This Row],[9C01 - Chemical Reactions
Raw Score]],AVERAGE(tblY9[[9C01 - Chemical Reactions
Raw Score]]),_xlfn.STDEV.P(tblY9[[9C01 - Chemical Reactions
Raw Score]])),9),_Stanine,2),5),"")</f>
        <v>7</v>
      </c>
      <c r="R112" s="66" t="n">
        <v>26</v>
      </c>
      <c r="S112" s="67">
        <f>IF(ISNUMBER(tblY9[[#This Row],[9P01 - Electricity
Raw Score]]),IFERROR(VLOOKUP(ROUND(STANDARDIZE(tblY9[[#This Row],[9P01 - Electricity
Raw Score]],AVERAGE(tblY9[[9P01 - Electricity
Raw Score]]),_xlfn.STDEV.P(tblY9[[9P01 - Electricity
Raw Score]])),9),_Stanine,2),5),"")</f>
        <v>7</v>
      </c>
      <c r="T112" s="66" t="n">
        <v>20</v>
      </c>
      <c r="U112" s="67">
        <f>IF(ISNUMBER(tblY9[[#This Row],[9B02 - Ecology
Raw Score]]),IFERROR(VLOOKUP(ROUND(STANDARDIZE(tblY9[[#This Row],[9B02 - Ecology
Raw Score]],AVERAGE(tblY9[[9B02 - Ecology
Raw Score]]),_xlfn.STDEV.P(tblY9[[9B02 - Ecology
Raw Score]])),9),_Stanine,2),5),"")</f>
        <v>6</v>
      </c>
    </row>
    <row r="113">
      <c r="A113" s="65" t="inlineStr">
        <is>
          <t>X900937683024</t>
        </is>
      </c>
      <c r="B113" s="65" t="inlineStr">
        <is>
          <t>Okafor</t>
        </is>
      </c>
      <c r="C113" s="65" t="inlineStr">
        <is>
          <t>Finley</t>
        </is>
      </c>
      <c r="D113" s="66" t="inlineStr">
        <is>
          <t>M</t>
        </is>
      </c>
      <c r="E113" s="66" t="inlineStr">
        <is>
          <t>N</t>
        </is>
      </c>
      <c r="F113" s="66" t="inlineStr">
        <is>
          <t>Y</t>
        </is>
      </c>
      <c r="G113" s="34" t="n">
        <v>88.09999999999999</v>
      </c>
      <c r="H113" s="34" t="n">
        <v>108</v>
      </c>
      <c r="I113" s="67">
        <f>IF(ISNUMBER(tblY9[[#This Row],[Avg KS2]]),IFERROR(VLOOKUP(ROUND(STANDARDIZE(tblY9[[#This Row],[Avg KS2]],AVERAGE(tblY9[[Avg KS2]]),_xlfn.STDEV.P(tblY9[[Avg KS2]])),9),_Stanine,2),5),"")</f>
        <v>6</v>
      </c>
      <c r="J113" s="66" t="inlineStr">
        <is>
          <t>9B/Sc2</t>
        </is>
      </c>
      <c r="K113" s="67">
        <f>IF(tblY9[[#This Row],[Preferred Last name]]="","",COUNTIFS($N$1:$ZZ$1,"*"&amp;CHAR(10)&amp;"Stanine",$N113:$ZZ113,"&gt;=1"))</f>
        <v>4</v>
      </c>
      <c r="L113" s="68">
        <f>IFERROR(AVERAGEIF($N$1:$ZZ$1,"*"&amp;CHAR(10)&amp;"Stanine",$N113:$ZZ113),"")</f>
        <v>6.75</v>
      </c>
      <c r="M113" s="69">
        <f>IF(AND(ISNUMBER(tblY9[[#This Row],[Mean Stanine]]),ISNUMBER(tblY9[[#This Row],[Avg KS2 Band]]),ISNUMBER(SlopeY9)),tblY9[[#This Row],[Mean Stanine]]-(InterceptY9+SlopeY9*tblY9[[#This Row],[Avg KS2 Band]]),"")</f>
        <v>0.913015463917526</v>
      </c>
      <c r="N113" s="66" t="n">
        <v>25</v>
      </c>
      <c r="O113" s="67">
        <f>IF(ISNUMBER(tblY9[[#This Row],[9B01 - Genetics
Raw Score]]),IFERROR(VLOOKUP(ROUND(STANDARDIZE(tblY9[[#This Row],[9B01 - Genetics
Raw Score]],AVERAGE(tblY9[[9B01 - Genetics
Raw Score]]),_xlfn.STDEV.P(tblY9[[9B01 - Genetics
Raw Score]])),9),_Stanine,2),5),"")</f>
        <v>7</v>
      </c>
      <c r="P113" s="66" t="n">
        <v>27</v>
      </c>
      <c r="Q113" s="67">
        <f>IF(ISNUMBER(tblY9[[#This Row],[9C01 - Chemical Reactions
Raw Score]]),IFERROR(VLOOKUP(ROUND(STANDARDIZE(tblY9[[#This Row],[9C01 - Chemical Reactions
Raw Score]],AVERAGE(tblY9[[9C01 - Chemical Reactions
Raw Score]]),_xlfn.STDEV.P(tblY9[[9C01 - Chemical Reactions
Raw Score]])),9),_Stanine,2),5),"")</f>
        <v>7</v>
      </c>
      <c r="R113" s="66" t="n">
        <v>24</v>
      </c>
      <c r="S113" s="67">
        <f>IF(ISNUMBER(tblY9[[#This Row],[9P01 - Electricity
Raw Score]]),IFERROR(VLOOKUP(ROUND(STANDARDIZE(tblY9[[#This Row],[9P01 - Electricity
Raw Score]],AVERAGE(tblY9[[9P01 - Electricity
Raw Score]]),_xlfn.STDEV.P(tblY9[[9P01 - Electricity
Raw Score]])),9),_Stanine,2),5),"")</f>
        <v>6</v>
      </c>
      <c r="T113" s="66" t="n">
        <v>21</v>
      </c>
      <c r="U113" s="67">
        <f>IF(ISNUMBER(tblY9[[#This Row],[9B02 - Ecology
Raw Score]]),IFERROR(VLOOKUP(ROUND(STANDARDIZE(tblY9[[#This Row],[9B02 - Ecology
Raw Score]],AVERAGE(tblY9[[9B02 - Ecology
Raw Score]]),_xlfn.STDEV.P(tblY9[[9B02 - Ecology
Raw Score]])),9),_Stanine,2),5),"")</f>
        <v>7</v>
      </c>
    </row>
    <row r="114">
      <c r="A114" s="65" t="inlineStr">
        <is>
          <t>X903447623460</t>
        </is>
      </c>
      <c r="B114" s="65" t="inlineStr">
        <is>
          <t>Okafor</t>
        </is>
      </c>
      <c r="C114" s="65" t="inlineStr">
        <is>
          <t>Mia</t>
        </is>
      </c>
      <c r="D114" s="66" t="inlineStr">
        <is>
          <t>F</t>
        </is>
      </c>
      <c r="E114" s="66" t="inlineStr">
        <is>
          <t>N</t>
        </is>
      </c>
      <c r="F114" s="66" t="inlineStr">
        <is>
          <t>N</t>
        </is>
      </c>
      <c r="G114" s="34" t="n">
        <v>94.2</v>
      </c>
      <c r="H114" s="34" t="n">
        <v>107.5</v>
      </c>
      <c r="I114" s="67">
        <f>IF(ISNUMBER(tblY9[[#This Row],[Avg KS2]]),IFERROR(VLOOKUP(ROUND(STANDARDIZE(tblY9[[#This Row],[Avg KS2]],AVERAGE(tblY9[[Avg KS2]]),_xlfn.STDEV.P(tblY9[[Avg KS2]])),9),_Stanine,2),5),"")</f>
        <v>5</v>
      </c>
      <c r="J114" s="66" t="inlineStr">
        <is>
          <t>9B/Sc2</t>
        </is>
      </c>
      <c r="K114" s="67">
        <f>IF(tblY9[[#This Row],[Preferred Last name]]="","",COUNTIFS($N$1:$ZZ$1,"*"&amp;CHAR(10)&amp;"Stanine",$N114:$ZZ114,"&gt;=1"))</f>
        <v>4</v>
      </c>
      <c r="L114" s="68">
        <f>IFERROR(AVERAGEIF($N$1:$ZZ$1,"*"&amp;CHAR(10)&amp;"Stanine",$N114:$ZZ114),"")</f>
        <v>5.5</v>
      </c>
      <c r="M114" s="69">
        <f>IF(AND(ISNUMBER(tblY9[[#This Row],[Mean Stanine]]),ISNUMBER(tblY9[[#This Row],[Avg KS2 Band]]),ISNUMBER(SlopeY9)),tblY9[[#This Row],[Mean Stanine]]-(InterceptY9+SlopeY9*tblY9[[#This Row],[Avg KS2 Band]]),"")</f>
        <v>0.42642924086223</v>
      </c>
      <c r="N114" s="66" t="n">
        <v>23</v>
      </c>
      <c r="O114" s="67">
        <f>IF(ISNUMBER(tblY9[[#This Row],[9B01 - Genetics
Raw Score]]),IFERROR(VLOOKUP(ROUND(STANDARDIZE(tblY9[[#This Row],[9B01 - Genetics
Raw Score]],AVERAGE(tblY9[[9B01 - Genetics
Raw Score]]),_xlfn.STDEV.P(tblY9[[9B01 - Genetics
Raw Score]])),9),_Stanine,2),5),"")</f>
        <v>6</v>
      </c>
      <c r="P114" s="66" t="n">
        <v>24</v>
      </c>
      <c r="Q114" s="67">
        <f>IF(ISNUMBER(tblY9[[#This Row],[9C01 - Chemical Reactions
Raw Score]]),IFERROR(VLOOKUP(ROUND(STANDARDIZE(tblY9[[#This Row],[9C01 - Chemical Reactions
Raw Score]],AVERAGE(tblY9[[9C01 - Chemical Reactions
Raw Score]]),_xlfn.STDEV.P(tblY9[[9C01 - Chemical Reactions
Raw Score]])),9),_Stanine,2),5),"")</f>
        <v>6</v>
      </c>
      <c r="R114" s="66" t="n">
        <v>18</v>
      </c>
      <c r="S114" s="67">
        <f>IF(ISNUMBER(tblY9[[#This Row],[9P01 - Electricity
Raw Score]]),IFERROR(VLOOKUP(ROUND(STANDARDIZE(tblY9[[#This Row],[9P01 - Electricity
Raw Score]],AVERAGE(tblY9[[9P01 - Electricity
Raw Score]]),_xlfn.STDEV.P(tblY9[[9P01 - Electricity
Raw Score]])),9),_Stanine,2),5),"")</f>
        <v>4</v>
      </c>
      <c r="T114" s="66" t="n">
        <v>20</v>
      </c>
      <c r="U114" s="67">
        <f>IF(ISNUMBER(tblY9[[#This Row],[9B02 - Ecology
Raw Score]]),IFERROR(VLOOKUP(ROUND(STANDARDIZE(tblY9[[#This Row],[9B02 - Ecology
Raw Score]],AVERAGE(tblY9[[9B02 - Ecology
Raw Score]]),_xlfn.STDEV.P(tblY9[[9B02 - Ecology
Raw Score]])),9),_Stanine,2),5),"")</f>
        <v>6</v>
      </c>
    </row>
    <row r="115">
      <c r="A115" s="65" t="inlineStr">
        <is>
          <t>X906739566776</t>
        </is>
      </c>
      <c r="B115" s="65" t="inlineStr">
        <is>
          <t>Patel</t>
        </is>
      </c>
      <c r="C115" s="65" t="inlineStr">
        <is>
          <t>Dylan</t>
        </is>
      </c>
      <c r="D115" s="66" t="inlineStr">
        <is>
          <t>M</t>
        </is>
      </c>
      <c r="E115" s="66" t="inlineStr">
        <is>
          <t>N</t>
        </is>
      </c>
      <c r="F115" s="66" t="inlineStr">
        <is>
          <t>N</t>
        </is>
      </c>
      <c r="G115" s="34" t="n">
        <v>100</v>
      </c>
      <c r="H115" s="34" t="n">
        <v>108</v>
      </c>
      <c r="I115" s="67">
        <f>IF(ISNUMBER(tblY9[[#This Row],[Avg KS2]]),IFERROR(VLOOKUP(ROUND(STANDARDIZE(tblY9[[#This Row],[Avg KS2]],AVERAGE(tblY9[[Avg KS2]]),_xlfn.STDEV.P(tblY9[[Avg KS2]])),9),_Stanine,2),5),"")</f>
        <v>6</v>
      </c>
      <c r="J115" s="66" t="inlineStr">
        <is>
          <t>9B/Sc2</t>
        </is>
      </c>
      <c r="K115" s="67">
        <f>IF(tblY9[[#This Row],[Preferred Last name]]="","",COUNTIFS($N$1:$ZZ$1,"*"&amp;CHAR(10)&amp;"Stanine",$N115:$ZZ115,"&gt;=1"))</f>
        <v>4</v>
      </c>
      <c r="L115" s="68">
        <f>IFERROR(AVERAGEIF($N$1:$ZZ$1,"*"&amp;CHAR(10)&amp;"Stanine",$N115:$ZZ115),"")</f>
        <v>4.25</v>
      </c>
      <c r="M115" s="69">
        <f>IF(AND(ISNUMBER(tblY9[[#This Row],[Mean Stanine]]),ISNUMBER(tblY9[[#This Row],[Avg KS2 Band]]),ISNUMBER(SlopeY9)),tblY9[[#This Row],[Mean Stanine]]-(InterceptY9+SlopeY9*tblY9[[#This Row],[Avg KS2 Band]]),"")</f>
        <v>-1.58698453608247</v>
      </c>
      <c r="N115" s="66" t="n">
        <v>17</v>
      </c>
      <c r="O115" s="67">
        <f>IF(ISNUMBER(tblY9[[#This Row],[9B01 - Genetics
Raw Score]]),IFERROR(VLOOKUP(ROUND(STANDARDIZE(tblY9[[#This Row],[9B01 - Genetics
Raw Score]],AVERAGE(tblY9[[9B01 - Genetics
Raw Score]]),_xlfn.STDEV.P(tblY9[[9B01 - Genetics
Raw Score]])),9),_Stanine,2),5),"")</f>
        <v>4</v>
      </c>
      <c r="P115" s="66" t="n">
        <v>19</v>
      </c>
      <c r="Q115" s="67">
        <f>IF(ISNUMBER(tblY9[[#This Row],[9C01 - Chemical Reactions
Raw Score]]),IFERROR(VLOOKUP(ROUND(STANDARDIZE(tblY9[[#This Row],[9C01 - Chemical Reactions
Raw Score]],AVERAGE(tblY9[[9C01 - Chemical Reactions
Raw Score]]),_xlfn.STDEV.P(tblY9[[9C01 - Chemical Reactions
Raw Score]])),9),_Stanine,2),5),"")</f>
        <v>4</v>
      </c>
      <c r="R115" s="66" t="n">
        <v>19</v>
      </c>
      <c r="S115" s="67">
        <f>IF(ISNUMBER(tblY9[[#This Row],[9P01 - Electricity
Raw Score]]),IFERROR(VLOOKUP(ROUND(STANDARDIZE(tblY9[[#This Row],[9P01 - Electricity
Raw Score]],AVERAGE(tblY9[[9P01 - Electricity
Raw Score]]),_xlfn.STDEV.P(tblY9[[9P01 - Electricity
Raw Score]])),9),_Stanine,2),5),"")</f>
        <v>4</v>
      </c>
      <c r="T115" s="66" t="n">
        <v>17</v>
      </c>
      <c r="U115" s="67">
        <f>IF(ISNUMBER(tblY9[[#This Row],[9B02 - Ecology
Raw Score]]),IFERROR(VLOOKUP(ROUND(STANDARDIZE(tblY9[[#This Row],[9B02 - Ecology
Raw Score]],AVERAGE(tblY9[[9B02 - Ecology
Raw Score]]),_xlfn.STDEV.P(tblY9[[9B02 - Ecology
Raw Score]])),9),_Stanine,2),5),"")</f>
        <v>5</v>
      </c>
    </row>
    <row r="116">
      <c r="A116" s="65" t="inlineStr">
        <is>
          <t>X909666924797</t>
        </is>
      </c>
      <c r="B116" s="65" t="inlineStr">
        <is>
          <t>Patel</t>
        </is>
      </c>
      <c r="C116" s="65" t="inlineStr">
        <is>
          <t>Ella</t>
        </is>
      </c>
      <c r="D116" s="66" t="inlineStr">
        <is>
          <t>M</t>
        </is>
      </c>
      <c r="E116" s="66" t="inlineStr">
        <is>
          <t>N</t>
        </is>
      </c>
      <c r="F116" s="66" t="inlineStr">
        <is>
          <t>N</t>
        </is>
      </c>
      <c r="G116" s="34" t="n">
        <v>92.59999999999999</v>
      </c>
      <c r="H116" s="34" t="n">
        <v>102.5</v>
      </c>
      <c r="I116" s="67">
        <f>IF(ISNUMBER(tblY9[[#This Row],[Avg KS2]]),IFERROR(VLOOKUP(ROUND(STANDARDIZE(tblY9[[#This Row],[Avg KS2]],AVERAGE(tblY9[[Avg KS2]]),_xlfn.STDEV.P(tblY9[[Avg KS2]])),9),_Stanine,2),5),"")</f>
        <v>3</v>
      </c>
      <c r="J116" s="66" t="inlineStr">
        <is>
          <t>9B/Sc2</t>
        </is>
      </c>
      <c r="K116" s="67">
        <f>IF(tblY9[[#This Row],[Preferred Last name]]="","",COUNTIFS($N$1:$ZZ$1,"*"&amp;CHAR(10)&amp;"Stanine",$N116:$ZZ116,"&gt;=1"))</f>
        <v>4</v>
      </c>
      <c r="L116" s="68">
        <f>IFERROR(AVERAGEIF($N$1:$ZZ$1,"*"&amp;CHAR(10)&amp;"Stanine",$N116:$ZZ116),"")</f>
        <v>3.5</v>
      </c>
      <c r="M116" s="69">
        <f>IF(AND(ISNUMBER(tblY9[[#This Row],[Mean Stanine]]),ISNUMBER(tblY9[[#This Row],[Avg KS2 Band]]),ISNUMBER(SlopeY9)),tblY9[[#This Row],[Mean Stanine]]-(InterceptY9+SlopeY9*tblY9[[#This Row],[Avg KS2 Band]]),"")</f>
        <v>-0.0467432052483598</v>
      </c>
      <c r="N116" s="66" t="n">
        <v>14</v>
      </c>
      <c r="O116" s="67">
        <f>IF(ISNUMBER(tblY9[[#This Row],[9B01 - Genetics
Raw Score]]),IFERROR(VLOOKUP(ROUND(STANDARDIZE(tblY9[[#This Row],[9B01 - Genetics
Raw Score]],AVERAGE(tblY9[[9B01 - Genetics
Raw Score]]),_xlfn.STDEV.P(tblY9[[9B01 - Genetics
Raw Score]])),9),_Stanine,2),5),"")</f>
        <v>3</v>
      </c>
      <c r="P116" s="66" t="n">
        <v>21</v>
      </c>
      <c r="Q116" s="67">
        <f>IF(ISNUMBER(tblY9[[#This Row],[9C01 - Chemical Reactions
Raw Score]]),IFERROR(VLOOKUP(ROUND(STANDARDIZE(tblY9[[#This Row],[9C01 - Chemical Reactions
Raw Score]],AVERAGE(tblY9[[9C01 - Chemical Reactions
Raw Score]]),_xlfn.STDEV.P(tblY9[[9C01 - Chemical Reactions
Raw Score]])),9),_Stanine,2),5),"")</f>
        <v>5</v>
      </c>
      <c r="R116" s="66" t="n">
        <v>18</v>
      </c>
      <c r="S116" s="67">
        <f>IF(ISNUMBER(tblY9[[#This Row],[9P01 - Electricity
Raw Score]]),IFERROR(VLOOKUP(ROUND(STANDARDIZE(tblY9[[#This Row],[9P01 - Electricity
Raw Score]],AVERAGE(tblY9[[9P01 - Electricity
Raw Score]]),_xlfn.STDEV.P(tblY9[[9P01 - Electricity
Raw Score]])),9),_Stanine,2),5),"")</f>
        <v>4</v>
      </c>
      <c r="T116" s="66" t="n">
        <v>12</v>
      </c>
      <c r="U116" s="67">
        <f>IF(ISNUMBER(tblY9[[#This Row],[9B02 - Ecology
Raw Score]]),IFERROR(VLOOKUP(ROUND(STANDARDIZE(tblY9[[#This Row],[9B02 - Ecology
Raw Score]],AVERAGE(tblY9[[9B02 - Ecology
Raw Score]]),_xlfn.STDEV.P(tblY9[[9B02 - Ecology
Raw Score]])),9),_Stanine,2),5),"")</f>
        <v>2</v>
      </c>
    </row>
    <row r="117">
      <c r="A117" s="65" t="inlineStr">
        <is>
          <t>X908578868061</t>
        </is>
      </c>
      <c r="B117" s="65" t="inlineStr">
        <is>
          <t>Price</t>
        </is>
      </c>
      <c r="C117" s="65" t="inlineStr">
        <is>
          <t>Jacob</t>
        </is>
      </c>
      <c r="D117" s="66" t="inlineStr">
        <is>
          <t>F</t>
        </is>
      </c>
      <c r="E117" s="66" t="n"/>
      <c r="F117" s="66" t="inlineStr">
        <is>
          <t>Y</t>
        </is>
      </c>
      <c r="G117" s="34" t="n">
        <v>87.40000000000001</v>
      </c>
      <c r="H117" s="34" t="n">
        <v>107.5</v>
      </c>
      <c r="I117" s="67">
        <f>IF(ISNUMBER(tblY9[[#This Row],[Avg KS2]]),IFERROR(VLOOKUP(ROUND(STANDARDIZE(tblY9[[#This Row],[Avg KS2]],AVERAGE(tblY9[[Avg KS2]]),_xlfn.STDEV.P(tblY9[[Avg KS2]])),9),_Stanine,2),5),"")</f>
        <v>5</v>
      </c>
      <c r="J117" s="66" t="inlineStr">
        <is>
          <t>9B/Sc2</t>
        </is>
      </c>
      <c r="K117" s="67">
        <f>IF(tblY9[[#This Row],[Preferred Last name]]="","",COUNTIFS($N$1:$ZZ$1,"*"&amp;CHAR(10)&amp;"Stanine",$N117:$ZZ117,"&gt;=1"))</f>
        <v>4</v>
      </c>
      <c r="L117" s="68">
        <f>IFERROR(AVERAGEIF($N$1:$ZZ$1,"*"&amp;CHAR(10)&amp;"Stanine",$N117:$ZZ117),"")</f>
        <v>6.25</v>
      </c>
      <c r="M117" s="69">
        <f>IF(AND(ISNUMBER(tblY9[[#This Row],[Mean Stanine]]),ISNUMBER(tblY9[[#This Row],[Avg KS2 Band]]),ISNUMBER(SlopeY9)),tblY9[[#This Row],[Mean Stanine]]-(InterceptY9+SlopeY9*tblY9[[#This Row],[Avg KS2 Band]]),"")</f>
        <v>1.17642924086223</v>
      </c>
      <c r="N117" s="66" t="n">
        <v>24</v>
      </c>
      <c r="O117" s="67">
        <f>IF(ISNUMBER(tblY9[[#This Row],[9B01 - Genetics
Raw Score]]),IFERROR(VLOOKUP(ROUND(STANDARDIZE(tblY9[[#This Row],[9B01 - Genetics
Raw Score]],AVERAGE(tblY9[[9B01 - Genetics
Raw Score]]),_xlfn.STDEV.P(tblY9[[9B01 - Genetics
Raw Score]])),9),_Stanine,2),5),"")</f>
        <v>6</v>
      </c>
      <c r="P117" s="66" t="n">
        <v>26</v>
      </c>
      <c r="Q117" s="67">
        <f>IF(ISNUMBER(tblY9[[#This Row],[9C01 - Chemical Reactions
Raw Score]]),IFERROR(VLOOKUP(ROUND(STANDARDIZE(tblY9[[#This Row],[9C01 - Chemical Reactions
Raw Score]],AVERAGE(tblY9[[9C01 - Chemical Reactions
Raw Score]]),_xlfn.STDEV.P(tblY9[[9C01 - Chemical Reactions
Raw Score]])),9),_Stanine,2),5),"")</f>
        <v>7</v>
      </c>
      <c r="R117" s="66" t="n">
        <v>20</v>
      </c>
      <c r="S117" s="67">
        <f>IF(ISNUMBER(tblY9[[#This Row],[9P01 - Electricity
Raw Score]]),IFERROR(VLOOKUP(ROUND(STANDARDIZE(tblY9[[#This Row],[9P01 - Electricity
Raw Score]],AVERAGE(tblY9[[9P01 - Electricity
Raw Score]]),_xlfn.STDEV.P(tblY9[[9P01 - Electricity
Raw Score]])),9),_Stanine,2),5),"")</f>
        <v>5</v>
      </c>
      <c r="T117" s="66" t="n">
        <v>21</v>
      </c>
      <c r="U117" s="67">
        <f>IF(ISNUMBER(tblY9[[#This Row],[9B02 - Ecology
Raw Score]]),IFERROR(VLOOKUP(ROUND(STANDARDIZE(tblY9[[#This Row],[9B02 - Ecology
Raw Score]],AVERAGE(tblY9[[9B02 - Ecology
Raw Score]]),_xlfn.STDEV.P(tblY9[[9B02 - Ecology
Raw Score]])),9),_Stanine,2),5),"")</f>
        <v>7</v>
      </c>
    </row>
    <row r="118">
      <c r="A118" s="65" t="inlineStr">
        <is>
          <t>X905771051358</t>
        </is>
      </c>
      <c r="B118" s="65" t="inlineStr">
        <is>
          <t>Roberts</t>
        </is>
      </c>
      <c r="C118" s="65" t="inlineStr">
        <is>
          <t>Freya</t>
        </is>
      </c>
      <c r="D118" s="66" t="inlineStr">
        <is>
          <t>M</t>
        </is>
      </c>
      <c r="E118" s="66" t="inlineStr">
        <is>
          <t>N</t>
        </is>
      </c>
      <c r="F118" s="66" t="inlineStr">
        <is>
          <t>N</t>
        </is>
      </c>
      <c r="G118" s="34" t="n">
        <v>81.7</v>
      </c>
      <c r="H118" s="34" t="n">
        <v>105.5</v>
      </c>
      <c r="I118" s="67">
        <f>IF(ISNUMBER(tblY9[[#This Row],[Avg KS2]]),IFERROR(VLOOKUP(ROUND(STANDARDIZE(tblY9[[#This Row],[Avg KS2]],AVERAGE(tblY9[[Avg KS2]]),_xlfn.STDEV.P(tblY9[[Avg KS2]])),9),_Stanine,2),5),"")</f>
        <v>5</v>
      </c>
      <c r="J118" s="66" t="inlineStr">
        <is>
          <t>9B/Sc2</t>
        </is>
      </c>
      <c r="K118" s="67">
        <f>IF(tblY9[[#This Row],[Preferred Last name]]="","",COUNTIFS($N$1:$ZZ$1,"*"&amp;CHAR(10)&amp;"Stanine",$N118:$ZZ118,"&gt;=1"))</f>
        <v>4</v>
      </c>
      <c r="L118" s="68">
        <f>IFERROR(AVERAGEIF($N$1:$ZZ$1,"*"&amp;CHAR(10)&amp;"Stanine",$N118:$ZZ118),"")</f>
        <v>4.75</v>
      </c>
      <c r="M118" s="69">
        <f>IF(AND(ISNUMBER(tblY9[[#This Row],[Mean Stanine]]),ISNUMBER(tblY9[[#This Row],[Avg KS2 Band]]),ISNUMBER(SlopeY9)),tblY9[[#This Row],[Mean Stanine]]-(InterceptY9+SlopeY9*tblY9[[#This Row],[Avg KS2 Band]]),"")</f>
        <v>-0.32357075913777</v>
      </c>
      <c r="N118" s="66" t="n">
        <v>22</v>
      </c>
      <c r="O118" s="67">
        <f>IF(ISNUMBER(tblY9[[#This Row],[9B01 - Genetics
Raw Score]]),IFERROR(VLOOKUP(ROUND(STANDARDIZE(tblY9[[#This Row],[9B01 - Genetics
Raw Score]],AVERAGE(tblY9[[9B01 - Genetics
Raw Score]]),_xlfn.STDEV.P(tblY9[[9B01 - Genetics
Raw Score]])),9),_Stanine,2),5),"")</f>
        <v>6</v>
      </c>
      <c r="P118" s="66" t="n">
        <v>21</v>
      </c>
      <c r="Q118" s="67">
        <f>IF(ISNUMBER(tblY9[[#This Row],[9C01 - Chemical Reactions
Raw Score]]),IFERROR(VLOOKUP(ROUND(STANDARDIZE(tblY9[[#This Row],[9C01 - Chemical Reactions
Raw Score]],AVERAGE(tblY9[[9C01 - Chemical Reactions
Raw Score]]),_xlfn.STDEV.P(tblY9[[9C01 - Chemical Reactions
Raw Score]])),9),_Stanine,2),5),"")</f>
        <v>5</v>
      </c>
      <c r="R118" s="66" t="n">
        <v>18</v>
      </c>
      <c r="S118" s="67">
        <f>IF(ISNUMBER(tblY9[[#This Row],[9P01 - Electricity
Raw Score]]),IFERROR(VLOOKUP(ROUND(STANDARDIZE(tblY9[[#This Row],[9P01 - Electricity
Raw Score]],AVERAGE(tblY9[[9P01 - Electricity
Raw Score]]),_xlfn.STDEV.P(tblY9[[9P01 - Electricity
Raw Score]])),9),_Stanine,2),5),"")</f>
        <v>4</v>
      </c>
      <c r="T118" s="66" t="n">
        <v>15</v>
      </c>
      <c r="U118" s="67">
        <f>IF(ISNUMBER(tblY9[[#This Row],[9B02 - Ecology
Raw Score]]),IFERROR(VLOOKUP(ROUND(STANDARDIZE(tblY9[[#This Row],[9B02 - Ecology
Raw Score]],AVERAGE(tblY9[[9B02 - Ecology
Raw Score]]),_xlfn.STDEV.P(tblY9[[9B02 - Ecology
Raw Score]])),9),_Stanine,2),5),"")</f>
        <v>4</v>
      </c>
    </row>
    <row r="119">
      <c r="A119" s="65" t="inlineStr">
        <is>
          <t>X908506453736</t>
        </is>
      </c>
      <c r="B119" s="65" t="inlineStr">
        <is>
          <t>Taylor</t>
        </is>
      </c>
      <c r="C119" s="65" t="inlineStr">
        <is>
          <t>Reuben</t>
        </is>
      </c>
      <c r="D119" s="66" t="inlineStr">
        <is>
          <t>M</t>
        </is>
      </c>
      <c r="E119" s="66" t="n"/>
      <c r="F119" s="66" t="inlineStr">
        <is>
          <t>Y</t>
        </is>
      </c>
      <c r="G119" s="34" t="n">
        <v>89.40000000000001</v>
      </c>
      <c r="H119" s="34" t="n">
        <v>102</v>
      </c>
      <c r="I119" s="67">
        <f>IF(ISNUMBER(tblY9[[#This Row],[Avg KS2]]),IFERROR(VLOOKUP(ROUND(STANDARDIZE(tblY9[[#This Row],[Avg KS2]],AVERAGE(tblY9[[Avg KS2]]),_xlfn.STDEV.P(tblY9[[Avg KS2]])),9),_Stanine,2),5),"")</f>
        <v>3</v>
      </c>
      <c r="J119" s="66" t="inlineStr">
        <is>
          <t>9B/Sc2</t>
        </is>
      </c>
      <c r="K119" s="67">
        <f>IF(tblY9[[#This Row],[Preferred Last name]]="","",COUNTIFS($N$1:$ZZ$1,"*"&amp;CHAR(10)&amp;"Stanine",$N119:$ZZ119,"&gt;=1"))</f>
        <v>4</v>
      </c>
      <c r="L119" s="68">
        <f>IFERROR(AVERAGEIF($N$1:$ZZ$1,"*"&amp;CHAR(10)&amp;"Stanine",$N119:$ZZ119),"")</f>
        <v>4.25</v>
      </c>
      <c r="M119" s="69">
        <f>IF(AND(ISNUMBER(tblY9[[#This Row],[Mean Stanine]]),ISNUMBER(tblY9[[#This Row],[Avg KS2 Band]]),ISNUMBER(SlopeY9)),tblY9[[#This Row],[Mean Stanine]]-(InterceptY9+SlopeY9*tblY9[[#This Row],[Avg KS2 Band]]),"")</f>
        <v>0.70325679475164</v>
      </c>
      <c r="N119" s="66" t="n">
        <v>16</v>
      </c>
      <c r="O119" s="67">
        <f>IF(ISNUMBER(tblY9[[#This Row],[9B01 - Genetics
Raw Score]]),IFERROR(VLOOKUP(ROUND(STANDARDIZE(tblY9[[#This Row],[9B01 - Genetics
Raw Score]],AVERAGE(tblY9[[9B01 - Genetics
Raw Score]]),_xlfn.STDEV.P(tblY9[[9B01 - Genetics
Raw Score]])),9),_Stanine,2),5),"")</f>
        <v>4</v>
      </c>
      <c r="P119" s="66" t="n">
        <v>22</v>
      </c>
      <c r="Q119" s="67">
        <f>IF(ISNUMBER(tblY9[[#This Row],[9C01 - Chemical Reactions
Raw Score]]),IFERROR(VLOOKUP(ROUND(STANDARDIZE(tblY9[[#This Row],[9C01 - Chemical Reactions
Raw Score]],AVERAGE(tblY9[[9C01 - Chemical Reactions
Raw Score]]),_xlfn.STDEV.P(tblY9[[9C01 - Chemical Reactions
Raw Score]])),9),_Stanine,2),5),"")</f>
        <v>5</v>
      </c>
      <c r="R119" s="66" t="n">
        <v>18</v>
      </c>
      <c r="S119" s="67">
        <f>IF(ISNUMBER(tblY9[[#This Row],[9P01 - Electricity
Raw Score]]),IFERROR(VLOOKUP(ROUND(STANDARDIZE(tblY9[[#This Row],[9P01 - Electricity
Raw Score]],AVERAGE(tblY9[[9P01 - Electricity
Raw Score]]),_xlfn.STDEV.P(tblY9[[9P01 - Electricity
Raw Score]])),9),_Stanine,2),5),"")</f>
        <v>4</v>
      </c>
      <c r="T119" s="66" t="n">
        <v>15</v>
      </c>
      <c r="U119" s="67">
        <f>IF(ISNUMBER(tblY9[[#This Row],[9B02 - Ecology
Raw Score]]),IFERROR(VLOOKUP(ROUND(STANDARDIZE(tblY9[[#This Row],[9B02 - Ecology
Raw Score]],AVERAGE(tblY9[[9B02 - Ecology
Raw Score]]),_xlfn.STDEV.P(tblY9[[9B02 - Ecology
Raw Score]])),9),_Stanine,2),5),"")</f>
        <v>4</v>
      </c>
    </row>
    <row r="120">
      <c r="A120" s="65" t="inlineStr">
        <is>
          <t>X903846531251</t>
        </is>
      </c>
      <c r="B120" s="65" t="inlineStr">
        <is>
          <t>Thompson</t>
        </is>
      </c>
      <c r="C120" s="65" t="inlineStr">
        <is>
          <t>Dylan</t>
        </is>
      </c>
      <c r="D120" s="66" t="inlineStr">
        <is>
          <t>F</t>
        </is>
      </c>
      <c r="E120" s="66" t="inlineStr">
        <is>
          <t>N</t>
        </is>
      </c>
      <c r="F120" s="66" t="inlineStr">
        <is>
          <t>N</t>
        </is>
      </c>
      <c r="G120" s="34" t="n">
        <v>97.2</v>
      </c>
      <c r="H120" s="34" t="n">
        <v>99.5</v>
      </c>
      <c r="I120" s="67">
        <f>IF(ISNUMBER(tblY9[[#This Row],[Avg KS2]]),IFERROR(VLOOKUP(ROUND(STANDARDIZE(tblY9[[#This Row],[Avg KS2]],AVERAGE(tblY9[[Avg KS2]]),_xlfn.STDEV.P(tblY9[[Avg KS2]])),9),_Stanine,2),5),"")</f>
        <v>2</v>
      </c>
      <c r="J120" s="66" t="inlineStr">
        <is>
          <t>9B/Sc2</t>
        </is>
      </c>
      <c r="K120" s="67">
        <f>IF(tblY9[[#This Row],[Preferred Last name]]="","",COUNTIFS($N$1:$ZZ$1,"*"&amp;CHAR(10)&amp;"Stanine",$N120:$ZZ120,"&gt;=1"))</f>
        <v>4</v>
      </c>
      <c r="L120" s="68">
        <f>IFERROR(AVERAGEIF($N$1:$ZZ$1,"*"&amp;CHAR(10)&amp;"Stanine",$N120:$ZZ120),"")</f>
        <v>4</v>
      </c>
      <c r="M120" s="69">
        <f>IF(AND(ISNUMBER(tblY9[[#This Row],[Mean Stanine]]),ISNUMBER(tblY9[[#This Row],[Avg KS2 Band]]),ISNUMBER(SlopeY9)),tblY9[[#This Row],[Mean Stanine]]-(InterceptY9+SlopeY9*tblY9[[#This Row],[Avg KS2 Band]]),"")</f>
        <v>1.21667057169635</v>
      </c>
      <c r="N120" s="66" t="n">
        <v>18</v>
      </c>
      <c r="O120" s="67">
        <f>IF(ISNUMBER(tblY9[[#This Row],[9B01 - Genetics
Raw Score]]),IFERROR(VLOOKUP(ROUND(STANDARDIZE(tblY9[[#This Row],[9B01 - Genetics
Raw Score]],AVERAGE(tblY9[[9B01 - Genetics
Raw Score]]),_xlfn.STDEV.P(tblY9[[9B01 - Genetics
Raw Score]])),9),_Stanine,2),5),"")</f>
        <v>4</v>
      </c>
      <c r="P120" s="66" t="n">
        <v>17</v>
      </c>
      <c r="Q120" s="67">
        <f>IF(ISNUMBER(tblY9[[#This Row],[9C01 - Chemical Reactions
Raw Score]]),IFERROR(VLOOKUP(ROUND(STANDARDIZE(tblY9[[#This Row],[9C01 - Chemical Reactions
Raw Score]],AVERAGE(tblY9[[9C01 - Chemical Reactions
Raw Score]]),_xlfn.STDEV.P(tblY9[[9C01 - Chemical Reactions
Raw Score]])),9),_Stanine,2),5),"")</f>
        <v>4</v>
      </c>
      <c r="R120" s="66" t="n">
        <v>18</v>
      </c>
      <c r="S120" s="67">
        <f>IF(ISNUMBER(tblY9[[#This Row],[9P01 - Electricity
Raw Score]]),IFERROR(VLOOKUP(ROUND(STANDARDIZE(tblY9[[#This Row],[9P01 - Electricity
Raw Score]],AVERAGE(tblY9[[9P01 - Electricity
Raw Score]]),_xlfn.STDEV.P(tblY9[[9P01 - Electricity
Raw Score]])),9),_Stanine,2),5),"")</f>
        <v>4</v>
      </c>
      <c r="T120" s="66" t="n">
        <v>16</v>
      </c>
      <c r="U120" s="67">
        <f>IF(ISNUMBER(tblY9[[#This Row],[9B02 - Ecology
Raw Score]]),IFERROR(VLOOKUP(ROUND(STANDARDIZE(tblY9[[#This Row],[9B02 - Ecology
Raw Score]],AVERAGE(tblY9[[9B02 - Ecology
Raw Score]]),_xlfn.STDEV.P(tblY9[[9B02 - Ecology
Raw Score]])),9),_Stanine,2),5),"")</f>
        <v>4</v>
      </c>
    </row>
    <row r="121">
      <c r="A121" s="65" t="inlineStr">
        <is>
          <t>X903390527242</t>
        </is>
      </c>
      <c r="B121" s="65" t="inlineStr">
        <is>
          <t>Thompson</t>
        </is>
      </c>
      <c r="C121" s="65" t="inlineStr">
        <is>
          <t>Kai</t>
        </is>
      </c>
      <c r="D121" s="66" t="inlineStr">
        <is>
          <t>M</t>
        </is>
      </c>
      <c r="E121" s="66" t="inlineStr">
        <is>
          <t>N</t>
        </is>
      </c>
      <c r="F121" s="66" t="inlineStr">
        <is>
          <t>Y</t>
        </is>
      </c>
      <c r="G121" s="34" t="n">
        <v>93.5</v>
      </c>
      <c r="H121" s="34" t="n">
        <v>101</v>
      </c>
      <c r="I121" s="67">
        <f>IF(ISNUMBER(tblY9[[#This Row],[Avg KS2]]),IFERROR(VLOOKUP(ROUND(STANDARDIZE(tblY9[[#This Row],[Avg KS2]],AVERAGE(tblY9[[Avg KS2]]),_xlfn.STDEV.P(tblY9[[Avg KS2]])),9),_Stanine,2),5),"")</f>
        <v>3</v>
      </c>
      <c r="J121" s="66" t="inlineStr">
        <is>
          <t>9B/Sc2</t>
        </is>
      </c>
      <c r="K121" s="67">
        <f>IF(tblY9[[#This Row],[Preferred Last name]]="","",COUNTIFS($N$1:$ZZ$1,"*"&amp;CHAR(10)&amp;"Stanine",$N121:$ZZ121,"&gt;=1"))</f>
        <v>4</v>
      </c>
      <c r="L121" s="68">
        <f>IFERROR(AVERAGEIF($N$1:$ZZ$1,"*"&amp;CHAR(10)&amp;"Stanine",$N121:$ZZ121),"")</f>
        <v>3.5</v>
      </c>
      <c r="M121" s="69">
        <f>IF(AND(ISNUMBER(tblY9[[#This Row],[Mean Stanine]]),ISNUMBER(tblY9[[#This Row],[Avg KS2 Band]]),ISNUMBER(SlopeY9)),tblY9[[#This Row],[Mean Stanine]]-(InterceptY9+SlopeY9*tblY9[[#This Row],[Avg KS2 Band]]),"")</f>
        <v>-0.0467432052483598</v>
      </c>
      <c r="N121" s="66" t="n">
        <v>16</v>
      </c>
      <c r="O121" s="67">
        <f>IF(ISNUMBER(tblY9[[#This Row],[9B01 - Genetics
Raw Score]]),IFERROR(VLOOKUP(ROUND(STANDARDIZE(tblY9[[#This Row],[9B01 - Genetics
Raw Score]],AVERAGE(tblY9[[9B01 - Genetics
Raw Score]]),_xlfn.STDEV.P(tblY9[[9B01 - Genetics
Raw Score]])),9),_Stanine,2),5),"")</f>
        <v>4</v>
      </c>
      <c r="P121" s="66" t="n">
        <v>19</v>
      </c>
      <c r="Q121" s="67">
        <f>IF(ISNUMBER(tblY9[[#This Row],[9C01 - Chemical Reactions
Raw Score]]),IFERROR(VLOOKUP(ROUND(STANDARDIZE(tblY9[[#This Row],[9C01 - Chemical Reactions
Raw Score]],AVERAGE(tblY9[[9C01 - Chemical Reactions
Raw Score]]),_xlfn.STDEV.P(tblY9[[9C01 - Chemical Reactions
Raw Score]])),9),_Stanine,2),5),"")</f>
        <v>4</v>
      </c>
      <c r="R121" s="66" t="n">
        <v>19</v>
      </c>
      <c r="S121" s="67">
        <f>IF(ISNUMBER(tblY9[[#This Row],[9P01 - Electricity
Raw Score]]),IFERROR(VLOOKUP(ROUND(STANDARDIZE(tblY9[[#This Row],[9P01 - Electricity
Raw Score]],AVERAGE(tblY9[[9P01 - Electricity
Raw Score]]),_xlfn.STDEV.P(tblY9[[9P01 - Electricity
Raw Score]])),9),_Stanine,2),5),"")</f>
        <v>4</v>
      </c>
      <c r="T121" s="66" t="n">
        <v>12</v>
      </c>
      <c r="U121" s="67">
        <f>IF(ISNUMBER(tblY9[[#This Row],[9B02 - Ecology
Raw Score]]),IFERROR(VLOOKUP(ROUND(STANDARDIZE(tblY9[[#This Row],[9B02 - Ecology
Raw Score]],AVERAGE(tblY9[[9B02 - Ecology
Raw Score]]),_xlfn.STDEV.P(tblY9[[9B02 - Ecology
Raw Score]])),9),_Stanine,2),5),"")</f>
        <v>2</v>
      </c>
    </row>
    <row r="122">
      <c r="A122" s="65" t="inlineStr">
        <is>
          <t>X907155380565</t>
        </is>
      </c>
      <c r="B122" s="65" t="inlineStr">
        <is>
          <t>Walker</t>
        </is>
      </c>
      <c r="C122" s="65" t="inlineStr">
        <is>
          <t>Jack</t>
        </is>
      </c>
      <c r="D122" s="66" t="inlineStr">
        <is>
          <t>F</t>
        </is>
      </c>
      <c r="E122" s="66" t="inlineStr">
        <is>
          <t>N</t>
        </is>
      </c>
      <c r="F122" s="66" t="inlineStr">
        <is>
          <t>N</t>
        </is>
      </c>
      <c r="G122" s="34" t="n">
        <v>95.3</v>
      </c>
      <c r="H122" s="34" t="n">
        <v>105</v>
      </c>
      <c r="I122" s="67">
        <f>IF(ISNUMBER(tblY9[[#This Row],[Avg KS2]]),IFERROR(VLOOKUP(ROUND(STANDARDIZE(tblY9[[#This Row],[Avg KS2]],AVERAGE(tblY9[[Avg KS2]]),_xlfn.STDEV.P(tblY9[[Avg KS2]])),9),_Stanine,2),5),"")</f>
        <v>4</v>
      </c>
      <c r="J122" s="66" t="inlineStr">
        <is>
          <t>9B/Sc2</t>
        </is>
      </c>
      <c r="K122" s="67">
        <f>IF(tblY9[[#This Row],[Preferred Last name]]="","",COUNTIFS($N$1:$ZZ$1,"*"&amp;CHAR(10)&amp;"Stanine",$N122:$ZZ122,"&gt;=1"))</f>
        <v>4</v>
      </c>
      <c r="L122" s="68">
        <f>IFERROR(AVERAGEIF($N$1:$ZZ$1,"*"&amp;CHAR(10)&amp;"Stanine",$N122:$ZZ122),"")</f>
        <v>4.75</v>
      </c>
      <c r="M122" s="69">
        <f>IF(AND(ISNUMBER(tblY9[[#This Row],[Mean Stanine]]),ISNUMBER(tblY9[[#This Row],[Avg KS2 Band]]),ISNUMBER(SlopeY9)),tblY9[[#This Row],[Mean Stanine]]-(InterceptY9+SlopeY9*tblY9[[#This Row],[Avg KS2 Band]]),"")</f>
        <v>0.439843017806935</v>
      </c>
      <c r="N122" s="66" t="n">
        <v>18</v>
      </c>
      <c r="O122" s="67">
        <f>IF(ISNUMBER(tblY9[[#This Row],[9B01 - Genetics
Raw Score]]),IFERROR(VLOOKUP(ROUND(STANDARDIZE(tblY9[[#This Row],[9B01 - Genetics
Raw Score]],AVERAGE(tblY9[[9B01 - Genetics
Raw Score]]),_xlfn.STDEV.P(tblY9[[9B01 - Genetics
Raw Score]])),9),_Stanine,2),5),"")</f>
        <v>4</v>
      </c>
      <c r="P122" s="66" t="n">
        <v>19</v>
      </c>
      <c r="Q122" s="67">
        <f>IF(ISNUMBER(tblY9[[#This Row],[9C01 - Chemical Reactions
Raw Score]]),IFERROR(VLOOKUP(ROUND(STANDARDIZE(tblY9[[#This Row],[9C01 - Chemical Reactions
Raw Score]],AVERAGE(tblY9[[9C01 - Chemical Reactions
Raw Score]]),_xlfn.STDEV.P(tblY9[[9C01 - Chemical Reactions
Raw Score]])),9),_Stanine,2),5),"")</f>
        <v>4</v>
      </c>
      <c r="R122" s="66" t="n">
        <v>24</v>
      </c>
      <c r="S122" s="67">
        <f>IF(ISNUMBER(tblY9[[#This Row],[9P01 - Electricity
Raw Score]]),IFERROR(VLOOKUP(ROUND(STANDARDIZE(tblY9[[#This Row],[9P01 - Electricity
Raw Score]],AVERAGE(tblY9[[9P01 - Electricity
Raw Score]]),_xlfn.STDEV.P(tblY9[[9P01 - Electricity
Raw Score]])),9),_Stanine,2),5),"")</f>
        <v>6</v>
      </c>
      <c r="T122" s="66" t="n">
        <v>17</v>
      </c>
      <c r="U122" s="67">
        <f>IF(ISNUMBER(tblY9[[#This Row],[9B02 - Ecology
Raw Score]]),IFERROR(VLOOKUP(ROUND(STANDARDIZE(tblY9[[#This Row],[9B02 - Ecology
Raw Score]],AVERAGE(tblY9[[9B02 - Ecology
Raw Score]]),_xlfn.STDEV.P(tblY9[[9B02 - Ecology
Raw Score]])),9),_Stanine,2),5),"")</f>
        <v>5</v>
      </c>
    </row>
    <row r="123">
      <c r="A123" s="65" t="inlineStr">
        <is>
          <t>X901531955534</t>
        </is>
      </c>
      <c r="B123" s="65" t="inlineStr">
        <is>
          <t>Wilson</t>
        </is>
      </c>
      <c r="C123" s="65" t="inlineStr">
        <is>
          <t>Poppy</t>
        </is>
      </c>
      <c r="D123" s="66" t="inlineStr">
        <is>
          <t>F</t>
        </is>
      </c>
      <c r="E123" s="66" t="inlineStr">
        <is>
          <t>K</t>
        </is>
      </c>
      <c r="F123" s="66" t="inlineStr">
        <is>
          <t>N</t>
        </is>
      </c>
      <c r="G123" s="34" t="n">
        <v>95</v>
      </c>
      <c r="H123" s="34" t="n">
        <v>110.5</v>
      </c>
      <c r="I123" s="67">
        <f>IF(ISNUMBER(tblY9[[#This Row],[Avg KS2]]),IFERROR(VLOOKUP(ROUND(STANDARDIZE(tblY9[[#This Row],[Avg KS2]],AVERAGE(tblY9[[Avg KS2]]),_xlfn.STDEV.P(tblY9[[Avg KS2]])),9),_Stanine,2),5),"")</f>
        <v>6</v>
      </c>
      <c r="J123" s="66" t="inlineStr">
        <is>
          <t>9B/Sc2</t>
        </is>
      </c>
      <c r="K123" s="67">
        <f>IF(tblY9[[#This Row],[Preferred Last name]]="","",COUNTIFS($N$1:$ZZ$1,"*"&amp;CHAR(10)&amp;"Stanine",$N123:$ZZ123,"&gt;=1"))</f>
        <v>3</v>
      </c>
      <c r="L123" s="68">
        <f>IFERROR(AVERAGEIF($N$1:$ZZ$1,"*"&amp;CHAR(10)&amp;"Stanine",$N123:$ZZ123),"")</f>
        <v>6.33333333333333</v>
      </c>
      <c r="M123" s="69">
        <f>IF(AND(ISNUMBER(tblY9[[#This Row],[Mean Stanine]]),ISNUMBER(tblY9[[#This Row],[Avg KS2 Band]]),ISNUMBER(SlopeY9)),tblY9[[#This Row],[Mean Stanine]]-(InterceptY9+SlopeY9*tblY9[[#This Row],[Avg KS2 Band]]),"")</f>
        <v>0.496348797250859</v>
      </c>
      <c r="N123" s="66" t="n">
        <v>26</v>
      </c>
      <c r="O123" s="67">
        <f>IF(ISNUMBER(tblY9[[#This Row],[9B01 - Genetics
Raw Score]]),IFERROR(VLOOKUP(ROUND(STANDARDIZE(tblY9[[#This Row],[9B01 - Genetics
Raw Score]],AVERAGE(tblY9[[9B01 - Genetics
Raw Score]]),_xlfn.STDEV.P(tblY9[[9B01 - Genetics
Raw Score]])),9),_Stanine,2),5),"")</f>
        <v>7</v>
      </c>
      <c r="P123" s="66" t="n">
        <v>25</v>
      </c>
      <c r="Q123" s="67">
        <f>IF(ISNUMBER(tblY9[[#This Row],[9C01 - Chemical Reactions
Raw Score]]),IFERROR(VLOOKUP(ROUND(STANDARDIZE(tblY9[[#This Row],[9C01 - Chemical Reactions
Raw Score]],AVERAGE(tblY9[[9C01 - Chemical Reactions
Raw Score]]),_xlfn.STDEV.P(tblY9[[9C01 - Chemical Reactions
Raw Score]])),9),_Stanine,2),5),"")</f>
        <v>6</v>
      </c>
      <c r="R123" s="66" t="n">
        <v>24</v>
      </c>
      <c r="S123" s="67">
        <f>IF(ISNUMBER(tblY9[[#This Row],[9P01 - Electricity
Raw Score]]),IFERROR(VLOOKUP(ROUND(STANDARDIZE(tblY9[[#This Row],[9P01 - Electricity
Raw Score]],AVERAGE(tblY9[[9P01 - Electricity
Raw Score]]),_xlfn.STDEV.P(tblY9[[9P01 - Electricity
Raw Score]])),9),_Stanine,2),5),"")</f>
        <v>6</v>
      </c>
      <c r="T123" s="66" t="inlineStr">
        <is>
          <t>A</t>
        </is>
      </c>
      <c r="U123" s="67" t="str">
        <f>IF(ISNUMBER(tblY9[[#This Row],[9B02 - Ecology
Raw Score]]),IFERROR(VLOOKUP(ROUND(STANDARDIZE(tblY9[[#This Row],[9B02 - Ecology
Raw Score]],AVERAGE(tblY9[[9B02 - Ecology
Raw Score]]),_xlfn.STDEV.P(tblY9[[9B02 - Ecology
Raw Score]])),9),_Stanine,2),5),"")</f>
        <v/>
      </c>
    </row>
    <row r="124">
      <c r="A124" s="65" t="inlineStr">
        <is>
          <t>X902389823828</t>
        </is>
      </c>
      <c r="B124" s="65" t="inlineStr">
        <is>
          <t>Evans</t>
        </is>
      </c>
      <c r="C124" s="65" t="inlineStr">
        <is>
          <t>Oscar</t>
        </is>
      </c>
      <c r="D124" s="66" t="inlineStr">
        <is>
          <t>F</t>
        </is>
      </c>
      <c r="E124" s="66" t="inlineStr">
        <is>
          <t>N</t>
        </is>
      </c>
      <c r="F124" s="66" t="inlineStr">
        <is>
          <t>N</t>
        </is>
      </c>
      <c r="G124" s="34" t="n">
        <v>95.2</v>
      </c>
      <c r="H124" s="34" t="n">
        <v>94.5</v>
      </c>
      <c r="I124" s="67">
        <f>IF(ISNUMBER(tblY9[[#This Row],[Avg KS2]]),IFERROR(VLOOKUP(ROUND(STANDARDIZE(tblY9[[#This Row],[Avg KS2]],AVERAGE(tblY9[[Avg KS2]]),_xlfn.STDEV.P(tblY9[[Avg KS2]])),9),_Stanine,2),5),"")</f>
        <v>1</v>
      </c>
      <c r="J124" s="66" t="inlineStr">
        <is>
          <t>Science Support</t>
        </is>
      </c>
      <c r="K124" s="67">
        <f>IF(tblY9[[#This Row],[Preferred Last name]]="","",COUNTIFS($N$1:$ZZ$1,"*"&amp;CHAR(10)&amp;"Stanine",$N124:$ZZ124,"&gt;=1"))</f>
        <v>4</v>
      </c>
      <c r="L124" s="68">
        <f>IFERROR(AVERAGEIF($N$1:$ZZ$1,"*"&amp;CHAR(10)&amp;"Stanine",$N124:$ZZ124),"")</f>
        <v>1</v>
      </c>
      <c r="M124" s="69">
        <f>IF(AND(ISNUMBER(tblY9[[#This Row],[Mean Stanine]]),ISNUMBER(tblY9[[#This Row],[Avg KS2 Band]]),ISNUMBER(SlopeY9)),tblY9[[#This Row],[Mean Stanine]]-(InterceptY9+SlopeY9*tblY9[[#This Row],[Avg KS2 Band]]),"")</f>
        <v>-1.01991565135895</v>
      </c>
      <c r="N124" s="66" t="n">
        <v>5</v>
      </c>
      <c r="O124" s="67">
        <f>IF(ISNUMBER(tblY9[[#This Row],[9B01 - Genetics
Raw Score]]),IFERROR(VLOOKUP(ROUND(STANDARDIZE(tblY9[[#This Row],[9B01 - Genetics
Raw Score]],AVERAGE(tblY9[[9B01 - Genetics
Raw Score]]),_xlfn.STDEV.P(tblY9[[9B01 - Genetics
Raw Score]])),9),_Stanine,2),5),"")</f>
        <v>1</v>
      </c>
      <c r="P124" s="66" t="n">
        <v>6</v>
      </c>
      <c r="Q124" s="67">
        <f>IF(ISNUMBER(tblY9[[#This Row],[9C01 - Chemical Reactions
Raw Score]]),IFERROR(VLOOKUP(ROUND(STANDARDIZE(tblY9[[#This Row],[9C01 - Chemical Reactions
Raw Score]],AVERAGE(tblY9[[9C01 - Chemical Reactions
Raw Score]]),_xlfn.STDEV.P(tblY9[[9C01 - Chemical Reactions
Raw Score]])),9),_Stanine,2),5),"")</f>
        <v>1</v>
      </c>
      <c r="R124" s="66" t="n">
        <v>5</v>
      </c>
      <c r="S124" s="67">
        <f>IF(ISNUMBER(tblY9[[#This Row],[9P01 - Electricity
Raw Score]]),IFERROR(VLOOKUP(ROUND(STANDARDIZE(tblY9[[#This Row],[9P01 - Electricity
Raw Score]],AVERAGE(tblY9[[9P01 - Electricity
Raw Score]]),_xlfn.STDEV.P(tblY9[[9P01 - Electricity
Raw Score]])),9),_Stanine,2),5),"")</f>
        <v>1</v>
      </c>
      <c r="T124" s="66" t="n">
        <v>7</v>
      </c>
      <c r="U124" s="67">
        <f>IF(ISNUMBER(tblY9[[#This Row],[9B02 - Ecology
Raw Score]]),IFERROR(VLOOKUP(ROUND(STANDARDIZE(tblY9[[#This Row],[9B02 - Ecology
Raw Score]],AVERAGE(tblY9[[9B02 - Ecology
Raw Score]]),_xlfn.STDEV.P(tblY9[[9B02 - Ecology
Raw Score]])),9),_Stanine,2),5),"")</f>
        <v>1</v>
      </c>
    </row>
    <row r="125">
      <c r="A125" s="65" t="inlineStr">
        <is>
          <t>X908817869384</t>
        </is>
      </c>
      <c r="B125" s="65" t="inlineStr">
        <is>
          <t>Murphy</t>
        </is>
      </c>
      <c r="C125" s="65" t="inlineStr">
        <is>
          <t>Sami</t>
        </is>
      </c>
      <c r="D125" s="66" t="inlineStr">
        <is>
          <t>M</t>
        </is>
      </c>
      <c r="E125" s="66" t="inlineStr">
        <is>
          <t>E</t>
        </is>
      </c>
      <c r="F125" s="66" t="inlineStr">
        <is>
          <t>Y</t>
        </is>
      </c>
      <c r="G125" s="34" t="n">
        <v>99.2</v>
      </c>
      <c r="H125" s="34" t="n">
        <v>98</v>
      </c>
      <c r="I125" s="67">
        <f>IF(ISNUMBER(tblY9[[#This Row],[Avg KS2]]),IFERROR(VLOOKUP(ROUND(STANDARDIZE(tblY9[[#This Row],[Avg KS2]],AVERAGE(tblY9[[Avg KS2]]),_xlfn.STDEV.P(tblY9[[Avg KS2]])),9),_Stanine,2),5),"")</f>
        <v>2</v>
      </c>
      <c r="J125" s="66" t="inlineStr">
        <is>
          <t>Science Support</t>
        </is>
      </c>
      <c r="K125" s="67">
        <f>IF(tblY9[[#This Row],[Preferred Last name]]="","",COUNTIFS($N$1:$ZZ$1,"*"&amp;CHAR(10)&amp;"Stanine",$N125:$ZZ125,"&gt;=1"))</f>
        <v>4</v>
      </c>
      <c r="L125" s="68">
        <f>IFERROR(AVERAGEIF($N$1:$ZZ$1,"*"&amp;CHAR(10)&amp;"Stanine",$N125:$ZZ125),"")</f>
        <v>1</v>
      </c>
      <c r="M125" s="69">
        <f>IF(AND(ISNUMBER(tblY9[[#This Row],[Mean Stanine]]),ISNUMBER(tblY9[[#This Row],[Avg KS2 Band]]),ISNUMBER(SlopeY9)),tblY9[[#This Row],[Mean Stanine]]-(InterceptY9+SlopeY9*tblY9[[#This Row],[Avg KS2 Band]]),"")</f>
        <v>-1.78332942830366</v>
      </c>
      <c r="N125" s="66" t="n">
        <v>8</v>
      </c>
      <c r="O125" s="67">
        <f>IF(ISNUMBER(tblY9[[#This Row],[9B01 - Genetics
Raw Score]]),IFERROR(VLOOKUP(ROUND(STANDARDIZE(tblY9[[#This Row],[9B01 - Genetics
Raw Score]],AVERAGE(tblY9[[9B01 - Genetics
Raw Score]]),_xlfn.STDEV.P(tblY9[[9B01 - Genetics
Raw Score]])),9),_Stanine,2),5),"")</f>
        <v>1</v>
      </c>
      <c r="P125" s="66" t="n">
        <v>5</v>
      </c>
      <c r="Q125" s="67">
        <f>IF(ISNUMBER(tblY9[[#This Row],[9C01 - Chemical Reactions
Raw Score]]),IFERROR(VLOOKUP(ROUND(STANDARDIZE(tblY9[[#This Row],[9C01 - Chemical Reactions
Raw Score]],AVERAGE(tblY9[[9C01 - Chemical Reactions
Raw Score]]),_xlfn.STDEV.P(tblY9[[9C01 - Chemical Reactions
Raw Score]])),9),_Stanine,2),5),"")</f>
        <v>1</v>
      </c>
      <c r="R125" s="66" t="n">
        <v>9</v>
      </c>
      <c r="S125" s="67">
        <f>IF(ISNUMBER(tblY9[[#This Row],[9P01 - Electricity
Raw Score]]),IFERROR(VLOOKUP(ROUND(STANDARDIZE(tblY9[[#This Row],[9P01 - Electricity
Raw Score]],AVERAGE(tblY9[[9P01 - Electricity
Raw Score]]),_xlfn.STDEV.P(tblY9[[9P01 - Electricity
Raw Score]])),9),_Stanine,2),5),"")</f>
        <v>1</v>
      </c>
      <c r="T125" s="66" t="n">
        <v>8</v>
      </c>
      <c r="U125" s="67">
        <f>IF(ISNUMBER(tblY9[[#This Row],[9B02 - Ecology
Raw Score]]),IFERROR(VLOOKUP(ROUND(STANDARDIZE(tblY9[[#This Row],[9B02 - Ecology
Raw Score]],AVERAGE(tblY9[[9B02 - Ecology
Raw Score]]),_xlfn.STDEV.P(tblY9[[9B02 - Ecology
Raw Score]])),9),_Stanine,2),5),"")</f>
        <v>1</v>
      </c>
    </row>
    <row r="126">
      <c r="A126" s="65" t="inlineStr">
        <is>
          <t>X903801540836</t>
        </is>
      </c>
      <c r="B126" s="65" t="inlineStr">
        <is>
          <t>Parker</t>
        </is>
      </c>
      <c r="C126" s="65" t="inlineStr">
        <is>
          <t>Dylan</t>
        </is>
      </c>
      <c r="D126" s="66" t="inlineStr">
        <is>
          <t>M</t>
        </is>
      </c>
      <c r="E126" s="66" t="n"/>
      <c r="F126" s="66" t="inlineStr">
        <is>
          <t>Y</t>
        </is>
      </c>
      <c r="G126" s="34" t="n">
        <v>97.8</v>
      </c>
      <c r="H126" s="34" t="n">
        <v>92.5</v>
      </c>
      <c r="I126" s="67">
        <f>IF(ISNUMBER(tblY9[[#This Row],[Avg KS2]]),IFERROR(VLOOKUP(ROUND(STANDARDIZE(tblY9[[#This Row],[Avg KS2]],AVERAGE(tblY9[[Avg KS2]]),_xlfn.STDEV.P(tblY9[[Avg KS2]])),9),_Stanine,2),5),"")</f>
        <v>1</v>
      </c>
      <c r="J126" s="66" t="inlineStr">
        <is>
          <t>Science Support</t>
        </is>
      </c>
      <c r="K126" s="67">
        <f>IF(tblY9[[#This Row],[Preferred Last name]]="","",COUNTIFS($N$1:$ZZ$1,"*"&amp;CHAR(10)&amp;"Stanine",$N126:$ZZ126,"&gt;=1"))</f>
        <v>4</v>
      </c>
      <c r="L126" s="68">
        <f>IFERROR(AVERAGEIF($N$1:$ZZ$1,"*"&amp;CHAR(10)&amp;"Stanine",$N126:$ZZ126),"")</f>
        <v>1</v>
      </c>
      <c r="M126" s="69">
        <f>IF(AND(ISNUMBER(tblY9[[#This Row],[Mean Stanine]]),ISNUMBER(tblY9[[#This Row],[Avg KS2 Band]]),ISNUMBER(SlopeY9)),tblY9[[#This Row],[Mean Stanine]]-(InterceptY9+SlopeY9*tblY9[[#This Row],[Avg KS2 Band]]),"")</f>
        <v>-1.01991565135895</v>
      </c>
      <c r="N126" s="66" t="n">
        <v>6</v>
      </c>
      <c r="O126" s="67">
        <f>IF(ISNUMBER(tblY9[[#This Row],[9B01 - Genetics
Raw Score]]),IFERROR(VLOOKUP(ROUND(STANDARDIZE(tblY9[[#This Row],[9B01 - Genetics
Raw Score]],AVERAGE(tblY9[[9B01 - Genetics
Raw Score]]),_xlfn.STDEV.P(tblY9[[9B01 - Genetics
Raw Score]])),9),_Stanine,2),5),"")</f>
        <v>1</v>
      </c>
      <c r="P126" s="66" t="n">
        <v>10</v>
      </c>
      <c r="Q126" s="67">
        <f>IF(ISNUMBER(tblY9[[#This Row],[9C01 - Chemical Reactions
Raw Score]]),IFERROR(VLOOKUP(ROUND(STANDARDIZE(tblY9[[#This Row],[9C01 - Chemical Reactions
Raw Score]],AVERAGE(tblY9[[9C01 - Chemical Reactions
Raw Score]]),_xlfn.STDEV.P(tblY9[[9C01 - Chemical Reactions
Raw Score]])),9),_Stanine,2),5),"")</f>
        <v>1</v>
      </c>
      <c r="R126" s="66" t="n">
        <v>5</v>
      </c>
      <c r="S126" s="67">
        <f>IF(ISNUMBER(tblY9[[#This Row],[9P01 - Electricity
Raw Score]]),IFERROR(VLOOKUP(ROUND(STANDARDIZE(tblY9[[#This Row],[9P01 - Electricity
Raw Score]],AVERAGE(tblY9[[9P01 - Electricity
Raw Score]]),_xlfn.STDEV.P(tblY9[[9P01 - Electricity
Raw Score]])),9),_Stanine,2),5),"")</f>
        <v>1</v>
      </c>
      <c r="T126" s="66" t="n">
        <v>3</v>
      </c>
      <c r="U126" s="67">
        <f>IF(ISNUMBER(tblY9[[#This Row],[9B02 - Ecology
Raw Score]]),IFERROR(VLOOKUP(ROUND(STANDARDIZE(tblY9[[#This Row],[9B02 - Ecology
Raw Score]],AVERAGE(tblY9[[9B02 - Ecology
Raw Score]]),_xlfn.STDEV.P(tblY9[[9B02 - Ecology
Raw Score]])),9),_Stanine,2),5),"")</f>
        <v>1</v>
      </c>
    </row>
  </sheetData>
  <conditionalFormatting sqref="I2:I126">
    <cfRule type="iconSet" priority="1">
      <iconSet iconSet="3TrafficLights1">
        <cfvo type="percent" val="0"/>
        <cfvo type="num" val="4"/>
        <cfvo type="num" val="7"/>
      </iconSet>
    </cfRule>
  </conditionalFormatting>
  <conditionalFormatting sqref="L2:L126">
    <cfRule type="iconSet" priority="2">
      <iconSet iconSet="3TrafficLights1">
        <cfvo type="percent" val="0"/>
        <cfvo type="num" val="3.5"/>
        <cfvo type="num" val="6.5"/>
      </iconSet>
    </cfRule>
  </conditionalFormatting>
  <conditionalFormatting sqref="M2:M126">
    <cfRule type="iconSet" priority="3">
      <iconSet iconSet="3Arrows">
        <cfvo type="percent" val="0"/>
        <cfvo type="num" val="-0.99"/>
        <cfvo type="num" val="1"/>
      </iconSet>
    </cfRule>
  </conditionalFormatting>
  <conditionalFormatting sqref="O2:O126">
    <cfRule type="iconSet" priority="4">
      <iconSet iconSet="3TrafficLights1">
        <cfvo type="percent" val="0"/>
        <cfvo type="num" val="4"/>
        <cfvo type="num" val="7"/>
      </iconSet>
    </cfRule>
  </conditionalFormatting>
  <conditionalFormatting sqref="Q2:Q126">
    <cfRule type="iconSet" priority="5">
      <iconSet iconSet="3TrafficLights1">
        <cfvo type="percent" val="0"/>
        <cfvo type="num" val="4"/>
        <cfvo type="num" val="7"/>
      </iconSet>
    </cfRule>
  </conditionalFormatting>
  <conditionalFormatting sqref="S2:S126">
    <cfRule type="iconSet" priority="6">
      <iconSet iconSet="3TrafficLights1">
        <cfvo type="percent" val="0"/>
        <cfvo type="num" val="4"/>
        <cfvo type="num" val="7"/>
      </iconSet>
    </cfRule>
  </conditionalFormatting>
  <conditionalFormatting sqref="U2:U126">
    <cfRule type="iconSet" priority="7">
      <iconSet iconSet="3TrafficLights1">
        <cfvo type="percent" val="0"/>
        <cfvo type="num" val="4"/>
        <cfvo type="num" val="7"/>
      </iconSet>
    </cfRule>
  </conditionalFormatting>
  <dataValidations count="4">
    <dataValidation sqref="N2:N126" showDropDown="0" showInputMessage="0" showErrorMessage="1" allowBlank="1" errorTitle="Score out of range" error="Type a mark from 0 to 30, or A for absent. Leave the cell blank if the student has not sat the test yet." type="custom">
      <formula1>OR(UPPER(N2)="A",AND(ISNUMBER(N2),N2&gt;=0,N2&lt;=30))</formula1>
    </dataValidation>
    <dataValidation sqref="P2:P126" showDropDown="0" showInputMessage="0" showErrorMessage="1" allowBlank="1" errorTitle="Score out of range" error="Type a mark from 0 to 32, or A for absent. Leave the cell blank if the student has not sat the test yet." type="custom">
      <formula1>OR(UPPER(P2)="A",AND(ISNUMBER(P2),P2&gt;=0,P2&lt;=32))</formula1>
    </dataValidation>
    <dataValidation sqref="R2:R126" showDropDown="0" showInputMessage="0" showErrorMessage="1" allowBlank="1" errorTitle="Score out of range" error="Type a mark from 0 to 30, or A for absent. Leave the cell blank if the student has not sat the test yet." type="custom">
      <formula1>OR(UPPER(R2)="A",AND(ISNUMBER(R2),R2&gt;=0,R2&lt;=30))</formula1>
    </dataValidation>
    <dataValidation sqref="T2:T126" showDropDown="0" showInputMessage="0" showErrorMessage="1" allowBlank="1" errorTitle="Score out of range" error="Type a mark from 0 to 25, or A for absent. Leave the cell blank if the student has not sat the test yet." type="custom">
      <formula1>OR(UPPER(T2)="A",AND(ISNUMBER(T2),T2&gt;=0,T2&lt;=25))</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8.xml><?xml version="1.0" encoding="utf-8"?>
<worksheet xmlns="http://schemas.openxmlformats.org/spreadsheetml/2006/main">
  <sheetPr codeName="shY10">
    <outlinePr summaryBelow="1" summaryRight="1"/>
    <pageSetUpPr/>
  </sheetPr>
  <dimension ref="A1:W118"/>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 width="6.7" customWidth="1" min="22" max="22"/>
    <col width="6.7" customWidth="1" min="23" max="23"/>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4B01 - Cell Biology
Raw Score</t>
        </is>
      </c>
      <c r="O1" s="63" t="inlineStr">
        <is>
          <t>4B01 - Cell Biology
Stanine</t>
        </is>
      </c>
      <c r="P1" s="64" t="inlineStr">
        <is>
          <t>4C01 - Atomic Structure
Raw Score</t>
        </is>
      </c>
      <c r="Q1" s="64" t="inlineStr">
        <is>
          <t>4C01 - Atomic Structure
Stanine</t>
        </is>
      </c>
      <c r="R1" s="63" t="inlineStr">
        <is>
          <t>4P01 - Energy
Raw Score</t>
        </is>
      </c>
      <c r="S1" s="63" t="inlineStr">
        <is>
          <t>4P01 - Energy
Stanine</t>
        </is>
      </c>
      <c r="T1" s="64" t="inlineStr">
        <is>
          <t>4B02 - Organisation
Raw Score</t>
        </is>
      </c>
      <c r="U1" s="64" t="inlineStr">
        <is>
          <t>4B02 - Organisation
Stanine</t>
        </is>
      </c>
      <c r="V1" s="63" t="inlineStr">
        <is>
          <t>4C02 - Bonding
Raw Score</t>
        </is>
      </c>
      <c r="W1" s="63" t="inlineStr">
        <is>
          <t>4C02 - Bonding
Stanine</t>
        </is>
      </c>
    </row>
    <row r="2">
      <c r="A2" s="65" t="inlineStr">
        <is>
          <t>X904041550903</t>
        </is>
      </c>
      <c r="B2" s="65" t="inlineStr">
        <is>
          <t>Adeyemi</t>
        </is>
      </c>
      <c r="C2" s="65" t="inlineStr">
        <is>
          <t>Kai</t>
        </is>
      </c>
      <c r="D2" s="66" t="inlineStr">
        <is>
          <t>M</t>
        </is>
      </c>
      <c r="E2" s="66" t="inlineStr">
        <is>
          <t>N</t>
        </is>
      </c>
      <c r="F2" s="66" t="inlineStr">
        <is>
          <t>N</t>
        </is>
      </c>
      <c r="G2" s="34" t="n">
        <v>96.5</v>
      </c>
      <c r="H2" s="34" t="n">
        <v>103.5</v>
      </c>
      <c r="I2" s="67">
        <f>IF(ISNUMBER(tblY10[[#This Row],[Avg KS2]]),IFERROR(VLOOKUP(ROUND(STANDARDIZE(tblY10[[#This Row],[Avg KS2]],AVERAGE(tblY10[[Avg KS2]]),_xlfn.STDEV.P(tblY10[[Avg KS2]])),9),_Stanine,2),5),"")</f>
        <v>5</v>
      </c>
      <c r="J2" s="66" t="inlineStr">
        <is>
          <t>10S/Sc1</t>
        </is>
      </c>
      <c r="K2" s="67">
        <f>IF(tblY10[[#This Row],[Preferred Last name]]="","",COUNTIFS($N$1:$ZZ$1,"*"&amp;CHAR(10)&amp;"Stanine",$N2:$ZZ2,"&gt;=1"))</f>
        <v>5</v>
      </c>
      <c r="L2" s="68">
        <f>IFERROR(AVERAGEIF($N$1:$ZZ$1,"*"&amp;CHAR(10)&amp;"Stanine",$N2:$ZZ2),"")</f>
        <v>4.8</v>
      </c>
      <c r="M2" s="69">
        <f>IF(AND(ISNUMBER(tblY10[[#This Row],[Mean Stanine]]),ISNUMBER(tblY10[[#This Row],[Avg KS2 Band]]),ISNUMBER(SlopeY10)),tblY10[[#This Row],[Mean Stanine]]-(InterceptY10+SlopeY10*tblY10[[#This Row],[Avg KS2 Band]]),"")</f>
        <v>-0.140132144523862</v>
      </c>
      <c r="N2" s="66" t="n">
        <v>19</v>
      </c>
      <c r="O2" s="67">
        <f>IF(ISNUMBER(tblY10[[#This Row],[4B01 - Cell Biology
Raw Score]]),IFERROR(VLOOKUP(ROUND(STANDARDIZE(tblY10[[#This Row],[4B01 - Cell Biology
Raw Score]],AVERAGE(tblY10[[4B01 - Cell Biology
Raw Score]]),_xlfn.STDEV.P(tblY10[[4B01 - Cell Biology
Raw Score]])),9),_Stanine,2),5),"")</f>
        <v>5</v>
      </c>
      <c r="P2" s="66" t="n">
        <v>14</v>
      </c>
      <c r="Q2" s="67">
        <f>IF(ISNUMBER(tblY10[[#This Row],[4C01 - Atomic Structure
Raw Score]]),IFERROR(VLOOKUP(ROUND(STANDARDIZE(tblY10[[#This Row],[4C01 - Atomic Structure
Raw Score]],AVERAGE(tblY10[[4C01 - Atomic Structure
Raw Score]]),_xlfn.STDEV.P(tblY10[[4C01 - Atomic Structure
Raw Score]])),9),_Stanine,2),5),"")</f>
        <v>4</v>
      </c>
      <c r="R2" s="66" t="n">
        <v>13</v>
      </c>
      <c r="S2" s="67">
        <f>IF(ISNUMBER(tblY10[[#This Row],[4P01 - Energy
Raw Score]]),IFERROR(VLOOKUP(ROUND(STANDARDIZE(tblY10[[#This Row],[4P01 - Energy
Raw Score]],AVERAGE(tblY10[[4P01 - Energy
Raw Score]]),_xlfn.STDEV.P(tblY10[[4P01 - Energy
Raw Score]])),9),_Stanine,2),5),"")</f>
        <v>4</v>
      </c>
      <c r="T2" s="66" t="n">
        <v>25</v>
      </c>
      <c r="U2" s="67">
        <f>IF(ISNUMBER(tblY10[[#This Row],[4B02 - Organisation
Raw Score]]),IFERROR(VLOOKUP(ROUND(STANDARDIZE(tblY10[[#This Row],[4B02 - Organisation
Raw Score]],AVERAGE(tblY10[[4B02 - Organisation
Raw Score]]),_xlfn.STDEV.P(tblY10[[4B02 - Organisation
Raw Score]])),9),_Stanine,2),5),"")</f>
        <v>6</v>
      </c>
      <c r="V2" s="66" t="n">
        <v>22</v>
      </c>
      <c r="W2" s="67">
        <f>IF(ISNUMBER(tblY10[[#This Row],[4C02 - Bonding
Raw Score]]),IFERROR(VLOOKUP(ROUND(STANDARDIZE(tblY10[[#This Row],[4C02 - Bonding
Raw Score]],AVERAGE(tblY10[[4C02 - Bonding
Raw Score]]),_xlfn.STDEV.P(tblY10[[4C02 - Bonding
Raw Score]])),9),_Stanine,2),5),"")</f>
        <v>5</v>
      </c>
    </row>
    <row r="3">
      <c r="A3" s="65" t="inlineStr">
        <is>
          <t>X909632653642</t>
        </is>
      </c>
      <c r="B3" s="65" t="inlineStr">
        <is>
          <t>Barker</t>
        </is>
      </c>
      <c r="C3" s="65" t="inlineStr">
        <is>
          <t>Zara</t>
        </is>
      </c>
      <c r="D3" s="66" t="inlineStr">
        <is>
          <t>M</t>
        </is>
      </c>
      <c r="E3" s="66" t="inlineStr">
        <is>
          <t>N</t>
        </is>
      </c>
      <c r="F3" s="66" t="inlineStr">
        <is>
          <t>Y</t>
        </is>
      </c>
      <c r="G3" s="34" t="n">
        <v>89.8</v>
      </c>
      <c r="H3" s="34" t="n">
        <v>110</v>
      </c>
      <c r="I3" s="67">
        <f>IF(ISNUMBER(tblY10[[#This Row],[Avg KS2]]),IFERROR(VLOOKUP(ROUND(STANDARDIZE(tblY10[[#This Row],[Avg KS2]],AVERAGE(tblY10[[Avg KS2]]),_xlfn.STDEV.P(tblY10[[Avg KS2]])),9),_Stanine,2),5),"")</f>
        <v>7</v>
      </c>
      <c r="J3" s="66" t="inlineStr">
        <is>
          <t>10S/Sc1</t>
        </is>
      </c>
      <c r="K3" s="67">
        <f>IF(tblY10[[#This Row],[Preferred Last name]]="","",COUNTIFS($N$1:$ZZ$1,"*"&amp;CHAR(10)&amp;"Stanine",$N3:$ZZ3,"&gt;=1"))</f>
        <v>4</v>
      </c>
      <c r="L3" s="68">
        <f>IFERROR(AVERAGEIF($N$1:$ZZ$1,"*"&amp;CHAR(10)&amp;"Stanine",$N3:$ZZ3),"")</f>
        <v>6.75</v>
      </c>
      <c r="M3" s="69">
        <f>IF(AND(ISNUMBER(tblY10[[#This Row],[Mean Stanine]]),ISNUMBER(tblY10[[#This Row],[Avg KS2 Band]]),ISNUMBER(SlopeY10)),tblY10[[#This Row],[Mean Stanine]]-(InterceptY10+SlopeY10*tblY10[[#This Row],[Avg KS2 Band]]),"")</f>
        <v>0.181863286910814</v>
      </c>
      <c r="N3" s="66" t="n">
        <v>27</v>
      </c>
      <c r="O3" s="67">
        <f>IF(ISNUMBER(tblY10[[#This Row],[4B01 - Cell Biology
Raw Score]]),IFERROR(VLOOKUP(ROUND(STANDARDIZE(tblY10[[#This Row],[4B01 - Cell Biology
Raw Score]],AVERAGE(tblY10[[4B01 - Cell Biology
Raw Score]]),_xlfn.STDEV.P(tblY10[[4B01 - Cell Biology
Raw Score]])),9),_Stanine,2),5),"")</f>
        <v>7</v>
      </c>
      <c r="P3" s="66" t="n">
        <v>25</v>
      </c>
      <c r="Q3" s="67">
        <f>IF(ISNUMBER(tblY10[[#This Row],[4C01 - Atomic Structure
Raw Score]]),IFERROR(VLOOKUP(ROUND(STANDARDIZE(tblY10[[#This Row],[4C01 - Atomic Structure
Raw Score]],AVERAGE(tblY10[[4C01 - Atomic Structure
Raw Score]]),_xlfn.STDEV.P(tblY10[[4C01 - Atomic Structure
Raw Score]])),9),_Stanine,2),5),"")</f>
        <v>7</v>
      </c>
      <c r="R3" s="66" t="n">
        <v>19</v>
      </c>
      <c r="S3" s="67">
        <f>IF(ISNUMBER(tblY10[[#This Row],[4P01 - Energy
Raw Score]]),IFERROR(VLOOKUP(ROUND(STANDARDIZE(tblY10[[#This Row],[4P01 - Energy
Raw Score]],AVERAGE(tblY10[[4P01 - Energy
Raw Score]]),_xlfn.STDEV.P(tblY10[[4P01 - Energy
Raw Score]])),9),_Stanine,2),5),"")</f>
        <v>6</v>
      </c>
      <c r="T3" s="66" t="inlineStr">
        <is>
          <t>A</t>
        </is>
      </c>
      <c r="U3" s="67" t="str">
        <f>IF(ISNUMBER(tblY10[[#This Row],[4B02 - Organisation
Raw Score]]),IFERROR(VLOOKUP(ROUND(STANDARDIZE(tblY10[[#This Row],[4B02 - Organisation
Raw Score]],AVERAGE(tblY10[[4B02 - Organisation
Raw Score]]),_xlfn.STDEV.P(tblY10[[4B02 - Organisation
Raw Score]])),9),_Stanine,2),5),"")</f>
        <v/>
      </c>
      <c r="V3" s="66" t="n">
        <v>28</v>
      </c>
      <c r="W3" s="67">
        <f>IF(ISNUMBER(tblY10[[#This Row],[4C02 - Bonding
Raw Score]]),IFERROR(VLOOKUP(ROUND(STANDARDIZE(tblY10[[#This Row],[4C02 - Bonding
Raw Score]],AVERAGE(tblY10[[4C02 - Bonding
Raw Score]]),_xlfn.STDEV.P(tblY10[[4C02 - Bonding
Raw Score]])),9),_Stanine,2),5),"")</f>
        <v>7</v>
      </c>
    </row>
    <row r="4">
      <c r="A4" s="65" t="inlineStr">
        <is>
          <t>X902621159817</t>
        </is>
      </c>
      <c r="B4" s="65" t="inlineStr">
        <is>
          <t>Begum</t>
        </is>
      </c>
      <c r="C4" s="65" t="inlineStr">
        <is>
          <t>Evie</t>
        </is>
      </c>
      <c r="D4" s="66" t="inlineStr">
        <is>
          <t>M</t>
        </is>
      </c>
      <c r="E4" s="66" t="inlineStr">
        <is>
          <t>N</t>
        </is>
      </c>
      <c r="F4" s="66" t="inlineStr">
        <is>
          <t>N</t>
        </is>
      </c>
      <c r="G4" s="34" t="n">
        <v>99.3</v>
      </c>
      <c r="H4" s="34" t="n">
        <v>114.5</v>
      </c>
      <c r="I4" s="67">
        <f>IF(ISNUMBER(tblY10[[#This Row],[Avg KS2]]),IFERROR(VLOOKUP(ROUND(STANDARDIZE(tblY10[[#This Row],[Avg KS2]],AVERAGE(tblY10[[Avg KS2]]),_xlfn.STDEV.P(tblY10[[Avg KS2]])),9),_Stanine,2),5),"")</f>
        <v>8</v>
      </c>
      <c r="J4" s="66" t="inlineStr">
        <is>
          <t>10S/Sc1</t>
        </is>
      </c>
      <c r="K4" s="67">
        <f>IF(tblY10[[#This Row],[Preferred Last name]]="","",COUNTIFS($N$1:$ZZ$1,"*"&amp;CHAR(10)&amp;"Stanine",$N4:$ZZ4,"&gt;=1"))</f>
        <v>5</v>
      </c>
      <c r="L4" s="68">
        <f>IFERROR(AVERAGEIF($N$1:$ZZ$1,"*"&amp;CHAR(10)&amp;"Stanine",$N4:$ZZ4),"")</f>
        <v>8.8</v>
      </c>
      <c r="M4" s="69">
        <f>IF(AND(ISNUMBER(tblY10[[#This Row],[Mean Stanine]]),ISNUMBER(tblY10[[#This Row],[Avg KS2 Band]]),ISNUMBER(SlopeY10)),tblY10[[#This Row],[Mean Stanine]]-(InterceptY10+SlopeY10*tblY10[[#This Row],[Avg KS2 Band]]),"")</f>
        <v>1.41786100262815</v>
      </c>
      <c r="N4" s="66" t="n">
        <v>37</v>
      </c>
      <c r="O4" s="67">
        <f>IF(ISNUMBER(tblY10[[#This Row],[4B01 - Cell Biology
Raw Score]]),IFERROR(VLOOKUP(ROUND(STANDARDIZE(tblY10[[#This Row],[4B01 - Cell Biology
Raw Score]],AVERAGE(tblY10[[4B01 - Cell Biology
Raw Score]]),_xlfn.STDEV.P(tblY10[[4B01 - Cell Biology
Raw Score]])),9),_Stanine,2),5),"")</f>
        <v>9</v>
      </c>
      <c r="P4" s="66" t="n">
        <v>33</v>
      </c>
      <c r="Q4" s="67">
        <f>IF(ISNUMBER(tblY10[[#This Row],[4C01 - Atomic Structure
Raw Score]]),IFERROR(VLOOKUP(ROUND(STANDARDIZE(tblY10[[#This Row],[4C01 - Atomic Structure
Raw Score]],AVERAGE(tblY10[[4C01 - Atomic Structure
Raw Score]]),_xlfn.STDEV.P(tblY10[[4C01 - Atomic Structure
Raw Score]])),9),_Stanine,2),5),"")</f>
        <v>9</v>
      </c>
      <c r="R4" s="66" t="n">
        <v>31</v>
      </c>
      <c r="S4" s="67">
        <f>IF(ISNUMBER(tblY10[[#This Row],[4P01 - Energy
Raw Score]]),IFERROR(VLOOKUP(ROUND(STANDARDIZE(tblY10[[#This Row],[4P01 - Energy
Raw Score]],AVERAGE(tblY10[[4P01 - Energy
Raw Score]]),_xlfn.STDEV.P(tblY10[[4P01 - Energy
Raw Score]])),9),_Stanine,2),5),"")</f>
        <v>9</v>
      </c>
      <c r="T4" s="66" t="n">
        <v>38</v>
      </c>
      <c r="U4" s="67">
        <f>IF(ISNUMBER(tblY10[[#This Row],[4B02 - Organisation
Raw Score]]),IFERROR(VLOOKUP(ROUND(STANDARDIZE(tblY10[[#This Row],[4B02 - Organisation
Raw Score]],AVERAGE(tblY10[[4B02 - Organisation
Raw Score]]),_xlfn.STDEV.P(tblY10[[4B02 - Organisation
Raw Score]])),9),_Stanine,2),5),"")</f>
        <v>9</v>
      </c>
      <c r="V4" s="66" t="n">
        <v>36</v>
      </c>
      <c r="W4" s="67">
        <f>IF(ISNUMBER(tblY10[[#This Row],[4C02 - Bonding
Raw Score]]),IFERROR(VLOOKUP(ROUND(STANDARDIZE(tblY10[[#This Row],[4C02 - Bonding
Raw Score]],AVERAGE(tblY10[[4C02 - Bonding
Raw Score]]),_xlfn.STDEV.P(tblY10[[4C02 - Bonding
Raw Score]])),9),_Stanine,2),5),"")</f>
        <v>8</v>
      </c>
    </row>
    <row r="5">
      <c r="A5" s="65" t="inlineStr">
        <is>
          <t>X909508069432</t>
        </is>
      </c>
      <c r="B5" s="65" t="inlineStr">
        <is>
          <t>Bennett</t>
        </is>
      </c>
      <c r="C5" s="65" t="inlineStr">
        <is>
          <t>Sophie</t>
        </is>
      </c>
      <c r="D5" s="66" t="inlineStr">
        <is>
          <t>M</t>
        </is>
      </c>
      <c r="E5" s="66" t="inlineStr">
        <is>
          <t>K</t>
        </is>
      </c>
      <c r="F5" s="66" t="inlineStr">
        <is>
          <t>N</t>
        </is>
      </c>
      <c r="G5" s="34" t="n">
        <v>92</v>
      </c>
      <c r="H5" s="34" t="n">
        <v>105</v>
      </c>
      <c r="I5" s="67">
        <f>IF(ISNUMBER(tblY10[[#This Row],[Avg KS2]]),IFERROR(VLOOKUP(ROUND(STANDARDIZE(tblY10[[#This Row],[Avg KS2]],AVERAGE(tblY10[[Avg KS2]]),_xlfn.STDEV.P(tblY10[[Avg KS2]])),9),_Stanine,2),5),"")</f>
        <v>6</v>
      </c>
      <c r="J5" s="66" t="inlineStr">
        <is>
          <t>10S/Sc1</t>
        </is>
      </c>
      <c r="K5" s="67">
        <f>IF(tblY10[[#This Row],[Preferred Last name]]="","",COUNTIFS($N$1:$ZZ$1,"*"&amp;CHAR(10)&amp;"Stanine",$N5:$ZZ5,"&gt;=1"))</f>
        <v>5</v>
      </c>
      <c r="L5" s="68">
        <f>IFERROR(AVERAGEIF($N$1:$ZZ$1,"*"&amp;CHAR(10)&amp;"Stanine",$N5:$ZZ5),"")</f>
        <v>5.6</v>
      </c>
      <c r="M5" s="69">
        <f>IF(AND(ISNUMBER(tblY10[[#This Row],[Mean Stanine]]),ISNUMBER(tblY10[[#This Row],[Avg KS2 Band]]),ISNUMBER(SlopeY10)),tblY10[[#This Row],[Mean Stanine]]-(InterceptY10+SlopeY10*tblY10[[#This Row],[Avg KS2 Band]]),"")</f>
        <v>-0.154134428806524</v>
      </c>
      <c r="N5" s="66" t="n">
        <v>17</v>
      </c>
      <c r="O5" s="67">
        <f>IF(ISNUMBER(tblY10[[#This Row],[4B01 - Cell Biology
Raw Score]]),IFERROR(VLOOKUP(ROUND(STANDARDIZE(tblY10[[#This Row],[4B01 - Cell Biology
Raw Score]],AVERAGE(tblY10[[4B01 - Cell Biology
Raw Score]]),_xlfn.STDEV.P(tblY10[[4B01 - Cell Biology
Raw Score]])),9),_Stanine,2),5),"")</f>
        <v>4</v>
      </c>
      <c r="P5" s="66" t="n">
        <v>22</v>
      </c>
      <c r="Q5" s="67">
        <f>IF(ISNUMBER(tblY10[[#This Row],[4C01 - Atomic Structure
Raw Score]]),IFERROR(VLOOKUP(ROUND(STANDARDIZE(tblY10[[#This Row],[4C01 - Atomic Structure
Raw Score]],AVERAGE(tblY10[[4C01 - Atomic Structure
Raw Score]]),_xlfn.STDEV.P(tblY10[[4C01 - Atomic Structure
Raw Score]])),9),_Stanine,2),5),"")</f>
        <v>6</v>
      </c>
      <c r="R5" s="66" t="n">
        <v>16</v>
      </c>
      <c r="S5" s="67">
        <f>IF(ISNUMBER(tblY10[[#This Row],[4P01 - Energy
Raw Score]]),IFERROR(VLOOKUP(ROUND(STANDARDIZE(tblY10[[#This Row],[4P01 - Energy
Raw Score]],AVERAGE(tblY10[[4P01 - Energy
Raw Score]]),_xlfn.STDEV.P(tblY10[[4P01 - Energy
Raw Score]])),9),_Stanine,2),5),"")</f>
        <v>5</v>
      </c>
      <c r="T5" s="66" t="n">
        <v>30</v>
      </c>
      <c r="U5" s="67">
        <f>IF(ISNUMBER(tblY10[[#This Row],[4B02 - Organisation
Raw Score]]),IFERROR(VLOOKUP(ROUND(STANDARDIZE(tblY10[[#This Row],[4B02 - Organisation
Raw Score]],AVERAGE(tblY10[[4B02 - Organisation
Raw Score]]),_xlfn.STDEV.P(tblY10[[4B02 - Organisation
Raw Score]])),9),_Stanine,2),5),"")</f>
        <v>7</v>
      </c>
      <c r="V5" s="66" t="n">
        <v>26</v>
      </c>
      <c r="W5" s="67">
        <f>IF(ISNUMBER(tblY10[[#This Row],[4C02 - Bonding
Raw Score]]),IFERROR(VLOOKUP(ROUND(STANDARDIZE(tblY10[[#This Row],[4C02 - Bonding
Raw Score]],AVERAGE(tblY10[[4C02 - Bonding
Raw Score]]),_xlfn.STDEV.P(tblY10[[4C02 - Bonding
Raw Score]])),9),_Stanine,2),5),"")</f>
        <v>6</v>
      </c>
    </row>
    <row r="6">
      <c r="A6" s="65" t="inlineStr">
        <is>
          <t>X903510236916</t>
        </is>
      </c>
      <c r="B6" s="65" t="inlineStr">
        <is>
          <t>Brown</t>
        </is>
      </c>
      <c r="C6" s="65" t="inlineStr">
        <is>
          <t>Evie</t>
        </is>
      </c>
      <c r="D6" s="66" t="inlineStr">
        <is>
          <t>M</t>
        </is>
      </c>
      <c r="E6" s="66" t="inlineStr">
        <is>
          <t>K</t>
        </is>
      </c>
      <c r="F6" s="66" t="inlineStr">
        <is>
          <t>N</t>
        </is>
      </c>
      <c r="G6" s="34" t="n">
        <v>87.8</v>
      </c>
      <c r="H6" s="34" t="n">
        <v>101</v>
      </c>
      <c r="I6" s="67">
        <f>IF(ISNUMBER(tblY10[[#This Row],[Avg KS2]]),IFERROR(VLOOKUP(ROUND(STANDARDIZE(tblY10[[#This Row],[Avg KS2]],AVERAGE(tblY10[[Avg KS2]]),_xlfn.STDEV.P(tblY10[[Avg KS2]])),9),_Stanine,2),5),"")</f>
        <v>4</v>
      </c>
      <c r="J6" s="66" t="inlineStr">
        <is>
          <t>10S/Sc1</t>
        </is>
      </c>
      <c r="K6" s="67">
        <f>IF(tblY10[[#This Row],[Preferred Last name]]="","",COUNTIFS($N$1:$ZZ$1,"*"&amp;CHAR(10)&amp;"Stanine",$N6:$ZZ6,"&gt;=1"))</f>
        <v>5</v>
      </c>
      <c r="L6" s="68">
        <f>IFERROR(AVERAGEIF($N$1:$ZZ$1,"*"&amp;CHAR(10)&amp;"Stanine",$N6:$ZZ6),"")</f>
        <v>4.8</v>
      </c>
      <c r="M6" s="69">
        <f>IF(AND(ISNUMBER(tblY10[[#This Row],[Mean Stanine]]),ISNUMBER(tblY10[[#This Row],[Avg KS2 Band]]),ISNUMBER(SlopeY10)),tblY10[[#This Row],[Mean Stanine]]-(InterceptY10+SlopeY10*tblY10[[#This Row],[Avg KS2 Band]]),"")</f>
        <v>0.673870139758801</v>
      </c>
      <c r="N6" s="66" t="n">
        <v>13</v>
      </c>
      <c r="O6" s="67">
        <f>IF(ISNUMBER(tblY10[[#This Row],[4B01 - Cell Biology
Raw Score]]),IFERROR(VLOOKUP(ROUND(STANDARDIZE(tblY10[[#This Row],[4B01 - Cell Biology
Raw Score]],AVERAGE(tblY10[[4B01 - Cell Biology
Raw Score]]),_xlfn.STDEV.P(tblY10[[4B01 - Cell Biology
Raw Score]])),9),_Stanine,2),5),"")</f>
        <v>4</v>
      </c>
      <c r="P6" s="66" t="n">
        <v>18</v>
      </c>
      <c r="Q6" s="67">
        <f>IF(ISNUMBER(tblY10[[#This Row],[4C01 - Atomic Structure
Raw Score]]),IFERROR(VLOOKUP(ROUND(STANDARDIZE(tblY10[[#This Row],[4C01 - Atomic Structure
Raw Score]],AVERAGE(tblY10[[4C01 - Atomic Structure
Raw Score]]),_xlfn.STDEV.P(tblY10[[4C01 - Atomic Structure
Raw Score]])),9),_Stanine,2),5),"")</f>
        <v>5</v>
      </c>
      <c r="R6" s="66" t="n">
        <v>14</v>
      </c>
      <c r="S6" s="67">
        <f>IF(ISNUMBER(tblY10[[#This Row],[4P01 - Energy
Raw Score]]),IFERROR(VLOOKUP(ROUND(STANDARDIZE(tblY10[[#This Row],[4P01 - Energy
Raw Score]],AVERAGE(tblY10[[4P01 - Energy
Raw Score]]),_xlfn.STDEV.P(tblY10[[4P01 - Energy
Raw Score]])),9),_Stanine,2),5),"")</f>
        <v>5</v>
      </c>
      <c r="T6" s="66" t="n">
        <v>22</v>
      </c>
      <c r="U6" s="67">
        <f>IF(ISNUMBER(tblY10[[#This Row],[4B02 - Organisation
Raw Score]]),IFERROR(VLOOKUP(ROUND(STANDARDIZE(tblY10[[#This Row],[4B02 - Organisation
Raw Score]],AVERAGE(tblY10[[4B02 - Organisation
Raw Score]]),_xlfn.STDEV.P(tblY10[[4B02 - Organisation
Raw Score]])),9),_Stanine,2),5),"")</f>
        <v>5</v>
      </c>
      <c r="V6" s="66" t="n">
        <v>21</v>
      </c>
      <c r="W6" s="67">
        <f>IF(ISNUMBER(tblY10[[#This Row],[4C02 - Bonding
Raw Score]]),IFERROR(VLOOKUP(ROUND(STANDARDIZE(tblY10[[#This Row],[4C02 - Bonding
Raw Score]],AVERAGE(tblY10[[4C02 - Bonding
Raw Score]]),_xlfn.STDEV.P(tblY10[[4C02 - Bonding
Raw Score]])),9),_Stanine,2),5),"")</f>
        <v>5</v>
      </c>
    </row>
    <row r="7">
      <c r="A7" s="65" t="inlineStr">
        <is>
          <t>X908107323766</t>
        </is>
      </c>
      <c r="B7" s="65" t="inlineStr">
        <is>
          <t>Brown</t>
        </is>
      </c>
      <c r="C7" s="65" t="inlineStr">
        <is>
          <t>Freya</t>
        </is>
      </c>
      <c r="D7" s="66" t="inlineStr">
        <is>
          <t>M</t>
        </is>
      </c>
      <c r="E7" s="66" t="inlineStr">
        <is>
          <t>K</t>
        </is>
      </c>
      <c r="F7" s="66" t="inlineStr">
        <is>
          <t>N</t>
        </is>
      </c>
      <c r="G7" s="34" t="n">
        <v>94.40000000000001</v>
      </c>
      <c r="H7" s="34" t="n">
        <v>105</v>
      </c>
      <c r="I7" s="67">
        <f>IF(ISNUMBER(tblY10[[#This Row],[Avg KS2]]),IFERROR(VLOOKUP(ROUND(STANDARDIZE(tblY10[[#This Row],[Avg KS2]],AVERAGE(tblY10[[Avg KS2]]),_xlfn.STDEV.P(tblY10[[Avg KS2]])),9),_Stanine,2),5),"")</f>
        <v>6</v>
      </c>
      <c r="J7" s="66" t="inlineStr">
        <is>
          <t>10S/Sc1</t>
        </is>
      </c>
      <c r="K7" s="67">
        <f>IF(tblY10[[#This Row],[Preferred Last name]]="","",COUNTIFS($N$1:$ZZ$1,"*"&amp;CHAR(10)&amp;"Stanine",$N7:$ZZ7,"&gt;=1"))</f>
        <v>4</v>
      </c>
      <c r="L7" s="68">
        <f>IFERROR(AVERAGEIF($N$1:$ZZ$1,"*"&amp;CHAR(10)&amp;"Stanine",$N7:$ZZ7),"")</f>
        <v>5.25</v>
      </c>
      <c r="M7" s="69">
        <f>IF(AND(ISNUMBER(tblY10[[#This Row],[Mean Stanine]]),ISNUMBER(tblY10[[#This Row],[Avg KS2 Band]]),ISNUMBER(SlopeY10)),tblY10[[#This Row],[Mean Stanine]]-(InterceptY10+SlopeY10*tblY10[[#This Row],[Avg KS2 Band]]),"")</f>
        <v>-0.504134428806523</v>
      </c>
      <c r="N7" s="66" t="inlineStr">
        <is>
          <t>A</t>
        </is>
      </c>
      <c r="O7" s="67" t="str">
        <f>IF(ISNUMBER(tblY10[[#This Row],[4B01 - Cell Biology
Raw Score]]),IFERROR(VLOOKUP(ROUND(STANDARDIZE(tblY10[[#This Row],[4B01 - Cell Biology
Raw Score]],AVERAGE(tblY10[[4B01 - Cell Biology
Raw Score]]),_xlfn.STDEV.P(tblY10[[4B01 - Cell Biology
Raw Score]])),9),_Stanine,2),5),"")</f>
        <v/>
      </c>
      <c r="P7" s="66" t="n">
        <v>16</v>
      </c>
      <c r="Q7" s="67">
        <f>IF(ISNUMBER(tblY10[[#This Row],[4C01 - Atomic Structure
Raw Score]]),IFERROR(VLOOKUP(ROUND(STANDARDIZE(tblY10[[#This Row],[4C01 - Atomic Structure
Raw Score]],AVERAGE(tblY10[[4C01 - Atomic Structure
Raw Score]]),_xlfn.STDEV.P(tblY10[[4C01 - Atomic Structure
Raw Score]])),9),_Stanine,2),5),"")</f>
        <v>5</v>
      </c>
      <c r="R7" s="66" t="n">
        <v>12</v>
      </c>
      <c r="S7" s="67">
        <f>IF(ISNUMBER(tblY10[[#This Row],[4P01 - Energy
Raw Score]]),IFERROR(VLOOKUP(ROUND(STANDARDIZE(tblY10[[#This Row],[4P01 - Energy
Raw Score]],AVERAGE(tblY10[[4P01 - Energy
Raw Score]]),_xlfn.STDEV.P(tblY10[[4P01 - Energy
Raw Score]])),9),_Stanine,2),5),"")</f>
        <v>4</v>
      </c>
      <c r="T7" s="66" t="n">
        <v>27</v>
      </c>
      <c r="U7" s="67">
        <f>IF(ISNUMBER(tblY10[[#This Row],[4B02 - Organisation
Raw Score]]),IFERROR(VLOOKUP(ROUND(STANDARDIZE(tblY10[[#This Row],[4B02 - Organisation
Raw Score]],AVERAGE(tblY10[[4B02 - Organisation
Raw Score]]),_xlfn.STDEV.P(tblY10[[4B02 - Organisation
Raw Score]])),9),_Stanine,2),5),"")</f>
        <v>6</v>
      </c>
      <c r="V7" s="66" t="n">
        <v>25</v>
      </c>
      <c r="W7" s="67">
        <f>IF(ISNUMBER(tblY10[[#This Row],[4C02 - Bonding
Raw Score]]),IFERROR(VLOOKUP(ROUND(STANDARDIZE(tblY10[[#This Row],[4C02 - Bonding
Raw Score]],AVERAGE(tblY10[[4C02 - Bonding
Raw Score]]),_xlfn.STDEV.P(tblY10[[4C02 - Bonding
Raw Score]])),9),_Stanine,2),5),"")</f>
        <v>6</v>
      </c>
    </row>
    <row r="8">
      <c r="A8" s="65" t="inlineStr">
        <is>
          <t>X906267423268</t>
        </is>
      </c>
      <c r="B8" s="65" t="inlineStr">
        <is>
          <t>Clarke</t>
        </is>
      </c>
      <c r="C8" s="65" t="inlineStr">
        <is>
          <t>Keira</t>
        </is>
      </c>
      <c r="D8" s="66" t="inlineStr">
        <is>
          <t>M</t>
        </is>
      </c>
      <c r="E8" s="66" t="inlineStr">
        <is>
          <t>K</t>
        </is>
      </c>
      <c r="F8" s="66" t="inlineStr">
        <is>
          <t>N</t>
        </is>
      </c>
      <c r="G8" s="34" t="n">
        <v>87.7</v>
      </c>
      <c r="H8" s="34" t="n">
        <v>110</v>
      </c>
      <c r="I8" s="67">
        <f>IF(ISNUMBER(tblY10[[#This Row],[Avg KS2]]),IFERROR(VLOOKUP(ROUND(STANDARDIZE(tblY10[[#This Row],[Avg KS2]],AVERAGE(tblY10[[Avg KS2]]),_xlfn.STDEV.P(tblY10[[Avg KS2]])),9),_Stanine,2),5),"")</f>
        <v>7</v>
      </c>
      <c r="J8" s="66" t="inlineStr">
        <is>
          <t>10S/Sc1</t>
        </is>
      </c>
      <c r="K8" s="67">
        <f>IF(tblY10[[#This Row],[Preferred Last name]]="","",COUNTIFS($N$1:$ZZ$1,"*"&amp;CHAR(10)&amp;"Stanine",$N8:$ZZ8,"&gt;=1"))</f>
        <v>5</v>
      </c>
      <c r="L8" s="68">
        <f>IFERROR(AVERAGEIF($N$1:$ZZ$1,"*"&amp;CHAR(10)&amp;"Stanine",$N8:$ZZ8),"")</f>
        <v>7.2</v>
      </c>
      <c r="M8" s="69">
        <f>IF(AND(ISNUMBER(tblY10[[#This Row],[Mean Stanine]]),ISNUMBER(tblY10[[#This Row],[Avg KS2 Band]]),ISNUMBER(SlopeY10)),tblY10[[#This Row],[Mean Stanine]]-(InterceptY10+SlopeY10*tblY10[[#This Row],[Avg KS2 Band]]),"")</f>
        <v>0.631863286910814</v>
      </c>
      <c r="N8" s="66" t="n">
        <v>31</v>
      </c>
      <c r="O8" s="67">
        <f>IF(ISNUMBER(tblY10[[#This Row],[4B01 - Cell Biology
Raw Score]]),IFERROR(VLOOKUP(ROUND(STANDARDIZE(tblY10[[#This Row],[4B01 - Cell Biology
Raw Score]],AVERAGE(tblY10[[4B01 - Cell Biology
Raw Score]]),_xlfn.STDEV.P(tblY10[[4B01 - Cell Biology
Raw Score]])),9),_Stanine,2),5),"")</f>
        <v>7</v>
      </c>
      <c r="P8" s="66" t="n">
        <v>26</v>
      </c>
      <c r="Q8" s="67">
        <f>IF(ISNUMBER(tblY10[[#This Row],[4C01 - Atomic Structure
Raw Score]]),IFERROR(VLOOKUP(ROUND(STANDARDIZE(tblY10[[#This Row],[4C01 - Atomic Structure
Raw Score]],AVERAGE(tblY10[[4C01 - Atomic Structure
Raw Score]]),_xlfn.STDEV.P(tblY10[[4C01 - Atomic Structure
Raw Score]])),9),_Stanine,2),5),"")</f>
        <v>7</v>
      </c>
      <c r="R8" s="66" t="n">
        <v>28</v>
      </c>
      <c r="S8" s="67">
        <f>IF(ISNUMBER(tblY10[[#This Row],[4P01 - Energy
Raw Score]]),IFERROR(VLOOKUP(ROUND(STANDARDIZE(tblY10[[#This Row],[4P01 - Energy
Raw Score]],AVERAGE(tblY10[[4P01 - Energy
Raw Score]]),_xlfn.STDEV.P(tblY10[[4P01 - Energy
Raw Score]])),9),_Stanine,2),5),"")</f>
        <v>8</v>
      </c>
      <c r="T8" s="66" t="n">
        <v>31</v>
      </c>
      <c r="U8" s="67">
        <f>IF(ISNUMBER(tblY10[[#This Row],[4B02 - Organisation
Raw Score]]),IFERROR(VLOOKUP(ROUND(STANDARDIZE(tblY10[[#This Row],[4B02 - Organisation
Raw Score]],AVERAGE(tblY10[[4B02 - Organisation
Raw Score]]),_xlfn.STDEV.P(tblY10[[4B02 - Organisation
Raw Score]])),9),_Stanine,2),5),"")</f>
        <v>7</v>
      </c>
      <c r="V8" s="66" t="n">
        <v>32</v>
      </c>
      <c r="W8" s="67">
        <f>IF(ISNUMBER(tblY10[[#This Row],[4C02 - Bonding
Raw Score]]),IFERROR(VLOOKUP(ROUND(STANDARDIZE(tblY10[[#This Row],[4C02 - Bonding
Raw Score]],AVERAGE(tblY10[[4C02 - Bonding
Raw Score]]),_xlfn.STDEV.P(tblY10[[4C02 - Bonding
Raw Score]])),9),_Stanine,2),5),"")</f>
        <v>7</v>
      </c>
    </row>
    <row r="9">
      <c r="A9" s="65" t="inlineStr">
        <is>
          <t>X902834230869</t>
        </is>
      </c>
      <c r="B9" s="65" t="inlineStr">
        <is>
          <t>Davies</t>
        </is>
      </c>
      <c r="C9" s="65" t="inlineStr">
        <is>
          <t>George</t>
        </is>
      </c>
      <c r="D9" s="66" t="inlineStr">
        <is>
          <t>F</t>
        </is>
      </c>
      <c r="E9" s="66" t="inlineStr">
        <is>
          <t>N</t>
        </is>
      </c>
      <c r="F9" s="66" t="inlineStr">
        <is>
          <t>Y</t>
        </is>
      </c>
      <c r="G9" s="34" t="n">
        <v>100</v>
      </c>
      <c r="H9" s="34" t="n">
        <v>110.5</v>
      </c>
      <c r="I9" s="67">
        <f>IF(ISNUMBER(tblY10[[#This Row],[Avg KS2]]),IFERROR(VLOOKUP(ROUND(STANDARDIZE(tblY10[[#This Row],[Avg KS2]],AVERAGE(tblY10[[Avg KS2]]),_xlfn.STDEV.P(tblY10[[Avg KS2]])),9),_Stanine,2),5),"")</f>
        <v>7</v>
      </c>
      <c r="J9" s="66" t="inlineStr">
        <is>
          <t>10S/Sc1</t>
        </is>
      </c>
      <c r="K9" s="67">
        <f>IF(tblY10[[#This Row],[Preferred Last name]]="","",COUNTIFS($N$1:$ZZ$1,"*"&amp;CHAR(10)&amp;"Stanine",$N9:$ZZ9,"&gt;=1"))</f>
        <v>5</v>
      </c>
      <c r="L9" s="68">
        <f>IFERROR(AVERAGEIF($N$1:$ZZ$1,"*"&amp;CHAR(10)&amp;"Stanine",$N9:$ZZ9),"")</f>
        <v>6.8</v>
      </c>
      <c r="M9" s="69">
        <f>IF(AND(ISNUMBER(tblY10[[#This Row],[Mean Stanine]]),ISNUMBER(tblY10[[#This Row],[Avg KS2 Band]]),ISNUMBER(SlopeY10)),tblY10[[#This Row],[Mean Stanine]]-(InterceptY10+SlopeY10*tblY10[[#This Row],[Avg KS2 Band]]),"")</f>
        <v>0.231863286910814</v>
      </c>
      <c r="N9" s="66" t="n">
        <v>23</v>
      </c>
      <c r="O9" s="67">
        <f>IF(ISNUMBER(tblY10[[#This Row],[4B01 - Cell Biology
Raw Score]]),IFERROR(VLOOKUP(ROUND(STANDARDIZE(tblY10[[#This Row],[4B01 - Cell Biology
Raw Score]],AVERAGE(tblY10[[4B01 - Cell Biology
Raw Score]]),_xlfn.STDEV.P(tblY10[[4B01 - Cell Biology
Raw Score]])),9),_Stanine,2),5),"")</f>
        <v>6</v>
      </c>
      <c r="P9" s="66" t="n">
        <v>24</v>
      </c>
      <c r="Q9" s="67">
        <f>IF(ISNUMBER(tblY10[[#This Row],[4C01 - Atomic Structure
Raw Score]]),IFERROR(VLOOKUP(ROUND(STANDARDIZE(tblY10[[#This Row],[4C01 - Atomic Structure
Raw Score]],AVERAGE(tblY10[[4C01 - Atomic Structure
Raw Score]]),_xlfn.STDEV.P(tblY10[[4C01 - Atomic Structure
Raw Score]])),9),_Stanine,2),5),"")</f>
        <v>7</v>
      </c>
      <c r="R9" s="66" t="n">
        <v>22</v>
      </c>
      <c r="S9" s="67">
        <f>IF(ISNUMBER(tblY10[[#This Row],[4P01 - Energy
Raw Score]]),IFERROR(VLOOKUP(ROUND(STANDARDIZE(tblY10[[#This Row],[4P01 - Energy
Raw Score]],AVERAGE(tblY10[[4P01 - Energy
Raw Score]]),_xlfn.STDEV.P(tblY10[[4P01 - Energy
Raw Score]])),9),_Stanine,2),5),"")</f>
        <v>7</v>
      </c>
      <c r="T9" s="66" t="n">
        <v>29</v>
      </c>
      <c r="U9" s="67">
        <f>IF(ISNUMBER(tblY10[[#This Row],[4B02 - Organisation
Raw Score]]),IFERROR(VLOOKUP(ROUND(STANDARDIZE(tblY10[[#This Row],[4B02 - Organisation
Raw Score]],AVERAGE(tblY10[[4B02 - Organisation
Raw Score]]),_xlfn.STDEV.P(tblY10[[4B02 - Organisation
Raw Score]])),9),_Stanine,2),5),"")</f>
        <v>7</v>
      </c>
      <c r="V9" s="66" t="n">
        <v>28</v>
      </c>
      <c r="W9" s="67">
        <f>IF(ISNUMBER(tblY10[[#This Row],[4C02 - Bonding
Raw Score]]),IFERROR(VLOOKUP(ROUND(STANDARDIZE(tblY10[[#This Row],[4C02 - Bonding
Raw Score]],AVERAGE(tblY10[[4C02 - Bonding
Raw Score]]),_xlfn.STDEV.P(tblY10[[4C02 - Bonding
Raw Score]])),9),_Stanine,2),5),"")</f>
        <v>7</v>
      </c>
    </row>
    <row r="10">
      <c r="A10" s="65" t="inlineStr">
        <is>
          <t>X909753463823</t>
        </is>
      </c>
      <c r="B10" s="65" t="inlineStr">
        <is>
          <t>Davies</t>
        </is>
      </c>
      <c r="C10" s="65" t="inlineStr">
        <is>
          <t>Oscar</t>
        </is>
      </c>
      <c r="D10" s="66" t="inlineStr">
        <is>
          <t>F</t>
        </is>
      </c>
      <c r="E10" s="66" t="inlineStr">
        <is>
          <t>N</t>
        </is>
      </c>
      <c r="F10" s="66" t="inlineStr">
        <is>
          <t>N</t>
        </is>
      </c>
      <c r="G10" s="34" t="n">
        <v>93.90000000000001</v>
      </c>
      <c r="H10" s="34" t="n">
        <v>113.5</v>
      </c>
      <c r="I10" s="67">
        <f>IF(ISNUMBER(tblY10[[#This Row],[Avg KS2]]),IFERROR(VLOOKUP(ROUND(STANDARDIZE(tblY10[[#This Row],[Avg KS2]],AVERAGE(tblY10[[Avg KS2]]),_xlfn.STDEV.P(tblY10[[Avg KS2]])),9),_Stanine,2),5),"")</f>
        <v>8</v>
      </c>
      <c r="J10" s="66" t="inlineStr">
        <is>
          <t>10S/Sc1</t>
        </is>
      </c>
      <c r="K10" s="67">
        <f>IF(tblY10[[#This Row],[Preferred Last name]]="","",COUNTIFS($N$1:$ZZ$1,"*"&amp;CHAR(10)&amp;"Stanine",$N10:$ZZ10,"&gt;=1"))</f>
        <v>5</v>
      </c>
      <c r="L10" s="68">
        <f>IFERROR(AVERAGEIF($N$1:$ZZ$1,"*"&amp;CHAR(10)&amp;"Stanine",$N10:$ZZ10),"")</f>
        <v>7</v>
      </c>
      <c r="M10" s="69">
        <f>IF(AND(ISNUMBER(tblY10[[#This Row],[Mean Stanine]]),ISNUMBER(tblY10[[#This Row],[Avg KS2 Band]]),ISNUMBER(SlopeY10)),tblY10[[#This Row],[Mean Stanine]]-(InterceptY10+SlopeY10*tblY10[[#This Row],[Avg KS2 Band]]),"")</f>
        <v>-0.382138997371849</v>
      </c>
      <c r="N10" s="66" t="n">
        <v>29</v>
      </c>
      <c r="O10" s="67">
        <f>IF(ISNUMBER(tblY10[[#This Row],[4B01 - Cell Biology
Raw Score]]),IFERROR(VLOOKUP(ROUND(STANDARDIZE(tblY10[[#This Row],[4B01 - Cell Biology
Raw Score]],AVERAGE(tblY10[[4B01 - Cell Biology
Raw Score]]),_xlfn.STDEV.P(tblY10[[4B01 - Cell Biology
Raw Score]])),9),_Stanine,2),5),"")</f>
        <v>7</v>
      </c>
      <c r="P10" s="66" t="n">
        <v>27</v>
      </c>
      <c r="Q10" s="67">
        <f>IF(ISNUMBER(tblY10[[#This Row],[4C01 - Atomic Structure
Raw Score]]),IFERROR(VLOOKUP(ROUND(STANDARDIZE(tblY10[[#This Row],[4C01 - Atomic Structure
Raw Score]],AVERAGE(tblY10[[4C01 - Atomic Structure
Raw Score]]),_xlfn.STDEV.P(tblY10[[4C01 - Atomic Structure
Raw Score]])),9),_Stanine,2),5),"")</f>
        <v>7</v>
      </c>
      <c r="R10" s="66" t="n">
        <v>24</v>
      </c>
      <c r="S10" s="67">
        <f>IF(ISNUMBER(tblY10[[#This Row],[4P01 - Energy
Raw Score]]),IFERROR(VLOOKUP(ROUND(STANDARDIZE(tblY10[[#This Row],[4P01 - Energy
Raw Score]],AVERAGE(tblY10[[4P01 - Energy
Raw Score]]),_xlfn.STDEV.P(tblY10[[4P01 - Energy
Raw Score]])),9),_Stanine,2),5),"")</f>
        <v>7</v>
      </c>
      <c r="T10" s="66" t="n">
        <v>27</v>
      </c>
      <c r="U10" s="67">
        <f>IF(ISNUMBER(tblY10[[#This Row],[4B02 - Organisation
Raw Score]]),IFERROR(VLOOKUP(ROUND(STANDARDIZE(tblY10[[#This Row],[4B02 - Organisation
Raw Score]],AVERAGE(tblY10[[4B02 - Organisation
Raw Score]]),_xlfn.STDEV.P(tblY10[[4B02 - Organisation
Raw Score]])),9),_Stanine,2),5),"")</f>
        <v>6</v>
      </c>
      <c r="V10" s="66" t="n">
        <v>33</v>
      </c>
      <c r="W10" s="67">
        <f>IF(ISNUMBER(tblY10[[#This Row],[4C02 - Bonding
Raw Score]]),IFERROR(VLOOKUP(ROUND(STANDARDIZE(tblY10[[#This Row],[4C02 - Bonding
Raw Score]],AVERAGE(tblY10[[4C02 - Bonding
Raw Score]]),_xlfn.STDEV.P(tblY10[[4C02 - Bonding
Raw Score]])),9),_Stanine,2),5),"")</f>
        <v>8</v>
      </c>
    </row>
    <row r="11">
      <c r="A11" s="65" t="inlineStr">
        <is>
          <t>X905161801459</t>
        </is>
      </c>
      <c r="B11" s="65" t="inlineStr">
        <is>
          <t>Evans</t>
        </is>
      </c>
      <c r="C11" s="65" t="inlineStr">
        <is>
          <t>George</t>
        </is>
      </c>
      <c r="D11" s="66" t="inlineStr">
        <is>
          <t>M</t>
        </is>
      </c>
      <c r="E11" s="66" t="inlineStr">
        <is>
          <t>N</t>
        </is>
      </c>
      <c r="F11" s="66" t="inlineStr">
        <is>
          <t>N</t>
        </is>
      </c>
      <c r="G11" s="34" t="n">
        <v>86.3</v>
      </c>
      <c r="H11" s="34" t="n">
        <v>104</v>
      </c>
      <c r="I11" s="67">
        <f>IF(ISNUMBER(tblY10[[#This Row],[Avg KS2]]),IFERROR(VLOOKUP(ROUND(STANDARDIZE(tblY10[[#This Row],[Avg KS2]],AVERAGE(tblY10[[Avg KS2]]),_xlfn.STDEV.P(tblY10[[Avg KS2]])),9),_Stanine,2),5),"")</f>
        <v>5</v>
      </c>
      <c r="J11" s="66" t="inlineStr">
        <is>
          <t>10S/Sc1</t>
        </is>
      </c>
      <c r="K11" s="67">
        <f>IF(tblY10[[#This Row],[Preferred Last name]]="","",COUNTIFS($N$1:$ZZ$1,"*"&amp;CHAR(10)&amp;"Stanine",$N11:$ZZ11,"&gt;=1"))</f>
        <v>5</v>
      </c>
      <c r="L11" s="68">
        <f>IFERROR(AVERAGEIF($N$1:$ZZ$1,"*"&amp;CHAR(10)&amp;"Stanine",$N11:$ZZ11),"")</f>
        <v>4.8</v>
      </c>
      <c r="M11" s="69">
        <f>IF(AND(ISNUMBER(tblY10[[#This Row],[Mean Stanine]]),ISNUMBER(tblY10[[#This Row],[Avg KS2 Band]]),ISNUMBER(SlopeY10)),tblY10[[#This Row],[Mean Stanine]]-(InterceptY10+SlopeY10*tblY10[[#This Row],[Avg KS2 Band]]),"")</f>
        <v>-0.140132144523862</v>
      </c>
      <c r="N11" s="66" t="n">
        <v>22</v>
      </c>
      <c r="O11" s="67">
        <f>IF(ISNUMBER(tblY10[[#This Row],[4B01 - Cell Biology
Raw Score]]),IFERROR(VLOOKUP(ROUND(STANDARDIZE(tblY10[[#This Row],[4B01 - Cell Biology
Raw Score]],AVERAGE(tblY10[[4B01 - Cell Biology
Raw Score]]),_xlfn.STDEV.P(tblY10[[4B01 - Cell Biology
Raw Score]])),9),_Stanine,2),5),"")</f>
        <v>6</v>
      </c>
      <c r="P11" s="66" t="n">
        <v>12</v>
      </c>
      <c r="Q11" s="67">
        <f>IF(ISNUMBER(tblY10[[#This Row],[4C01 - Atomic Structure
Raw Score]]),IFERROR(VLOOKUP(ROUND(STANDARDIZE(tblY10[[#This Row],[4C01 - Atomic Structure
Raw Score]],AVERAGE(tblY10[[4C01 - Atomic Structure
Raw Score]]),_xlfn.STDEV.P(tblY10[[4C01 - Atomic Structure
Raw Score]])),9),_Stanine,2),5),"")</f>
        <v>4</v>
      </c>
      <c r="R11" s="66" t="n">
        <v>14</v>
      </c>
      <c r="S11" s="67">
        <f>IF(ISNUMBER(tblY10[[#This Row],[4P01 - Energy
Raw Score]]),IFERROR(VLOOKUP(ROUND(STANDARDIZE(tblY10[[#This Row],[4P01 - Energy
Raw Score]],AVERAGE(tblY10[[4P01 - Energy
Raw Score]]),_xlfn.STDEV.P(tblY10[[4P01 - Energy
Raw Score]])),9),_Stanine,2),5),"")</f>
        <v>5</v>
      </c>
      <c r="T11" s="66" t="n">
        <v>20</v>
      </c>
      <c r="U11" s="67">
        <f>IF(ISNUMBER(tblY10[[#This Row],[4B02 - Organisation
Raw Score]]),IFERROR(VLOOKUP(ROUND(STANDARDIZE(tblY10[[#This Row],[4B02 - Organisation
Raw Score]],AVERAGE(tblY10[[4B02 - Organisation
Raw Score]]),_xlfn.STDEV.P(tblY10[[4B02 - Organisation
Raw Score]])),9),_Stanine,2),5),"")</f>
        <v>4</v>
      </c>
      <c r="V11" s="66" t="n">
        <v>22</v>
      </c>
      <c r="W11" s="67">
        <f>IF(ISNUMBER(tblY10[[#This Row],[4C02 - Bonding
Raw Score]]),IFERROR(VLOOKUP(ROUND(STANDARDIZE(tblY10[[#This Row],[4C02 - Bonding
Raw Score]],AVERAGE(tblY10[[4C02 - Bonding
Raw Score]]),_xlfn.STDEV.P(tblY10[[4C02 - Bonding
Raw Score]])),9),_Stanine,2),5),"")</f>
        <v>5</v>
      </c>
    </row>
    <row r="12">
      <c r="A12" s="65" t="inlineStr">
        <is>
          <t>X902637712776</t>
        </is>
      </c>
      <c r="B12" s="65" t="inlineStr">
        <is>
          <t>Fletcher</t>
        </is>
      </c>
      <c r="C12" s="65" t="inlineStr">
        <is>
          <t>Ivy</t>
        </is>
      </c>
      <c r="D12" s="66" t="inlineStr">
        <is>
          <t>F</t>
        </is>
      </c>
      <c r="E12" s="66" t="n"/>
      <c r="F12" s="66" t="inlineStr">
        <is>
          <t>N</t>
        </is>
      </c>
      <c r="G12" s="34" t="n">
        <v>97.5</v>
      </c>
      <c r="H12" s="34" t="n">
        <v>113</v>
      </c>
      <c r="I12" s="67">
        <f>IF(ISNUMBER(tblY10[[#This Row],[Avg KS2]]),IFERROR(VLOOKUP(ROUND(STANDARDIZE(tblY10[[#This Row],[Avg KS2]],AVERAGE(tblY10[[Avg KS2]]),_xlfn.STDEV.P(tblY10[[Avg KS2]])),9),_Stanine,2),5),"")</f>
        <v>8</v>
      </c>
      <c r="J12" s="66" t="inlineStr">
        <is>
          <t>10S/Sc1</t>
        </is>
      </c>
      <c r="K12" s="67">
        <f>IF(tblY10[[#This Row],[Preferred Last name]]="","",COUNTIFS($N$1:$ZZ$1,"*"&amp;CHAR(10)&amp;"Stanine",$N12:$ZZ12,"&gt;=1"))</f>
        <v>5</v>
      </c>
      <c r="L12" s="68">
        <f>IFERROR(AVERAGEIF($N$1:$ZZ$1,"*"&amp;CHAR(10)&amp;"Stanine",$N12:$ZZ12),"")</f>
        <v>7.8</v>
      </c>
      <c r="M12" s="69">
        <f>IF(AND(ISNUMBER(tblY10[[#This Row],[Mean Stanine]]),ISNUMBER(tblY10[[#This Row],[Avg KS2 Band]]),ISNUMBER(SlopeY10)),tblY10[[#This Row],[Mean Stanine]]-(InterceptY10+SlopeY10*tblY10[[#This Row],[Avg KS2 Band]]),"")</f>
        <v>0.417861002628151</v>
      </c>
      <c r="N12" s="66" t="n">
        <v>32</v>
      </c>
      <c r="O12" s="67">
        <f>IF(ISNUMBER(tblY10[[#This Row],[4B01 - Cell Biology
Raw Score]]),IFERROR(VLOOKUP(ROUND(STANDARDIZE(tblY10[[#This Row],[4B01 - Cell Biology
Raw Score]],AVERAGE(tblY10[[4B01 - Cell Biology
Raw Score]]),_xlfn.STDEV.P(tblY10[[4B01 - Cell Biology
Raw Score]])),9),_Stanine,2),5),"")</f>
        <v>8</v>
      </c>
      <c r="P12" s="66" t="n">
        <v>29</v>
      </c>
      <c r="Q12" s="67">
        <f>IF(ISNUMBER(tblY10[[#This Row],[4C01 - Atomic Structure
Raw Score]]),IFERROR(VLOOKUP(ROUND(STANDARDIZE(tblY10[[#This Row],[4C01 - Atomic Structure
Raw Score]],AVERAGE(tblY10[[4C01 - Atomic Structure
Raw Score]]),_xlfn.STDEV.P(tblY10[[4C01 - Atomic Structure
Raw Score]])),9),_Stanine,2),5),"")</f>
        <v>8</v>
      </c>
      <c r="R12" s="66" t="n">
        <v>27</v>
      </c>
      <c r="S12" s="67">
        <f>IF(ISNUMBER(tblY10[[#This Row],[4P01 - Energy
Raw Score]]),IFERROR(VLOOKUP(ROUND(STANDARDIZE(tblY10[[#This Row],[4P01 - Energy
Raw Score]],AVERAGE(tblY10[[4P01 - Energy
Raw Score]]),_xlfn.STDEV.P(tblY10[[4P01 - Energy
Raw Score]])),9),_Stanine,2),5),"")</f>
        <v>8</v>
      </c>
      <c r="T12" s="66" t="n">
        <v>35</v>
      </c>
      <c r="U12" s="67">
        <f>IF(ISNUMBER(tblY10[[#This Row],[4B02 - Organisation
Raw Score]]),IFERROR(VLOOKUP(ROUND(STANDARDIZE(tblY10[[#This Row],[4B02 - Organisation
Raw Score]],AVERAGE(tblY10[[4B02 - Organisation
Raw Score]]),_xlfn.STDEV.P(tblY10[[4B02 - Organisation
Raw Score]])),9),_Stanine,2),5),"")</f>
        <v>8</v>
      </c>
      <c r="V12" s="66" t="n">
        <v>32</v>
      </c>
      <c r="W12" s="67">
        <f>IF(ISNUMBER(tblY10[[#This Row],[4C02 - Bonding
Raw Score]]),IFERROR(VLOOKUP(ROUND(STANDARDIZE(tblY10[[#This Row],[4C02 - Bonding
Raw Score]],AVERAGE(tblY10[[4C02 - Bonding
Raw Score]]),_xlfn.STDEV.P(tblY10[[4C02 - Bonding
Raw Score]])),9),_Stanine,2),5),"")</f>
        <v>7</v>
      </c>
    </row>
    <row r="13">
      <c r="A13" s="65" t="inlineStr">
        <is>
          <t>X900469574696</t>
        </is>
      </c>
      <c r="B13" s="65" t="inlineStr">
        <is>
          <t>Hall</t>
        </is>
      </c>
      <c r="C13" s="65" t="inlineStr">
        <is>
          <t>Harry</t>
        </is>
      </c>
      <c r="D13" s="66" t="inlineStr">
        <is>
          <t>F</t>
        </is>
      </c>
      <c r="E13" s="66" t="inlineStr">
        <is>
          <t>N</t>
        </is>
      </c>
      <c r="F13" s="66" t="inlineStr">
        <is>
          <t>Y</t>
        </is>
      </c>
      <c r="G13" s="34" t="n">
        <v>89.59999999999999</v>
      </c>
      <c r="H13" s="34" t="n">
        <v>108.5</v>
      </c>
      <c r="I13" s="67">
        <f>IF(ISNUMBER(tblY10[[#This Row],[Avg KS2]]),IFERROR(VLOOKUP(ROUND(STANDARDIZE(tblY10[[#This Row],[Avg KS2]],AVERAGE(tblY10[[Avg KS2]]),_xlfn.STDEV.P(tblY10[[Avg KS2]])),9),_Stanine,2),5),"")</f>
        <v>7</v>
      </c>
      <c r="J13" s="66" t="inlineStr">
        <is>
          <t>10S/Sc1</t>
        </is>
      </c>
      <c r="K13" s="67">
        <f>IF(tblY10[[#This Row],[Preferred Last name]]="","",COUNTIFS($N$1:$ZZ$1,"*"&amp;CHAR(10)&amp;"Stanine",$N13:$ZZ13,"&gt;=1"))</f>
        <v>5</v>
      </c>
      <c r="L13" s="68">
        <f>IFERROR(AVERAGEIF($N$1:$ZZ$1,"*"&amp;CHAR(10)&amp;"Stanine",$N13:$ZZ13),"")</f>
        <v>6.6</v>
      </c>
      <c r="M13" s="69">
        <f>IF(AND(ISNUMBER(tblY10[[#This Row],[Mean Stanine]]),ISNUMBER(tblY10[[#This Row],[Avg KS2 Band]]),ISNUMBER(SlopeY10)),tblY10[[#This Row],[Mean Stanine]]-(InterceptY10+SlopeY10*tblY10[[#This Row],[Avg KS2 Band]]),"")</f>
        <v>0.0318632869108138</v>
      </c>
      <c r="N13" s="66" t="n">
        <v>26</v>
      </c>
      <c r="O13" s="67">
        <f>IF(ISNUMBER(tblY10[[#This Row],[4B01 - Cell Biology
Raw Score]]),IFERROR(VLOOKUP(ROUND(STANDARDIZE(tblY10[[#This Row],[4B01 - Cell Biology
Raw Score]],AVERAGE(tblY10[[4B01 - Cell Biology
Raw Score]]),_xlfn.STDEV.P(tblY10[[4B01 - Cell Biology
Raw Score]])),9),_Stanine,2),5),"")</f>
        <v>6</v>
      </c>
      <c r="P13" s="66" t="n">
        <v>26</v>
      </c>
      <c r="Q13" s="67">
        <f>IF(ISNUMBER(tblY10[[#This Row],[4C01 - Atomic Structure
Raw Score]]),IFERROR(VLOOKUP(ROUND(STANDARDIZE(tblY10[[#This Row],[4C01 - Atomic Structure
Raw Score]],AVERAGE(tblY10[[4C01 - Atomic Structure
Raw Score]]),_xlfn.STDEV.P(tblY10[[4C01 - Atomic Structure
Raw Score]])),9),_Stanine,2),5),"")</f>
        <v>7</v>
      </c>
      <c r="R13" s="66" t="n">
        <v>23</v>
      </c>
      <c r="S13" s="67">
        <f>IF(ISNUMBER(tblY10[[#This Row],[4P01 - Energy
Raw Score]]),IFERROR(VLOOKUP(ROUND(STANDARDIZE(tblY10[[#This Row],[4P01 - Energy
Raw Score]],AVERAGE(tblY10[[4P01 - Energy
Raw Score]]),_xlfn.STDEV.P(tblY10[[4P01 - Energy
Raw Score]])),9),_Stanine,2),5),"")</f>
        <v>7</v>
      </c>
      <c r="T13" s="66" t="n">
        <v>26</v>
      </c>
      <c r="U13" s="67">
        <f>IF(ISNUMBER(tblY10[[#This Row],[4B02 - Organisation
Raw Score]]),IFERROR(VLOOKUP(ROUND(STANDARDIZE(tblY10[[#This Row],[4B02 - Organisation
Raw Score]],AVERAGE(tblY10[[4B02 - Organisation
Raw Score]]),_xlfn.STDEV.P(tblY10[[4B02 - Organisation
Raw Score]])),9),_Stanine,2),5),"")</f>
        <v>6</v>
      </c>
      <c r="V13" s="66" t="n">
        <v>28</v>
      </c>
      <c r="W13" s="67">
        <f>IF(ISNUMBER(tblY10[[#This Row],[4C02 - Bonding
Raw Score]]),IFERROR(VLOOKUP(ROUND(STANDARDIZE(tblY10[[#This Row],[4C02 - Bonding
Raw Score]],AVERAGE(tblY10[[4C02 - Bonding
Raw Score]]),_xlfn.STDEV.P(tblY10[[4C02 - Bonding
Raw Score]])),9),_Stanine,2),5),"")</f>
        <v>7</v>
      </c>
    </row>
    <row r="14">
      <c r="A14" s="65" t="inlineStr">
        <is>
          <t>X900332442719</t>
        </is>
      </c>
      <c r="B14" s="65" t="inlineStr">
        <is>
          <t>Hussain</t>
        </is>
      </c>
      <c r="C14" s="65" t="inlineStr">
        <is>
          <t>Lily</t>
        </is>
      </c>
      <c r="D14" s="66" t="inlineStr">
        <is>
          <t>F</t>
        </is>
      </c>
      <c r="E14" s="66" t="inlineStr">
        <is>
          <t>N</t>
        </is>
      </c>
      <c r="F14" s="66" t="inlineStr">
        <is>
          <t>N</t>
        </is>
      </c>
      <c r="G14" s="34" t="n">
        <v>95.3</v>
      </c>
      <c r="H14" s="34" t="n">
        <v>113</v>
      </c>
      <c r="I14" s="67">
        <f>IF(ISNUMBER(tblY10[[#This Row],[Avg KS2]]),IFERROR(VLOOKUP(ROUND(STANDARDIZE(tblY10[[#This Row],[Avg KS2]],AVERAGE(tblY10[[Avg KS2]]),_xlfn.STDEV.P(tblY10[[Avg KS2]])),9),_Stanine,2),5),"")</f>
        <v>8</v>
      </c>
      <c r="J14" s="66" t="inlineStr">
        <is>
          <t>10S/Sc1</t>
        </is>
      </c>
      <c r="K14" s="67">
        <f>IF(tblY10[[#This Row],[Preferred Last name]]="","",COUNTIFS($N$1:$ZZ$1,"*"&amp;CHAR(10)&amp;"Stanine",$N14:$ZZ14,"&gt;=1"))</f>
        <v>5</v>
      </c>
      <c r="L14" s="68">
        <f>IFERROR(AVERAGEIF($N$1:$ZZ$1,"*"&amp;CHAR(10)&amp;"Stanine",$N14:$ZZ14),"")</f>
        <v>7.8</v>
      </c>
      <c r="M14" s="69">
        <f>IF(AND(ISNUMBER(tblY10[[#This Row],[Mean Stanine]]),ISNUMBER(tblY10[[#This Row],[Avg KS2 Band]]),ISNUMBER(SlopeY10)),tblY10[[#This Row],[Mean Stanine]]-(InterceptY10+SlopeY10*tblY10[[#This Row],[Avg KS2 Band]]),"")</f>
        <v>0.417861002628151</v>
      </c>
      <c r="N14" s="66" t="n">
        <v>34</v>
      </c>
      <c r="O14" s="67">
        <f>IF(ISNUMBER(tblY10[[#This Row],[4B01 - Cell Biology
Raw Score]]),IFERROR(VLOOKUP(ROUND(STANDARDIZE(tblY10[[#This Row],[4B01 - Cell Biology
Raw Score]],AVERAGE(tblY10[[4B01 - Cell Biology
Raw Score]]),_xlfn.STDEV.P(tblY10[[4B01 - Cell Biology
Raw Score]])),9),_Stanine,2),5),"")</f>
        <v>8</v>
      </c>
      <c r="P14" s="66" t="n">
        <v>29</v>
      </c>
      <c r="Q14" s="67">
        <f>IF(ISNUMBER(tblY10[[#This Row],[4C01 - Atomic Structure
Raw Score]]),IFERROR(VLOOKUP(ROUND(STANDARDIZE(tblY10[[#This Row],[4C01 - Atomic Structure
Raw Score]],AVERAGE(tblY10[[4C01 - Atomic Structure
Raw Score]]),_xlfn.STDEV.P(tblY10[[4C01 - Atomic Structure
Raw Score]])),9),_Stanine,2),5),"")</f>
        <v>8</v>
      </c>
      <c r="R14" s="66" t="n">
        <v>25</v>
      </c>
      <c r="S14" s="67">
        <f>IF(ISNUMBER(tblY10[[#This Row],[4P01 - Energy
Raw Score]]),IFERROR(VLOOKUP(ROUND(STANDARDIZE(tblY10[[#This Row],[4P01 - Energy
Raw Score]],AVERAGE(tblY10[[4P01 - Energy
Raw Score]]),_xlfn.STDEV.P(tblY10[[4P01 - Energy
Raw Score]])),9),_Stanine,2),5),"")</f>
        <v>7</v>
      </c>
      <c r="T14" s="66" t="n">
        <v>37</v>
      </c>
      <c r="U14" s="67">
        <f>IF(ISNUMBER(tblY10[[#This Row],[4B02 - Organisation
Raw Score]]),IFERROR(VLOOKUP(ROUND(STANDARDIZE(tblY10[[#This Row],[4B02 - Organisation
Raw Score]],AVERAGE(tblY10[[4B02 - Organisation
Raw Score]]),_xlfn.STDEV.P(tblY10[[4B02 - Organisation
Raw Score]])),9),_Stanine,2),5),"")</f>
        <v>8</v>
      </c>
      <c r="V14" s="66" t="n">
        <v>34</v>
      </c>
      <c r="W14" s="67">
        <f>IF(ISNUMBER(tblY10[[#This Row],[4C02 - Bonding
Raw Score]]),IFERROR(VLOOKUP(ROUND(STANDARDIZE(tblY10[[#This Row],[4C02 - Bonding
Raw Score]],AVERAGE(tblY10[[4C02 - Bonding
Raw Score]]),_xlfn.STDEV.P(tblY10[[4C02 - Bonding
Raw Score]])),9),_Stanine,2),5),"")</f>
        <v>8</v>
      </c>
    </row>
    <row r="15">
      <c r="A15" s="65" t="inlineStr">
        <is>
          <t>X907263461348</t>
        </is>
      </c>
      <c r="B15" s="65" t="inlineStr">
        <is>
          <t>Jackson</t>
        </is>
      </c>
      <c r="C15" s="65" t="inlineStr">
        <is>
          <t>Maya</t>
        </is>
      </c>
      <c r="D15" s="66" t="inlineStr">
        <is>
          <t>F</t>
        </is>
      </c>
      <c r="E15" s="66" t="n"/>
      <c r="F15" s="66" t="inlineStr">
        <is>
          <t>N</t>
        </is>
      </c>
      <c r="G15" s="34" t="n">
        <v>85.90000000000001</v>
      </c>
      <c r="H15" s="34" t="n">
        <v>110</v>
      </c>
      <c r="I15" s="67">
        <f>IF(ISNUMBER(tblY10[[#This Row],[Avg KS2]]),IFERROR(VLOOKUP(ROUND(STANDARDIZE(tblY10[[#This Row],[Avg KS2]],AVERAGE(tblY10[[Avg KS2]]),_xlfn.STDEV.P(tblY10[[Avg KS2]])),9),_Stanine,2),5),"")</f>
        <v>7</v>
      </c>
      <c r="J15" s="66" t="inlineStr">
        <is>
          <t>10S/Sc1</t>
        </is>
      </c>
      <c r="K15" s="67">
        <f>IF(tblY10[[#This Row],[Preferred Last name]]="","",COUNTIFS($N$1:$ZZ$1,"*"&amp;CHAR(10)&amp;"Stanine",$N15:$ZZ15,"&gt;=1"))</f>
        <v>4</v>
      </c>
      <c r="L15" s="68">
        <f>IFERROR(AVERAGEIF($N$1:$ZZ$1,"*"&amp;CHAR(10)&amp;"Stanine",$N15:$ZZ15),"")</f>
        <v>7.5</v>
      </c>
      <c r="M15" s="69">
        <f>IF(AND(ISNUMBER(tblY10[[#This Row],[Mean Stanine]]),ISNUMBER(tblY10[[#This Row],[Avg KS2 Band]]),ISNUMBER(SlopeY10)),tblY10[[#This Row],[Mean Stanine]]-(InterceptY10+SlopeY10*tblY10[[#This Row],[Avg KS2 Band]]),"")</f>
        <v>0.931863286910814</v>
      </c>
      <c r="N15" s="66" t="n">
        <v>29</v>
      </c>
      <c r="O15" s="67">
        <f>IF(ISNUMBER(tblY10[[#This Row],[4B01 - Cell Biology
Raw Score]]),IFERROR(VLOOKUP(ROUND(STANDARDIZE(tblY10[[#This Row],[4B01 - Cell Biology
Raw Score]],AVERAGE(tblY10[[4B01 - Cell Biology
Raw Score]]),_xlfn.STDEV.P(tblY10[[4B01 - Cell Biology
Raw Score]])),9),_Stanine,2),5),"")</f>
        <v>7</v>
      </c>
      <c r="P15" s="66" t="inlineStr">
        <is>
          <t>A</t>
        </is>
      </c>
      <c r="Q15" s="67" t="str">
        <f>IF(ISNUMBER(tblY10[[#This Row],[4C01 - Atomic Structure
Raw Score]]),IFERROR(VLOOKUP(ROUND(STANDARDIZE(tblY10[[#This Row],[4C01 - Atomic Structure
Raw Score]],AVERAGE(tblY10[[4C01 - Atomic Structure
Raw Score]]),_xlfn.STDEV.P(tblY10[[4C01 - Atomic Structure
Raw Score]])),9),_Stanine,2),5),"")</f>
        <v/>
      </c>
      <c r="R15" s="66" t="n">
        <v>29</v>
      </c>
      <c r="S15" s="67">
        <f>IF(ISNUMBER(tblY10[[#This Row],[4P01 - Energy
Raw Score]]),IFERROR(VLOOKUP(ROUND(STANDARDIZE(tblY10[[#This Row],[4P01 - Energy
Raw Score]],AVERAGE(tblY10[[4P01 - Energy
Raw Score]]),_xlfn.STDEV.P(tblY10[[4P01 - Energy
Raw Score]])),9),_Stanine,2),5),"")</f>
        <v>8</v>
      </c>
      <c r="T15" s="66" t="n">
        <v>33</v>
      </c>
      <c r="U15" s="67">
        <f>IF(ISNUMBER(tblY10[[#This Row],[4B02 - Organisation
Raw Score]]),IFERROR(VLOOKUP(ROUND(STANDARDIZE(tblY10[[#This Row],[4B02 - Organisation
Raw Score]],AVERAGE(tblY10[[4B02 - Organisation
Raw Score]]),_xlfn.STDEV.P(tblY10[[4B02 - Organisation
Raw Score]])),9),_Stanine,2),5),"")</f>
        <v>7</v>
      </c>
      <c r="V15" s="66" t="n">
        <v>33</v>
      </c>
      <c r="W15" s="67">
        <f>IF(ISNUMBER(tblY10[[#This Row],[4C02 - Bonding
Raw Score]]),IFERROR(VLOOKUP(ROUND(STANDARDIZE(tblY10[[#This Row],[4C02 - Bonding
Raw Score]],AVERAGE(tblY10[[4C02 - Bonding
Raw Score]]),_xlfn.STDEV.P(tblY10[[4C02 - Bonding
Raw Score]])),9),_Stanine,2),5),"")</f>
        <v>8</v>
      </c>
    </row>
    <row r="16">
      <c r="A16" s="65" t="inlineStr">
        <is>
          <t>X907959443242</t>
        </is>
      </c>
      <c r="B16" s="65" t="inlineStr">
        <is>
          <t>Johnson</t>
        </is>
      </c>
      <c r="C16" s="65" t="inlineStr">
        <is>
          <t>Mia</t>
        </is>
      </c>
      <c r="D16" s="66" t="inlineStr">
        <is>
          <t>F</t>
        </is>
      </c>
      <c r="E16" s="66" t="inlineStr">
        <is>
          <t>N</t>
        </is>
      </c>
      <c r="F16" s="66" t="inlineStr">
        <is>
          <t>Y</t>
        </is>
      </c>
      <c r="G16" s="34" t="n">
        <v>100</v>
      </c>
      <c r="H16" s="34" t="n">
        <v>104</v>
      </c>
      <c r="I16" s="67">
        <f>IF(ISNUMBER(tblY10[[#This Row],[Avg KS2]]),IFERROR(VLOOKUP(ROUND(STANDARDIZE(tblY10[[#This Row],[Avg KS2]],AVERAGE(tblY10[[Avg KS2]]),_xlfn.STDEV.P(tblY10[[Avg KS2]])),9),_Stanine,2),5),"")</f>
        <v>5</v>
      </c>
      <c r="J16" s="66" t="inlineStr">
        <is>
          <t>10S/Sc1</t>
        </is>
      </c>
      <c r="K16" s="67">
        <f>IF(tblY10[[#This Row],[Preferred Last name]]="","",COUNTIFS($N$1:$ZZ$1,"*"&amp;CHAR(10)&amp;"Stanine",$N16:$ZZ16,"&gt;=1"))</f>
        <v>5</v>
      </c>
      <c r="L16" s="68">
        <f>IFERROR(AVERAGEIF($N$1:$ZZ$1,"*"&amp;CHAR(10)&amp;"Stanine",$N16:$ZZ16),"")</f>
        <v>4.8</v>
      </c>
      <c r="M16" s="69">
        <f>IF(AND(ISNUMBER(tblY10[[#This Row],[Mean Stanine]]),ISNUMBER(tblY10[[#This Row],[Avg KS2 Band]]),ISNUMBER(SlopeY10)),tblY10[[#This Row],[Mean Stanine]]-(InterceptY10+SlopeY10*tblY10[[#This Row],[Avg KS2 Band]]),"")</f>
        <v>-0.140132144523862</v>
      </c>
      <c r="N16" s="66" t="n">
        <v>22</v>
      </c>
      <c r="O16" s="67">
        <f>IF(ISNUMBER(tblY10[[#This Row],[4B01 - Cell Biology
Raw Score]]),IFERROR(VLOOKUP(ROUND(STANDARDIZE(tblY10[[#This Row],[4B01 - Cell Biology
Raw Score]],AVERAGE(tblY10[[4B01 - Cell Biology
Raw Score]]),_xlfn.STDEV.P(tblY10[[4B01 - Cell Biology
Raw Score]])),9),_Stanine,2),5),"")</f>
        <v>6</v>
      </c>
      <c r="P16" s="66" t="n">
        <v>19</v>
      </c>
      <c r="Q16" s="67">
        <f>IF(ISNUMBER(tblY10[[#This Row],[4C01 - Atomic Structure
Raw Score]]),IFERROR(VLOOKUP(ROUND(STANDARDIZE(tblY10[[#This Row],[4C01 - Atomic Structure
Raw Score]],AVERAGE(tblY10[[4C01 - Atomic Structure
Raw Score]]),_xlfn.STDEV.P(tblY10[[4C01 - Atomic Structure
Raw Score]])),9),_Stanine,2),5),"")</f>
        <v>5</v>
      </c>
      <c r="R16" s="66" t="n">
        <v>11</v>
      </c>
      <c r="S16" s="67">
        <f>IF(ISNUMBER(tblY10[[#This Row],[4P01 - Energy
Raw Score]]),IFERROR(VLOOKUP(ROUND(STANDARDIZE(tblY10[[#This Row],[4P01 - Energy
Raw Score]],AVERAGE(tblY10[[4P01 - Energy
Raw Score]]),_xlfn.STDEV.P(tblY10[[4P01 - Energy
Raw Score]])),9),_Stanine,2),5),"")</f>
        <v>4</v>
      </c>
      <c r="T16" s="66" t="n">
        <v>24</v>
      </c>
      <c r="U16" s="67">
        <f>IF(ISNUMBER(tblY10[[#This Row],[4B02 - Organisation
Raw Score]]),IFERROR(VLOOKUP(ROUND(STANDARDIZE(tblY10[[#This Row],[4B02 - Organisation
Raw Score]],AVERAGE(tblY10[[4B02 - Organisation
Raw Score]]),_xlfn.STDEV.P(tblY10[[4B02 - Organisation
Raw Score]])),9),_Stanine,2),5),"")</f>
        <v>5</v>
      </c>
      <c r="V16" s="66" t="n">
        <v>19</v>
      </c>
      <c r="W16" s="67">
        <f>IF(ISNUMBER(tblY10[[#This Row],[4C02 - Bonding
Raw Score]]),IFERROR(VLOOKUP(ROUND(STANDARDIZE(tblY10[[#This Row],[4C02 - Bonding
Raw Score]],AVERAGE(tblY10[[4C02 - Bonding
Raw Score]]),_xlfn.STDEV.P(tblY10[[4C02 - Bonding
Raw Score]])),9),_Stanine,2),5),"")</f>
        <v>4</v>
      </c>
    </row>
    <row r="17">
      <c r="A17" s="65" t="inlineStr">
        <is>
          <t>X903312758861</t>
        </is>
      </c>
      <c r="B17" s="65" t="inlineStr">
        <is>
          <t>Khan</t>
        </is>
      </c>
      <c r="C17" s="65" t="inlineStr">
        <is>
          <t>Rosie</t>
        </is>
      </c>
      <c r="D17" s="66" t="inlineStr">
        <is>
          <t>F</t>
        </is>
      </c>
      <c r="E17" s="66" t="n"/>
      <c r="F17" s="66" t="inlineStr">
        <is>
          <t>N</t>
        </is>
      </c>
      <c r="G17" s="34" t="n">
        <v>96.7</v>
      </c>
      <c r="H17" s="34" t="n">
        <v>103</v>
      </c>
      <c r="I17" s="67">
        <f>IF(ISNUMBER(tblY10[[#This Row],[Avg KS2]]),IFERROR(VLOOKUP(ROUND(STANDARDIZE(tblY10[[#This Row],[Avg KS2]],AVERAGE(tblY10[[Avg KS2]]),_xlfn.STDEV.P(tblY10[[Avg KS2]])),9),_Stanine,2),5),"")</f>
        <v>5</v>
      </c>
      <c r="J17" s="66" t="inlineStr">
        <is>
          <t>10S/Sc1</t>
        </is>
      </c>
      <c r="K17" s="67">
        <f>IF(tblY10[[#This Row],[Preferred Last name]]="","",COUNTIFS($N$1:$ZZ$1,"*"&amp;CHAR(10)&amp;"Stanine",$N17:$ZZ17,"&gt;=1"))</f>
        <v>5</v>
      </c>
      <c r="L17" s="68">
        <f>IFERROR(AVERAGEIF($N$1:$ZZ$1,"*"&amp;CHAR(10)&amp;"Stanine",$N17:$ZZ17),"")</f>
        <v>2.6</v>
      </c>
      <c r="M17" s="69">
        <f>IF(AND(ISNUMBER(tblY10[[#This Row],[Mean Stanine]]),ISNUMBER(tblY10[[#This Row],[Avg KS2 Band]]),ISNUMBER(SlopeY10)),tblY10[[#This Row],[Mean Stanine]]-(InterceptY10+SlopeY10*tblY10[[#This Row],[Avg KS2 Band]]),"")</f>
        <v>-2.34013214452386</v>
      </c>
      <c r="N17" s="66" t="n">
        <v>13</v>
      </c>
      <c r="O17" s="67">
        <f>IF(ISNUMBER(tblY10[[#This Row],[4B01 - Cell Biology
Raw Score]]),IFERROR(VLOOKUP(ROUND(STANDARDIZE(tblY10[[#This Row],[4B01 - Cell Biology
Raw Score]],AVERAGE(tblY10[[4B01 - Cell Biology
Raw Score]]),_xlfn.STDEV.P(tblY10[[4B01 - Cell Biology
Raw Score]])),9),_Stanine,2),5),"")</f>
        <v>4</v>
      </c>
      <c r="P17" s="66" t="n">
        <v>7</v>
      </c>
      <c r="Q17" s="67">
        <f>IF(ISNUMBER(tblY10[[#This Row],[4C01 - Atomic Structure
Raw Score]]),IFERROR(VLOOKUP(ROUND(STANDARDIZE(tblY10[[#This Row],[4C01 - Atomic Structure
Raw Score]],AVERAGE(tblY10[[4C01 - Atomic Structure
Raw Score]]),_xlfn.STDEV.P(tblY10[[4C01 - Atomic Structure
Raw Score]])),9),_Stanine,2),5),"")</f>
        <v>2</v>
      </c>
      <c r="R17" s="66" t="n">
        <v>7</v>
      </c>
      <c r="S17" s="67">
        <f>IF(ISNUMBER(tblY10[[#This Row],[4P01 - Energy
Raw Score]]),IFERROR(VLOOKUP(ROUND(STANDARDIZE(tblY10[[#This Row],[4P01 - Energy
Raw Score]],AVERAGE(tblY10[[4P01 - Energy
Raw Score]]),_xlfn.STDEV.P(tblY10[[4P01 - Energy
Raw Score]])),9),_Stanine,2),5),"")</f>
        <v>3</v>
      </c>
      <c r="T17" s="66" t="n">
        <v>9</v>
      </c>
      <c r="U17" s="67">
        <f>IF(ISNUMBER(tblY10[[#This Row],[4B02 - Organisation
Raw Score]]),IFERROR(VLOOKUP(ROUND(STANDARDIZE(tblY10[[#This Row],[4B02 - Organisation
Raw Score]],AVERAGE(tblY10[[4B02 - Organisation
Raw Score]]),_xlfn.STDEV.P(tblY10[[4B02 - Organisation
Raw Score]])),9),_Stanine,2),5),"")</f>
        <v>2</v>
      </c>
      <c r="V17" s="66" t="n">
        <v>10</v>
      </c>
      <c r="W17" s="67">
        <f>IF(ISNUMBER(tblY10[[#This Row],[4C02 - Bonding
Raw Score]]),IFERROR(VLOOKUP(ROUND(STANDARDIZE(tblY10[[#This Row],[4C02 - Bonding
Raw Score]],AVERAGE(tblY10[[4C02 - Bonding
Raw Score]]),_xlfn.STDEV.P(tblY10[[4C02 - Bonding
Raw Score]])),9),_Stanine,2),5),"")</f>
        <v>2</v>
      </c>
    </row>
    <row r="18">
      <c r="A18" s="65" t="inlineStr">
        <is>
          <t>X907127031593</t>
        </is>
      </c>
      <c r="B18" s="65" t="inlineStr">
        <is>
          <t>Murphy</t>
        </is>
      </c>
      <c r="C18" s="65" t="inlineStr">
        <is>
          <t>Oscar</t>
        </is>
      </c>
      <c r="D18" s="66" t="inlineStr">
        <is>
          <t>F</t>
        </is>
      </c>
      <c r="E18" s="66" t="inlineStr">
        <is>
          <t>N</t>
        </is>
      </c>
      <c r="F18" s="66" t="inlineStr">
        <is>
          <t>N</t>
        </is>
      </c>
      <c r="G18" s="34" t="n">
        <v>98.5</v>
      </c>
      <c r="H18" s="34" t="n">
        <v>105</v>
      </c>
      <c r="I18" s="67">
        <f>IF(ISNUMBER(tblY10[[#This Row],[Avg KS2]]),IFERROR(VLOOKUP(ROUND(STANDARDIZE(tblY10[[#This Row],[Avg KS2]],AVERAGE(tblY10[[Avg KS2]]),_xlfn.STDEV.P(tblY10[[Avg KS2]])),9),_Stanine,2),5),"")</f>
        <v>6</v>
      </c>
      <c r="J18" s="66" t="inlineStr">
        <is>
          <t>10S/Sc1</t>
        </is>
      </c>
      <c r="K18" s="67">
        <f>IF(tblY10[[#This Row],[Preferred Last name]]="","",COUNTIFS($N$1:$ZZ$1,"*"&amp;CHAR(10)&amp;"Stanine",$N18:$ZZ18,"&gt;=1"))</f>
        <v>5</v>
      </c>
      <c r="L18" s="68">
        <f>IFERROR(AVERAGEIF($N$1:$ZZ$1,"*"&amp;CHAR(10)&amp;"Stanine",$N18:$ZZ18),"")</f>
        <v>7</v>
      </c>
      <c r="M18" s="69">
        <f>IF(AND(ISNUMBER(tblY10[[#This Row],[Mean Stanine]]),ISNUMBER(tblY10[[#This Row],[Avg KS2 Band]]),ISNUMBER(SlopeY10)),tblY10[[#This Row],[Mean Stanine]]-(InterceptY10+SlopeY10*tblY10[[#This Row],[Avg KS2 Band]]),"")</f>
        <v>1.24586557119348</v>
      </c>
      <c r="N18" s="66" t="n">
        <v>28</v>
      </c>
      <c r="O18" s="67">
        <f>IF(ISNUMBER(tblY10[[#This Row],[4B01 - Cell Biology
Raw Score]]),IFERROR(VLOOKUP(ROUND(STANDARDIZE(tblY10[[#This Row],[4B01 - Cell Biology
Raw Score]],AVERAGE(tblY10[[4B01 - Cell Biology
Raw Score]]),_xlfn.STDEV.P(tblY10[[4B01 - Cell Biology
Raw Score]])),9),_Stanine,2),5),"")</f>
        <v>7</v>
      </c>
      <c r="P18" s="66" t="n">
        <v>26</v>
      </c>
      <c r="Q18" s="67">
        <f>IF(ISNUMBER(tblY10[[#This Row],[4C01 - Atomic Structure
Raw Score]]),IFERROR(VLOOKUP(ROUND(STANDARDIZE(tblY10[[#This Row],[4C01 - Atomic Structure
Raw Score]],AVERAGE(tblY10[[4C01 - Atomic Structure
Raw Score]]),_xlfn.STDEV.P(tblY10[[4C01 - Atomic Structure
Raw Score]])),9),_Stanine,2),5),"")</f>
        <v>7</v>
      </c>
      <c r="R18" s="66" t="n">
        <v>23</v>
      </c>
      <c r="S18" s="67">
        <f>IF(ISNUMBER(tblY10[[#This Row],[4P01 - Energy
Raw Score]]),IFERROR(VLOOKUP(ROUND(STANDARDIZE(tblY10[[#This Row],[4P01 - Energy
Raw Score]],AVERAGE(tblY10[[4P01 - Energy
Raw Score]]),_xlfn.STDEV.P(tblY10[[4P01 - Energy
Raw Score]])),9),_Stanine,2),5),"")</f>
        <v>7</v>
      </c>
      <c r="T18" s="66" t="n">
        <v>32</v>
      </c>
      <c r="U18" s="67">
        <f>IF(ISNUMBER(tblY10[[#This Row],[4B02 - Organisation
Raw Score]]),IFERROR(VLOOKUP(ROUND(STANDARDIZE(tblY10[[#This Row],[4B02 - Organisation
Raw Score]],AVERAGE(tblY10[[4B02 - Organisation
Raw Score]]),_xlfn.STDEV.P(tblY10[[4B02 - Organisation
Raw Score]])),9),_Stanine,2),5),"")</f>
        <v>7</v>
      </c>
      <c r="V18" s="66" t="n">
        <v>30</v>
      </c>
      <c r="W18" s="67">
        <f>IF(ISNUMBER(tblY10[[#This Row],[4C02 - Bonding
Raw Score]]),IFERROR(VLOOKUP(ROUND(STANDARDIZE(tblY10[[#This Row],[4C02 - Bonding
Raw Score]],AVERAGE(tblY10[[4C02 - Bonding
Raw Score]]),_xlfn.STDEV.P(tblY10[[4C02 - Bonding
Raw Score]])),9),_Stanine,2),5),"")</f>
        <v>7</v>
      </c>
    </row>
    <row r="19">
      <c r="A19" s="65" t="inlineStr">
        <is>
          <t>X902836900160</t>
        </is>
      </c>
      <c r="B19" s="65" t="inlineStr">
        <is>
          <t>Nowak</t>
        </is>
      </c>
      <c r="C19" s="65" t="inlineStr">
        <is>
          <t>Nia</t>
        </is>
      </c>
      <c r="D19" s="66" t="inlineStr">
        <is>
          <t>F</t>
        </is>
      </c>
      <c r="E19" s="66" t="inlineStr">
        <is>
          <t>N</t>
        </is>
      </c>
      <c r="F19" s="66" t="inlineStr">
        <is>
          <t>N</t>
        </is>
      </c>
      <c r="G19" s="34" t="n">
        <v>86.7</v>
      </c>
      <c r="H19" s="34" t="n">
        <v>110.5</v>
      </c>
      <c r="I19" s="67">
        <f>IF(ISNUMBER(tblY10[[#This Row],[Avg KS2]]),IFERROR(VLOOKUP(ROUND(STANDARDIZE(tblY10[[#This Row],[Avg KS2]],AVERAGE(tblY10[[Avg KS2]]),_xlfn.STDEV.P(tblY10[[Avg KS2]])),9),_Stanine,2),5),"")</f>
        <v>7</v>
      </c>
      <c r="J19" s="66" t="inlineStr">
        <is>
          <t>10S/Sc1</t>
        </is>
      </c>
      <c r="K19" s="67">
        <f>IF(tblY10[[#This Row],[Preferred Last name]]="","",COUNTIFS($N$1:$ZZ$1,"*"&amp;CHAR(10)&amp;"Stanine",$N19:$ZZ19,"&gt;=1"))</f>
        <v>5</v>
      </c>
      <c r="L19" s="68">
        <f>IFERROR(AVERAGEIF($N$1:$ZZ$1,"*"&amp;CHAR(10)&amp;"Stanine",$N19:$ZZ19),"")</f>
        <v>7.2</v>
      </c>
      <c r="M19" s="69">
        <f>IF(AND(ISNUMBER(tblY10[[#This Row],[Mean Stanine]]),ISNUMBER(tblY10[[#This Row],[Avg KS2 Band]]),ISNUMBER(SlopeY10)),tblY10[[#This Row],[Mean Stanine]]-(InterceptY10+SlopeY10*tblY10[[#This Row],[Avg KS2 Band]]),"")</f>
        <v>0.631863286910814</v>
      </c>
      <c r="N19" s="66" t="n">
        <v>33</v>
      </c>
      <c r="O19" s="67">
        <f>IF(ISNUMBER(tblY10[[#This Row],[4B01 - Cell Biology
Raw Score]]),IFERROR(VLOOKUP(ROUND(STANDARDIZE(tblY10[[#This Row],[4B01 - Cell Biology
Raw Score]],AVERAGE(tblY10[[4B01 - Cell Biology
Raw Score]]),_xlfn.STDEV.P(tblY10[[4B01 - Cell Biology
Raw Score]])),9),_Stanine,2),5),"")</f>
        <v>8</v>
      </c>
      <c r="P19" s="66" t="n">
        <v>26</v>
      </c>
      <c r="Q19" s="67">
        <f>IF(ISNUMBER(tblY10[[#This Row],[4C01 - Atomic Structure
Raw Score]]),IFERROR(VLOOKUP(ROUND(STANDARDIZE(tblY10[[#This Row],[4C01 - Atomic Structure
Raw Score]],AVERAGE(tblY10[[4C01 - Atomic Structure
Raw Score]]),_xlfn.STDEV.P(tblY10[[4C01 - Atomic Structure
Raw Score]])),9),_Stanine,2),5),"")</f>
        <v>7</v>
      </c>
      <c r="R19" s="66" t="n">
        <v>24</v>
      </c>
      <c r="S19" s="67">
        <f>IF(ISNUMBER(tblY10[[#This Row],[4P01 - Energy
Raw Score]]),IFERROR(VLOOKUP(ROUND(STANDARDIZE(tblY10[[#This Row],[4P01 - Energy
Raw Score]],AVERAGE(tblY10[[4P01 - Energy
Raw Score]]),_xlfn.STDEV.P(tblY10[[4P01 - Energy
Raw Score]])),9),_Stanine,2),5),"")</f>
        <v>7</v>
      </c>
      <c r="T19" s="66" t="n">
        <v>32</v>
      </c>
      <c r="U19" s="67">
        <f>IF(ISNUMBER(tblY10[[#This Row],[4B02 - Organisation
Raw Score]]),IFERROR(VLOOKUP(ROUND(STANDARDIZE(tblY10[[#This Row],[4B02 - Organisation
Raw Score]],AVERAGE(tblY10[[4B02 - Organisation
Raw Score]]),_xlfn.STDEV.P(tblY10[[4B02 - Organisation
Raw Score]])),9),_Stanine,2),5),"")</f>
        <v>7</v>
      </c>
      <c r="V19" s="66" t="n">
        <v>32</v>
      </c>
      <c r="W19" s="67">
        <f>IF(ISNUMBER(tblY10[[#This Row],[4C02 - Bonding
Raw Score]]),IFERROR(VLOOKUP(ROUND(STANDARDIZE(tblY10[[#This Row],[4C02 - Bonding
Raw Score]],AVERAGE(tblY10[[4C02 - Bonding
Raw Score]]),_xlfn.STDEV.P(tblY10[[4C02 - Bonding
Raw Score]])),9),_Stanine,2),5),"")</f>
        <v>7</v>
      </c>
    </row>
    <row r="20">
      <c r="A20" s="65" t="inlineStr">
        <is>
          <t>X902041154321</t>
        </is>
      </c>
      <c r="B20" s="65" t="inlineStr">
        <is>
          <t>Okafor</t>
        </is>
      </c>
      <c r="C20" s="65" t="inlineStr">
        <is>
          <t>Lily</t>
        </is>
      </c>
      <c r="D20" s="66" t="inlineStr">
        <is>
          <t>F</t>
        </is>
      </c>
      <c r="E20" s="66" t="n"/>
      <c r="F20" s="66" t="inlineStr">
        <is>
          <t>N</t>
        </is>
      </c>
      <c r="G20" s="34" t="n">
        <v>100</v>
      </c>
      <c r="H20" s="34" t="n">
        <v>108.5</v>
      </c>
      <c r="I20" s="67">
        <f>IF(ISNUMBER(tblY10[[#This Row],[Avg KS2]]),IFERROR(VLOOKUP(ROUND(STANDARDIZE(tblY10[[#This Row],[Avg KS2]],AVERAGE(tblY10[[Avg KS2]]),_xlfn.STDEV.P(tblY10[[Avg KS2]])),9),_Stanine,2),5),"")</f>
        <v>7</v>
      </c>
      <c r="J20" s="66" t="inlineStr">
        <is>
          <t>10S/Sc1</t>
        </is>
      </c>
      <c r="K20" s="67">
        <f>IF(tblY10[[#This Row],[Preferred Last name]]="","",COUNTIFS($N$1:$ZZ$1,"*"&amp;CHAR(10)&amp;"Stanine",$N20:$ZZ20,"&gt;=1"))</f>
        <v>4</v>
      </c>
      <c r="L20" s="68">
        <f>IFERROR(AVERAGEIF($N$1:$ZZ$1,"*"&amp;CHAR(10)&amp;"Stanine",$N20:$ZZ20),"")</f>
        <v>5.5</v>
      </c>
      <c r="M20" s="69">
        <f>IF(AND(ISNUMBER(tblY10[[#This Row],[Mean Stanine]]),ISNUMBER(tblY10[[#This Row],[Avg KS2 Band]]),ISNUMBER(SlopeY10)),tblY10[[#This Row],[Mean Stanine]]-(InterceptY10+SlopeY10*tblY10[[#This Row],[Avg KS2 Band]]),"")</f>
        <v>-1.06813671308919</v>
      </c>
      <c r="N20" s="66" t="n">
        <v>23</v>
      </c>
      <c r="O20" s="67">
        <f>IF(ISNUMBER(tblY10[[#This Row],[4B01 - Cell Biology
Raw Score]]),IFERROR(VLOOKUP(ROUND(STANDARDIZE(tblY10[[#This Row],[4B01 - Cell Biology
Raw Score]],AVERAGE(tblY10[[4B01 - Cell Biology
Raw Score]]),_xlfn.STDEV.P(tblY10[[4B01 - Cell Biology
Raw Score]])),9),_Stanine,2),5),"")</f>
        <v>6</v>
      </c>
      <c r="P20" s="66" t="inlineStr">
        <is>
          <t>A</t>
        </is>
      </c>
      <c r="Q20" s="67" t="str">
        <f>IF(ISNUMBER(tblY10[[#This Row],[4C01 - Atomic Structure
Raw Score]]),IFERROR(VLOOKUP(ROUND(STANDARDIZE(tblY10[[#This Row],[4C01 - Atomic Structure
Raw Score]],AVERAGE(tblY10[[4C01 - Atomic Structure
Raw Score]]),_xlfn.STDEV.P(tblY10[[4C01 - Atomic Structure
Raw Score]])),9),_Stanine,2),5),"")</f>
        <v/>
      </c>
      <c r="R20" s="66" t="n">
        <v>15</v>
      </c>
      <c r="S20" s="67">
        <f>IF(ISNUMBER(tblY10[[#This Row],[4P01 - Energy
Raw Score]]),IFERROR(VLOOKUP(ROUND(STANDARDIZE(tblY10[[#This Row],[4P01 - Energy
Raw Score]],AVERAGE(tblY10[[4P01 - Energy
Raw Score]]),_xlfn.STDEV.P(tblY10[[4P01 - Energy
Raw Score]])),9),_Stanine,2),5),"")</f>
        <v>5</v>
      </c>
      <c r="T20" s="66" t="n">
        <v>23</v>
      </c>
      <c r="U20" s="67">
        <f>IF(ISNUMBER(tblY10[[#This Row],[4B02 - Organisation
Raw Score]]),IFERROR(VLOOKUP(ROUND(STANDARDIZE(tblY10[[#This Row],[4B02 - Organisation
Raw Score]],AVERAGE(tblY10[[4B02 - Organisation
Raw Score]]),_xlfn.STDEV.P(tblY10[[4B02 - Organisation
Raw Score]])),9),_Stanine,2),5),"")</f>
        <v>5</v>
      </c>
      <c r="V20" s="66" t="n">
        <v>27</v>
      </c>
      <c r="W20" s="67">
        <f>IF(ISNUMBER(tblY10[[#This Row],[4C02 - Bonding
Raw Score]]),IFERROR(VLOOKUP(ROUND(STANDARDIZE(tblY10[[#This Row],[4C02 - Bonding
Raw Score]],AVERAGE(tblY10[[4C02 - Bonding
Raw Score]]),_xlfn.STDEV.P(tblY10[[4C02 - Bonding
Raw Score]])),9),_Stanine,2),5),"")</f>
        <v>6</v>
      </c>
    </row>
    <row r="21">
      <c r="A21" s="65" t="inlineStr">
        <is>
          <t>X900311873658</t>
        </is>
      </c>
      <c r="B21" s="65" t="inlineStr">
        <is>
          <t>Pearson</t>
        </is>
      </c>
      <c r="C21" s="65" t="inlineStr">
        <is>
          <t>Poppy</t>
        </is>
      </c>
      <c r="D21" s="66" t="inlineStr">
        <is>
          <t>F</t>
        </is>
      </c>
      <c r="E21" s="66" t="inlineStr">
        <is>
          <t>K</t>
        </is>
      </c>
      <c r="F21" s="66" t="inlineStr">
        <is>
          <t>Y</t>
        </is>
      </c>
      <c r="G21" s="34" t="n">
        <v>94.3</v>
      </c>
      <c r="H21" s="34" t="n">
        <v>119</v>
      </c>
      <c r="I21" s="67">
        <f>IF(ISNUMBER(tblY10[[#This Row],[Avg KS2]]),IFERROR(VLOOKUP(ROUND(STANDARDIZE(tblY10[[#This Row],[Avg KS2]],AVERAGE(tblY10[[Avg KS2]]),_xlfn.STDEV.P(tblY10[[Avg KS2]])),9),_Stanine,2),5),"")</f>
        <v>9</v>
      </c>
      <c r="J21" s="66" t="inlineStr">
        <is>
          <t>10S/Sc1</t>
        </is>
      </c>
      <c r="K21" s="67">
        <f>IF(tblY10[[#This Row],[Preferred Last name]]="","",COUNTIFS($N$1:$ZZ$1,"*"&amp;CHAR(10)&amp;"Stanine",$N21:$ZZ21,"&gt;=1"))</f>
        <v>5</v>
      </c>
      <c r="L21" s="68">
        <f>IFERROR(AVERAGEIF($N$1:$ZZ$1,"*"&amp;CHAR(10)&amp;"Stanine",$N21:$ZZ21),"")</f>
        <v>7.2</v>
      </c>
      <c r="M21" s="69">
        <f>IF(AND(ISNUMBER(tblY10[[#This Row],[Mean Stanine]]),ISNUMBER(tblY10[[#This Row],[Avg KS2 Band]]),ISNUMBER(SlopeY10)),tblY10[[#This Row],[Mean Stanine]]-(InterceptY10+SlopeY10*tblY10[[#This Row],[Avg KS2 Band]]),"")</f>
        <v>-0.996141281654512</v>
      </c>
      <c r="N21" s="66" t="n">
        <v>28</v>
      </c>
      <c r="O21" s="67">
        <f>IF(ISNUMBER(tblY10[[#This Row],[4B01 - Cell Biology
Raw Score]]),IFERROR(VLOOKUP(ROUND(STANDARDIZE(tblY10[[#This Row],[4B01 - Cell Biology
Raw Score]],AVERAGE(tblY10[[4B01 - Cell Biology
Raw Score]]),_xlfn.STDEV.P(tblY10[[4B01 - Cell Biology
Raw Score]])),9),_Stanine,2),5),"")</f>
        <v>7</v>
      </c>
      <c r="P21" s="66" t="n">
        <v>28</v>
      </c>
      <c r="Q21" s="67">
        <f>IF(ISNUMBER(tblY10[[#This Row],[4C01 - Atomic Structure
Raw Score]]),IFERROR(VLOOKUP(ROUND(STANDARDIZE(tblY10[[#This Row],[4C01 - Atomic Structure
Raw Score]],AVERAGE(tblY10[[4C01 - Atomic Structure
Raw Score]]),_xlfn.STDEV.P(tblY10[[4C01 - Atomic Structure
Raw Score]])),9),_Stanine,2),5),"")</f>
        <v>8</v>
      </c>
      <c r="R21" s="66" t="n">
        <v>24</v>
      </c>
      <c r="S21" s="67">
        <f>IF(ISNUMBER(tblY10[[#This Row],[4P01 - Energy
Raw Score]]),IFERROR(VLOOKUP(ROUND(STANDARDIZE(tblY10[[#This Row],[4P01 - Energy
Raw Score]],AVERAGE(tblY10[[4P01 - Energy
Raw Score]]),_xlfn.STDEV.P(tblY10[[4P01 - Energy
Raw Score]])),9),_Stanine,2),5),"")</f>
        <v>7</v>
      </c>
      <c r="T21" s="66" t="n">
        <v>33</v>
      </c>
      <c r="U21" s="67">
        <f>IF(ISNUMBER(tblY10[[#This Row],[4B02 - Organisation
Raw Score]]),IFERROR(VLOOKUP(ROUND(STANDARDIZE(tblY10[[#This Row],[4B02 - Organisation
Raw Score]],AVERAGE(tblY10[[4B02 - Organisation
Raw Score]]),_xlfn.STDEV.P(tblY10[[4B02 - Organisation
Raw Score]])),9),_Stanine,2),5),"")</f>
        <v>7</v>
      </c>
      <c r="V21" s="66" t="n">
        <v>30</v>
      </c>
      <c r="W21" s="67">
        <f>IF(ISNUMBER(tblY10[[#This Row],[4C02 - Bonding
Raw Score]]),IFERROR(VLOOKUP(ROUND(STANDARDIZE(tblY10[[#This Row],[4C02 - Bonding
Raw Score]],AVERAGE(tblY10[[4C02 - Bonding
Raw Score]]),_xlfn.STDEV.P(tblY10[[4C02 - Bonding
Raw Score]])),9),_Stanine,2),5),"")</f>
        <v>7</v>
      </c>
    </row>
    <row r="22">
      <c r="A22" s="65" t="inlineStr">
        <is>
          <t>X900000892357</t>
        </is>
      </c>
      <c r="B22" s="65" t="inlineStr">
        <is>
          <t>Roberts</t>
        </is>
      </c>
      <c r="C22" s="65" t="inlineStr">
        <is>
          <t>Mia</t>
        </is>
      </c>
      <c r="D22" s="66" t="inlineStr">
        <is>
          <t>F</t>
        </is>
      </c>
      <c r="E22" s="66" t="inlineStr">
        <is>
          <t>N</t>
        </is>
      </c>
      <c r="F22" s="66" t="inlineStr">
        <is>
          <t>Y</t>
        </is>
      </c>
      <c r="G22" s="34" t="n">
        <v>95.40000000000001</v>
      </c>
      <c r="H22" s="34" t="n">
        <v>111</v>
      </c>
      <c r="I22" s="67">
        <f>IF(ISNUMBER(tblY10[[#This Row],[Avg KS2]]),IFERROR(VLOOKUP(ROUND(STANDARDIZE(tblY10[[#This Row],[Avg KS2]],AVERAGE(tblY10[[Avg KS2]]),_xlfn.STDEV.P(tblY10[[Avg KS2]])),9),_Stanine,2),5),"")</f>
        <v>7</v>
      </c>
      <c r="J22" s="66" t="inlineStr">
        <is>
          <t>10S/Sc1</t>
        </is>
      </c>
      <c r="K22" s="67">
        <f>IF(tblY10[[#This Row],[Preferred Last name]]="","",COUNTIFS($N$1:$ZZ$1,"*"&amp;CHAR(10)&amp;"Stanine",$N22:$ZZ22,"&gt;=1"))</f>
        <v>5</v>
      </c>
      <c r="L22" s="68">
        <f>IFERROR(AVERAGEIF($N$1:$ZZ$1,"*"&amp;CHAR(10)&amp;"Stanine",$N22:$ZZ22),"")</f>
        <v>7.8</v>
      </c>
      <c r="M22" s="69">
        <f>IF(AND(ISNUMBER(tblY10[[#This Row],[Mean Stanine]]),ISNUMBER(tblY10[[#This Row],[Avg KS2 Band]]),ISNUMBER(SlopeY10)),tblY10[[#This Row],[Mean Stanine]]-(InterceptY10+SlopeY10*tblY10[[#This Row],[Avg KS2 Band]]),"")</f>
        <v>1.23186328691081</v>
      </c>
      <c r="N22" s="66" t="n">
        <v>34</v>
      </c>
      <c r="O22" s="67">
        <f>IF(ISNUMBER(tblY10[[#This Row],[4B01 - Cell Biology
Raw Score]]),IFERROR(VLOOKUP(ROUND(STANDARDIZE(tblY10[[#This Row],[4B01 - Cell Biology
Raw Score]],AVERAGE(tblY10[[4B01 - Cell Biology
Raw Score]]),_xlfn.STDEV.P(tblY10[[4B01 - Cell Biology
Raw Score]])),9),_Stanine,2),5),"")</f>
        <v>8</v>
      </c>
      <c r="P22" s="66" t="n">
        <v>25</v>
      </c>
      <c r="Q22" s="67">
        <f>IF(ISNUMBER(tblY10[[#This Row],[4C01 - Atomic Structure
Raw Score]]),IFERROR(VLOOKUP(ROUND(STANDARDIZE(tblY10[[#This Row],[4C01 - Atomic Structure
Raw Score]],AVERAGE(tblY10[[4C01 - Atomic Structure
Raw Score]]),_xlfn.STDEV.P(tblY10[[4C01 - Atomic Structure
Raw Score]])),9),_Stanine,2),5),"")</f>
        <v>7</v>
      </c>
      <c r="R22" s="66" t="n">
        <v>31</v>
      </c>
      <c r="S22" s="67">
        <f>IF(ISNUMBER(tblY10[[#This Row],[4P01 - Energy
Raw Score]]),IFERROR(VLOOKUP(ROUND(STANDARDIZE(tblY10[[#This Row],[4P01 - Energy
Raw Score]],AVERAGE(tblY10[[4P01 - Energy
Raw Score]]),_xlfn.STDEV.P(tblY10[[4P01 - Energy
Raw Score]])),9),_Stanine,2),5),"")</f>
        <v>9</v>
      </c>
      <c r="T22" s="66" t="n">
        <v>37</v>
      </c>
      <c r="U22" s="67">
        <f>IF(ISNUMBER(tblY10[[#This Row],[4B02 - Organisation
Raw Score]]),IFERROR(VLOOKUP(ROUND(STANDARDIZE(tblY10[[#This Row],[4B02 - Organisation
Raw Score]],AVERAGE(tblY10[[4B02 - Organisation
Raw Score]]),_xlfn.STDEV.P(tblY10[[4B02 - Organisation
Raw Score]])),9),_Stanine,2),5),"")</f>
        <v>8</v>
      </c>
      <c r="V22" s="66" t="n">
        <v>31</v>
      </c>
      <c r="W22" s="67">
        <f>IF(ISNUMBER(tblY10[[#This Row],[4C02 - Bonding
Raw Score]]),IFERROR(VLOOKUP(ROUND(STANDARDIZE(tblY10[[#This Row],[4C02 - Bonding
Raw Score]],AVERAGE(tblY10[[4C02 - Bonding
Raw Score]]),_xlfn.STDEV.P(tblY10[[4C02 - Bonding
Raw Score]])),9),_Stanine,2),5),"")</f>
        <v>7</v>
      </c>
    </row>
    <row r="23">
      <c r="A23" s="65" t="inlineStr">
        <is>
          <t>X904159096817</t>
        </is>
      </c>
      <c r="B23" s="65" t="inlineStr">
        <is>
          <t>Shaw</t>
        </is>
      </c>
      <c r="C23" s="65" t="inlineStr">
        <is>
          <t>Grace</t>
        </is>
      </c>
      <c r="D23" s="66" t="inlineStr">
        <is>
          <t>F</t>
        </is>
      </c>
      <c r="E23" s="66" t="n"/>
      <c r="F23" s="66" t="inlineStr">
        <is>
          <t>N</t>
        </is>
      </c>
      <c r="G23" s="34" t="n">
        <v>87.90000000000001</v>
      </c>
      <c r="H23" s="34" t="n">
        <v>109.5</v>
      </c>
      <c r="I23" s="67">
        <f>IF(ISNUMBER(tblY10[[#This Row],[Avg KS2]]),IFERROR(VLOOKUP(ROUND(STANDARDIZE(tblY10[[#This Row],[Avg KS2]],AVERAGE(tblY10[[Avg KS2]]),_xlfn.STDEV.P(tblY10[[Avg KS2]])),9),_Stanine,2),5),"")</f>
        <v>7</v>
      </c>
      <c r="J23" s="66" t="inlineStr">
        <is>
          <t>10S/Sc1</t>
        </is>
      </c>
      <c r="K23" s="67">
        <f>IF(tblY10[[#This Row],[Preferred Last name]]="","",COUNTIFS($N$1:$ZZ$1,"*"&amp;CHAR(10)&amp;"Stanine",$N23:$ZZ23,"&gt;=1"))</f>
        <v>4</v>
      </c>
      <c r="L23" s="68">
        <f>IFERROR(AVERAGEIF($N$1:$ZZ$1,"*"&amp;CHAR(10)&amp;"Stanine",$N23:$ZZ23),"")</f>
        <v>7.25</v>
      </c>
      <c r="M23" s="69">
        <f>IF(AND(ISNUMBER(tblY10[[#This Row],[Mean Stanine]]),ISNUMBER(tblY10[[#This Row],[Avg KS2 Band]]),ISNUMBER(SlopeY10)),tblY10[[#This Row],[Mean Stanine]]-(InterceptY10+SlopeY10*tblY10[[#This Row],[Avg KS2 Band]]),"")</f>
        <v>0.681863286910814</v>
      </c>
      <c r="N23" s="66" t="n">
        <v>32</v>
      </c>
      <c r="O23" s="67">
        <f>IF(ISNUMBER(tblY10[[#This Row],[4B01 - Cell Biology
Raw Score]]),IFERROR(VLOOKUP(ROUND(STANDARDIZE(tblY10[[#This Row],[4B01 - Cell Biology
Raw Score]],AVERAGE(tblY10[[4B01 - Cell Biology
Raw Score]]),_xlfn.STDEV.P(tblY10[[4B01 - Cell Biology
Raw Score]])),9),_Stanine,2),5),"")</f>
        <v>8</v>
      </c>
      <c r="P23" s="66" t="inlineStr">
        <is>
          <t>A</t>
        </is>
      </c>
      <c r="Q23" s="67" t="str">
        <f>IF(ISNUMBER(tblY10[[#This Row],[4C01 - Atomic Structure
Raw Score]]),IFERROR(VLOOKUP(ROUND(STANDARDIZE(tblY10[[#This Row],[4C01 - Atomic Structure
Raw Score]],AVERAGE(tblY10[[4C01 - Atomic Structure
Raw Score]]),_xlfn.STDEV.P(tblY10[[4C01 - Atomic Structure
Raw Score]])),9),_Stanine,2),5),"")</f>
        <v/>
      </c>
      <c r="R23" s="66" t="n">
        <v>22</v>
      </c>
      <c r="S23" s="67">
        <f>IF(ISNUMBER(tblY10[[#This Row],[4P01 - Energy
Raw Score]]),IFERROR(VLOOKUP(ROUND(STANDARDIZE(tblY10[[#This Row],[4P01 - Energy
Raw Score]],AVERAGE(tblY10[[4P01 - Energy
Raw Score]]),_xlfn.STDEV.P(tblY10[[4P01 - Energy
Raw Score]])),9),_Stanine,2),5),"")</f>
        <v>7</v>
      </c>
      <c r="T23" s="66" t="n">
        <v>31</v>
      </c>
      <c r="U23" s="67">
        <f>IF(ISNUMBER(tblY10[[#This Row],[4B02 - Organisation
Raw Score]]),IFERROR(VLOOKUP(ROUND(STANDARDIZE(tblY10[[#This Row],[4B02 - Organisation
Raw Score]],AVERAGE(tblY10[[4B02 - Organisation
Raw Score]]),_xlfn.STDEV.P(tblY10[[4B02 - Organisation
Raw Score]])),9),_Stanine,2),5),"")</f>
        <v>7</v>
      </c>
      <c r="V23" s="66" t="n">
        <v>31</v>
      </c>
      <c r="W23" s="67">
        <f>IF(ISNUMBER(tblY10[[#This Row],[4C02 - Bonding
Raw Score]]),IFERROR(VLOOKUP(ROUND(STANDARDIZE(tblY10[[#This Row],[4C02 - Bonding
Raw Score]],AVERAGE(tblY10[[4C02 - Bonding
Raw Score]]),_xlfn.STDEV.P(tblY10[[4C02 - Bonding
Raw Score]])),9),_Stanine,2),5),"")</f>
        <v>7</v>
      </c>
    </row>
    <row r="24">
      <c r="A24" s="65" t="inlineStr">
        <is>
          <t>X909088698332</t>
        </is>
      </c>
      <c r="B24" s="65" t="inlineStr">
        <is>
          <t>Thompson</t>
        </is>
      </c>
      <c r="C24" s="65" t="inlineStr">
        <is>
          <t>Maisie</t>
        </is>
      </c>
      <c r="D24" s="66" t="inlineStr">
        <is>
          <t>F</t>
        </is>
      </c>
      <c r="E24" s="66" t="n"/>
      <c r="F24" s="66" t="inlineStr">
        <is>
          <t>N</t>
        </is>
      </c>
      <c r="G24" s="34" t="n">
        <v>94.7</v>
      </c>
      <c r="H24" s="34" t="n">
        <v>115</v>
      </c>
      <c r="I24" s="67">
        <f>IF(ISNUMBER(tblY10[[#This Row],[Avg KS2]]),IFERROR(VLOOKUP(ROUND(STANDARDIZE(tblY10[[#This Row],[Avg KS2]],AVERAGE(tblY10[[Avg KS2]]),_xlfn.STDEV.P(tblY10[[Avg KS2]])),9),_Stanine,2),5),"")</f>
        <v>9</v>
      </c>
      <c r="J24" s="66" t="inlineStr">
        <is>
          <t>10S/Sc1</t>
        </is>
      </c>
      <c r="K24" s="67">
        <f>IF(tblY10[[#This Row],[Preferred Last name]]="","",COUNTIFS($N$1:$ZZ$1,"*"&amp;CHAR(10)&amp;"Stanine",$N24:$ZZ24,"&gt;=1"))</f>
        <v>5</v>
      </c>
      <c r="L24" s="68">
        <f>IFERROR(AVERAGEIF($N$1:$ZZ$1,"*"&amp;CHAR(10)&amp;"Stanine",$N24:$ZZ24),"")</f>
        <v>8</v>
      </c>
      <c r="M24" s="69">
        <f>IF(AND(ISNUMBER(tblY10[[#This Row],[Mean Stanine]]),ISNUMBER(tblY10[[#This Row],[Avg KS2 Band]]),ISNUMBER(SlopeY10)),tblY10[[#This Row],[Mean Stanine]]-(InterceptY10+SlopeY10*tblY10[[#This Row],[Avg KS2 Band]]),"")</f>
        <v>-0.196141281654512</v>
      </c>
      <c r="N24" s="66" t="n">
        <v>34</v>
      </c>
      <c r="O24" s="67">
        <f>IF(ISNUMBER(tblY10[[#This Row],[4B01 - Cell Biology
Raw Score]]),IFERROR(VLOOKUP(ROUND(STANDARDIZE(tblY10[[#This Row],[4B01 - Cell Biology
Raw Score]],AVERAGE(tblY10[[4B01 - Cell Biology
Raw Score]]),_xlfn.STDEV.P(tblY10[[4B01 - Cell Biology
Raw Score]])),9),_Stanine,2),5),"")</f>
        <v>8</v>
      </c>
      <c r="P24" s="66" t="n">
        <v>28</v>
      </c>
      <c r="Q24" s="67">
        <f>IF(ISNUMBER(tblY10[[#This Row],[4C01 - Atomic Structure
Raw Score]]),IFERROR(VLOOKUP(ROUND(STANDARDIZE(tblY10[[#This Row],[4C01 - Atomic Structure
Raw Score]],AVERAGE(tblY10[[4C01 - Atomic Structure
Raw Score]]),_xlfn.STDEV.P(tblY10[[4C01 - Atomic Structure
Raw Score]])),9),_Stanine,2),5),"")</f>
        <v>8</v>
      </c>
      <c r="R24" s="66" t="n">
        <v>29</v>
      </c>
      <c r="S24" s="67">
        <f>IF(ISNUMBER(tblY10[[#This Row],[4P01 - Energy
Raw Score]]),IFERROR(VLOOKUP(ROUND(STANDARDIZE(tblY10[[#This Row],[4P01 - Energy
Raw Score]],AVERAGE(tblY10[[4P01 - Energy
Raw Score]]),_xlfn.STDEV.P(tblY10[[4P01 - Energy
Raw Score]])),9),_Stanine,2),5),"")</f>
        <v>8</v>
      </c>
      <c r="T24" s="66" t="n">
        <v>37</v>
      </c>
      <c r="U24" s="67">
        <f>IF(ISNUMBER(tblY10[[#This Row],[4B02 - Organisation
Raw Score]]),IFERROR(VLOOKUP(ROUND(STANDARDIZE(tblY10[[#This Row],[4B02 - Organisation
Raw Score]],AVERAGE(tblY10[[4B02 - Organisation
Raw Score]]),_xlfn.STDEV.P(tblY10[[4B02 - Organisation
Raw Score]])),9),_Stanine,2),5),"")</f>
        <v>8</v>
      </c>
      <c r="V24" s="66" t="n">
        <v>33</v>
      </c>
      <c r="W24" s="67">
        <f>IF(ISNUMBER(tblY10[[#This Row],[4C02 - Bonding
Raw Score]]),IFERROR(VLOOKUP(ROUND(STANDARDIZE(tblY10[[#This Row],[4C02 - Bonding
Raw Score]],AVERAGE(tblY10[[4C02 - Bonding
Raw Score]]),_xlfn.STDEV.P(tblY10[[4C02 - Bonding
Raw Score]])),9),_Stanine,2),5),"")</f>
        <v>8</v>
      </c>
    </row>
    <row r="25">
      <c r="A25" s="65" t="inlineStr">
        <is>
          <t>X902149512803</t>
        </is>
      </c>
      <c r="B25" s="65" t="inlineStr">
        <is>
          <t>White</t>
        </is>
      </c>
      <c r="C25" s="65" t="inlineStr">
        <is>
          <t>Finley</t>
        </is>
      </c>
      <c r="D25" s="66" t="inlineStr">
        <is>
          <t>M</t>
        </is>
      </c>
      <c r="E25" s="66" t="inlineStr">
        <is>
          <t>K</t>
        </is>
      </c>
      <c r="F25" s="66" t="inlineStr">
        <is>
          <t>Y</t>
        </is>
      </c>
      <c r="G25" s="34" t="n">
        <v>84.8</v>
      </c>
      <c r="H25" s="34" t="n">
        <v>109</v>
      </c>
      <c r="I25" s="67">
        <f>IF(ISNUMBER(tblY10[[#This Row],[Avg KS2]]),IFERROR(VLOOKUP(ROUND(STANDARDIZE(tblY10[[#This Row],[Avg KS2]],AVERAGE(tblY10[[Avg KS2]]),_xlfn.STDEV.P(tblY10[[Avg KS2]])),9),_Stanine,2),5),"")</f>
        <v>7</v>
      </c>
      <c r="J25" s="66" t="inlineStr">
        <is>
          <t>10S/Sc1</t>
        </is>
      </c>
      <c r="K25" s="67">
        <f>IF(tblY10[[#This Row],[Preferred Last name]]="","",COUNTIFS($N$1:$ZZ$1,"*"&amp;CHAR(10)&amp;"Stanine",$N25:$ZZ25,"&gt;=1"))</f>
        <v>5</v>
      </c>
      <c r="L25" s="68">
        <f>IFERROR(AVERAGEIF($N$1:$ZZ$1,"*"&amp;CHAR(10)&amp;"Stanine",$N25:$ZZ25),"")</f>
        <v>7.8</v>
      </c>
      <c r="M25" s="69">
        <f>IF(AND(ISNUMBER(tblY10[[#This Row],[Mean Stanine]]),ISNUMBER(tblY10[[#This Row],[Avg KS2 Band]]),ISNUMBER(SlopeY10)),tblY10[[#This Row],[Mean Stanine]]-(InterceptY10+SlopeY10*tblY10[[#This Row],[Avg KS2 Band]]),"")</f>
        <v>1.23186328691081</v>
      </c>
      <c r="N25" s="66" t="n">
        <v>30</v>
      </c>
      <c r="O25" s="67">
        <f>IF(ISNUMBER(tblY10[[#This Row],[4B01 - Cell Biology
Raw Score]]),IFERROR(VLOOKUP(ROUND(STANDARDIZE(tblY10[[#This Row],[4B01 - Cell Biology
Raw Score]],AVERAGE(tblY10[[4B01 - Cell Biology
Raw Score]]),_xlfn.STDEV.P(tblY10[[4B01 - Cell Biology
Raw Score]])),9),_Stanine,2),5),"")</f>
        <v>7</v>
      </c>
      <c r="P25" s="66" t="n">
        <v>32</v>
      </c>
      <c r="Q25" s="67">
        <f>IF(ISNUMBER(tblY10[[#This Row],[4C01 - Atomic Structure
Raw Score]]),IFERROR(VLOOKUP(ROUND(STANDARDIZE(tblY10[[#This Row],[4C01 - Atomic Structure
Raw Score]],AVERAGE(tblY10[[4C01 - Atomic Structure
Raw Score]]),_xlfn.STDEV.P(tblY10[[4C01 - Atomic Structure
Raw Score]])),9),_Stanine,2),5),"")</f>
        <v>8</v>
      </c>
      <c r="R25" s="66" t="n">
        <v>29</v>
      </c>
      <c r="S25" s="67">
        <f>IF(ISNUMBER(tblY10[[#This Row],[4P01 - Energy
Raw Score]]),IFERROR(VLOOKUP(ROUND(STANDARDIZE(tblY10[[#This Row],[4P01 - Energy
Raw Score]],AVERAGE(tblY10[[4P01 - Energy
Raw Score]]),_xlfn.STDEV.P(tblY10[[4P01 - Energy
Raw Score]])),9),_Stanine,2),5),"")</f>
        <v>8</v>
      </c>
      <c r="T25" s="66" t="n">
        <v>36</v>
      </c>
      <c r="U25" s="67">
        <f>IF(ISNUMBER(tblY10[[#This Row],[4B02 - Organisation
Raw Score]]),IFERROR(VLOOKUP(ROUND(STANDARDIZE(tblY10[[#This Row],[4B02 - Organisation
Raw Score]],AVERAGE(tblY10[[4B02 - Organisation
Raw Score]]),_xlfn.STDEV.P(tblY10[[4B02 - Organisation
Raw Score]])),9),_Stanine,2),5),"")</f>
        <v>8</v>
      </c>
      <c r="V25" s="66" t="n">
        <v>34</v>
      </c>
      <c r="W25" s="67">
        <f>IF(ISNUMBER(tblY10[[#This Row],[4C02 - Bonding
Raw Score]]),IFERROR(VLOOKUP(ROUND(STANDARDIZE(tblY10[[#This Row],[4C02 - Bonding
Raw Score]],AVERAGE(tblY10[[4C02 - Bonding
Raw Score]]),_xlfn.STDEV.P(tblY10[[4C02 - Bonding
Raw Score]])),9),_Stanine,2),5),"")</f>
        <v>8</v>
      </c>
    </row>
    <row r="26">
      <c r="A26" s="65" t="inlineStr">
        <is>
          <t>X902639974147</t>
        </is>
      </c>
      <c r="B26" s="65" t="inlineStr">
        <is>
          <t>White</t>
        </is>
      </c>
      <c r="C26" s="65" t="inlineStr">
        <is>
          <t>Lewis</t>
        </is>
      </c>
      <c r="D26" s="66" t="inlineStr">
        <is>
          <t>M</t>
        </is>
      </c>
      <c r="E26" s="66" t="inlineStr">
        <is>
          <t>N</t>
        </is>
      </c>
      <c r="F26" s="66" t="inlineStr">
        <is>
          <t>N</t>
        </is>
      </c>
      <c r="G26" s="34" t="n">
        <v>88.8</v>
      </c>
      <c r="H26" s="34" t="n">
        <v>98.5</v>
      </c>
      <c r="I26" s="67">
        <f>IF(ISNUMBER(tblY10[[#This Row],[Avg KS2]]),IFERROR(VLOOKUP(ROUND(STANDARDIZE(tblY10[[#This Row],[Avg KS2]],AVERAGE(tblY10[[Avg KS2]]),_xlfn.STDEV.P(tblY10[[Avg KS2]])),9),_Stanine,2),5),"")</f>
        <v>4</v>
      </c>
      <c r="J26" s="66" t="inlineStr">
        <is>
          <t>10S/Sc1</t>
        </is>
      </c>
      <c r="K26" s="67">
        <f>IF(tblY10[[#This Row],[Preferred Last name]]="","",COUNTIFS($N$1:$ZZ$1,"*"&amp;CHAR(10)&amp;"Stanine",$N26:$ZZ26,"&gt;=1"))</f>
        <v>5</v>
      </c>
      <c r="L26" s="68">
        <f>IFERROR(AVERAGEIF($N$1:$ZZ$1,"*"&amp;CHAR(10)&amp;"Stanine",$N26:$ZZ26),"")</f>
        <v>3.6</v>
      </c>
      <c r="M26" s="69">
        <f>IF(AND(ISNUMBER(tblY10[[#This Row],[Mean Stanine]]),ISNUMBER(tblY10[[#This Row],[Avg KS2 Band]]),ISNUMBER(SlopeY10)),tblY10[[#This Row],[Mean Stanine]]-(InterceptY10+SlopeY10*tblY10[[#This Row],[Avg KS2 Band]]),"")</f>
        <v>-0.526129860241199</v>
      </c>
      <c r="N26" s="66" t="n">
        <v>14</v>
      </c>
      <c r="O26" s="67">
        <f>IF(ISNUMBER(tblY10[[#This Row],[4B01 - Cell Biology
Raw Score]]),IFERROR(VLOOKUP(ROUND(STANDARDIZE(tblY10[[#This Row],[4B01 - Cell Biology
Raw Score]],AVERAGE(tblY10[[4B01 - Cell Biology
Raw Score]]),_xlfn.STDEV.P(tblY10[[4B01 - Cell Biology
Raw Score]])),9),_Stanine,2),5),"")</f>
        <v>4</v>
      </c>
      <c r="P26" s="66" t="n">
        <v>10</v>
      </c>
      <c r="Q26" s="67">
        <f>IF(ISNUMBER(tblY10[[#This Row],[4C01 - Atomic Structure
Raw Score]]),IFERROR(VLOOKUP(ROUND(STANDARDIZE(tblY10[[#This Row],[4C01 - Atomic Structure
Raw Score]],AVERAGE(tblY10[[4C01 - Atomic Structure
Raw Score]]),_xlfn.STDEV.P(tblY10[[4C01 - Atomic Structure
Raw Score]])),9),_Stanine,2),5),"")</f>
        <v>3</v>
      </c>
      <c r="R26" s="66" t="n">
        <v>9</v>
      </c>
      <c r="S26" s="67">
        <f>IF(ISNUMBER(tblY10[[#This Row],[4P01 - Energy
Raw Score]]),IFERROR(VLOOKUP(ROUND(STANDARDIZE(tblY10[[#This Row],[4P01 - Energy
Raw Score]],AVERAGE(tblY10[[4P01 - Energy
Raw Score]]),_xlfn.STDEV.P(tblY10[[4P01 - Energy
Raw Score]])),9),_Stanine,2),5),"")</f>
        <v>3</v>
      </c>
      <c r="T26" s="66" t="n">
        <v>12</v>
      </c>
      <c r="U26" s="67">
        <f>IF(ISNUMBER(tblY10[[#This Row],[4B02 - Organisation
Raw Score]]),IFERROR(VLOOKUP(ROUND(STANDARDIZE(tblY10[[#This Row],[4B02 - Organisation
Raw Score]],AVERAGE(tblY10[[4B02 - Organisation
Raw Score]]),_xlfn.STDEV.P(tblY10[[4B02 - Organisation
Raw Score]])),9),_Stanine,2),5),"")</f>
        <v>3</v>
      </c>
      <c r="V26" s="66" t="n">
        <v>20</v>
      </c>
      <c r="W26" s="67">
        <f>IF(ISNUMBER(tblY10[[#This Row],[4C02 - Bonding
Raw Score]]),IFERROR(VLOOKUP(ROUND(STANDARDIZE(tblY10[[#This Row],[4C02 - Bonding
Raw Score]],AVERAGE(tblY10[[4C02 - Bonding
Raw Score]]),_xlfn.STDEV.P(tblY10[[4C02 - Bonding
Raw Score]])),9),_Stanine,2),5),"")</f>
        <v>5</v>
      </c>
    </row>
    <row r="27">
      <c r="A27" s="65" t="inlineStr">
        <is>
          <t>X902326845046</t>
        </is>
      </c>
      <c r="B27" s="65" t="inlineStr">
        <is>
          <t>Wilson</t>
        </is>
      </c>
      <c r="C27" s="65" t="inlineStr">
        <is>
          <t>Freya</t>
        </is>
      </c>
      <c r="D27" s="66" t="inlineStr">
        <is>
          <t>M</t>
        </is>
      </c>
      <c r="E27" s="66" t="inlineStr">
        <is>
          <t>N</t>
        </is>
      </c>
      <c r="F27" s="66" t="inlineStr">
        <is>
          <t>N</t>
        </is>
      </c>
      <c r="G27" s="34" t="n">
        <v>88.90000000000001</v>
      </c>
      <c r="H27" s="34" t="n">
        <v>109</v>
      </c>
      <c r="I27" s="67">
        <f>IF(ISNUMBER(tblY10[[#This Row],[Avg KS2]]),IFERROR(VLOOKUP(ROUND(STANDARDIZE(tblY10[[#This Row],[Avg KS2]],AVERAGE(tblY10[[Avg KS2]]),_xlfn.STDEV.P(tblY10[[Avg KS2]])),9),_Stanine,2),5),"")</f>
        <v>7</v>
      </c>
      <c r="J27" s="66" t="inlineStr">
        <is>
          <t>10S/Sc1</t>
        </is>
      </c>
      <c r="K27" s="67">
        <f>IF(tblY10[[#This Row],[Preferred Last name]]="","",COUNTIFS($N$1:$ZZ$1,"*"&amp;CHAR(10)&amp;"Stanine",$N27:$ZZ27,"&gt;=1"))</f>
        <v>5</v>
      </c>
      <c r="L27" s="68">
        <f>IFERROR(AVERAGEIF($N$1:$ZZ$1,"*"&amp;CHAR(10)&amp;"Stanine",$N27:$ZZ27),"")</f>
        <v>7.8</v>
      </c>
      <c r="M27" s="69">
        <f>IF(AND(ISNUMBER(tblY10[[#This Row],[Mean Stanine]]),ISNUMBER(tblY10[[#This Row],[Avg KS2 Band]]),ISNUMBER(SlopeY10)),tblY10[[#This Row],[Mean Stanine]]-(InterceptY10+SlopeY10*tblY10[[#This Row],[Avg KS2 Band]]),"")</f>
        <v>1.23186328691081</v>
      </c>
      <c r="N27" s="66" t="n">
        <v>32</v>
      </c>
      <c r="O27" s="67">
        <f>IF(ISNUMBER(tblY10[[#This Row],[4B01 - Cell Biology
Raw Score]]),IFERROR(VLOOKUP(ROUND(STANDARDIZE(tblY10[[#This Row],[4B01 - Cell Biology
Raw Score]],AVERAGE(tblY10[[4B01 - Cell Biology
Raw Score]]),_xlfn.STDEV.P(tblY10[[4B01 - Cell Biology
Raw Score]])),9),_Stanine,2),5),"")</f>
        <v>8</v>
      </c>
      <c r="P27" s="66" t="n">
        <v>30</v>
      </c>
      <c r="Q27" s="67">
        <f>IF(ISNUMBER(tblY10[[#This Row],[4C01 - Atomic Structure
Raw Score]]),IFERROR(VLOOKUP(ROUND(STANDARDIZE(tblY10[[#This Row],[4C01 - Atomic Structure
Raw Score]],AVERAGE(tblY10[[4C01 - Atomic Structure
Raw Score]]),_xlfn.STDEV.P(tblY10[[4C01 - Atomic Structure
Raw Score]])),9),_Stanine,2),5),"")</f>
        <v>8</v>
      </c>
      <c r="R27" s="66" t="n">
        <v>28</v>
      </c>
      <c r="S27" s="67">
        <f>IF(ISNUMBER(tblY10[[#This Row],[4P01 - Energy
Raw Score]]),IFERROR(VLOOKUP(ROUND(STANDARDIZE(tblY10[[#This Row],[4P01 - Energy
Raw Score]],AVERAGE(tblY10[[4P01 - Energy
Raw Score]]),_xlfn.STDEV.P(tblY10[[4P01 - Energy
Raw Score]])),9),_Stanine,2),5),"")</f>
        <v>8</v>
      </c>
      <c r="T27" s="66" t="n">
        <v>32</v>
      </c>
      <c r="U27" s="67">
        <f>IF(ISNUMBER(tblY10[[#This Row],[4B02 - Organisation
Raw Score]]),IFERROR(VLOOKUP(ROUND(STANDARDIZE(tblY10[[#This Row],[4B02 - Organisation
Raw Score]],AVERAGE(tblY10[[4B02 - Organisation
Raw Score]]),_xlfn.STDEV.P(tblY10[[4B02 - Organisation
Raw Score]])),9),_Stanine,2),5),"")</f>
        <v>7</v>
      </c>
      <c r="V27" s="66" t="n">
        <v>33</v>
      </c>
      <c r="W27" s="67">
        <f>IF(ISNUMBER(tblY10[[#This Row],[4C02 - Bonding
Raw Score]]),IFERROR(VLOOKUP(ROUND(STANDARDIZE(tblY10[[#This Row],[4C02 - Bonding
Raw Score]],AVERAGE(tblY10[[4C02 - Bonding
Raw Score]]),_xlfn.STDEV.P(tblY10[[4C02 - Bonding
Raw Score]])),9),_Stanine,2),5),"")</f>
        <v>8</v>
      </c>
    </row>
    <row r="28">
      <c r="A28" s="65" t="inlineStr">
        <is>
          <t>X908575238434</t>
        </is>
      </c>
      <c r="B28" s="65" t="inlineStr">
        <is>
          <t>Wood</t>
        </is>
      </c>
      <c r="C28" s="65" t="inlineStr">
        <is>
          <t>Evie</t>
        </is>
      </c>
      <c r="D28" s="66" t="inlineStr">
        <is>
          <t>M</t>
        </is>
      </c>
      <c r="E28" s="66" t="n"/>
      <c r="F28" s="66" t="inlineStr">
        <is>
          <t>Y</t>
        </is>
      </c>
      <c r="G28" s="34" t="n">
        <v>78.3</v>
      </c>
      <c r="H28" s="34" t="n">
        <v>101.5</v>
      </c>
      <c r="I28" s="67">
        <f>IF(ISNUMBER(tblY10[[#This Row],[Avg KS2]]),IFERROR(VLOOKUP(ROUND(STANDARDIZE(tblY10[[#This Row],[Avg KS2]],AVERAGE(tblY10[[Avg KS2]]),_xlfn.STDEV.P(tblY10[[Avg KS2]])),9),_Stanine,2),5),"")</f>
        <v>4</v>
      </c>
      <c r="J28" s="66" t="inlineStr">
        <is>
          <t>10S/Sc1</t>
        </is>
      </c>
      <c r="K28" s="67">
        <f>IF(tblY10[[#This Row],[Preferred Last name]]="","",COUNTIFS($N$1:$ZZ$1,"*"&amp;CHAR(10)&amp;"Stanine",$N28:$ZZ28,"&gt;=1"))</f>
        <v>5</v>
      </c>
      <c r="L28" s="68">
        <f>IFERROR(AVERAGEIF($N$1:$ZZ$1,"*"&amp;CHAR(10)&amp;"Stanine",$N28:$ZZ28),"")</f>
        <v>5</v>
      </c>
      <c r="M28" s="69">
        <f>IF(AND(ISNUMBER(tblY10[[#This Row],[Mean Stanine]]),ISNUMBER(tblY10[[#This Row],[Avg KS2 Band]]),ISNUMBER(SlopeY10)),tblY10[[#This Row],[Mean Stanine]]-(InterceptY10+SlopeY10*tblY10[[#This Row],[Avg KS2 Band]]),"")</f>
        <v>0.873870139758801</v>
      </c>
      <c r="N28" s="66" t="n">
        <v>18</v>
      </c>
      <c r="O28" s="67">
        <f>IF(ISNUMBER(tblY10[[#This Row],[4B01 - Cell Biology
Raw Score]]),IFERROR(VLOOKUP(ROUND(STANDARDIZE(tblY10[[#This Row],[4B01 - Cell Biology
Raw Score]],AVERAGE(tblY10[[4B01 - Cell Biology
Raw Score]]),_xlfn.STDEV.P(tblY10[[4B01 - Cell Biology
Raw Score]])),9),_Stanine,2),5),"")</f>
        <v>5</v>
      </c>
      <c r="P28" s="66" t="n">
        <v>19</v>
      </c>
      <c r="Q28" s="67">
        <f>IF(ISNUMBER(tblY10[[#This Row],[4C01 - Atomic Structure
Raw Score]]),IFERROR(VLOOKUP(ROUND(STANDARDIZE(tblY10[[#This Row],[4C01 - Atomic Structure
Raw Score]],AVERAGE(tblY10[[4C01 - Atomic Structure
Raw Score]]),_xlfn.STDEV.P(tblY10[[4C01 - Atomic Structure
Raw Score]])),9),_Stanine,2),5),"")</f>
        <v>5</v>
      </c>
      <c r="R28" s="66" t="n">
        <v>14</v>
      </c>
      <c r="S28" s="67">
        <f>IF(ISNUMBER(tblY10[[#This Row],[4P01 - Energy
Raw Score]]),IFERROR(VLOOKUP(ROUND(STANDARDIZE(tblY10[[#This Row],[4P01 - Energy
Raw Score]],AVERAGE(tblY10[[4P01 - Energy
Raw Score]]),_xlfn.STDEV.P(tblY10[[4P01 - Energy
Raw Score]])),9),_Stanine,2),5),"")</f>
        <v>5</v>
      </c>
      <c r="T28" s="66" t="n">
        <v>25</v>
      </c>
      <c r="U28" s="67">
        <f>IF(ISNUMBER(tblY10[[#This Row],[4B02 - Organisation
Raw Score]]),IFERROR(VLOOKUP(ROUND(STANDARDIZE(tblY10[[#This Row],[4B02 - Organisation
Raw Score]],AVERAGE(tblY10[[4B02 - Organisation
Raw Score]]),_xlfn.STDEV.P(tblY10[[4B02 - Organisation
Raw Score]])),9),_Stanine,2),5),"")</f>
        <v>6</v>
      </c>
      <c r="V28" s="66" t="n">
        <v>17</v>
      </c>
      <c r="W28" s="67">
        <f>IF(ISNUMBER(tblY10[[#This Row],[4C02 - Bonding
Raw Score]]),IFERROR(VLOOKUP(ROUND(STANDARDIZE(tblY10[[#This Row],[4C02 - Bonding
Raw Score]],AVERAGE(tblY10[[4C02 - Bonding
Raw Score]]),_xlfn.STDEV.P(tblY10[[4C02 - Bonding
Raw Score]])),9),_Stanine,2),5),"")</f>
        <v>4</v>
      </c>
    </row>
    <row r="29">
      <c r="A29" s="65" t="inlineStr">
        <is>
          <t>X909548981232</t>
        </is>
      </c>
      <c r="B29" s="65" t="inlineStr">
        <is>
          <t>Wright</t>
        </is>
      </c>
      <c r="C29" s="65" t="inlineStr">
        <is>
          <t>Niamh</t>
        </is>
      </c>
      <c r="D29" s="66" t="inlineStr">
        <is>
          <t>M</t>
        </is>
      </c>
      <c r="E29" s="66" t="inlineStr">
        <is>
          <t>N</t>
        </is>
      </c>
      <c r="F29" s="66" t="inlineStr">
        <is>
          <t>Y</t>
        </is>
      </c>
      <c r="G29" s="34" t="n">
        <v>87.09999999999999</v>
      </c>
      <c r="H29" s="34" t="n">
        <v>117.5</v>
      </c>
      <c r="I29" s="67">
        <f>IF(ISNUMBER(tblY10[[#This Row],[Avg KS2]]),IFERROR(VLOOKUP(ROUND(STANDARDIZE(tblY10[[#This Row],[Avg KS2]],AVERAGE(tblY10[[Avg KS2]]),_xlfn.STDEV.P(tblY10[[Avg KS2]])),9),_Stanine,2),5),"")</f>
        <v>9</v>
      </c>
      <c r="J29" s="66" t="inlineStr">
        <is>
          <t>10S/Sc1</t>
        </is>
      </c>
      <c r="K29" s="67">
        <f>IF(tblY10[[#This Row],[Preferred Last name]]="","",COUNTIFS($N$1:$ZZ$1,"*"&amp;CHAR(10)&amp;"Stanine",$N29:$ZZ29,"&gt;=1"))</f>
        <v>5</v>
      </c>
      <c r="L29" s="68">
        <f>IFERROR(AVERAGEIF($N$1:$ZZ$1,"*"&amp;CHAR(10)&amp;"Stanine",$N29:$ZZ29),"")</f>
        <v>7.6</v>
      </c>
      <c r="M29" s="69">
        <f>IF(AND(ISNUMBER(tblY10[[#This Row],[Mean Stanine]]),ISNUMBER(tblY10[[#This Row],[Avg KS2 Band]]),ISNUMBER(SlopeY10)),tblY10[[#This Row],[Mean Stanine]]-(InterceptY10+SlopeY10*tblY10[[#This Row],[Avg KS2 Band]]),"")</f>
        <v>-0.596141281654512</v>
      </c>
      <c r="N29" s="66" t="n">
        <v>31</v>
      </c>
      <c r="O29" s="67">
        <f>IF(ISNUMBER(tblY10[[#This Row],[4B01 - Cell Biology
Raw Score]]),IFERROR(VLOOKUP(ROUND(STANDARDIZE(tblY10[[#This Row],[4B01 - Cell Biology
Raw Score]],AVERAGE(tblY10[[4B01 - Cell Biology
Raw Score]]),_xlfn.STDEV.P(tblY10[[4B01 - Cell Biology
Raw Score]])),9),_Stanine,2),5),"")</f>
        <v>7</v>
      </c>
      <c r="P29" s="66" t="n">
        <v>31</v>
      </c>
      <c r="Q29" s="67">
        <f>IF(ISNUMBER(tblY10[[#This Row],[4C01 - Atomic Structure
Raw Score]]),IFERROR(VLOOKUP(ROUND(STANDARDIZE(tblY10[[#This Row],[4C01 - Atomic Structure
Raw Score]],AVERAGE(tblY10[[4C01 - Atomic Structure
Raw Score]]),_xlfn.STDEV.P(tblY10[[4C01 - Atomic Structure
Raw Score]])),9),_Stanine,2),5),"")</f>
        <v>8</v>
      </c>
      <c r="R29" s="66" t="n">
        <v>29</v>
      </c>
      <c r="S29" s="67">
        <f>IF(ISNUMBER(tblY10[[#This Row],[4P01 - Energy
Raw Score]]),IFERROR(VLOOKUP(ROUND(STANDARDIZE(tblY10[[#This Row],[4P01 - Energy
Raw Score]],AVERAGE(tblY10[[4P01 - Energy
Raw Score]]),_xlfn.STDEV.P(tblY10[[4P01 - Energy
Raw Score]])),9),_Stanine,2),5),"")</f>
        <v>8</v>
      </c>
      <c r="T29" s="66" t="n">
        <v>33</v>
      </c>
      <c r="U29" s="67">
        <f>IF(ISNUMBER(tblY10[[#This Row],[4B02 - Organisation
Raw Score]]),IFERROR(VLOOKUP(ROUND(STANDARDIZE(tblY10[[#This Row],[4B02 - Organisation
Raw Score]],AVERAGE(tblY10[[4B02 - Organisation
Raw Score]]),_xlfn.STDEV.P(tblY10[[4B02 - Organisation
Raw Score]])),9),_Stanine,2),5),"")</f>
        <v>7</v>
      </c>
      <c r="V29" s="66" t="n">
        <v>35</v>
      </c>
      <c r="W29" s="67">
        <f>IF(ISNUMBER(tblY10[[#This Row],[4C02 - Bonding
Raw Score]]),IFERROR(VLOOKUP(ROUND(STANDARDIZE(tblY10[[#This Row],[4C02 - Bonding
Raw Score]],AVERAGE(tblY10[[4C02 - Bonding
Raw Score]]),_xlfn.STDEV.P(tblY10[[4C02 - Bonding
Raw Score]])),9),_Stanine,2),5),"")</f>
        <v>8</v>
      </c>
    </row>
    <row r="30">
      <c r="A30" s="65" t="inlineStr">
        <is>
          <t>X901363005942</t>
        </is>
      </c>
      <c r="B30" s="65" t="inlineStr">
        <is>
          <t>Wright</t>
        </is>
      </c>
      <c r="C30" s="65" t="inlineStr">
        <is>
          <t>Zara</t>
        </is>
      </c>
      <c r="D30" s="66" t="inlineStr">
        <is>
          <t>F</t>
        </is>
      </c>
      <c r="E30" s="66" t="inlineStr">
        <is>
          <t>K</t>
        </is>
      </c>
      <c r="F30" s="66" t="inlineStr">
        <is>
          <t>N</t>
        </is>
      </c>
      <c r="G30" s="34" t="n">
        <v>88.7</v>
      </c>
      <c r="H30" s="34" t="n">
        <v>116</v>
      </c>
      <c r="I30" s="67">
        <f>IF(ISNUMBER(tblY10[[#This Row],[Avg KS2]]),IFERROR(VLOOKUP(ROUND(STANDARDIZE(tblY10[[#This Row],[Avg KS2]],AVERAGE(tblY10[[Avg KS2]]),_xlfn.STDEV.P(tblY10[[Avg KS2]])),9),_Stanine,2),5),"")</f>
        <v>9</v>
      </c>
      <c r="J30" s="66" t="inlineStr">
        <is>
          <t>10S/Sc1</t>
        </is>
      </c>
      <c r="K30" s="67">
        <f>IF(tblY10[[#This Row],[Preferred Last name]]="","",COUNTIFS($N$1:$ZZ$1,"*"&amp;CHAR(10)&amp;"Stanine",$N30:$ZZ30,"&gt;=1"))</f>
        <v>5</v>
      </c>
      <c r="L30" s="68">
        <f>IFERROR(AVERAGEIF($N$1:$ZZ$1,"*"&amp;CHAR(10)&amp;"Stanine",$N30:$ZZ30),"")</f>
        <v>8</v>
      </c>
      <c r="M30" s="69">
        <f>IF(AND(ISNUMBER(tblY10[[#This Row],[Mean Stanine]]),ISNUMBER(tblY10[[#This Row],[Avg KS2 Band]]),ISNUMBER(SlopeY10)),tblY10[[#This Row],[Mean Stanine]]-(InterceptY10+SlopeY10*tblY10[[#This Row],[Avg KS2 Band]]),"")</f>
        <v>-0.196141281654512</v>
      </c>
      <c r="N30" s="66" t="n">
        <v>33</v>
      </c>
      <c r="O30" s="67">
        <f>IF(ISNUMBER(tblY10[[#This Row],[4B01 - Cell Biology
Raw Score]]),IFERROR(VLOOKUP(ROUND(STANDARDIZE(tblY10[[#This Row],[4B01 - Cell Biology
Raw Score]],AVERAGE(tblY10[[4B01 - Cell Biology
Raw Score]]),_xlfn.STDEV.P(tblY10[[4B01 - Cell Biology
Raw Score]])),9),_Stanine,2),5),"")</f>
        <v>8</v>
      </c>
      <c r="P30" s="66" t="n">
        <v>31</v>
      </c>
      <c r="Q30" s="67">
        <f>IF(ISNUMBER(tblY10[[#This Row],[4C01 - Atomic Structure
Raw Score]]),IFERROR(VLOOKUP(ROUND(STANDARDIZE(tblY10[[#This Row],[4C01 - Atomic Structure
Raw Score]],AVERAGE(tblY10[[4C01 - Atomic Structure
Raw Score]]),_xlfn.STDEV.P(tblY10[[4C01 - Atomic Structure
Raw Score]])),9),_Stanine,2),5),"")</f>
        <v>8</v>
      </c>
      <c r="R30" s="66" t="n">
        <v>28</v>
      </c>
      <c r="S30" s="67">
        <f>IF(ISNUMBER(tblY10[[#This Row],[4P01 - Energy
Raw Score]]),IFERROR(VLOOKUP(ROUND(STANDARDIZE(tblY10[[#This Row],[4P01 - Energy
Raw Score]],AVERAGE(tblY10[[4P01 - Energy
Raw Score]]),_xlfn.STDEV.P(tblY10[[4P01 - Energy
Raw Score]])),9),_Stanine,2),5),"")</f>
        <v>8</v>
      </c>
      <c r="T30" s="66" t="n">
        <v>35</v>
      </c>
      <c r="U30" s="67">
        <f>IF(ISNUMBER(tblY10[[#This Row],[4B02 - Organisation
Raw Score]]),IFERROR(VLOOKUP(ROUND(STANDARDIZE(tblY10[[#This Row],[4B02 - Organisation
Raw Score]],AVERAGE(tblY10[[4B02 - Organisation
Raw Score]]),_xlfn.STDEV.P(tblY10[[4B02 - Organisation
Raw Score]])),9),_Stanine,2),5),"")</f>
        <v>8</v>
      </c>
      <c r="V30" s="66" t="n">
        <v>35</v>
      </c>
      <c r="W30" s="67">
        <f>IF(ISNUMBER(tblY10[[#This Row],[4C02 - Bonding
Raw Score]]),IFERROR(VLOOKUP(ROUND(STANDARDIZE(tblY10[[#This Row],[4C02 - Bonding
Raw Score]],AVERAGE(tblY10[[4C02 - Bonding
Raw Score]]),_xlfn.STDEV.P(tblY10[[4C02 - Bonding
Raw Score]])),9),_Stanine,2),5),"")</f>
        <v>8</v>
      </c>
    </row>
    <row r="31">
      <c r="A31" s="65" t="inlineStr">
        <is>
          <t>X907433397755</t>
        </is>
      </c>
      <c r="B31" s="65" t="inlineStr">
        <is>
          <t>Barker</t>
        </is>
      </c>
      <c r="C31" s="65" t="inlineStr">
        <is>
          <t>Alfie</t>
        </is>
      </c>
      <c r="D31" s="66" t="inlineStr">
        <is>
          <t>F</t>
        </is>
      </c>
      <c r="E31" s="66" t="inlineStr">
        <is>
          <t>N</t>
        </is>
      </c>
      <c r="F31" s="66" t="inlineStr">
        <is>
          <t>N</t>
        </is>
      </c>
      <c r="G31" s="34" t="n">
        <v>100</v>
      </c>
      <c r="H31" s="34" t="n">
        <v>103</v>
      </c>
      <c r="I31" s="67">
        <f>IF(ISNUMBER(tblY10[[#This Row],[Avg KS2]]),IFERROR(VLOOKUP(ROUND(STANDARDIZE(tblY10[[#This Row],[Avg KS2]],AVERAGE(tblY10[[Avg KS2]]),_xlfn.STDEV.P(tblY10[[Avg KS2]])),9),_Stanine,2),5),"")</f>
        <v>5</v>
      </c>
      <c r="J31" s="66" t="inlineStr">
        <is>
          <t>10S/Sc2</t>
        </is>
      </c>
      <c r="K31" s="67">
        <f>IF(tblY10[[#This Row],[Preferred Last name]]="","",COUNTIFS($N$1:$ZZ$1,"*"&amp;CHAR(10)&amp;"Stanine",$N31:$ZZ31,"&gt;=1"))</f>
        <v>4</v>
      </c>
      <c r="L31" s="68">
        <f>IFERROR(AVERAGEIF($N$1:$ZZ$1,"*"&amp;CHAR(10)&amp;"Stanine",$N31:$ZZ31),"")</f>
        <v>4.5</v>
      </c>
      <c r="M31" s="69">
        <f>IF(AND(ISNUMBER(tblY10[[#This Row],[Mean Stanine]]),ISNUMBER(tblY10[[#This Row],[Avg KS2 Band]]),ISNUMBER(SlopeY10)),tblY10[[#This Row],[Mean Stanine]]-(InterceptY10+SlopeY10*tblY10[[#This Row],[Avg KS2 Band]]),"")</f>
        <v>-0.440132144523862</v>
      </c>
      <c r="N31" s="66" t="n">
        <v>16</v>
      </c>
      <c r="O31" s="67">
        <f>IF(ISNUMBER(tblY10[[#This Row],[4B01 - Cell Biology
Raw Score]]),IFERROR(VLOOKUP(ROUND(STANDARDIZE(tblY10[[#This Row],[4B01 - Cell Biology
Raw Score]],AVERAGE(tblY10[[4B01 - Cell Biology
Raw Score]]),_xlfn.STDEV.P(tblY10[[4B01 - Cell Biology
Raw Score]])),9),_Stanine,2),5),"")</f>
        <v>4</v>
      </c>
      <c r="P31" s="66" t="n">
        <v>15</v>
      </c>
      <c r="Q31" s="67">
        <f>IF(ISNUMBER(tblY10[[#This Row],[4C01 - Atomic Structure
Raw Score]]),IFERROR(VLOOKUP(ROUND(STANDARDIZE(tblY10[[#This Row],[4C01 - Atomic Structure
Raw Score]],AVERAGE(tblY10[[4C01 - Atomic Structure
Raw Score]]),_xlfn.STDEV.P(tblY10[[4C01 - Atomic Structure
Raw Score]])),9),_Stanine,2),5),"")</f>
        <v>4</v>
      </c>
      <c r="R31" s="66" t="n">
        <v>14</v>
      </c>
      <c r="S31" s="67">
        <f>IF(ISNUMBER(tblY10[[#This Row],[4P01 - Energy
Raw Score]]),IFERROR(VLOOKUP(ROUND(STANDARDIZE(tblY10[[#This Row],[4P01 - Energy
Raw Score]],AVERAGE(tblY10[[4P01 - Energy
Raw Score]]),_xlfn.STDEV.P(tblY10[[4P01 - Energy
Raw Score]])),9),_Stanine,2),5),"")</f>
        <v>5</v>
      </c>
      <c r="T31" s="66" t="n">
        <v>23</v>
      </c>
      <c r="U31" s="67">
        <f>IF(ISNUMBER(tblY10[[#This Row],[4B02 - Organisation
Raw Score]]),IFERROR(VLOOKUP(ROUND(STANDARDIZE(tblY10[[#This Row],[4B02 - Organisation
Raw Score]],AVERAGE(tblY10[[4B02 - Organisation
Raw Score]]),_xlfn.STDEV.P(tblY10[[4B02 - Organisation
Raw Score]])),9),_Stanine,2),5),"")</f>
        <v>5</v>
      </c>
      <c r="V31" s="66" t="n"/>
      <c r="W31" s="67" t="str">
        <f>IF(ISNUMBER(tblY10[[#This Row],[4C02 - Bonding
Raw Score]]),IFERROR(VLOOKUP(ROUND(STANDARDIZE(tblY10[[#This Row],[4C02 - Bonding
Raw Score]],AVERAGE(tblY10[[4C02 - Bonding
Raw Score]]),_xlfn.STDEV.P(tblY10[[4C02 - Bonding
Raw Score]])),9),_Stanine,2),5),"")</f>
        <v/>
      </c>
    </row>
    <row r="32">
      <c r="A32" s="65" t="inlineStr">
        <is>
          <t>X902984406046</t>
        </is>
      </c>
      <c r="B32" s="65" t="inlineStr">
        <is>
          <t>Barker</t>
        </is>
      </c>
      <c r="C32" s="65" t="inlineStr">
        <is>
          <t>Evie</t>
        </is>
      </c>
      <c r="D32" s="66" t="inlineStr">
        <is>
          <t>F</t>
        </is>
      </c>
      <c r="E32" s="66" t="n"/>
      <c r="F32" s="66" t="inlineStr">
        <is>
          <t>N</t>
        </is>
      </c>
      <c r="G32" s="34" t="n">
        <v>87.90000000000001</v>
      </c>
      <c r="H32" s="34" t="n">
        <v>100</v>
      </c>
      <c r="I32" s="67">
        <f>IF(ISNUMBER(tblY10[[#This Row],[Avg KS2]]),IFERROR(VLOOKUP(ROUND(STANDARDIZE(tblY10[[#This Row],[Avg KS2]],AVERAGE(tblY10[[Avg KS2]]),_xlfn.STDEV.P(tblY10[[Avg KS2]])),9),_Stanine,2),5),"")</f>
        <v>4</v>
      </c>
      <c r="J32" s="66" t="inlineStr">
        <is>
          <t>10S/Sc2</t>
        </is>
      </c>
      <c r="K32" s="67">
        <f>IF(tblY10[[#This Row],[Preferred Last name]]="","",COUNTIFS($N$1:$ZZ$1,"*"&amp;CHAR(10)&amp;"Stanine",$N32:$ZZ32,"&gt;=1"))</f>
        <v>3</v>
      </c>
      <c r="L32" s="68">
        <f>IFERROR(AVERAGEIF($N$1:$ZZ$1,"*"&amp;CHAR(10)&amp;"Stanine",$N32:$ZZ32),"")</f>
        <v>2.66666666666667</v>
      </c>
      <c r="M32" s="69">
        <f>IF(AND(ISNUMBER(tblY10[[#This Row],[Mean Stanine]]),ISNUMBER(tblY10[[#This Row],[Avg KS2 Band]]),ISNUMBER(SlopeY10)),tblY10[[#This Row],[Mean Stanine]]-(InterceptY10+SlopeY10*tblY10[[#This Row],[Avg KS2 Band]]),"")</f>
        <v>-1.45946319357453</v>
      </c>
      <c r="N32" s="66" t="n">
        <v>8</v>
      </c>
      <c r="O32" s="67">
        <f>IF(ISNUMBER(tblY10[[#This Row],[4B01 - Cell Biology
Raw Score]]),IFERROR(VLOOKUP(ROUND(STANDARDIZE(tblY10[[#This Row],[4B01 - Cell Biology
Raw Score]],AVERAGE(tblY10[[4B01 - Cell Biology
Raw Score]]),_xlfn.STDEV.P(tblY10[[4B01 - Cell Biology
Raw Score]])),9),_Stanine,2),5),"")</f>
        <v>2</v>
      </c>
      <c r="P32" s="66" t="n">
        <v>6</v>
      </c>
      <c r="Q32" s="67">
        <f>IF(ISNUMBER(tblY10[[#This Row],[4C01 - Atomic Structure
Raw Score]]),IFERROR(VLOOKUP(ROUND(STANDARDIZE(tblY10[[#This Row],[4C01 - Atomic Structure
Raw Score]],AVERAGE(tblY10[[4C01 - Atomic Structure
Raw Score]]),_xlfn.STDEV.P(tblY10[[4C01 - Atomic Structure
Raw Score]])),9),_Stanine,2),5),"")</f>
        <v>2</v>
      </c>
      <c r="R32" s="66" t="n">
        <v>10</v>
      </c>
      <c r="S32" s="67">
        <f>IF(ISNUMBER(tblY10[[#This Row],[4P01 - Energy
Raw Score]]),IFERROR(VLOOKUP(ROUND(STANDARDIZE(tblY10[[#This Row],[4P01 - Energy
Raw Score]],AVERAGE(tblY10[[4P01 - Energy
Raw Score]]),_xlfn.STDEV.P(tblY10[[4P01 - Energy
Raw Score]])),9),_Stanine,2),5),"")</f>
        <v>4</v>
      </c>
      <c r="T32" s="66" t="inlineStr">
        <is>
          <t>A</t>
        </is>
      </c>
      <c r="U32" s="67" t="str">
        <f>IF(ISNUMBER(tblY10[[#This Row],[4B02 - Organisation
Raw Score]]),IFERROR(VLOOKUP(ROUND(STANDARDIZE(tblY10[[#This Row],[4B02 - Organisation
Raw Score]],AVERAGE(tblY10[[4B02 - Organisation
Raw Score]]),_xlfn.STDEV.P(tblY10[[4B02 - Organisation
Raw Score]])),9),_Stanine,2),5),"")</f>
        <v/>
      </c>
      <c r="V32" s="66" t="n"/>
      <c r="W32" s="67" t="str">
        <f>IF(ISNUMBER(tblY10[[#This Row],[4C02 - Bonding
Raw Score]]),IFERROR(VLOOKUP(ROUND(STANDARDIZE(tblY10[[#This Row],[4C02 - Bonding
Raw Score]],AVERAGE(tblY10[[4C02 - Bonding
Raw Score]]),_xlfn.STDEV.P(tblY10[[4C02 - Bonding
Raw Score]])),9),_Stanine,2),5),"")</f>
        <v/>
      </c>
    </row>
    <row r="33">
      <c r="A33" s="65" t="inlineStr">
        <is>
          <t>X906652329619</t>
        </is>
      </c>
      <c r="B33" s="65" t="inlineStr">
        <is>
          <t>Barker</t>
        </is>
      </c>
      <c r="C33" s="65" t="inlineStr">
        <is>
          <t>Poppy</t>
        </is>
      </c>
      <c r="D33" s="66" t="inlineStr">
        <is>
          <t>M</t>
        </is>
      </c>
      <c r="E33" s="66" t="inlineStr">
        <is>
          <t>N</t>
        </is>
      </c>
      <c r="F33" s="66" t="inlineStr">
        <is>
          <t>N</t>
        </is>
      </c>
      <c r="G33" s="34" t="n">
        <v>92.09999999999999</v>
      </c>
      <c r="H33" s="34" t="n">
        <v>106.5</v>
      </c>
      <c r="I33" s="67">
        <f>IF(ISNUMBER(tblY10[[#This Row],[Avg KS2]]),IFERROR(VLOOKUP(ROUND(STANDARDIZE(tblY10[[#This Row],[Avg KS2]],AVERAGE(tblY10[[Avg KS2]]),_xlfn.STDEV.P(tblY10[[Avg KS2]])),9),_Stanine,2),5),"")</f>
        <v>6</v>
      </c>
      <c r="J33" s="66" t="inlineStr">
        <is>
          <t>10S/Sc2</t>
        </is>
      </c>
      <c r="K33" s="67">
        <f>IF(tblY10[[#This Row],[Preferred Last name]]="","",COUNTIFS($N$1:$ZZ$1,"*"&amp;CHAR(10)&amp;"Stanine",$N33:$ZZ33,"&gt;=1"))</f>
        <v>4</v>
      </c>
      <c r="L33" s="68">
        <f>IFERROR(AVERAGEIF($N$1:$ZZ$1,"*"&amp;CHAR(10)&amp;"Stanine",$N33:$ZZ33),"")</f>
        <v>6</v>
      </c>
      <c r="M33" s="69">
        <f>IF(AND(ISNUMBER(tblY10[[#This Row],[Mean Stanine]]),ISNUMBER(tblY10[[#This Row],[Avg KS2 Band]]),ISNUMBER(SlopeY10)),tblY10[[#This Row],[Mean Stanine]]-(InterceptY10+SlopeY10*tblY10[[#This Row],[Avg KS2 Band]]),"")</f>
        <v>0.245865571193477</v>
      </c>
      <c r="N33" s="66" t="n">
        <v>25</v>
      </c>
      <c r="O33" s="67">
        <f>IF(ISNUMBER(tblY10[[#This Row],[4B01 - Cell Biology
Raw Score]]),IFERROR(VLOOKUP(ROUND(STANDARDIZE(tblY10[[#This Row],[4B01 - Cell Biology
Raw Score]],AVERAGE(tblY10[[4B01 - Cell Biology
Raw Score]]),_xlfn.STDEV.P(tblY10[[4B01 - Cell Biology
Raw Score]])),9),_Stanine,2),5),"")</f>
        <v>6</v>
      </c>
      <c r="P33" s="66" t="n">
        <v>22</v>
      </c>
      <c r="Q33" s="67">
        <f>IF(ISNUMBER(tblY10[[#This Row],[4C01 - Atomic Structure
Raw Score]]),IFERROR(VLOOKUP(ROUND(STANDARDIZE(tblY10[[#This Row],[4C01 - Atomic Structure
Raw Score]],AVERAGE(tblY10[[4C01 - Atomic Structure
Raw Score]]),_xlfn.STDEV.P(tblY10[[4C01 - Atomic Structure
Raw Score]])),9),_Stanine,2),5),"")</f>
        <v>6</v>
      </c>
      <c r="R33" s="66" t="n">
        <v>20</v>
      </c>
      <c r="S33" s="67">
        <f>IF(ISNUMBER(tblY10[[#This Row],[4P01 - Energy
Raw Score]]),IFERROR(VLOOKUP(ROUND(STANDARDIZE(tblY10[[#This Row],[4P01 - Energy
Raw Score]],AVERAGE(tblY10[[4P01 - Energy
Raw Score]]),_xlfn.STDEV.P(tblY10[[4P01 - Energy
Raw Score]])),9),_Stanine,2),5),"")</f>
        <v>6</v>
      </c>
      <c r="T33" s="66" t="n">
        <v>28</v>
      </c>
      <c r="U33" s="67">
        <f>IF(ISNUMBER(tblY10[[#This Row],[4B02 - Organisation
Raw Score]]),IFERROR(VLOOKUP(ROUND(STANDARDIZE(tblY10[[#This Row],[4B02 - Organisation
Raw Score]],AVERAGE(tblY10[[4B02 - Organisation
Raw Score]]),_xlfn.STDEV.P(tblY10[[4B02 - Organisation
Raw Score]])),9),_Stanine,2),5),"")</f>
        <v>6</v>
      </c>
      <c r="V33" s="66" t="n"/>
      <c r="W33" s="67" t="str">
        <f>IF(ISNUMBER(tblY10[[#This Row],[4C02 - Bonding
Raw Score]]),IFERROR(VLOOKUP(ROUND(STANDARDIZE(tblY10[[#This Row],[4C02 - Bonding
Raw Score]],AVERAGE(tblY10[[4C02 - Bonding
Raw Score]]),_xlfn.STDEV.P(tblY10[[4C02 - Bonding
Raw Score]])),9),_Stanine,2),5),"")</f>
        <v/>
      </c>
    </row>
    <row r="34">
      <c r="A34" s="65" t="inlineStr">
        <is>
          <t>X900461098892</t>
        </is>
      </c>
      <c r="B34" s="65" t="inlineStr">
        <is>
          <t>Barker</t>
        </is>
      </c>
      <c r="C34" s="65" t="inlineStr">
        <is>
          <t>Rosie</t>
        </is>
      </c>
      <c r="D34" s="66" t="inlineStr">
        <is>
          <t>F</t>
        </is>
      </c>
      <c r="E34" s="66" t="inlineStr">
        <is>
          <t>N</t>
        </is>
      </c>
      <c r="F34" s="66" t="inlineStr">
        <is>
          <t>N</t>
        </is>
      </c>
      <c r="G34" s="34" t="n">
        <v>100</v>
      </c>
      <c r="H34" s="34" t="n">
        <v>106</v>
      </c>
      <c r="I34" s="67">
        <f>IF(ISNUMBER(tblY10[[#This Row],[Avg KS2]]),IFERROR(VLOOKUP(ROUND(STANDARDIZE(tblY10[[#This Row],[Avg KS2]],AVERAGE(tblY10[[Avg KS2]]),_xlfn.STDEV.P(tblY10[[Avg KS2]])),9),_Stanine,2),5),"")</f>
        <v>6</v>
      </c>
      <c r="J34" s="66" t="inlineStr">
        <is>
          <t>10S/Sc2</t>
        </is>
      </c>
      <c r="K34" s="67">
        <f>IF(tblY10[[#This Row],[Preferred Last name]]="","",COUNTIFS($N$1:$ZZ$1,"*"&amp;CHAR(10)&amp;"Stanine",$N34:$ZZ34,"&gt;=1"))</f>
        <v>4</v>
      </c>
      <c r="L34" s="68">
        <f>IFERROR(AVERAGEIF($N$1:$ZZ$1,"*"&amp;CHAR(10)&amp;"Stanine",$N34:$ZZ34),"")</f>
        <v>6</v>
      </c>
      <c r="M34" s="69">
        <f>IF(AND(ISNUMBER(tblY10[[#This Row],[Mean Stanine]]),ISNUMBER(tblY10[[#This Row],[Avg KS2 Band]]),ISNUMBER(SlopeY10)),tblY10[[#This Row],[Mean Stanine]]-(InterceptY10+SlopeY10*tblY10[[#This Row],[Avg KS2 Band]]),"")</f>
        <v>0.245865571193477</v>
      </c>
      <c r="N34" s="66" t="n">
        <v>27</v>
      </c>
      <c r="O34" s="67">
        <f>IF(ISNUMBER(tblY10[[#This Row],[4B01 - Cell Biology
Raw Score]]),IFERROR(VLOOKUP(ROUND(STANDARDIZE(tblY10[[#This Row],[4B01 - Cell Biology
Raw Score]],AVERAGE(tblY10[[4B01 - Cell Biology
Raw Score]]),_xlfn.STDEV.P(tblY10[[4B01 - Cell Biology
Raw Score]])),9),_Stanine,2),5),"")</f>
        <v>7</v>
      </c>
      <c r="P34" s="66" t="n">
        <v>20</v>
      </c>
      <c r="Q34" s="67">
        <f>IF(ISNUMBER(tblY10[[#This Row],[4C01 - Atomic Structure
Raw Score]]),IFERROR(VLOOKUP(ROUND(STANDARDIZE(tblY10[[#This Row],[4C01 - Atomic Structure
Raw Score]],AVERAGE(tblY10[[4C01 - Atomic Structure
Raw Score]]),_xlfn.STDEV.P(tblY10[[4C01 - Atomic Structure
Raw Score]])),9),_Stanine,2),5),"")</f>
        <v>6</v>
      </c>
      <c r="R34" s="66" t="n">
        <v>17</v>
      </c>
      <c r="S34" s="67">
        <f>IF(ISNUMBER(tblY10[[#This Row],[4P01 - Energy
Raw Score]]),IFERROR(VLOOKUP(ROUND(STANDARDIZE(tblY10[[#This Row],[4P01 - Energy
Raw Score]],AVERAGE(tblY10[[4P01 - Energy
Raw Score]]),_xlfn.STDEV.P(tblY10[[4P01 - Energy
Raw Score]])),9),_Stanine,2),5),"")</f>
        <v>5</v>
      </c>
      <c r="T34" s="66" t="n">
        <v>25</v>
      </c>
      <c r="U34" s="67">
        <f>IF(ISNUMBER(tblY10[[#This Row],[4B02 - Organisation
Raw Score]]),IFERROR(VLOOKUP(ROUND(STANDARDIZE(tblY10[[#This Row],[4B02 - Organisation
Raw Score]],AVERAGE(tblY10[[4B02 - Organisation
Raw Score]]),_xlfn.STDEV.P(tblY10[[4B02 - Organisation
Raw Score]])),9),_Stanine,2),5),"")</f>
        <v>6</v>
      </c>
      <c r="V34" s="66" t="n"/>
      <c r="W34" s="67" t="str">
        <f>IF(ISNUMBER(tblY10[[#This Row],[4C02 - Bonding
Raw Score]]),IFERROR(VLOOKUP(ROUND(STANDARDIZE(tblY10[[#This Row],[4C02 - Bonding
Raw Score]],AVERAGE(tblY10[[4C02 - Bonding
Raw Score]]),_xlfn.STDEV.P(tblY10[[4C02 - Bonding
Raw Score]])),9),_Stanine,2),5),"")</f>
        <v/>
      </c>
    </row>
    <row r="35">
      <c r="A35" s="65" t="inlineStr">
        <is>
          <t>X906286172447</t>
        </is>
      </c>
      <c r="B35" s="65" t="inlineStr">
        <is>
          <t>Begum</t>
        </is>
      </c>
      <c r="C35" s="65" t="inlineStr">
        <is>
          <t>Keira</t>
        </is>
      </c>
      <c r="D35" s="66" t="inlineStr">
        <is>
          <t>F</t>
        </is>
      </c>
      <c r="E35" s="66" t="inlineStr">
        <is>
          <t>N</t>
        </is>
      </c>
      <c r="F35" s="66" t="inlineStr">
        <is>
          <t>N</t>
        </is>
      </c>
      <c r="G35" s="34" t="n">
        <v>95.59999999999999</v>
      </c>
      <c r="H35" s="34" t="n">
        <v>111</v>
      </c>
      <c r="I35" s="67">
        <f>IF(ISNUMBER(tblY10[[#This Row],[Avg KS2]]),IFERROR(VLOOKUP(ROUND(STANDARDIZE(tblY10[[#This Row],[Avg KS2]],AVERAGE(tblY10[[Avg KS2]]),_xlfn.STDEV.P(tblY10[[Avg KS2]])),9),_Stanine,2),5),"")</f>
        <v>7</v>
      </c>
      <c r="J35" s="66" t="inlineStr">
        <is>
          <t>10S/Sc2</t>
        </is>
      </c>
      <c r="K35" s="67">
        <f>IF(tblY10[[#This Row],[Preferred Last name]]="","",COUNTIFS($N$1:$ZZ$1,"*"&amp;CHAR(10)&amp;"Stanine",$N35:$ZZ35,"&gt;=1"))</f>
        <v>4</v>
      </c>
      <c r="L35" s="68">
        <f>IFERROR(AVERAGEIF($N$1:$ZZ$1,"*"&amp;CHAR(10)&amp;"Stanine",$N35:$ZZ35),"")</f>
        <v>8</v>
      </c>
      <c r="M35" s="69">
        <f>IF(AND(ISNUMBER(tblY10[[#This Row],[Mean Stanine]]),ISNUMBER(tblY10[[#This Row],[Avg KS2 Band]]),ISNUMBER(SlopeY10)),tblY10[[#This Row],[Mean Stanine]]-(InterceptY10+SlopeY10*tblY10[[#This Row],[Avg KS2 Band]]),"")</f>
        <v>1.43186328691081</v>
      </c>
      <c r="N35" s="66" t="n">
        <v>35</v>
      </c>
      <c r="O35" s="67">
        <f>IF(ISNUMBER(tblY10[[#This Row],[4B01 - Cell Biology
Raw Score]]),IFERROR(VLOOKUP(ROUND(STANDARDIZE(tblY10[[#This Row],[4B01 - Cell Biology
Raw Score]],AVERAGE(tblY10[[4B01 - Cell Biology
Raw Score]]),_xlfn.STDEV.P(tblY10[[4B01 - Cell Biology
Raw Score]])),9),_Stanine,2),5),"")</f>
        <v>8</v>
      </c>
      <c r="P35" s="66" t="n">
        <v>30</v>
      </c>
      <c r="Q35" s="67">
        <f>IF(ISNUMBER(tblY10[[#This Row],[4C01 - Atomic Structure
Raw Score]]),IFERROR(VLOOKUP(ROUND(STANDARDIZE(tblY10[[#This Row],[4C01 - Atomic Structure
Raw Score]],AVERAGE(tblY10[[4C01 - Atomic Structure
Raw Score]]),_xlfn.STDEV.P(tblY10[[4C01 - Atomic Structure
Raw Score]])),9),_Stanine,2),5),"")</f>
        <v>8</v>
      </c>
      <c r="R35" s="66" t="n">
        <v>28</v>
      </c>
      <c r="S35" s="67">
        <f>IF(ISNUMBER(tblY10[[#This Row],[4P01 - Energy
Raw Score]]),IFERROR(VLOOKUP(ROUND(STANDARDIZE(tblY10[[#This Row],[4P01 - Energy
Raw Score]],AVERAGE(tblY10[[4P01 - Energy
Raw Score]]),_xlfn.STDEV.P(tblY10[[4P01 - Energy
Raw Score]])),9),_Stanine,2),5),"")</f>
        <v>8</v>
      </c>
      <c r="T35" s="66" t="n">
        <v>35</v>
      </c>
      <c r="U35" s="67">
        <f>IF(ISNUMBER(tblY10[[#This Row],[4B02 - Organisation
Raw Score]]),IFERROR(VLOOKUP(ROUND(STANDARDIZE(tblY10[[#This Row],[4B02 - Organisation
Raw Score]],AVERAGE(tblY10[[4B02 - Organisation
Raw Score]]),_xlfn.STDEV.P(tblY10[[4B02 - Organisation
Raw Score]])),9),_Stanine,2),5),"")</f>
        <v>8</v>
      </c>
      <c r="V35" s="66" t="n"/>
      <c r="W35" s="67" t="str">
        <f>IF(ISNUMBER(tblY10[[#This Row],[4C02 - Bonding
Raw Score]]),IFERROR(VLOOKUP(ROUND(STANDARDIZE(tblY10[[#This Row],[4C02 - Bonding
Raw Score]],AVERAGE(tblY10[[4C02 - Bonding
Raw Score]]),_xlfn.STDEV.P(tblY10[[4C02 - Bonding
Raw Score]])),9),_Stanine,2),5),"")</f>
        <v/>
      </c>
    </row>
    <row r="36">
      <c r="A36" s="65" t="inlineStr">
        <is>
          <t>X901028720656</t>
        </is>
      </c>
      <c r="B36" s="65" t="inlineStr">
        <is>
          <t>Edwards</t>
        </is>
      </c>
      <c r="C36" s="65" t="inlineStr">
        <is>
          <t>Hollie</t>
        </is>
      </c>
      <c r="D36" s="66" t="inlineStr">
        <is>
          <t>M</t>
        </is>
      </c>
      <c r="E36" s="66" t="inlineStr">
        <is>
          <t>N</t>
        </is>
      </c>
      <c r="F36" s="66" t="inlineStr">
        <is>
          <t>N</t>
        </is>
      </c>
      <c r="G36" s="34" t="n">
        <v>91.90000000000001</v>
      </c>
      <c r="H36" s="34" t="n">
        <v>114</v>
      </c>
      <c r="I36" s="67">
        <f>IF(ISNUMBER(tblY10[[#This Row],[Avg KS2]]),IFERROR(VLOOKUP(ROUND(STANDARDIZE(tblY10[[#This Row],[Avg KS2]],AVERAGE(tblY10[[Avg KS2]]),_xlfn.STDEV.P(tblY10[[Avg KS2]])),9),_Stanine,2),5),"")</f>
        <v>8</v>
      </c>
      <c r="J36" s="66" t="inlineStr">
        <is>
          <t>10S/Sc2</t>
        </is>
      </c>
      <c r="K36" s="67">
        <f>IF(tblY10[[#This Row],[Preferred Last name]]="","",COUNTIFS($N$1:$ZZ$1,"*"&amp;CHAR(10)&amp;"Stanine",$N36:$ZZ36,"&gt;=1"))</f>
        <v>4</v>
      </c>
      <c r="L36" s="68">
        <f>IFERROR(AVERAGEIF($N$1:$ZZ$1,"*"&amp;CHAR(10)&amp;"Stanine",$N36:$ZZ36),"")</f>
        <v>7.75</v>
      </c>
      <c r="M36" s="69">
        <f>IF(AND(ISNUMBER(tblY10[[#This Row],[Mean Stanine]]),ISNUMBER(tblY10[[#This Row],[Avg KS2 Band]]),ISNUMBER(SlopeY10)),tblY10[[#This Row],[Mean Stanine]]-(InterceptY10+SlopeY10*tblY10[[#This Row],[Avg KS2 Band]]),"")</f>
        <v>0.367861002628151</v>
      </c>
      <c r="N36" s="66" t="n">
        <v>35</v>
      </c>
      <c r="O36" s="67">
        <f>IF(ISNUMBER(tblY10[[#This Row],[4B01 - Cell Biology
Raw Score]]),IFERROR(VLOOKUP(ROUND(STANDARDIZE(tblY10[[#This Row],[4B01 - Cell Biology
Raw Score]],AVERAGE(tblY10[[4B01 - Cell Biology
Raw Score]]),_xlfn.STDEV.P(tblY10[[4B01 - Cell Biology
Raw Score]])),9),_Stanine,2),5),"")</f>
        <v>8</v>
      </c>
      <c r="P36" s="66" t="n">
        <v>33</v>
      </c>
      <c r="Q36" s="67">
        <f>IF(ISNUMBER(tblY10[[#This Row],[4C01 - Atomic Structure
Raw Score]]),IFERROR(VLOOKUP(ROUND(STANDARDIZE(tblY10[[#This Row],[4C01 - Atomic Structure
Raw Score]],AVERAGE(tblY10[[4C01 - Atomic Structure
Raw Score]]),_xlfn.STDEV.P(tblY10[[4C01 - Atomic Structure
Raw Score]])),9),_Stanine,2),5),"")</f>
        <v>9</v>
      </c>
      <c r="R36" s="66" t="n">
        <v>25</v>
      </c>
      <c r="S36" s="67">
        <f>IF(ISNUMBER(tblY10[[#This Row],[4P01 - Energy
Raw Score]]),IFERROR(VLOOKUP(ROUND(STANDARDIZE(tblY10[[#This Row],[4P01 - Energy
Raw Score]],AVERAGE(tblY10[[4P01 - Energy
Raw Score]]),_xlfn.STDEV.P(tblY10[[4P01 - Energy
Raw Score]])),9),_Stanine,2),5),"")</f>
        <v>7</v>
      </c>
      <c r="T36" s="66" t="n">
        <v>30</v>
      </c>
      <c r="U36" s="67">
        <f>IF(ISNUMBER(tblY10[[#This Row],[4B02 - Organisation
Raw Score]]),IFERROR(VLOOKUP(ROUND(STANDARDIZE(tblY10[[#This Row],[4B02 - Organisation
Raw Score]],AVERAGE(tblY10[[4B02 - Organisation
Raw Score]]),_xlfn.STDEV.P(tblY10[[4B02 - Organisation
Raw Score]])),9),_Stanine,2),5),"")</f>
        <v>7</v>
      </c>
      <c r="V36" s="66" t="n"/>
      <c r="W36" s="67" t="str">
        <f>IF(ISNUMBER(tblY10[[#This Row],[4C02 - Bonding
Raw Score]]),IFERROR(VLOOKUP(ROUND(STANDARDIZE(tblY10[[#This Row],[4C02 - Bonding
Raw Score]],AVERAGE(tblY10[[4C02 - Bonding
Raw Score]]),_xlfn.STDEV.P(tblY10[[4C02 - Bonding
Raw Score]])),9),_Stanine,2),5),"")</f>
        <v/>
      </c>
    </row>
    <row r="37">
      <c r="A37" s="65" t="inlineStr">
        <is>
          <t>X907200643294</t>
        </is>
      </c>
      <c r="B37" s="65" t="inlineStr">
        <is>
          <t>Evans</t>
        </is>
      </c>
      <c r="C37" s="65" t="inlineStr">
        <is>
          <t>Nia</t>
        </is>
      </c>
      <c r="D37" s="66" t="inlineStr">
        <is>
          <t>F</t>
        </is>
      </c>
      <c r="E37" s="66" t="n"/>
      <c r="F37" s="66" t="inlineStr">
        <is>
          <t>Y</t>
        </is>
      </c>
      <c r="G37" s="34" t="n">
        <v>95.5</v>
      </c>
      <c r="H37" s="34" t="n">
        <v>101</v>
      </c>
      <c r="I37" s="67">
        <f>IF(ISNUMBER(tblY10[[#This Row],[Avg KS2]]),IFERROR(VLOOKUP(ROUND(STANDARDIZE(tblY10[[#This Row],[Avg KS2]],AVERAGE(tblY10[[Avg KS2]]),_xlfn.STDEV.P(tblY10[[Avg KS2]])),9),_Stanine,2),5),"")</f>
        <v>4</v>
      </c>
      <c r="J37" s="66" t="inlineStr">
        <is>
          <t>10S/Sc2</t>
        </is>
      </c>
      <c r="K37" s="67">
        <f>IF(tblY10[[#This Row],[Preferred Last name]]="","",COUNTIFS($N$1:$ZZ$1,"*"&amp;CHAR(10)&amp;"Stanine",$N37:$ZZ37,"&gt;=1"))</f>
        <v>4</v>
      </c>
      <c r="L37" s="68">
        <f>IFERROR(AVERAGEIF($N$1:$ZZ$1,"*"&amp;CHAR(10)&amp;"Stanine",$N37:$ZZ37),"")</f>
        <v>2.25</v>
      </c>
      <c r="M37" s="69">
        <f>IF(AND(ISNUMBER(tblY10[[#This Row],[Mean Stanine]]),ISNUMBER(tblY10[[#This Row],[Avg KS2 Band]]),ISNUMBER(SlopeY10)),tblY10[[#This Row],[Mean Stanine]]-(InterceptY10+SlopeY10*tblY10[[#This Row],[Avg KS2 Band]]),"")</f>
        <v>-1.8761298602412</v>
      </c>
      <c r="N37" s="66" t="n">
        <v>7</v>
      </c>
      <c r="O37" s="67">
        <f>IF(ISNUMBER(tblY10[[#This Row],[4B01 - Cell Biology
Raw Score]]),IFERROR(VLOOKUP(ROUND(STANDARDIZE(tblY10[[#This Row],[4B01 - Cell Biology
Raw Score]],AVERAGE(tblY10[[4B01 - Cell Biology
Raw Score]]),_xlfn.STDEV.P(tblY10[[4B01 - Cell Biology
Raw Score]])),9),_Stanine,2),5),"")</f>
        <v>2</v>
      </c>
      <c r="P37" s="66" t="n">
        <v>6</v>
      </c>
      <c r="Q37" s="67">
        <f>IF(ISNUMBER(tblY10[[#This Row],[4C01 - Atomic Structure
Raw Score]]),IFERROR(VLOOKUP(ROUND(STANDARDIZE(tblY10[[#This Row],[4C01 - Atomic Structure
Raw Score]],AVERAGE(tblY10[[4C01 - Atomic Structure
Raw Score]]),_xlfn.STDEV.P(tblY10[[4C01 - Atomic Structure
Raw Score]])),9),_Stanine,2),5),"")</f>
        <v>2</v>
      </c>
      <c r="R37" s="66" t="n">
        <v>4</v>
      </c>
      <c r="S37" s="67">
        <f>IF(ISNUMBER(tblY10[[#This Row],[4P01 - Energy
Raw Score]]),IFERROR(VLOOKUP(ROUND(STANDARDIZE(tblY10[[#This Row],[4P01 - Energy
Raw Score]],AVERAGE(tblY10[[4P01 - Energy
Raw Score]]),_xlfn.STDEV.P(tblY10[[4P01 - Energy
Raw Score]])),9),_Stanine,2),5),"")</f>
        <v>2</v>
      </c>
      <c r="T37" s="66" t="n">
        <v>15</v>
      </c>
      <c r="U37" s="67">
        <f>IF(ISNUMBER(tblY10[[#This Row],[4B02 - Organisation
Raw Score]]),IFERROR(VLOOKUP(ROUND(STANDARDIZE(tblY10[[#This Row],[4B02 - Organisation
Raw Score]],AVERAGE(tblY10[[4B02 - Organisation
Raw Score]]),_xlfn.STDEV.P(tblY10[[4B02 - Organisation
Raw Score]])),9),_Stanine,2),5),"")</f>
        <v>3</v>
      </c>
      <c r="V37" s="66" t="n"/>
      <c r="W37" s="67" t="str">
        <f>IF(ISNUMBER(tblY10[[#This Row],[4C02 - Bonding
Raw Score]]),IFERROR(VLOOKUP(ROUND(STANDARDIZE(tblY10[[#This Row],[4C02 - Bonding
Raw Score]],AVERAGE(tblY10[[4C02 - Bonding
Raw Score]]),_xlfn.STDEV.P(tblY10[[4C02 - Bonding
Raw Score]])),9),_Stanine,2),5),"")</f>
        <v/>
      </c>
    </row>
    <row r="38">
      <c r="A38" s="65" t="inlineStr">
        <is>
          <t>X908132485117</t>
        </is>
      </c>
      <c r="B38" s="65" t="inlineStr">
        <is>
          <t>Evans</t>
        </is>
      </c>
      <c r="C38" s="65" t="inlineStr">
        <is>
          <t>Zofia</t>
        </is>
      </c>
      <c r="D38" s="66" t="inlineStr">
        <is>
          <t>M</t>
        </is>
      </c>
      <c r="E38" s="66" t="n"/>
      <c r="F38" s="66" t="inlineStr">
        <is>
          <t>N</t>
        </is>
      </c>
      <c r="G38" s="34" t="n">
        <v>84.59999999999999</v>
      </c>
      <c r="H38" s="34" t="n">
        <v>103</v>
      </c>
      <c r="I38" s="67">
        <f>IF(ISNUMBER(tblY10[[#This Row],[Avg KS2]]),IFERROR(VLOOKUP(ROUND(STANDARDIZE(tblY10[[#This Row],[Avg KS2]],AVERAGE(tblY10[[Avg KS2]]),_xlfn.STDEV.P(tblY10[[Avg KS2]])),9),_Stanine,2),5),"")</f>
        <v>5</v>
      </c>
      <c r="J38" s="66" t="inlineStr">
        <is>
          <t>10S/Sc2</t>
        </is>
      </c>
      <c r="K38" s="67">
        <f>IF(tblY10[[#This Row],[Preferred Last name]]="","",COUNTIFS($N$1:$ZZ$1,"*"&amp;CHAR(10)&amp;"Stanine",$N38:$ZZ38,"&gt;=1"))</f>
        <v>4</v>
      </c>
      <c r="L38" s="68">
        <f>IFERROR(AVERAGEIF($N$1:$ZZ$1,"*"&amp;CHAR(10)&amp;"Stanine",$N38:$ZZ38),"")</f>
        <v>5</v>
      </c>
      <c r="M38" s="69">
        <f>IF(AND(ISNUMBER(tblY10[[#This Row],[Mean Stanine]]),ISNUMBER(tblY10[[#This Row],[Avg KS2 Band]]),ISNUMBER(SlopeY10)),tblY10[[#This Row],[Mean Stanine]]-(InterceptY10+SlopeY10*tblY10[[#This Row],[Avg KS2 Band]]),"")</f>
        <v>0.0598678554761385</v>
      </c>
      <c r="N38" s="66" t="n">
        <v>26</v>
      </c>
      <c r="O38" s="67">
        <f>IF(ISNUMBER(tblY10[[#This Row],[4B01 - Cell Biology
Raw Score]]),IFERROR(VLOOKUP(ROUND(STANDARDIZE(tblY10[[#This Row],[4B01 - Cell Biology
Raw Score]],AVERAGE(tblY10[[4B01 - Cell Biology
Raw Score]]),_xlfn.STDEV.P(tblY10[[4B01 - Cell Biology
Raw Score]])),9),_Stanine,2),5),"")</f>
        <v>6</v>
      </c>
      <c r="P38" s="66" t="n">
        <v>19</v>
      </c>
      <c r="Q38" s="67">
        <f>IF(ISNUMBER(tblY10[[#This Row],[4C01 - Atomic Structure
Raw Score]]),IFERROR(VLOOKUP(ROUND(STANDARDIZE(tblY10[[#This Row],[4C01 - Atomic Structure
Raw Score]],AVERAGE(tblY10[[4C01 - Atomic Structure
Raw Score]]),_xlfn.STDEV.P(tblY10[[4C01 - Atomic Structure
Raw Score]])),9),_Stanine,2),5),"")</f>
        <v>5</v>
      </c>
      <c r="R38" s="66" t="n">
        <v>17</v>
      </c>
      <c r="S38" s="67">
        <f>IF(ISNUMBER(tblY10[[#This Row],[4P01 - Energy
Raw Score]]),IFERROR(VLOOKUP(ROUND(STANDARDIZE(tblY10[[#This Row],[4P01 - Energy
Raw Score]],AVERAGE(tblY10[[4P01 - Energy
Raw Score]]),_xlfn.STDEV.P(tblY10[[4P01 - Energy
Raw Score]])),9),_Stanine,2),5),"")</f>
        <v>5</v>
      </c>
      <c r="T38" s="66" t="n">
        <v>20</v>
      </c>
      <c r="U38" s="67">
        <f>IF(ISNUMBER(tblY10[[#This Row],[4B02 - Organisation
Raw Score]]),IFERROR(VLOOKUP(ROUND(STANDARDIZE(tblY10[[#This Row],[4B02 - Organisation
Raw Score]],AVERAGE(tblY10[[4B02 - Organisation
Raw Score]]),_xlfn.STDEV.P(tblY10[[4B02 - Organisation
Raw Score]])),9),_Stanine,2),5),"")</f>
        <v>4</v>
      </c>
      <c r="V38" s="66" t="n"/>
      <c r="W38" s="67" t="str">
        <f>IF(ISNUMBER(tblY10[[#This Row],[4C02 - Bonding
Raw Score]]),IFERROR(VLOOKUP(ROUND(STANDARDIZE(tblY10[[#This Row],[4C02 - Bonding
Raw Score]],AVERAGE(tblY10[[4C02 - Bonding
Raw Score]]),_xlfn.STDEV.P(tblY10[[4C02 - Bonding
Raw Score]])),9),_Stanine,2),5),"")</f>
        <v/>
      </c>
    </row>
    <row r="39">
      <c r="A39" s="65" t="inlineStr">
        <is>
          <t>X909104045799</t>
        </is>
      </c>
      <c r="B39" s="65" t="inlineStr">
        <is>
          <t>Griffiths</t>
        </is>
      </c>
      <c r="C39" s="65" t="inlineStr">
        <is>
          <t>Sami</t>
        </is>
      </c>
      <c r="D39" s="66" t="inlineStr">
        <is>
          <t>F</t>
        </is>
      </c>
      <c r="E39" s="66" t="n"/>
      <c r="F39" s="66" t="inlineStr">
        <is>
          <t>N</t>
        </is>
      </c>
      <c r="G39" s="34" t="n">
        <v>93.59999999999999</v>
      </c>
      <c r="H39" s="34" t="n">
        <v>103</v>
      </c>
      <c r="I39" s="67">
        <f>IF(ISNUMBER(tblY10[[#This Row],[Avg KS2]]),IFERROR(VLOOKUP(ROUND(STANDARDIZE(tblY10[[#This Row],[Avg KS2]],AVERAGE(tblY10[[Avg KS2]]),_xlfn.STDEV.P(tblY10[[Avg KS2]])),9),_Stanine,2),5),"")</f>
        <v>5</v>
      </c>
      <c r="J39" s="66" t="inlineStr">
        <is>
          <t>10S/Sc2</t>
        </is>
      </c>
      <c r="K39" s="67">
        <f>IF(tblY10[[#This Row],[Preferred Last name]]="","",COUNTIFS($N$1:$ZZ$1,"*"&amp;CHAR(10)&amp;"Stanine",$N39:$ZZ39,"&gt;=1"))</f>
        <v>3</v>
      </c>
      <c r="L39" s="68">
        <f>IFERROR(AVERAGEIF($N$1:$ZZ$1,"*"&amp;CHAR(10)&amp;"Stanine",$N39:$ZZ39),"")</f>
        <v>5.66666666666667</v>
      </c>
      <c r="M39" s="69">
        <f>IF(AND(ISNUMBER(tblY10[[#This Row],[Mean Stanine]]),ISNUMBER(tblY10[[#This Row],[Avg KS2 Band]]),ISNUMBER(SlopeY10)),tblY10[[#This Row],[Mean Stanine]]-(InterceptY10+SlopeY10*tblY10[[#This Row],[Avg KS2 Band]]),"")</f>
        <v>0.726534522142806</v>
      </c>
      <c r="N39" s="66" t="n">
        <v>26</v>
      </c>
      <c r="O39" s="67">
        <f>IF(ISNUMBER(tblY10[[#This Row],[4B01 - Cell Biology
Raw Score]]),IFERROR(VLOOKUP(ROUND(STANDARDIZE(tblY10[[#This Row],[4B01 - Cell Biology
Raw Score]],AVERAGE(tblY10[[4B01 - Cell Biology
Raw Score]]),_xlfn.STDEV.P(tblY10[[4B01 - Cell Biology
Raw Score]])),9),_Stanine,2),5),"")</f>
        <v>6</v>
      </c>
      <c r="P39" s="66" t="inlineStr">
        <is>
          <t>A</t>
        </is>
      </c>
      <c r="Q39" s="67" t="str">
        <f>IF(ISNUMBER(tblY10[[#This Row],[4C01 - Atomic Structure
Raw Score]]),IFERROR(VLOOKUP(ROUND(STANDARDIZE(tblY10[[#This Row],[4C01 - Atomic Structure
Raw Score]],AVERAGE(tblY10[[4C01 - Atomic Structure
Raw Score]]),_xlfn.STDEV.P(tblY10[[4C01 - Atomic Structure
Raw Score]])),9),_Stanine,2),5),"")</f>
        <v/>
      </c>
      <c r="R39" s="66" t="n">
        <v>16</v>
      </c>
      <c r="S39" s="67">
        <f>IF(ISNUMBER(tblY10[[#This Row],[4P01 - Energy
Raw Score]]),IFERROR(VLOOKUP(ROUND(STANDARDIZE(tblY10[[#This Row],[4P01 - Energy
Raw Score]],AVERAGE(tblY10[[4P01 - Energy
Raw Score]]),_xlfn.STDEV.P(tblY10[[4P01 - Energy
Raw Score]])),9),_Stanine,2),5),"")</f>
        <v>5</v>
      </c>
      <c r="T39" s="66" t="n">
        <v>26</v>
      </c>
      <c r="U39" s="67">
        <f>IF(ISNUMBER(tblY10[[#This Row],[4B02 - Organisation
Raw Score]]),IFERROR(VLOOKUP(ROUND(STANDARDIZE(tblY10[[#This Row],[4B02 - Organisation
Raw Score]],AVERAGE(tblY10[[4B02 - Organisation
Raw Score]]),_xlfn.STDEV.P(tblY10[[4B02 - Organisation
Raw Score]])),9),_Stanine,2),5),"")</f>
        <v>6</v>
      </c>
      <c r="V39" s="66" t="n"/>
      <c r="W39" s="67" t="str">
        <f>IF(ISNUMBER(tblY10[[#This Row],[4C02 - Bonding
Raw Score]]),IFERROR(VLOOKUP(ROUND(STANDARDIZE(tblY10[[#This Row],[4C02 - Bonding
Raw Score]],AVERAGE(tblY10[[4C02 - Bonding
Raw Score]]),_xlfn.STDEV.P(tblY10[[4C02 - Bonding
Raw Score]])),9),_Stanine,2),5),"")</f>
        <v/>
      </c>
    </row>
    <row r="40">
      <c r="A40" s="65" t="inlineStr">
        <is>
          <t>X904995620440</t>
        </is>
      </c>
      <c r="B40" s="65" t="inlineStr">
        <is>
          <t>Hussain</t>
        </is>
      </c>
      <c r="C40" s="65" t="inlineStr">
        <is>
          <t>Chidi</t>
        </is>
      </c>
      <c r="D40" s="66" t="inlineStr">
        <is>
          <t>F</t>
        </is>
      </c>
      <c r="E40" s="66" t="inlineStr">
        <is>
          <t>N</t>
        </is>
      </c>
      <c r="F40" s="66" t="inlineStr">
        <is>
          <t>N</t>
        </is>
      </c>
      <c r="G40" s="34" t="n">
        <v>100</v>
      </c>
      <c r="H40" s="34" t="n">
        <v>102.5</v>
      </c>
      <c r="I40" s="67">
        <f>IF(ISNUMBER(tblY10[[#This Row],[Avg KS2]]),IFERROR(VLOOKUP(ROUND(STANDARDIZE(tblY10[[#This Row],[Avg KS2]],AVERAGE(tblY10[[Avg KS2]]),_xlfn.STDEV.P(tblY10[[Avg KS2]])),9),_Stanine,2),5),"")</f>
        <v>5</v>
      </c>
      <c r="J40" s="66" t="inlineStr">
        <is>
          <t>10S/Sc2</t>
        </is>
      </c>
      <c r="K40" s="67">
        <f>IF(tblY10[[#This Row],[Preferred Last name]]="","",COUNTIFS($N$1:$ZZ$1,"*"&amp;CHAR(10)&amp;"Stanine",$N40:$ZZ40,"&gt;=1"))</f>
        <v>4</v>
      </c>
      <c r="L40" s="68">
        <f>IFERROR(AVERAGEIF($N$1:$ZZ$1,"*"&amp;CHAR(10)&amp;"Stanine",$N40:$ZZ40),"")</f>
        <v>4.5</v>
      </c>
      <c r="M40" s="69">
        <f>IF(AND(ISNUMBER(tblY10[[#This Row],[Mean Stanine]]),ISNUMBER(tblY10[[#This Row],[Avg KS2 Band]]),ISNUMBER(SlopeY10)),tblY10[[#This Row],[Mean Stanine]]-(InterceptY10+SlopeY10*tblY10[[#This Row],[Avg KS2 Band]]),"")</f>
        <v>-0.440132144523862</v>
      </c>
      <c r="N40" s="66" t="n">
        <v>13</v>
      </c>
      <c r="O40" s="67">
        <f>IF(ISNUMBER(tblY10[[#This Row],[4B01 - Cell Biology
Raw Score]]),IFERROR(VLOOKUP(ROUND(STANDARDIZE(tblY10[[#This Row],[4B01 - Cell Biology
Raw Score]],AVERAGE(tblY10[[4B01 - Cell Biology
Raw Score]]),_xlfn.STDEV.P(tblY10[[4B01 - Cell Biology
Raw Score]])),9),_Stanine,2),5),"")</f>
        <v>4</v>
      </c>
      <c r="P40" s="66" t="n">
        <v>15</v>
      </c>
      <c r="Q40" s="67">
        <f>IF(ISNUMBER(tblY10[[#This Row],[4C01 - Atomic Structure
Raw Score]]),IFERROR(VLOOKUP(ROUND(STANDARDIZE(tblY10[[#This Row],[4C01 - Atomic Structure
Raw Score]],AVERAGE(tblY10[[4C01 - Atomic Structure
Raw Score]]),_xlfn.STDEV.P(tblY10[[4C01 - Atomic Structure
Raw Score]])),9),_Stanine,2),5),"")</f>
        <v>4</v>
      </c>
      <c r="R40" s="66" t="n">
        <v>11</v>
      </c>
      <c r="S40" s="67">
        <f>IF(ISNUMBER(tblY10[[#This Row],[4P01 - Energy
Raw Score]]),IFERROR(VLOOKUP(ROUND(STANDARDIZE(tblY10[[#This Row],[4P01 - Energy
Raw Score]],AVERAGE(tblY10[[4P01 - Energy
Raw Score]]),_xlfn.STDEV.P(tblY10[[4P01 - Energy
Raw Score]])),9),_Stanine,2),5),"")</f>
        <v>4</v>
      </c>
      <c r="T40" s="66" t="n">
        <v>25</v>
      </c>
      <c r="U40" s="67">
        <f>IF(ISNUMBER(tblY10[[#This Row],[4B02 - Organisation
Raw Score]]),IFERROR(VLOOKUP(ROUND(STANDARDIZE(tblY10[[#This Row],[4B02 - Organisation
Raw Score]],AVERAGE(tblY10[[4B02 - Organisation
Raw Score]]),_xlfn.STDEV.P(tblY10[[4B02 - Organisation
Raw Score]])),9),_Stanine,2),5),"")</f>
        <v>6</v>
      </c>
      <c r="V40" s="66" t="n"/>
      <c r="W40" s="67" t="str">
        <f>IF(ISNUMBER(tblY10[[#This Row],[4C02 - Bonding
Raw Score]]),IFERROR(VLOOKUP(ROUND(STANDARDIZE(tblY10[[#This Row],[4C02 - Bonding
Raw Score]],AVERAGE(tblY10[[4C02 - Bonding
Raw Score]]),_xlfn.STDEV.P(tblY10[[4C02 - Bonding
Raw Score]])),9),_Stanine,2),5),"")</f>
        <v/>
      </c>
    </row>
    <row r="41">
      <c r="A41" s="65" t="inlineStr">
        <is>
          <t>X903399439321</t>
        </is>
      </c>
      <c r="B41" s="65" t="inlineStr">
        <is>
          <t>Jackson</t>
        </is>
      </c>
      <c r="C41" s="65" t="inlineStr">
        <is>
          <t>Chidi</t>
        </is>
      </c>
      <c r="D41" s="66" t="inlineStr">
        <is>
          <t>M</t>
        </is>
      </c>
      <c r="E41" s="66" t="n"/>
      <c r="F41" s="66" t="inlineStr">
        <is>
          <t>Y</t>
        </is>
      </c>
      <c r="G41" s="34" t="n">
        <v>88.5</v>
      </c>
      <c r="H41" s="34" t="n">
        <v>101</v>
      </c>
      <c r="I41" s="67">
        <f>IF(ISNUMBER(tblY10[[#This Row],[Avg KS2]]),IFERROR(VLOOKUP(ROUND(STANDARDIZE(tblY10[[#This Row],[Avg KS2]],AVERAGE(tblY10[[Avg KS2]]),_xlfn.STDEV.P(tblY10[[Avg KS2]])),9),_Stanine,2),5),"")</f>
        <v>4</v>
      </c>
      <c r="J41" s="66" t="inlineStr">
        <is>
          <t>10S/Sc2</t>
        </is>
      </c>
      <c r="K41" s="67">
        <f>IF(tblY10[[#This Row],[Preferred Last name]]="","",COUNTIFS($N$1:$ZZ$1,"*"&amp;CHAR(10)&amp;"Stanine",$N41:$ZZ41,"&gt;=1"))</f>
        <v>3</v>
      </c>
      <c r="L41" s="68">
        <f>IFERROR(AVERAGEIF($N$1:$ZZ$1,"*"&amp;CHAR(10)&amp;"Stanine",$N41:$ZZ41),"")</f>
        <v>3.66666666666667</v>
      </c>
      <c r="M41" s="69">
        <f>IF(AND(ISNUMBER(tblY10[[#This Row],[Mean Stanine]]),ISNUMBER(tblY10[[#This Row],[Avg KS2 Band]]),ISNUMBER(SlopeY10)),tblY10[[#This Row],[Mean Stanine]]-(InterceptY10+SlopeY10*tblY10[[#This Row],[Avg KS2 Band]]),"")</f>
        <v>-0.459463193574532</v>
      </c>
      <c r="N41" s="66" t="n">
        <v>15</v>
      </c>
      <c r="O41" s="67">
        <f>IF(ISNUMBER(tblY10[[#This Row],[4B01 - Cell Biology
Raw Score]]),IFERROR(VLOOKUP(ROUND(STANDARDIZE(tblY10[[#This Row],[4B01 - Cell Biology
Raw Score]],AVERAGE(tblY10[[4B01 - Cell Biology
Raw Score]]),_xlfn.STDEV.P(tblY10[[4B01 - Cell Biology
Raw Score]])),9),_Stanine,2),5),"")</f>
        <v>4</v>
      </c>
      <c r="P41" s="66" t="inlineStr">
        <is>
          <t>A</t>
        </is>
      </c>
      <c r="Q41" s="67" t="str">
        <f>IF(ISNUMBER(tblY10[[#This Row],[4C01 - Atomic Structure
Raw Score]]),IFERROR(VLOOKUP(ROUND(STANDARDIZE(tblY10[[#This Row],[4C01 - Atomic Structure
Raw Score]],AVERAGE(tblY10[[4C01 - Atomic Structure
Raw Score]]),_xlfn.STDEV.P(tblY10[[4C01 - Atomic Structure
Raw Score]])),9),_Stanine,2),5),"")</f>
        <v/>
      </c>
      <c r="R41" s="66" t="n">
        <v>11</v>
      </c>
      <c r="S41" s="67">
        <f>IF(ISNUMBER(tblY10[[#This Row],[4P01 - Energy
Raw Score]]),IFERROR(VLOOKUP(ROUND(STANDARDIZE(tblY10[[#This Row],[4P01 - Energy
Raw Score]],AVERAGE(tblY10[[4P01 - Energy
Raw Score]]),_xlfn.STDEV.P(tblY10[[4P01 - Energy
Raw Score]])),9),_Stanine,2),5),"")</f>
        <v>4</v>
      </c>
      <c r="T41" s="66" t="n">
        <v>15</v>
      </c>
      <c r="U41" s="67">
        <f>IF(ISNUMBER(tblY10[[#This Row],[4B02 - Organisation
Raw Score]]),IFERROR(VLOOKUP(ROUND(STANDARDIZE(tblY10[[#This Row],[4B02 - Organisation
Raw Score]],AVERAGE(tblY10[[4B02 - Organisation
Raw Score]]),_xlfn.STDEV.P(tblY10[[4B02 - Organisation
Raw Score]])),9),_Stanine,2),5),"")</f>
        <v>3</v>
      </c>
      <c r="V41" s="66" t="n"/>
      <c r="W41" s="67" t="str">
        <f>IF(ISNUMBER(tblY10[[#This Row],[4C02 - Bonding
Raw Score]]),IFERROR(VLOOKUP(ROUND(STANDARDIZE(tblY10[[#This Row],[4C02 - Bonding
Raw Score]],AVERAGE(tblY10[[4C02 - Bonding
Raw Score]]),_xlfn.STDEV.P(tblY10[[4C02 - Bonding
Raw Score]])),9),_Stanine,2),5),"")</f>
        <v/>
      </c>
    </row>
    <row r="42">
      <c r="A42" s="65" t="inlineStr">
        <is>
          <t>X901040675110</t>
        </is>
      </c>
      <c r="B42" s="65" t="inlineStr">
        <is>
          <t>Jackson</t>
        </is>
      </c>
      <c r="C42" s="65" t="inlineStr">
        <is>
          <t>Jacob</t>
        </is>
      </c>
      <c r="D42" s="66" t="inlineStr">
        <is>
          <t>F</t>
        </is>
      </c>
      <c r="E42" s="66" t="n"/>
      <c r="F42" s="66" t="inlineStr">
        <is>
          <t>Y</t>
        </is>
      </c>
      <c r="G42" s="34" t="n">
        <v>87.40000000000001</v>
      </c>
      <c r="H42" s="34" t="n">
        <v>103</v>
      </c>
      <c r="I42" s="67">
        <f>IF(ISNUMBER(tblY10[[#This Row],[Avg KS2]]),IFERROR(VLOOKUP(ROUND(STANDARDIZE(tblY10[[#This Row],[Avg KS2]],AVERAGE(tblY10[[Avg KS2]]),_xlfn.STDEV.P(tblY10[[Avg KS2]])),9),_Stanine,2),5),"")</f>
        <v>5</v>
      </c>
      <c r="J42" s="66" t="inlineStr">
        <is>
          <t>10S/Sc2</t>
        </is>
      </c>
      <c r="K42" s="67">
        <f>IF(tblY10[[#This Row],[Preferred Last name]]="","",COUNTIFS($N$1:$ZZ$1,"*"&amp;CHAR(10)&amp;"Stanine",$N42:$ZZ42,"&gt;=1"))</f>
        <v>3</v>
      </c>
      <c r="L42" s="68">
        <f>IFERROR(AVERAGEIF($N$1:$ZZ$1,"*"&amp;CHAR(10)&amp;"Stanine",$N42:$ZZ42),"")</f>
        <v>7</v>
      </c>
      <c r="M42" s="69">
        <f>IF(AND(ISNUMBER(tblY10[[#This Row],[Mean Stanine]]),ISNUMBER(tblY10[[#This Row],[Avg KS2 Band]]),ISNUMBER(SlopeY10)),tblY10[[#This Row],[Mean Stanine]]-(InterceptY10+SlopeY10*tblY10[[#This Row],[Avg KS2 Band]]),"")</f>
        <v>2.05986785547614</v>
      </c>
      <c r="N42" s="66" t="n">
        <v>26</v>
      </c>
      <c r="O42" s="67">
        <f>IF(ISNUMBER(tblY10[[#This Row],[4B01 - Cell Biology
Raw Score]]),IFERROR(VLOOKUP(ROUND(STANDARDIZE(tblY10[[#This Row],[4B01 - Cell Biology
Raw Score]],AVERAGE(tblY10[[4B01 - Cell Biology
Raw Score]]),_xlfn.STDEV.P(tblY10[[4B01 - Cell Biology
Raw Score]])),9),_Stanine,2),5),"")</f>
        <v>6</v>
      </c>
      <c r="P42" s="66" t="n">
        <v>29</v>
      </c>
      <c r="Q42" s="67">
        <f>IF(ISNUMBER(tblY10[[#This Row],[4C01 - Atomic Structure
Raw Score]]),IFERROR(VLOOKUP(ROUND(STANDARDIZE(tblY10[[#This Row],[4C01 - Atomic Structure
Raw Score]],AVERAGE(tblY10[[4C01 - Atomic Structure
Raw Score]]),_xlfn.STDEV.P(tblY10[[4C01 - Atomic Structure
Raw Score]])),9),_Stanine,2),5),"")</f>
        <v>8</v>
      </c>
      <c r="R42" s="66" t="n">
        <v>24</v>
      </c>
      <c r="S42" s="67">
        <f>IF(ISNUMBER(tblY10[[#This Row],[4P01 - Energy
Raw Score]]),IFERROR(VLOOKUP(ROUND(STANDARDIZE(tblY10[[#This Row],[4P01 - Energy
Raw Score]],AVERAGE(tblY10[[4P01 - Energy
Raw Score]]),_xlfn.STDEV.P(tblY10[[4P01 - Energy
Raw Score]])),9),_Stanine,2),5),"")</f>
        <v>7</v>
      </c>
      <c r="T42" s="66" t="inlineStr">
        <is>
          <t>A</t>
        </is>
      </c>
      <c r="U42" s="67" t="str">
        <f>IF(ISNUMBER(tblY10[[#This Row],[4B02 - Organisation
Raw Score]]),IFERROR(VLOOKUP(ROUND(STANDARDIZE(tblY10[[#This Row],[4B02 - Organisation
Raw Score]],AVERAGE(tblY10[[4B02 - Organisation
Raw Score]]),_xlfn.STDEV.P(tblY10[[4B02 - Organisation
Raw Score]])),9),_Stanine,2),5),"")</f>
        <v/>
      </c>
      <c r="V42" s="66" t="n"/>
      <c r="W42" s="67" t="str">
        <f>IF(ISNUMBER(tblY10[[#This Row],[4C02 - Bonding
Raw Score]]),IFERROR(VLOOKUP(ROUND(STANDARDIZE(tblY10[[#This Row],[4C02 - Bonding
Raw Score]],AVERAGE(tblY10[[4C02 - Bonding
Raw Score]]),_xlfn.STDEV.P(tblY10[[4C02 - Bonding
Raw Score]])),9),_Stanine,2),5),"")</f>
        <v/>
      </c>
    </row>
    <row r="43">
      <c r="A43" s="65" t="inlineStr">
        <is>
          <t>X909754164429</t>
        </is>
      </c>
      <c r="B43" s="65" t="inlineStr">
        <is>
          <t>Jones</t>
        </is>
      </c>
      <c r="C43" s="65" t="inlineStr">
        <is>
          <t>Hollie</t>
        </is>
      </c>
      <c r="D43" s="66" t="inlineStr">
        <is>
          <t>F</t>
        </is>
      </c>
      <c r="E43" s="66" t="inlineStr">
        <is>
          <t>N</t>
        </is>
      </c>
      <c r="F43" s="66" t="inlineStr">
        <is>
          <t>N</t>
        </is>
      </c>
      <c r="G43" s="34" t="n">
        <v>100</v>
      </c>
      <c r="H43" s="34" t="n">
        <v>109.5</v>
      </c>
      <c r="I43" s="67">
        <f>IF(ISNUMBER(tblY10[[#This Row],[Avg KS2]]),IFERROR(VLOOKUP(ROUND(STANDARDIZE(tblY10[[#This Row],[Avg KS2]],AVERAGE(tblY10[[Avg KS2]]),_xlfn.STDEV.P(tblY10[[Avg KS2]])),9),_Stanine,2),5),"")</f>
        <v>7</v>
      </c>
      <c r="J43" s="66" t="inlineStr">
        <is>
          <t>10S/Sc2</t>
        </is>
      </c>
      <c r="K43" s="67">
        <f>IF(tblY10[[#This Row],[Preferred Last name]]="","",COUNTIFS($N$1:$ZZ$1,"*"&amp;CHAR(10)&amp;"Stanine",$N43:$ZZ43,"&gt;=1"))</f>
        <v>4</v>
      </c>
      <c r="L43" s="68">
        <f>IFERROR(AVERAGEIF($N$1:$ZZ$1,"*"&amp;CHAR(10)&amp;"Stanine",$N43:$ZZ43),"")</f>
        <v>8</v>
      </c>
      <c r="M43" s="69">
        <f>IF(AND(ISNUMBER(tblY10[[#This Row],[Mean Stanine]]),ISNUMBER(tblY10[[#This Row],[Avg KS2 Band]]),ISNUMBER(SlopeY10)),tblY10[[#This Row],[Mean Stanine]]-(InterceptY10+SlopeY10*tblY10[[#This Row],[Avg KS2 Band]]),"")</f>
        <v>1.43186328691081</v>
      </c>
      <c r="N43" s="66" t="n">
        <v>34</v>
      </c>
      <c r="O43" s="67">
        <f>IF(ISNUMBER(tblY10[[#This Row],[4B01 - Cell Biology
Raw Score]]),IFERROR(VLOOKUP(ROUND(STANDARDIZE(tblY10[[#This Row],[4B01 - Cell Biology
Raw Score]],AVERAGE(tblY10[[4B01 - Cell Biology
Raw Score]]),_xlfn.STDEV.P(tblY10[[4B01 - Cell Biology
Raw Score]])),9),_Stanine,2),5),"")</f>
        <v>8</v>
      </c>
      <c r="P43" s="66" t="n">
        <v>32</v>
      </c>
      <c r="Q43" s="67">
        <f>IF(ISNUMBER(tblY10[[#This Row],[4C01 - Atomic Structure
Raw Score]]),IFERROR(VLOOKUP(ROUND(STANDARDIZE(tblY10[[#This Row],[4C01 - Atomic Structure
Raw Score]],AVERAGE(tblY10[[4C01 - Atomic Structure
Raw Score]]),_xlfn.STDEV.P(tblY10[[4C01 - Atomic Structure
Raw Score]])),9),_Stanine,2),5),"")</f>
        <v>8</v>
      </c>
      <c r="R43" s="66" t="n">
        <v>27</v>
      </c>
      <c r="S43" s="67">
        <f>IF(ISNUMBER(tblY10[[#This Row],[4P01 - Energy
Raw Score]]),IFERROR(VLOOKUP(ROUND(STANDARDIZE(tblY10[[#This Row],[4P01 - Energy
Raw Score]],AVERAGE(tblY10[[4P01 - Energy
Raw Score]]),_xlfn.STDEV.P(tblY10[[4P01 - Energy
Raw Score]])),9),_Stanine,2),5),"")</f>
        <v>8</v>
      </c>
      <c r="T43" s="66" t="n">
        <v>36</v>
      </c>
      <c r="U43" s="67">
        <f>IF(ISNUMBER(tblY10[[#This Row],[4B02 - Organisation
Raw Score]]),IFERROR(VLOOKUP(ROUND(STANDARDIZE(tblY10[[#This Row],[4B02 - Organisation
Raw Score]],AVERAGE(tblY10[[4B02 - Organisation
Raw Score]]),_xlfn.STDEV.P(tblY10[[4B02 - Organisation
Raw Score]])),9),_Stanine,2),5),"")</f>
        <v>8</v>
      </c>
      <c r="V43" s="66" t="n"/>
      <c r="W43" s="67" t="str">
        <f>IF(ISNUMBER(tblY10[[#This Row],[4C02 - Bonding
Raw Score]]),IFERROR(VLOOKUP(ROUND(STANDARDIZE(tblY10[[#This Row],[4C02 - Bonding
Raw Score]],AVERAGE(tblY10[[4C02 - Bonding
Raw Score]]),_xlfn.STDEV.P(tblY10[[4C02 - Bonding
Raw Score]])),9),_Stanine,2),5),"")</f>
        <v/>
      </c>
    </row>
    <row r="44">
      <c r="A44" s="65" t="inlineStr">
        <is>
          <t>X905472082554</t>
        </is>
      </c>
      <c r="B44" s="65" t="inlineStr">
        <is>
          <t>Kelly</t>
        </is>
      </c>
      <c r="C44" s="65" t="inlineStr">
        <is>
          <t>Freya</t>
        </is>
      </c>
      <c r="D44" s="66" t="inlineStr">
        <is>
          <t>F</t>
        </is>
      </c>
      <c r="E44" s="66" t="inlineStr">
        <is>
          <t>N</t>
        </is>
      </c>
      <c r="F44" s="66" t="inlineStr">
        <is>
          <t>N</t>
        </is>
      </c>
      <c r="G44" s="34" t="n">
        <v>89.7</v>
      </c>
      <c r="H44" s="34" t="n">
        <v>111</v>
      </c>
      <c r="I44" s="67">
        <f>IF(ISNUMBER(tblY10[[#This Row],[Avg KS2]]),IFERROR(VLOOKUP(ROUND(STANDARDIZE(tblY10[[#This Row],[Avg KS2]],AVERAGE(tblY10[[Avg KS2]]),_xlfn.STDEV.P(tblY10[[Avg KS2]])),9),_Stanine,2),5),"")</f>
        <v>7</v>
      </c>
      <c r="J44" s="66" t="inlineStr">
        <is>
          <t>10S/Sc2</t>
        </is>
      </c>
      <c r="K44" s="67">
        <f>IF(tblY10[[#This Row],[Preferred Last name]]="","",COUNTIFS($N$1:$ZZ$1,"*"&amp;CHAR(10)&amp;"Stanine",$N44:$ZZ44,"&gt;=1"))</f>
        <v>4</v>
      </c>
      <c r="L44" s="68">
        <f>IFERROR(AVERAGEIF($N$1:$ZZ$1,"*"&amp;CHAR(10)&amp;"Stanine",$N44:$ZZ44),"")</f>
        <v>6.75</v>
      </c>
      <c r="M44" s="69">
        <f>IF(AND(ISNUMBER(tblY10[[#This Row],[Mean Stanine]]),ISNUMBER(tblY10[[#This Row],[Avg KS2 Band]]),ISNUMBER(SlopeY10)),tblY10[[#This Row],[Mean Stanine]]-(InterceptY10+SlopeY10*tblY10[[#This Row],[Avg KS2 Band]]),"")</f>
        <v>0.181863286910814</v>
      </c>
      <c r="N44" s="66" t="n">
        <v>27</v>
      </c>
      <c r="O44" s="67">
        <f>IF(ISNUMBER(tblY10[[#This Row],[4B01 - Cell Biology
Raw Score]]),IFERROR(VLOOKUP(ROUND(STANDARDIZE(tblY10[[#This Row],[4B01 - Cell Biology
Raw Score]],AVERAGE(tblY10[[4B01 - Cell Biology
Raw Score]]),_xlfn.STDEV.P(tblY10[[4B01 - Cell Biology
Raw Score]])),9),_Stanine,2),5),"")</f>
        <v>7</v>
      </c>
      <c r="P44" s="66" t="n">
        <v>26</v>
      </c>
      <c r="Q44" s="67">
        <f>IF(ISNUMBER(tblY10[[#This Row],[4C01 - Atomic Structure
Raw Score]]),IFERROR(VLOOKUP(ROUND(STANDARDIZE(tblY10[[#This Row],[4C01 - Atomic Structure
Raw Score]],AVERAGE(tblY10[[4C01 - Atomic Structure
Raw Score]]),_xlfn.STDEV.P(tblY10[[4C01 - Atomic Structure
Raw Score]])),9),_Stanine,2),5),"")</f>
        <v>7</v>
      </c>
      <c r="R44" s="66" t="n">
        <v>21</v>
      </c>
      <c r="S44" s="67">
        <f>IF(ISNUMBER(tblY10[[#This Row],[4P01 - Energy
Raw Score]]),IFERROR(VLOOKUP(ROUND(STANDARDIZE(tblY10[[#This Row],[4P01 - Energy
Raw Score]],AVERAGE(tblY10[[4P01 - Energy
Raw Score]]),_xlfn.STDEV.P(tblY10[[4P01 - Energy
Raw Score]])),9),_Stanine,2),5),"")</f>
        <v>6</v>
      </c>
      <c r="T44" s="66" t="n">
        <v>29</v>
      </c>
      <c r="U44" s="67">
        <f>IF(ISNUMBER(tblY10[[#This Row],[4B02 - Organisation
Raw Score]]),IFERROR(VLOOKUP(ROUND(STANDARDIZE(tblY10[[#This Row],[4B02 - Organisation
Raw Score]],AVERAGE(tblY10[[4B02 - Organisation
Raw Score]]),_xlfn.STDEV.P(tblY10[[4B02 - Organisation
Raw Score]])),9),_Stanine,2),5),"")</f>
        <v>7</v>
      </c>
      <c r="V44" s="66" t="n"/>
      <c r="W44" s="67" t="str">
        <f>IF(ISNUMBER(tblY10[[#This Row],[4C02 - Bonding
Raw Score]]),IFERROR(VLOOKUP(ROUND(STANDARDIZE(tblY10[[#This Row],[4C02 - Bonding
Raw Score]],AVERAGE(tblY10[[4C02 - Bonding
Raw Score]]),_xlfn.STDEV.P(tblY10[[4C02 - Bonding
Raw Score]])),9),_Stanine,2),5),"")</f>
        <v/>
      </c>
    </row>
    <row r="45">
      <c r="A45" s="65" t="inlineStr">
        <is>
          <t>X909043802255</t>
        </is>
      </c>
      <c r="B45" s="65" t="inlineStr">
        <is>
          <t>Kowalski</t>
        </is>
      </c>
      <c r="C45" s="65" t="inlineStr">
        <is>
          <t>Oscar</t>
        </is>
      </c>
      <c r="D45" s="66" t="inlineStr">
        <is>
          <t>F</t>
        </is>
      </c>
      <c r="E45" s="66" t="n"/>
      <c r="F45" s="66" t="inlineStr">
        <is>
          <t>Y</t>
        </is>
      </c>
      <c r="G45" s="34" t="n">
        <v>100</v>
      </c>
      <c r="H45" s="34" t="n">
        <v>103.5</v>
      </c>
      <c r="I45" s="67">
        <f>IF(ISNUMBER(tblY10[[#This Row],[Avg KS2]]),IFERROR(VLOOKUP(ROUND(STANDARDIZE(tblY10[[#This Row],[Avg KS2]],AVERAGE(tblY10[[Avg KS2]]),_xlfn.STDEV.P(tblY10[[Avg KS2]])),9),_Stanine,2),5),"")</f>
        <v>5</v>
      </c>
      <c r="J45" s="66" t="inlineStr">
        <is>
          <t>10S/Sc2</t>
        </is>
      </c>
      <c r="K45" s="67">
        <f>IF(tblY10[[#This Row],[Preferred Last name]]="","",COUNTIFS($N$1:$ZZ$1,"*"&amp;CHAR(10)&amp;"Stanine",$N45:$ZZ45,"&gt;=1"))</f>
        <v>4</v>
      </c>
      <c r="L45" s="68">
        <f>IFERROR(AVERAGEIF($N$1:$ZZ$1,"*"&amp;CHAR(10)&amp;"Stanine",$N45:$ZZ45),"")</f>
        <v>5.5</v>
      </c>
      <c r="M45" s="69">
        <f>IF(AND(ISNUMBER(tblY10[[#This Row],[Mean Stanine]]),ISNUMBER(tblY10[[#This Row],[Avg KS2 Band]]),ISNUMBER(SlopeY10)),tblY10[[#This Row],[Mean Stanine]]-(InterceptY10+SlopeY10*tblY10[[#This Row],[Avg KS2 Band]]),"")</f>
        <v>0.559867855476139</v>
      </c>
      <c r="N45" s="66" t="n">
        <v>24</v>
      </c>
      <c r="O45" s="67">
        <f>IF(ISNUMBER(tblY10[[#This Row],[4B01 - Cell Biology
Raw Score]]),IFERROR(VLOOKUP(ROUND(STANDARDIZE(tblY10[[#This Row],[4B01 - Cell Biology
Raw Score]],AVERAGE(tblY10[[4B01 - Cell Biology
Raw Score]]),_xlfn.STDEV.P(tblY10[[4B01 - Cell Biology
Raw Score]])),9),_Stanine,2),5),"")</f>
        <v>6</v>
      </c>
      <c r="P45" s="66" t="n">
        <v>23</v>
      </c>
      <c r="Q45" s="67">
        <f>IF(ISNUMBER(tblY10[[#This Row],[4C01 - Atomic Structure
Raw Score]]),IFERROR(VLOOKUP(ROUND(STANDARDIZE(tblY10[[#This Row],[4C01 - Atomic Structure
Raw Score]],AVERAGE(tblY10[[4C01 - Atomic Structure
Raw Score]]),_xlfn.STDEV.P(tblY10[[4C01 - Atomic Structure
Raw Score]])),9),_Stanine,2),5),"")</f>
        <v>6</v>
      </c>
      <c r="R45" s="66" t="n">
        <v>11</v>
      </c>
      <c r="S45" s="67">
        <f>IF(ISNUMBER(tblY10[[#This Row],[4P01 - Energy
Raw Score]]),IFERROR(VLOOKUP(ROUND(STANDARDIZE(tblY10[[#This Row],[4P01 - Energy
Raw Score]],AVERAGE(tblY10[[4P01 - Energy
Raw Score]]),_xlfn.STDEV.P(tblY10[[4P01 - Energy
Raw Score]])),9),_Stanine,2),5),"")</f>
        <v>4</v>
      </c>
      <c r="T45" s="66" t="n">
        <v>27</v>
      </c>
      <c r="U45" s="67">
        <f>IF(ISNUMBER(tblY10[[#This Row],[4B02 - Organisation
Raw Score]]),IFERROR(VLOOKUP(ROUND(STANDARDIZE(tblY10[[#This Row],[4B02 - Organisation
Raw Score]],AVERAGE(tblY10[[4B02 - Organisation
Raw Score]]),_xlfn.STDEV.P(tblY10[[4B02 - Organisation
Raw Score]])),9),_Stanine,2),5),"")</f>
        <v>6</v>
      </c>
      <c r="V45" s="66" t="n"/>
      <c r="W45" s="67" t="str">
        <f>IF(ISNUMBER(tblY10[[#This Row],[4C02 - Bonding
Raw Score]]),IFERROR(VLOOKUP(ROUND(STANDARDIZE(tblY10[[#This Row],[4C02 - Bonding
Raw Score]],AVERAGE(tblY10[[4C02 - Bonding
Raw Score]]),_xlfn.STDEV.P(tblY10[[4C02 - Bonding
Raw Score]])),9),_Stanine,2),5),"")</f>
        <v/>
      </c>
    </row>
    <row r="46">
      <c r="A46" s="65" t="inlineStr">
        <is>
          <t>X906619913594</t>
        </is>
      </c>
      <c r="B46" s="65" t="inlineStr">
        <is>
          <t>Lloyd</t>
        </is>
      </c>
      <c r="C46" s="65" t="inlineStr">
        <is>
          <t>Grace</t>
        </is>
      </c>
      <c r="D46" s="66" t="inlineStr">
        <is>
          <t>M</t>
        </is>
      </c>
      <c r="E46" s="66" t="inlineStr">
        <is>
          <t>N</t>
        </is>
      </c>
      <c r="F46" s="66" t="inlineStr">
        <is>
          <t>Y</t>
        </is>
      </c>
      <c r="G46" s="34" t="n">
        <v>100</v>
      </c>
      <c r="H46" s="34" t="n">
        <v>116</v>
      </c>
      <c r="I46" s="67">
        <f>IF(ISNUMBER(tblY10[[#This Row],[Avg KS2]]),IFERROR(VLOOKUP(ROUND(STANDARDIZE(tblY10[[#This Row],[Avg KS2]],AVERAGE(tblY10[[Avg KS2]]),_xlfn.STDEV.P(tblY10[[Avg KS2]])),9),_Stanine,2),5),"")</f>
        <v>9</v>
      </c>
      <c r="J46" s="66" t="inlineStr">
        <is>
          <t>10S/Sc2</t>
        </is>
      </c>
      <c r="K46" s="67">
        <f>IF(tblY10[[#This Row],[Preferred Last name]]="","",COUNTIFS($N$1:$ZZ$1,"*"&amp;CHAR(10)&amp;"Stanine",$N46:$ZZ46,"&gt;=1"))</f>
        <v>4</v>
      </c>
      <c r="L46" s="68">
        <f>IFERROR(AVERAGEIF($N$1:$ZZ$1,"*"&amp;CHAR(10)&amp;"Stanine",$N46:$ZZ46),"")</f>
        <v>8.5</v>
      </c>
      <c r="M46" s="69">
        <f>IF(AND(ISNUMBER(tblY10[[#This Row],[Mean Stanine]]),ISNUMBER(tblY10[[#This Row],[Avg KS2 Band]]),ISNUMBER(SlopeY10)),tblY10[[#This Row],[Mean Stanine]]-(InterceptY10+SlopeY10*tblY10[[#This Row],[Avg KS2 Band]]),"")</f>
        <v>0.303858718345488</v>
      </c>
      <c r="N46" s="66" t="n">
        <v>37</v>
      </c>
      <c r="O46" s="67">
        <f>IF(ISNUMBER(tblY10[[#This Row],[4B01 - Cell Biology
Raw Score]]),IFERROR(VLOOKUP(ROUND(STANDARDIZE(tblY10[[#This Row],[4B01 - Cell Biology
Raw Score]],AVERAGE(tblY10[[4B01 - Cell Biology
Raw Score]]),_xlfn.STDEV.P(tblY10[[4B01 - Cell Biology
Raw Score]])),9),_Stanine,2),5),"")</f>
        <v>9</v>
      </c>
      <c r="P46" s="66" t="n">
        <v>31</v>
      </c>
      <c r="Q46" s="67">
        <f>IF(ISNUMBER(tblY10[[#This Row],[4C01 - Atomic Structure
Raw Score]]),IFERROR(VLOOKUP(ROUND(STANDARDIZE(tblY10[[#This Row],[4C01 - Atomic Structure
Raw Score]],AVERAGE(tblY10[[4C01 - Atomic Structure
Raw Score]]),_xlfn.STDEV.P(tblY10[[4C01 - Atomic Structure
Raw Score]])),9),_Stanine,2),5),"")</f>
        <v>8</v>
      </c>
      <c r="R46" s="66" t="n">
        <v>30</v>
      </c>
      <c r="S46" s="67">
        <f>IF(ISNUMBER(tblY10[[#This Row],[4P01 - Energy
Raw Score]]),IFERROR(VLOOKUP(ROUND(STANDARDIZE(tblY10[[#This Row],[4P01 - Energy
Raw Score]],AVERAGE(tblY10[[4P01 - Energy
Raw Score]]),_xlfn.STDEV.P(tblY10[[4P01 - Energy
Raw Score]])),9),_Stanine,2),5),"")</f>
        <v>9</v>
      </c>
      <c r="T46" s="66" t="n">
        <v>35</v>
      </c>
      <c r="U46" s="67">
        <f>IF(ISNUMBER(tblY10[[#This Row],[4B02 - Organisation
Raw Score]]),IFERROR(VLOOKUP(ROUND(STANDARDIZE(tblY10[[#This Row],[4B02 - Organisation
Raw Score]],AVERAGE(tblY10[[4B02 - Organisation
Raw Score]]),_xlfn.STDEV.P(tblY10[[4B02 - Organisation
Raw Score]])),9),_Stanine,2),5),"")</f>
        <v>8</v>
      </c>
      <c r="V46" s="66" t="n"/>
      <c r="W46" s="67" t="str">
        <f>IF(ISNUMBER(tblY10[[#This Row],[4C02 - Bonding
Raw Score]]),IFERROR(VLOOKUP(ROUND(STANDARDIZE(tblY10[[#This Row],[4C02 - Bonding
Raw Score]],AVERAGE(tblY10[[4C02 - Bonding
Raw Score]]),_xlfn.STDEV.P(tblY10[[4C02 - Bonding
Raw Score]])),9),_Stanine,2),5),"")</f>
        <v/>
      </c>
    </row>
    <row r="47">
      <c r="A47" s="65" t="inlineStr">
        <is>
          <t>X908936664031</t>
        </is>
      </c>
      <c r="B47" s="65" t="inlineStr">
        <is>
          <t>Murphy</t>
        </is>
      </c>
      <c r="C47" s="65" t="inlineStr">
        <is>
          <t>Ivy</t>
        </is>
      </c>
      <c r="D47" s="66" t="inlineStr">
        <is>
          <t>M</t>
        </is>
      </c>
      <c r="E47" s="66" t="n"/>
      <c r="F47" s="66" t="inlineStr">
        <is>
          <t>Y</t>
        </is>
      </c>
      <c r="G47" s="34" t="n">
        <v>98.2</v>
      </c>
      <c r="H47" s="34" t="n">
        <v>101</v>
      </c>
      <c r="I47" s="67">
        <f>IF(ISNUMBER(tblY10[[#This Row],[Avg KS2]]),IFERROR(VLOOKUP(ROUND(STANDARDIZE(tblY10[[#This Row],[Avg KS2]],AVERAGE(tblY10[[Avg KS2]]),_xlfn.STDEV.P(tblY10[[Avg KS2]])),9),_Stanine,2),5),"")</f>
        <v>4</v>
      </c>
      <c r="J47" s="66" t="inlineStr">
        <is>
          <t>10S/Sc2</t>
        </is>
      </c>
      <c r="K47" s="67">
        <f>IF(tblY10[[#This Row],[Preferred Last name]]="","",COUNTIFS($N$1:$ZZ$1,"*"&amp;CHAR(10)&amp;"Stanine",$N47:$ZZ47,"&gt;=1"))</f>
        <v>4</v>
      </c>
      <c r="L47" s="68">
        <f>IFERROR(AVERAGEIF($N$1:$ZZ$1,"*"&amp;CHAR(10)&amp;"Stanine",$N47:$ZZ47),"")</f>
        <v>3</v>
      </c>
      <c r="M47" s="69">
        <f>IF(AND(ISNUMBER(tblY10[[#This Row],[Mean Stanine]]),ISNUMBER(tblY10[[#This Row],[Avg KS2 Band]]),ISNUMBER(SlopeY10)),tblY10[[#This Row],[Mean Stanine]]-(InterceptY10+SlopeY10*tblY10[[#This Row],[Avg KS2 Band]]),"")</f>
        <v>-1.1261298602412</v>
      </c>
      <c r="N47" s="66" t="n">
        <v>13</v>
      </c>
      <c r="O47" s="67">
        <f>IF(ISNUMBER(tblY10[[#This Row],[4B01 - Cell Biology
Raw Score]]),IFERROR(VLOOKUP(ROUND(STANDARDIZE(tblY10[[#This Row],[4B01 - Cell Biology
Raw Score]],AVERAGE(tblY10[[4B01 - Cell Biology
Raw Score]]),_xlfn.STDEV.P(tblY10[[4B01 - Cell Biology
Raw Score]])),9),_Stanine,2),5),"")</f>
        <v>4</v>
      </c>
      <c r="P47" s="66" t="n">
        <v>14</v>
      </c>
      <c r="Q47" s="67">
        <f>IF(ISNUMBER(tblY10[[#This Row],[4C01 - Atomic Structure
Raw Score]]),IFERROR(VLOOKUP(ROUND(STANDARDIZE(tblY10[[#This Row],[4C01 - Atomic Structure
Raw Score]],AVERAGE(tblY10[[4C01 - Atomic Structure
Raw Score]]),_xlfn.STDEV.P(tblY10[[4C01 - Atomic Structure
Raw Score]])),9),_Stanine,2),5),"")</f>
        <v>4</v>
      </c>
      <c r="R47" s="66" t="n">
        <v>5</v>
      </c>
      <c r="S47" s="67">
        <f>IF(ISNUMBER(tblY10[[#This Row],[4P01 - Energy
Raw Score]]),IFERROR(VLOOKUP(ROUND(STANDARDIZE(tblY10[[#This Row],[4P01 - Energy
Raw Score]],AVERAGE(tblY10[[4P01 - Energy
Raw Score]]),_xlfn.STDEV.P(tblY10[[4P01 - Energy
Raw Score]])),9),_Stanine,2),5),"")</f>
        <v>2</v>
      </c>
      <c r="T47" s="66" t="n">
        <v>9</v>
      </c>
      <c r="U47" s="67">
        <f>IF(ISNUMBER(tblY10[[#This Row],[4B02 - Organisation
Raw Score]]),IFERROR(VLOOKUP(ROUND(STANDARDIZE(tblY10[[#This Row],[4B02 - Organisation
Raw Score]],AVERAGE(tblY10[[4B02 - Organisation
Raw Score]]),_xlfn.STDEV.P(tblY10[[4B02 - Organisation
Raw Score]])),9),_Stanine,2),5),"")</f>
        <v>2</v>
      </c>
      <c r="V47" s="66" t="n"/>
      <c r="W47" s="67" t="str">
        <f>IF(ISNUMBER(tblY10[[#This Row],[4C02 - Bonding
Raw Score]]),IFERROR(VLOOKUP(ROUND(STANDARDIZE(tblY10[[#This Row],[4C02 - Bonding
Raw Score]],AVERAGE(tblY10[[4C02 - Bonding
Raw Score]]),_xlfn.STDEV.P(tblY10[[4C02 - Bonding
Raw Score]])),9),_Stanine,2),5),"")</f>
        <v/>
      </c>
    </row>
    <row r="48">
      <c r="A48" s="65" t="inlineStr">
        <is>
          <t>X902009784310</t>
        </is>
      </c>
      <c r="B48" s="65" t="inlineStr">
        <is>
          <t>Murphy</t>
        </is>
      </c>
      <c r="C48" s="65" t="inlineStr">
        <is>
          <t>Zofia</t>
        </is>
      </c>
      <c r="D48" s="66" t="inlineStr">
        <is>
          <t>F</t>
        </is>
      </c>
      <c r="E48" s="66" t="inlineStr">
        <is>
          <t>K</t>
        </is>
      </c>
      <c r="F48" s="66" t="inlineStr">
        <is>
          <t>N</t>
        </is>
      </c>
      <c r="G48" s="34" t="n">
        <v>81.8</v>
      </c>
      <c r="H48" s="34" t="n">
        <v>107</v>
      </c>
      <c r="I48" s="67">
        <f>IF(ISNUMBER(tblY10[[#This Row],[Avg KS2]]),IFERROR(VLOOKUP(ROUND(STANDARDIZE(tblY10[[#This Row],[Avg KS2]],AVERAGE(tblY10[[Avg KS2]]),_xlfn.STDEV.P(tblY10[[Avg KS2]])),9),_Stanine,2),5),"")</f>
        <v>6</v>
      </c>
      <c r="J48" s="66" t="inlineStr">
        <is>
          <t>10S/Sc2</t>
        </is>
      </c>
      <c r="K48" s="67">
        <f>IF(tblY10[[#This Row],[Preferred Last name]]="","",COUNTIFS($N$1:$ZZ$1,"*"&amp;CHAR(10)&amp;"Stanine",$N48:$ZZ48,"&gt;=1"))</f>
        <v>4</v>
      </c>
      <c r="L48" s="68">
        <f>IFERROR(AVERAGEIF($N$1:$ZZ$1,"*"&amp;CHAR(10)&amp;"Stanine",$N48:$ZZ48),"")</f>
        <v>5.75</v>
      </c>
      <c r="M48" s="69">
        <f>IF(AND(ISNUMBER(tblY10[[#This Row],[Mean Stanine]]),ISNUMBER(tblY10[[#This Row],[Avg KS2 Band]]),ISNUMBER(SlopeY10)),tblY10[[#This Row],[Mean Stanine]]-(InterceptY10+SlopeY10*tblY10[[#This Row],[Avg KS2 Band]]),"")</f>
        <v>-0.00413442880652326</v>
      </c>
      <c r="N48" s="66" t="n">
        <v>20</v>
      </c>
      <c r="O48" s="67">
        <f>IF(ISNUMBER(tblY10[[#This Row],[4B01 - Cell Biology
Raw Score]]),IFERROR(VLOOKUP(ROUND(STANDARDIZE(tblY10[[#This Row],[4B01 - Cell Biology
Raw Score]],AVERAGE(tblY10[[4B01 - Cell Biology
Raw Score]]),_xlfn.STDEV.P(tblY10[[4B01 - Cell Biology
Raw Score]])),9),_Stanine,2),5),"")</f>
        <v>5</v>
      </c>
      <c r="P48" s="66" t="n">
        <v>21</v>
      </c>
      <c r="Q48" s="67">
        <f>IF(ISNUMBER(tblY10[[#This Row],[4C01 - Atomic Structure
Raw Score]]),IFERROR(VLOOKUP(ROUND(STANDARDIZE(tblY10[[#This Row],[4C01 - Atomic Structure
Raw Score]],AVERAGE(tblY10[[4C01 - Atomic Structure
Raw Score]]),_xlfn.STDEV.P(tblY10[[4C01 - Atomic Structure
Raw Score]])),9),_Stanine,2),5),"")</f>
        <v>6</v>
      </c>
      <c r="R48" s="66" t="n">
        <v>21</v>
      </c>
      <c r="S48" s="67">
        <f>IF(ISNUMBER(tblY10[[#This Row],[4P01 - Energy
Raw Score]]),IFERROR(VLOOKUP(ROUND(STANDARDIZE(tblY10[[#This Row],[4P01 - Energy
Raw Score]],AVERAGE(tblY10[[4P01 - Energy
Raw Score]]),_xlfn.STDEV.P(tblY10[[4P01 - Energy
Raw Score]])),9),_Stanine,2),5),"")</f>
        <v>6</v>
      </c>
      <c r="T48" s="66" t="n">
        <v>26</v>
      </c>
      <c r="U48" s="67">
        <f>IF(ISNUMBER(tblY10[[#This Row],[4B02 - Organisation
Raw Score]]),IFERROR(VLOOKUP(ROUND(STANDARDIZE(tblY10[[#This Row],[4B02 - Organisation
Raw Score]],AVERAGE(tblY10[[4B02 - Organisation
Raw Score]]),_xlfn.STDEV.P(tblY10[[4B02 - Organisation
Raw Score]])),9),_Stanine,2),5),"")</f>
        <v>6</v>
      </c>
      <c r="V48" s="66" t="n"/>
      <c r="W48" s="67" t="str">
        <f>IF(ISNUMBER(tblY10[[#This Row],[4C02 - Bonding
Raw Score]]),IFERROR(VLOOKUP(ROUND(STANDARDIZE(tblY10[[#This Row],[4C02 - Bonding
Raw Score]],AVERAGE(tblY10[[4C02 - Bonding
Raw Score]]),_xlfn.STDEV.P(tblY10[[4C02 - Bonding
Raw Score]])),9),_Stanine,2),5),"")</f>
        <v/>
      </c>
    </row>
    <row r="49">
      <c r="A49" s="65" t="inlineStr">
        <is>
          <t>X900903663991</t>
        </is>
      </c>
      <c r="B49" s="65" t="inlineStr">
        <is>
          <t>Nowak</t>
        </is>
      </c>
      <c r="C49" s="65" t="inlineStr">
        <is>
          <t>Kai</t>
        </is>
      </c>
      <c r="D49" s="66" t="inlineStr">
        <is>
          <t>M</t>
        </is>
      </c>
      <c r="E49" s="66" t="n"/>
      <c r="F49" s="66" t="inlineStr">
        <is>
          <t>N</t>
        </is>
      </c>
      <c r="G49" s="34" t="n">
        <v>97.5</v>
      </c>
      <c r="H49" s="34" t="n">
        <v>101.5</v>
      </c>
      <c r="I49" s="67">
        <f>IF(ISNUMBER(tblY10[[#This Row],[Avg KS2]]),IFERROR(VLOOKUP(ROUND(STANDARDIZE(tblY10[[#This Row],[Avg KS2]],AVERAGE(tblY10[[Avg KS2]]),_xlfn.STDEV.P(tblY10[[Avg KS2]])),9),_Stanine,2),5),"")</f>
        <v>4</v>
      </c>
      <c r="J49" s="66" t="inlineStr">
        <is>
          <t>10S/Sc2</t>
        </is>
      </c>
      <c r="K49" s="67">
        <f>IF(tblY10[[#This Row],[Preferred Last name]]="","",COUNTIFS($N$1:$ZZ$1,"*"&amp;CHAR(10)&amp;"Stanine",$N49:$ZZ49,"&gt;=1"))</f>
        <v>4</v>
      </c>
      <c r="L49" s="68">
        <f>IFERROR(AVERAGEIF($N$1:$ZZ$1,"*"&amp;CHAR(10)&amp;"Stanine",$N49:$ZZ49),"")</f>
        <v>4.75</v>
      </c>
      <c r="M49" s="69">
        <f>IF(AND(ISNUMBER(tblY10[[#This Row],[Mean Stanine]]),ISNUMBER(tblY10[[#This Row],[Avg KS2 Band]]),ISNUMBER(SlopeY10)),tblY10[[#This Row],[Mean Stanine]]-(InterceptY10+SlopeY10*tblY10[[#This Row],[Avg KS2 Band]]),"")</f>
        <v>0.623870139758801</v>
      </c>
      <c r="N49" s="66" t="n">
        <v>19</v>
      </c>
      <c r="O49" s="67">
        <f>IF(ISNUMBER(tblY10[[#This Row],[4B01 - Cell Biology
Raw Score]]),IFERROR(VLOOKUP(ROUND(STANDARDIZE(tblY10[[#This Row],[4B01 - Cell Biology
Raw Score]],AVERAGE(tblY10[[4B01 - Cell Biology
Raw Score]]),_xlfn.STDEV.P(tblY10[[4B01 - Cell Biology
Raw Score]])),9),_Stanine,2),5),"")</f>
        <v>5</v>
      </c>
      <c r="P49" s="66" t="n">
        <v>19</v>
      </c>
      <c r="Q49" s="67">
        <f>IF(ISNUMBER(tblY10[[#This Row],[4C01 - Atomic Structure
Raw Score]]),IFERROR(VLOOKUP(ROUND(STANDARDIZE(tblY10[[#This Row],[4C01 - Atomic Structure
Raw Score]],AVERAGE(tblY10[[4C01 - Atomic Structure
Raw Score]]),_xlfn.STDEV.P(tblY10[[4C01 - Atomic Structure
Raw Score]])),9),_Stanine,2),5),"")</f>
        <v>5</v>
      </c>
      <c r="R49" s="66" t="n">
        <v>13</v>
      </c>
      <c r="S49" s="67">
        <f>IF(ISNUMBER(tblY10[[#This Row],[4P01 - Energy
Raw Score]]),IFERROR(VLOOKUP(ROUND(STANDARDIZE(tblY10[[#This Row],[4P01 - Energy
Raw Score]],AVERAGE(tblY10[[4P01 - Energy
Raw Score]]),_xlfn.STDEV.P(tblY10[[4P01 - Energy
Raw Score]])),9),_Stanine,2),5),"")</f>
        <v>4</v>
      </c>
      <c r="T49" s="66" t="n">
        <v>22</v>
      </c>
      <c r="U49" s="67">
        <f>IF(ISNUMBER(tblY10[[#This Row],[4B02 - Organisation
Raw Score]]),IFERROR(VLOOKUP(ROUND(STANDARDIZE(tblY10[[#This Row],[4B02 - Organisation
Raw Score]],AVERAGE(tblY10[[4B02 - Organisation
Raw Score]]),_xlfn.STDEV.P(tblY10[[4B02 - Organisation
Raw Score]])),9),_Stanine,2),5),"")</f>
        <v>5</v>
      </c>
      <c r="V49" s="66" t="n"/>
      <c r="W49" s="67" t="str">
        <f>IF(ISNUMBER(tblY10[[#This Row],[4C02 - Bonding
Raw Score]]),IFERROR(VLOOKUP(ROUND(STANDARDIZE(tblY10[[#This Row],[4C02 - Bonding
Raw Score]],AVERAGE(tblY10[[4C02 - Bonding
Raw Score]]),_xlfn.STDEV.P(tblY10[[4C02 - Bonding
Raw Score]])),9),_Stanine,2),5),"")</f>
        <v/>
      </c>
    </row>
    <row r="50">
      <c r="A50" s="65" t="inlineStr">
        <is>
          <t>X906364098783</t>
        </is>
      </c>
      <c r="B50" s="65" t="inlineStr">
        <is>
          <t>Nowak</t>
        </is>
      </c>
      <c r="C50" s="65" t="inlineStr">
        <is>
          <t>Noah</t>
        </is>
      </c>
      <c r="D50" s="66" t="inlineStr">
        <is>
          <t>M</t>
        </is>
      </c>
      <c r="E50" s="66" t="inlineStr">
        <is>
          <t>K</t>
        </is>
      </c>
      <c r="F50" s="66" t="inlineStr">
        <is>
          <t>N</t>
        </is>
      </c>
      <c r="G50" s="34" t="n">
        <v>100</v>
      </c>
      <c r="H50" s="34" t="n">
        <v>109.5</v>
      </c>
      <c r="I50" s="67">
        <f>IF(ISNUMBER(tblY10[[#This Row],[Avg KS2]]),IFERROR(VLOOKUP(ROUND(STANDARDIZE(tblY10[[#This Row],[Avg KS2]],AVERAGE(tblY10[[Avg KS2]]),_xlfn.STDEV.P(tblY10[[Avg KS2]])),9),_Stanine,2),5),"")</f>
        <v>7</v>
      </c>
      <c r="J50" s="66" t="inlineStr">
        <is>
          <t>10S/Sc2</t>
        </is>
      </c>
      <c r="K50" s="67">
        <f>IF(tblY10[[#This Row],[Preferred Last name]]="","",COUNTIFS($N$1:$ZZ$1,"*"&amp;CHAR(10)&amp;"Stanine",$N50:$ZZ50,"&gt;=1"))</f>
        <v>4</v>
      </c>
      <c r="L50" s="68">
        <f>IFERROR(AVERAGEIF($N$1:$ZZ$1,"*"&amp;CHAR(10)&amp;"Stanine",$N50:$ZZ50),"")</f>
        <v>5</v>
      </c>
      <c r="M50" s="69">
        <f>IF(AND(ISNUMBER(tblY10[[#This Row],[Mean Stanine]]),ISNUMBER(tblY10[[#This Row],[Avg KS2 Band]]),ISNUMBER(SlopeY10)),tblY10[[#This Row],[Mean Stanine]]-(InterceptY10+SlopeY10*tblY10[[#This Row],[Avg KS2 Band]]),"")</f>
        <v>-1.56813671308919</v>
      </c>
      <c r="N50" s="66" t="n">
        <v>21</v>
      </c>
      <c r="O50" s="67">
        <f>IF(ISNUMBER(tblY10[[#This Row],[4B01 - Cell Biology
Raw Score]]),IFERROR(VLOOKUP(ROUND(STANDARDIZE(tblY10[[#This Row],[4B01 - Cell Biology
Raw Score]],AVERAGE(tblY10[[4B01 - Cell Biology
Raw Score]]),_xlfn.STDEV.P(tblY10[[4B01 - Cell Biology
Raw Score]])),9),_Stanine,2),5),"")</f>
        <v>5</v>
      </c>
      <c r="P50" s="66" t="n">
        <v>19</v>
      </c>
      <c r="Q50" s="67">
        <f>IF(ISNUMBER(tblY10[[#This Row],[4C01 - Atomic Structure
Raw Score]]),IFERROR(VLOOKUP(ROUND(STANDARDIZE(tblY10[[#This Row],[4C01 - Atomic Structure
Raw Score]],AVERAGE(tblY10[[4C01 - Atomic Structure
Raw Score]]),_xlfn.STDEV.P(tblY10[[4C01 - Atomic Structure
Raw Score]])),9),_Stanine,2),5),"")</f>
        <v>5</v>
      </c>
      <c r="R50" s="66" t="n">
        <v>16</v>
      </c>
      <c r="S50" s="67">
        <f>IF(ISNUMBER(tblY10[[#This Row],[4P01 - Energy
Raw Score]]),IFERROR(VLOOKUP(ROUND(STANDARDIZE(tblY10[[#This Row],[4P01 - Energy
Raw Score]],AVERAGE(tblY10[[4P01 - Energy
Raw Score]]),_xlfn.STDEV.P(tblY10[[4P01 - Energy
Raw Score]])),9),_Stanine,2),5),"")</f>
        <v>5</v>
      </c>
      <c r="T50" s="66" t="n">
        <v>24</v>
      </c>
      <c r="U50" s="67">
        <f>IF(ISNUMBER(tblY10[[#This Row],[4B02 - Organisation
Raw Score]]),IFERROR(VLOOKUP(ROUND(STANDARDIZE(tblY10[[#This Row],[4B02 - Organisation
Raw Score]],AVERAGE(tblY10[[4B02 - Organisation
Raw Score]]),_xlfn.STDEV.P(tblY10[[4B02 - Organisation
Raw Score]])),9),_Stanine,2),5),"")</f>
        <v>5</v>
      </c>
      <c r="V50" s="66" t="n"/>
      <c r="W50" s="67" t="str">
        <f>IF(ISNUMBER(tblY10[[#This Row],[4C02 - Bonding
Raw Score]]),IFERROR(VLOOKUP(ROUND(STANDARDIZE(tblY10[[#This Row],[4C02 - Bonding
Raw Score]],AVERAGE(tblY10[[4C02 - Bonding
Raw Score]]),_xlfn.STDEV.P(tblY10[[4C02 - Bonding
Raw Score]])),9),_Stanine,2),5),"")</f>
        <v/>
      </c>
    </row>
    <row r="51">
      <c r="A51" s="65" t="inlineStr">
        <is>
          <t>X904117115324</t>
        </is>
      </c>
      <c r="B51" s="65" t="inlineStr">
        <is>
          <t>Parker</t>
        </is>
      </c>
      <c r="C51" s="65" t="inlineStr">
        <is>
          <t>Grace</t>
        </is>
      </c>
      <c r="D51" s="66" t="inlineStr">
        <is>
          <t>F</t>
        </is>
      </c>
      <c r="E51" s="66" t="n"/>
      <c r="F51" s="66" t="inlineStr">
        <is>
          <t>N</t>
        </is>
      </c>
      <c r="G51" s="34" t="n">
        <v>100</v>
      </c>
      <c r="H51" s="34" t="n">
        <v>95.5</v>
      </c>
      <c r="I51" s="67">
        <f>IF(ISNUMBER(tblY10[[#This Row],[Avg KS2]]),IFERROR(VLOOKUP(ROUND(STANDARDIZE(tblY10[[#This Row],[Avg KS2]],AVERAGE(tblY10[[Avg KS2]]),_xlfn.STDEV.P(tblY10[[Avg KS2]])),9),_Stanine,2),5),"")</f>
        <v>3</v>
      </c>
      <c r="J51" s="66" t="inlineStr">
        <is>
          <t>10S/Sc2</t>
        </is>
      </c>
      <c r="K51" s="67">
        <f>IF(tblY10[[#This Row],[Preferred Last name]]="","",COUNTIFS($N$1:$ZZ$1,"*"&amp;CHAR(10)&amp;"Stanine",$N51:$ZZ51,"&gt;=1"))</f>
        <v>4</v>
      </c>
      <c r="L51" s="68">
        <f>IFERROR(AVERAGEIF($N$1:$ZZ$1,"*"&amp;CHAR(10)&amp;"Stanine",$N51:$ZZ51),"")</f>
        <v>2.5</v>
      </c>
      <c r="M51" s="69">
        <f>IF(AND(ISNUMBER(tblY10[[#This Row],[Mean Stanine]]),ISNUMBER(tblY10[[#This Row],[Avg KS2 Band]]),ISNUMBER(SlopeY10)),tblY10[[#This Row],[Mean Stanine]]-(InterceptY10+SlopeY10*tblY10[[#This Row],[Avg KS2 Band]]),"")</f>
        <v>-0.812127575958537</v>
      </c>
      <c r="N51" s="66" t="n">
        <v>8</v>
      </c>
      <c r="O51" s="67">
        <f>IF(ISNUMBER(tblY10[[#This Row],[4B01 - Cell Biology
Raw Score]]),IFERROR(VLOOKUP(ROUND(STANDARDIZE(tblY10[[#This Row],[4B01 - Cell Biology
Raw Score]],AVERAGE(tblY10[[4B01 - Cell Biology
Raw Score]]),_xlfn.STDEV.P(tblY10[[4B01 - Cell Biology
Raw Score]])),9),_Stanine,2),5),"")</f>
        <v>2</v>
      </c>
      <c r="P51" s="66" t="n">
        <v>10</v>
      </c>
      <c r="Q51" s="67">
        <f>IF(ISNUMBER(tblY10[[#This Row],[4C01 - Atomic Structure
Raw Score]]),IFERROR(VLOOKUP(ROUND(STANDARDIZE(tblY10[[#This Row],[4C01 - Atomic Structure
Raw Score]],AVERAGE(tblY10[[4C01 - Atomic Structure
Raw Score]]),_xlfn.STDEV.P(tblY10[[4C01 - Atomic Structure
Raw Score]])),9),_Stanine,2),5),"")</f>
        <v>3</v>
      </c>
      <c r="R51" s="66" t="n">
        <v>7</v>
      </c>
      <c r="S51" s="67">
        <f>IF(ISNUMBER(tblY10[[#This Row],[4P01 - Energy
Raw Score]]),IFERROR(VLOOKUP(ROUND(STANDARDIZE(tblY10[[#This Row],[4P01 - Energy
Raw Score]],AVERAGE(tblY10[[4P01 - Energy
Raw Score]]),_xlfn.STDEV.P(tblY10[[4P01 - Energy
Raw Score]])),9),_Stanine,2),5),"")</f>
        <v>3</v>
      </c>
      <c r="T51" s="66" t="n">
        <v>11</v>
      </c>
      <c r="U51" s="67">
        <f>IF(ISNUMBER(tblY10[[#This Row],[4B02 - Organisation
Raw Score]]),IFERROR(VLOOKUP(ROUND(STANDARDIZE(tblY10[[#This Row],[4B02 - Organisation
Raw Score]],AVERAGE(tblY10[[4B02 - Organisation
Raw Score]]),_xlfn.STDEV.P(tblY10[[4B02 - Organisation
Raw Score]])),9),_Stanine,2),5),"")</f>
        <v>2</v>
      </c>
      <c r="V51" s="66" t="n"/>
      <c r="W51" s="67" t="str">
        <f>IF(ISNUMBER(tblY10[[#This Row],[4C02 - Bonding
Raw Score]]),IFERROR(VLOOKUP(ROUND(STANDARDIZE(tblY10[[#This Row],[4C02 - Bonding
Raw Score]],AVERAGE(tblY10[[4C02 - Bonding
Raw Score]]),_xlfn.STDEV.P(tblY10[[4C02 - Bonding
Raw Score]])),9),_Stanine,2),5),"")</f>
        <v/>
      </c>
    </row>
    <row r="52">
      <c r="A52" s="65" t="inlineStr">
        <is>
          <t>X902557375403</t>
        </is>
      </c>
      <c r="B52" s="65" t="inlineStr">
        <is>
          <t>Patel</t>
        </is>
      </c>
      <c r="C52" s="65" t="inlineStr">
        <is>
          <t>Ava</t>
        </is>
      </c>
      <c r="D52" s="66" t="inlineStr">
        <is>
          <t>M</t>
        </is>
      </c>
      <c r="E52" s="66" t="n"/>
      <c r="F52" s="66" t="inlineStr">
        <is>
          <t>Y</t>
        </is>
      </c>
      <c r="G52" s="34" t="n">
        <v>90.09999999999999</v>
      </c>
      <c r="H52" s="34" t="n">
        <v>106</v>
      </c>
      <c r="I52" s="67">
        <f>IF(ISNUMBER(tblY10[[#This Row],[Avg KS2]]),IFERROR(VLOOKUP(ROUND(STANDARDIZE(tblY10[[#This Row],[Avg KS2]],AVERAGE(tblY10[[Avg KS2]]),_xlfn.STDEV.P(tblY10[[Avg KS2]])),9),_Stanine,2),5),"")</f>
        <v>6</v>
      </c>
      <c r="J52" s="66" t="inlineStr">
        <is>
          <t>10S/Sc2</t>
        </is>
      </c>
      <c r="K52" s="67">
        <f>IF(tblY10[[#This Row],[Preferred Last name]]="","",COUNTIFS($N$1:$ZZ$1,"*"&amp;CHAR(10)&amp;"Stanine",$N52:$ZZ52,"&gt;=1"))</f>
        <v>4</v>
      </c>
      <c r="L52" s="68">
        <f>IFERROR(AVERAGEIF($N$1:$ZZ$1,"*"&amp;CHAR(10)&amp;"Stanine",$N52:$ZZ52),"")</f>
        <v>5.25</v>
      </c>
      <c r="M52" s="69">
        <f>IF(AND(ISNUMBER(tblY10[[#This Row],[Mean Stanine]]),ISNUMBER(tblY10[[#This Row],[Avg KS2 Band]]),ISNUMBER(SlopeY10)),tblY10[[#This Row],[Mean Stanine]]-(InterceptY10+SlopeY10*tblY10[[#This Row],[Avg KS2 Band]]),"")</f>
        <v>-0.504134428806523</v>
      </c>
      <c r="N52" s="66" t="n">
        <v>22</v>
      </c>
      <c r="O52" s="67">
        <f>IF(ISNUMBER(tblY10[[#This Row],[4B01 - Cell Biology
Raw Score]]),IFERROR(VLOOKUP(ROUND(STANDARDIZE(tblY10[[#This Row],[4B01 - Cell Biology
Raw Score]],AVERAGE(tblY10[[4B01 - Cell Biology
Raw Score]]),_xlfn.STDEV.P(tblY10[[4B01 - Cell Biology
Raw Score]])),9),_Stanine,2),5),"")</f>
        <v>6</v>
      </c>
      <c r="P52" s="66" t="n">
        <v>19</v>
      </c>
      <c r="Q52" s="67">
        <f>IF(ISNUMBER(tblY10[[#This Row],[4C01 - Atomic Structure
Raw Score]]),IFERROR(VLOOKUP(ROUND(STANDARDIZE(tblY10[[#This Row],[4C01 - Atomic Structure
Raw Score]],AVERAGE(tblY10[[4C01 - Atomic Structure
Raw Score]]),_xlfn.STDEV.P(tblY10[[4C01 - Atomic Structure
Raw Score]])),9),_Stanine,2),5),"")</f>
        <v>5</v>
      </c>
      <c r="R52" s="66" t="n">
        <v>21</v>
      </c>
      <c r="S52" s="67">
        <f>IF(ISNUMBER(tblY10[[#This Row],[4P01 - Energy
Raw Score]]),IFERROR(VLOOKUP(ROUND(STANDARDIZE(tblY10[[#This Row],[4P01 - Energy
Raw Score]],AVERAGE(tblY10[[4P01 - Energy
Raw Score]]),_xlfn.STDEV.P(tblY10[[4P01 - Energy
Raw Score]])),9),_Stanine,2),5),"")</f>
        <v>6</v>
      </c>
      <c r="T52" s="66" t="n">
        <v>20</v>
      </c>
      <c r="U52" s="67">
        <f>IF(ISNUMBER(tblY10[[#This Row],[4B02 - Organisation
Raw Score]]),IFERROR(VLOOKUP(ROUND(STANDARDIZE(tblY10[[#This Row],[4B02 - Organisation
Raw Score]],AVERAGE(tblY10[[4B02 - Organisation
Raw Score]]),_xlfn.STDEV.P(tblY10[[4B02 - Organisation
Raw Score]])),9),_Stanine,2),5),"")</f>
        <v>4</v>
      </c>
      <c r="V52" s="66" t="n"/>
      <c r="W52" s="67" t="str">
        <f>IF(ISNUMBER(tblY10[[#This Row],[4C02 - Bonding
Raw Score]]),IFERROR(VLOOKUP(ROUND(STANDARDIZE(tblY10[[#This Row],[4C02 - Bonding
Raw Score]],AVERAGE(tblY10[[4C02 - Bonding
Raw Score]]),_xlfn.STDEV.P(tblY10[[4C02 - Bonding
Raw Score]])),9),_Stanine,2),5),"")</f>
        <v/>
      </c>
    </row>
    <row r="53">
      <c r="A53" s="65" t="inlineStr">
        <is>
          <t>X905322033328</t>
        </is>
      </c>
      <c r="B53" s="65" t="inlineStr">
        <is>
          <t>Patel</t>
        </is>
      </c>
      <c r="C53" s="65" t="inlineStr">
        <is>
          <t>Ethan</t>
        </is>
      </c>
      <c r="D53" s="66" t="inlineStr">
        <is>
          <t>M</t>
        </is>
      </c>
      <c r="E53" s="66" t="n"/>
      <c r="F53" s="66" t="inlineStr">
        <is>
          <t>N</t>
        </is>
      </c>
      <c r="G53" s="34" t="n">
        <v>93.8</v>
      </c>
      <c r="H53" s="34" t="n">
        <v>97.5</v>
      </c>
      <c r="I53" s="67">
        <f>IF(ISNUMBER(tblY10[[#This Row],[Avg KS2]]),IFERROR(VLOOKUP(ROUND(STANDARDIZE(tblY10[[#This Row],[Avg KS2]],AVERAGE(tblY10[[Avg KS2]]),_xlfn.STDEV.P(tblY10[[Avg KS2]])),9),_Stanine,2),5),"")</f>
        <v>3</v>
      </c>
      <c r="J53" s="66" t="inlineStr">
        <is>
          <t>10S/Sc2</t>
        </is>
      </c>
      <c r="K53" s="67">
        <f>IF(tblY10[[#This Row],[Preferred Last name]]="","",COUNTIFS($N$1:$ZZ$1,"*"&amp;CHAR(10)&amp;"Stanine",$N53:$ZZ53,"&gt;=1"))</f>
        <v>4</v>
      </c>
      <c r="L53" s="68">
        <f>IFERROR(AVERAGEIF($N$1:$ZZ$1,"*"&amp;CHAR(10)&amp;"Stanine",$N53:$ZZ53),"")</f>
        <v>4.75</v>
      </c>
      <c r="M53" s="69">
        <f>IF(AND(ISNUMBER(tblY10[[#This Row],[Mean Stanine]]),ISNUMBER(tblY10[[#This Row],[Avg KS2 Band]]),ISNUMBER(SlopeY10)),tblY10[[#This Row],[Mean Stanine]]-(InterceptY10+SlopeY10*tblY10[[#This Row],[Avg KS2 Band]]),"")</f>
        <v>1.43787242404146</v>
      </c>
      <c r="N53" s="66" t="n">
        <v>19</v>
      </c>
      <c r="O53" s="67">
        <f>IF(ISNUMBER(tblY10[[#This Row],[4B01 - Cell Biology
Raw Score]]),IFERROR(VLOOKUP(ROUND(STANDARDIZE(tblY10[[#This Row],[4B01 - Cell Biology
Raw Score]],AVERAGE(tblY10[[4B01 - Cell Biology
Raw Score]]),_xlfn.STDEV.P(tblY10[[4B01 - Cell Biology
Raw Score]])),9),_Stanine,2),5),"")</f>
        <v>5</v>
      </c>
      <c r="P53" s="66" t="n">
        <v>19</v>
      </c>
      <c r="Q53" s="67">
        <f>IF(ISNUMBER(tblY10[[#This Row],[4C01 - Atomic Structure
Raw Score]]),IFERROR(VLOOKUP(ROUND(STANDARDIZE(tblY10[[#This Row],[4C01 - Atomic Structure
Raw Score]],AVERAGE(tblY10[[4C01 - Atomic Structure
Raw Score]]),_xlfn.STDEV.P(tblY10[[4C01 - Atomic Structure
Raw Score]])),9),_Stanine,2),5),"")</f>
        <v>5</v>
      </c>
      <c r="R53" s="66" t="n">
        <v>15</v>
      </c>
      <c r="S53" s="67">
        <f>IF(ISNUMBER(tblY10[[#This Row],[4P01 - Energy
Raw Score]]),IFERROR(VLOOKUP(ROUND(STANDARDIZE(tblY10[[#This Row],[4P01 - Energy
Raw Score]],AVERAGE(tblY10[[4P01 - Energy
Raw Score]]),_xlfn.STDEV.P(tblY10[[4P01 - Energy
Raw Score]])),9),_Stanine,2),5),"")</f>
        <v>5</v>
      </c>
      <c r="T53" s="66" t="n">
        <v>19</v>
      </c>
      <c r="U53" s="67">
        <f>IF(ISNUMBER(tblY10[[#This Row],[4B02 - Organisation
Raw Score]]),IFERROR(VLOOKUP(ROUND(STANDARDIZE(tblY10[[#This Row],[4B02 - Organisation
Raw Score]],AVERAGE(tblY10[[4B02 - Organisation
Raw Score]]),_xlfn.STDEV.P(tblY10[[4B02 - Organisation
Raw Score]])),9),_Stanine,2),5),"")</f>
        <v>4</v>
      </c>
      <c r="V53" s="66" t="n"/>
      <c r="W53" s="67" t="str">
        <f>IF(ISNUMBER(tblY10[[#This Row],[4C02 - Bonding
Raw Score]]),IFERROR(VLOOKUP(ROUND(STANDARDIZE(tblY10[[#This Row],[4C02 - Bonding
Raw Score]],AVERAGE(tblY10[[4C02 - Bonding
Raw Score]]),_xlfn.STDEV.P(tblY10[[4C02 - Bonding
Raw Score]])),9),_Stanine,2),5),"")</f>
        <v/>
      </c>
    </row>
    <row r="54">
      <c r="A54" s="65" t="inlineStr">
        <is>
          <t>X901375128682</t>
        </is>
      </c>
      <c r="B54" s="65" t="inlineStr">
        <is>
          <t>Shaw</t>
        </is>
      </c>
      <c r="C54" s="65" t="inlineStr">
        <is>
          <t>George</t>
        </is>
      </c>
      <c r="D54" s="66" t="inlineStr">
        <is>
          <t>F</t>
        </is>
      </c>
      <c r="E54" s="66" t="n"/>
      <c r="F54" s="66" t="inlineStr">
        <is>
          <t>N</t>
        </is>
      </c>
      <c r="G54" s="34" t="n">
        <v>86.59999999999999</v>
      </c>
      <c r="H54" s="34" t="n">
        <v>107</v>
      </c>
      <c r="I54" s="67">
        <f>IF(ISNUMBER(tblY10[[#This Row],[Avg KS2]]),IFERROR(VLOOKUP(ROUND(STANDARDIZE(tblY10[[#This Row],[Avg KS2]],AVERAGE(tblY10[[Avg KS2]]),_xlfn.STDEV.P(tblY10[[Avg KS2]])),9),_Stanine,2),5),"")</f>
        <v>6</v>
      </c>
      <c r="J54" s="66" t="inlineStr">
        <is>
          <t>10S/Sc2</t>
        </is>
      </c>
      <c r="K54" s="67">
        <f>IF(tblY10[[#This Row],[Preferred Last name]]="","",COUNTIFS($N$1:$ZZ$1,"*"&amp;CHAR(10)&amp;"Stanine",$N54:$ZZ54,"&gt;=1"))</f>
        <v>4</v>
      </c>
      <c r="L54" s="68">
        <f>IFERROR(AVERAGEIF($N$1:$ZZ$1,"*"&amp;CHAR(10)&amp;"Stanine",$N54:$ZZ54),"")</f>
        <v>6</v>
      </c>
      <c r="M54" s="69">
        <f>IF(AND(ISNUMBER(tblY10[[#This Row],[Mean Stanine]]),ISNUMBER(tblY10[[#This Row],[Avg KS2 Band]]),ISNUMBER(SlopeY10)),tblY10[[#This Row],[Mean Stanine]]-(InterceptY10+SlopeY10*tblY10[[#This Row],[Avg KS2 Band]]),"")</f>
        <v>0.245865571193477</v>
      </c>
      <c r="N54" s="66" t="n">
        <v>26</v>
      </c>
      <c r="O54" s="67">
        <f>IF(ISNUMBER(tblY10[[#This Row],[4B01 - Cell Biology
Raw Score]]),IFERROR(VLOOKUP(ROUND(STANDARDIZE(tblY10[[#This Row],[4B01 - Cell Biology
Raw Score]],AVERAGE(tblY10[[4B01 - Cell Biology
Raw Score]]),_xlfn.STDEV.P(tblY10[[4B01 - Cell Biology
Raw Score]])),9),_Stanine,2),5),"")</f>
        <v>6</v>
      </c>
      <c r="P54" s="66" t="n">
        <v>22</v>
      </c>
      <c r="Q54" s="67">
        <f>IF(ISNUMBER(tblY10[[#This Row],[4C01 - Atomic Structure
Raw Score]]),IFERROR(VLOOKUP(ROUND(STANDARDIZE(tblY10[[#This Row],[4C01 - Atomic Structure
Raw Score]],AVERAGE(tblY10[[4C01 - Atomic Structure
Raw Score]]),_xlfn.STDEV.P(tblY10[[4C01 - Atomic Structure
Raw Score]])),9),_Stanine,2),5),"")</f>
        <v>6</v>
      </c>
      <c r="R54" s="66" t="n">
        <v>16</v>
      </c>
      <c r="S54" s="67">
        <f>IF(ISNUMBER(tblY10[[#This Row],[4P01 - Energy
Raw Score]]),IFERROR(VLOOKUP(ROUND(STANDARDIZE(tblY10[[#This Row],[4P01 - Energy
Raw Score]],AVERAGE(tblY10[[4P01 - Energy
Raw Score]]),_xlfn.STDEV.P(tblY10[[4P01 - Energy
Raw Score]])),9),_Stanine,2),5),"")</f>
        <v>5</v>
      </c>
      <c r="T54" s="66" t="n">
        <v>30</v>
      </c>
      <c r="U54" s="67">
        <f>IF(ISNUMBER(tblY10[[#This Row],[4B02 - Organisation
Raw Score]]),IFERROR(VLOOKUP(ROUND(STANDARDIZE(tblY10[[#This Row],[4B02 - Organisation
Raw Score]],AVERAGE(tblY10[[4B02 - Organisation
Raw Score]]),_xlfn.STDEV.P(tblY10[[4B02 - Organisation
Raw Score]])),9),_Stanine,2),5),"")</f>
        <v>7</v>
      </c>
      <c r="V54" s="66" t="n"/>
      <c r="W54" s="67" t="str">
        <f>IF(ISNUMBER(tblY10[[#This Row],[4C02 - Bonding
Raw Score]]),IFERROR(VLOOKUP(ROUND(STANDARDIZE(tblY10[[#This Row],[4C02 - Bonding
Raw Score]],AVERAGE(tblY10[[4C02 - Bonding
Raw Score]]),_xlfn.STDEV.P(tblY10[[4C02 - Bonding
Raw Score]])),9),_Stanine,2),5),"")</f>
        <v/>
      </c>
    </row>
    <row r="55">
      <c r="A55" s="65" t="inlineStr">
        <is>
          <t>X901983228346</t>
        </is>
      </c>
      <c r="B55" s="65" t="inlineStr">
        <is>
          <t>Smith</t>
        </is>
      </c>
      <c r="C55" s="65" t="inlineStr">
        <is>
          <t>Oscar</t>
        </is>
      </c>
      <c r="D55" s="66" t="inlineStr">
        <is>
          <t>F</t>
        </is>
      </c>
      <c r="E55" s="66" t="inlineStr">
        <is>
          <t>N</t>
        </is>
      </c>
      <c r="F55" s="66" t="inlineStr">
        <is>
          <t>Y</t>
        </is>
      </c>
      <c r="G55" s="34" t="n">
        <v>88.8</v>
      </c>
      <c r="H55" s="34" t="n">
        <v>99.5</v>
      </c>
      <c r="I55" s="67">
        <f>IF(ISNUMBER(tblY10[[#This Row],[Avg KS2]]),IFERROR(VLOOKUP(ROUND(STANDARDIZE(tblY10[[#This Row],[Avg KS2]],AVERAGE(tblY10[[Avg KS2]]),_xlfn.STDEV.P(tblY10[[Avg KS2]])),9),_Stanine,2),5),"")</f>
        <v>4</v>
      </c>
      <c r="J55" s="66" t="inlineStr">
        <is>
          <t>10S/Sc2</t>
        </is>
      </c>
      <c r="K55" s="67">
        <f>IF(tblY10[[#This Row],[Preferred Last name]]="","",COUNTIFS($N$1:$ZZ$1,"*"&amp;CHAR(10)&amp;"Stanine",$N55:$ZZ55,"&gt;=1"))</f>
        <v>4</v>
      </c>
      <c r="L55" s="68">
        <f>IFERROR(AVERAGEIF($N$1:$ZZ$1,"*"&amp;CHAR(10)&amp;"Stanine",$N55:$ZZ55),"")</f>
        <v>4.5</v>
      </c>
      <c r="M55" s="69">
        <f>IF(AND(ISNUMBER(tblY10[[#This Row],[Mean Stanine]]),ISNUMBER(tblY10[[#This Row],[Avg KS2 Band]]),ISNUMBER(SlopeY10)),tblY10[[#This Row],[Mean Stanine]]-(InterceptY10+SlopeY10*tblY10[[#This Row],[Avg KS2 Band]]),"")</f>
        <v>0.373870139758801</v>
      </c>
      <c r="N55" s="66" t="n">
        <v>11</v>
      </c>
      <c r="O55" s="67">
        <f>IF(ISNUMBER(tblY10[[#This Row],[4B01 - Cell Biology
Raw Score]]),IFERROR(VLOOKUP(ROUND(STANDARDIZE(tblY10[[#This Row],[4B01 - Cell Biology
Raw Score]],AVERAGE(tblY10[[4B01 - Cell Biology
Raw Score]]),_xlfn.STDEV.P(tblY10[[4B01 - Cell Biology
Raw Score]])),9),_Stanine,2),5),"")</f>
        <v>3</v>
      </c>
      <c r="P55" s="66" t="n">
        <v>20</v>
      </c>
      <c r="Q55" s="67">
        <f>IF(ISNUMBER(tblY10[[#This Row],[4C01 - Atomic Structure
Raw Score]]),IFERROR(VLOOKUP(ROUND(STANDARDIZE(tblY10[[#This Row],[4C01 - Atomic Structure
Raw Score]],AVERAGE(tblY10[[4C01 - Atomic Structure
Raw Score]]),_xlfn.STDEV.P(tblY10[[4C01 - Atomic Structure
Raw Score]])),9),_Stanine,2),5),"")</f>
        <v>6</v>
      </c>
      <c r="R55" s="66" t="n">
        <v>17</v>
      </c>
      <c r="S55" s="67">
        <f>IF(ISNUMBER(tblY10[[#This Row],[4P01 - Energy
Raw Score]]),IFERROR(VLOOKUP(ROUND(STANDARDIZE(tblY10[[#This Row],[4P01 - Energy
Raw Score]],AVERAGE(tblY10[[4P01 - Energy
Raw Score]]),_xlfn.STDEV.P(tblY10[[4P01 - Energy
Raw Score]])),9),_Stanine,2),5),"")</f>
        <v>5</v>
      </c>
      <c r="T55" s="66" t="n">
        <v>19</v>
      </c>
      <c r="U55" s="67">
        <f>IF(ISNUMBER(tblY10[[#This Row],[4B02 - Organisation
Raw Score]]),IFERROR(VLOOKUP(ROUND(STANDARDIZE(tblY10[[#This Row],[4B02 - Organisation
Raw Score]],AVERAGE(tblY10[[4B02 - Organisation
Raw Score]]),_xlfn.STDEV.P(tblY10[[4B02 - Organisation
Raw Score]])),9),_Stanine,2),5),"")</f>
        <v>4</v>
      </c>
      <c r="V55" s="66" t="n"/>
      <c r="W55" s="67" t="str">
        <f>IF(ISNUMBER(tblY10[[#This Row],[4C02 - Bonding
Raw Score]]),IFERROR(VLOOKUP(ROUND(STANDARDIZE(tblY10[[#This Row],[4C02 - Bonding
Raw Score]],AVERAGE(tblY10[[4C02 - Bonding
Raw Score]]),_xlfn.STDEV.P(tblY10[[4C02 - Bonding
Raw Score]])),9),_Stanine,2),5),"")</f>
        <v/>
      </c>
    </row>
    <row r="56">
      <c r="A56" s="65" t="inlineStr">
        <is>
          <t>X900571823535</t>
        </is>
      </c>
      <c r="B56" s="65" t="inlineStr">
        <is>
          <t>Thompson</t>
        </is>
      </c>
      <c r="C56" s="65" t="inlineStr">
        <is>
          <t>Isla</t>
        </is>
      </c>
      <c r="D56" s="66" t="inlineStr">
        <is>
          <t>M</t>
        </is>
      </c>
      <c r="E56" s="66" t="n"/>
      <c r="F56" s="66" t="inlineStr">
        <is>
          <t>N</t>
        </is>
      </c>
      <c r="G56" s="34" t="n">
        <v>86.2</v>
      </c>
      <c r="H56" s="34" t="n">
        <v>109.5</v>
      </c>
      <c r="I56" s="67">
        <f>IF(ISNUMBER(tblY10[[#This Row],[Avg KS2]]),IFERROR(VLOOKUP(ROUND(STANDARDIZE(tblY10[[#This Row],[Avg KS2]],AVERAGE(tblY10[[Avg KS2]]),_xlfn.STDEV.P(tblY10[[Avg KS2]])),9),_Stanine,2),5),"")</f>
        <v>7</v>
      </c>
      <c r="J56" s="66" t="inlineStr">
        <is>
          <t>10S/Sc2</t>
        </is>
      </c>
      <c r="K56" s="67">
        <f>IF(tblY10[[#This Row],[Preferred Last name]]="","",COUNTIFS($N$1:$ZZ$1,"*"&amp;CHAR(10)&amp;"Stanine",$N56:$ZZ56,"&gt;=1"))</f>
        <v>3</v>
      </c>
      <c r="L56" s="68">
        <f>IFERROR(AVERAGEIF($N$1:$ZZ$1,"*"&amp;CHAR(10)&amp;"Stanine",$N56:$ZZ56),"")</f>
        <v>8.33333333333333</v>
      </c>
      <c r="M56" s="69">
        <f>IF(AND(ISNUMBER(tblY10[[#This Row],[Mean Stanine]]),ISNUMBER(tblY10[[#This Row],[Avg KS2 Band]]),ISNUMBER(SlopeY10)),tblY10[[#This Row],[Mean Stanine]]-(InterceptY10+SlopeY10*tblY10[[#This Row],[Avg KS2 Band]]),"")</f>
        <v>1.76519662024415</v>
      </c>
      <c r="N56" s="66" t="inlineStr">
        <is>
          <t>A</t>
        </is>
      </c>
      <c r="O56" s="67" t="str">
        <f>IF(ISNUMBER(tblY10[[#This Row],[4B01 - Cell Biology
Raw Score]]),IFERROR(VLOOKUP(ROUND(STANDARDIZE(tblY10[[#This Row],[4B01 - Cell Biology
Raw Score]],AVERAGE(tblY10[[4B01 - Cell Biology
Raw Score]]),_xlfn.STDEV.P(tblY10[[4B01 - Cell Biology
Raw Score]])),9),_Stanine,2),5),"")</f>
        <v/>
      </c>
      <c r="P56" s="66" t="n">
        <v>28</v>
      </c>
      <c r="Q56" s="67">
        <f>IF(ISNUMBER(tblY10[[#This Row],[4C01 - Atomic Structure
Raw Score]]),IFERROR(VLOOKUP(ROUND(STANDARDIZE(tblY10[[#This Row],[4C01 - Atomic Structure
Raw Score]],AVERAGE(tblY10[[4C01 - Atomic Structure
Raw Score]]),_xlfn.STDEV.P(tblY10[[4C01 - Atomic Structure
Raw Score]])),9),_Stanine,2),5),"")</f>
        <v>8</v>
      </c>
      <c r="R56" s="66" t="n">
        <v>30</v>
      </c>
      <c r="S56" s="67">
        <f>IF(ISNUMBER(tblY10[[#This Row],[4P01 - Energy
Raw Score]]),IFERROR(VLOOKUP(ROUND(STANDARDIZE(tblY10[[#This Row],[4P01 - Energy
Raw Score]],AVERAGE(tblY10[[4P01 - Energy
Raw Score]]),_xlfn.STDEV.P(tblY10[[4P01 - Energy
Raw Score]])),9),_Stanine,2),5),"")</f>
        <v>9</v>
      </c>
      <c r="T56" s="66" t="n">
        <v>35</v>
      </c>
      <c r="U56" s="67">
        <f>IF(ISNUMBER(tblY10[[#This Row],[4B02 - Organisation
Raw Score]]),IFERROR(VLOOKUP(ROUND(STANDARDIZE(tblY10[[#This Row],[4B02 - Organisation
Raw Score]],AVERAGE(tblY10[[4B02 - Organisation
Raw Score]]),_xlfn.STDEV.P(tblY10[[4B02 - Organisation
Raw Score]])),9),_Stanine,2),5),"")</f>
        <v>8</v>
      </c>
      <c r="V56" s="66" t="n"/>
      <c r="W56" s="67" t="str">
        <f>IF(ISNUMBER(tblY10[[#This Row],[4C02 - Bonding
Raw Score]]),IFERROR(VLOOKUP(ROUND(STANDARDIZE(tblY10[[#This Row],[4C02 - Bonding
Raw Score]],AVERAGE(tblY10[[4C02 - Bonding
Raw Score]]),_xlfn.STDEV.P(tblY10[[4C02 - Bonding
Raw Score]])),9),_Stanine,2),5),"")</f>
        <v/>
      </c>
    </row>
    <row r="57">
      <c r="A57" s="65" t="inlineStr">
        <is>
          <t>X907862354506</t>
        </is>
      </c>
      <c r="B57" s="65" t="inlineStr">
        <is>
          <t>Thompson</t>
        </is>
      </c>
      <c r="C57" s="65" t="inlineStr">
        <is>
          <t>Ivy</t>
        </is>
      </c>
      <c r="D57" s="66" t="inlineStr">
        <is>
          <t>F</t>
        </is>
      </c>
      <c r="E57" s="66" t="inlineStr">
        <is>
          <t>N</t>
        </is>
      </c>
      <c r="F57" s="66" t="inlineStr">
        <is>
          <t>N</t>
        </is>
      </c>
      <c r="G57" s="34" t="n">
        <v>100</v>
      </c>
      <c r="H57" s="34" t="n">
        <v>102.5</v>
      </c>
      <c r="I57" s="67">
        <f>IF(ISNUMBER(tblY10[[#This Row],[Avg KS2]]),IFERROR(VLOOKUP(ROUND(STANDARDIZE(tblY10[[#This Row],[Avg KS2]],AVERAGE(tblY10[[Avg KS2]]),_xlfn.STDEV.P(tblY10[[Avg KS2]])),9),_Stanine,2),5),"")</f>
        <v>5</v>
      </c>
      <c r="J57" s="66" t="inlineStr">
        <is>
          <t>10S/Sc2</t>
        </is>
      </c>
      <c r="K57" s="67">
        <f>IF(tblY10[[#This Row],[Preferred Last name]]="","",COUNTIFS($N$1:$ZZ$1,"*"&amp;CHAR(10)&amp;"Stanine",$N57:$ZZ57,"&gt;=1"))</f>
        <v>4</v>
      </c>
      <c r="L57" s="68">
        <f>IFERROR(AVERAGEIF($N$1:$ZZ$1,"*"&amp;CHAR(10)&amp;"Stanine",$N57:$ZZ57),"")</f>
        <v>6.75</v>
      </c>
      <c r="M57" s="69">
        <f>IF(AND(ISNUMBER(tblY10[[#This Row],[Mean Stanine]]),ISNUMBER(tblY10[[#This Row],[Avg KS2 Band]]),ISNUMBER(SlopeY10)),tblY10[[#This Row],[Mean Stanine]]-(InterceptY10+SlopeY10*tblY10[[#This Row],[Avg KS2 Band]]),"")</f>
        <v>1.80986785547614</v>
      </c>
      <c r="N57" s="66" t="n">
        <v>26</v>
      </c>
      <c r="O57" s="67">
        <f>IF(ISNUMBER(tblY10[[#This Row],[4B01 - Cell Biology
Raw Score]]),IFERROR(VLOOKUP(ROUND(STANDARDIZE(tblY10[[#This Row],[4B01 - Cell Biology
Raw Score]],AVERAGE(tblY10[[4B01 - Cell Biology
Raw Score]]),_xlfn.STDEV.P(tblY10[[4B01 - Cell Biology
Raw Score]])),9),_Stanine,2),5),"")</f>
        <v>6</v>
      </c>
      <c r="P57" s="66" t="n">
        <v>24</v>
      </c>
      <c r="Q57" s="67">
        <f>IF(ISNUMBER(tblY10[[#This Row],[4C01 - Atomic Structure
Raw Score]]),IFERROR(VLOOKUP(ROUND(STANDARDIZE(tblY10[[#This Row],[4C01 - Atomic Structure
Raw Score]],AVERAGE(tblY10[[4C01 - Atomic Structure
Raw Score]]),_xlfn.STDEV.P(tblY10[[4C01 - Atomic Structure
Raw Score]])),9),_Stanine,2),5),"")</f>
        <v>7</v>
      </c>
      <c r="R57" s="66" t="n">
        <v>23</v>
      </c>
      <c r="S57" s="67">
        <f>IF(ISNUMBER(tblY10[[#This Row],[4P01 - Energy
Raw Score]]),IFERROR(VLOOKUP(ROUND(STANDARDIZE(tblY10[[#This Row],[4P01 - Energy
Raw Score]],AVERAGE(tblY10[[4P01 - Energy
Raw Score]]),_xlfn.STDEV.P(tblY10[[4P01 - Energy
Raw Score]])),9),_Stanine,2),5),"")</f>
        <v>7</v>
      </c>
      <c r="T57" s="66" t="n">
        <v>29</v>
      </c>
      <c r="U57" s="67">
        <f>IF(ISNUMBER(tblY10[[#This Row],[4B02 - Organisation
Raw Score]]),IFERROR(VLOOKUP(ROUND(STANDARDIZE(tblY10[[#This Row],[4B02 - Organisation
Raw Score]],AVERAGE(tblY10[[4B02 - Organisation
Raw Score]]),_xlfn.STDEV.P(tblY10[[4B02 - Organisation
Raw Score]])),9),_Stanine,2),5),"")</f>
        <v>7</v>
      </c>
      <c r="V57" s="66" t="n"/>
      <c r="W57" s="67" t="str">
        <f>IF(ISNUMBER(tblY10[[#This Row],[4C02 - Bonding
Raw Score]]),IFERROR(VLOOKUP(ROUND(STANDARDIZE(tblY10[[#This Row],[4C02 - Bonding
Raw Score]],AVERAGE(tblY10[[4C02 - Bonding
Raw Score]]),_xlfn.STDEV.P(tblY10[[4C02 - Bonding
Raw Score]])),9),_Stanine,2),5),"")</f>
        <v/>
      </c>
    </row>
    <row r="58">
      <c r="A58" s="65" t="inlineStr">
        <is>
          <t>X904031835150</t>
        </is>
      </c>
      <c r="B58" s="65" t="inlineStr">
        <is>
          <t>Williams</t>
        </is>
      </c>
      <c r="C58" s="65" t="inlineStr">
        <is>
          <t>Rhys</t>
        </is>
      </c>
      <c r="D58" s="66" t="inlineStr">
        <is>
          <t>F</t>
        </is>
      </c>
      <c r="E58" s="66" t="n"/>
      <c r="F58" s="66" t="inlineStr">
        <is>
          <t>Y</t>
        </is>
      </c>
      <c r="G58" s="34" t="n">
        <v>91.59999999999999</v>
      </c>
      <c r="H58" s="34" t="n">
        <v>108.5</v>
      </c>
      <c r="I58" s="67">
        <f>IF(ISNUMBER(tblY10[[#This Row],[Avg KS2]]),IFERROR(VLOOKUP(ROUND(STANDARDIZE(tblY10[[#This Row],[Avg KS2]],AVERAGE(tblY10[[Avg KS2]]),_xlfn.STDEV.P(tblY10[[Avg KS2]])),9),_Stanine,2),5),"")</f>
        <v>7</v>
      </c>
      <c r="J58" s="66" t="inlineStr">
        <is>
          <t>10S/Sc2</t>
        </is>
      </c>
      <c r="K58" s="67">
        <f>IF(tblY10[[#This Row],[Preferred Last name]]="","",COUNTIFS($N$1:$ZZ$1,"*"&amp;CHAR(10)&amp;"Stanine",$N58:$ZZ58,"&gt;=1"))</f>
        <v>4</v>
      </c>
      <c r="L58" s="68">
        <f>IFERROR(AVERAGEIF($N$1:$ZZ$1,"*"&amp;CHAR(10)&amp;"Stanine",$N58:$ZZ58),"")</f>
        <v>5.75</v>
      </c>
      <c r="M58" s="69">
        <f>IF(AND(ISNUMBER(tblY10[[#This Row],[Mean Stanine]]),ISNUMBER(tblY10[[#This Row],[Avg KS2 Band]]),ISNUMBER(SlopeY10)),tblY10[[#This Row],[Mean Stanine]]-(InterceptY10+SlopeY10*tblY10[[#This Row],[Avg KS2 Band]]),"")</f>
        <v>-0.818136713089186</v>
      </c>
      <c r="N58" s="66" t="n">
        <v>24</v>
      </c>
      <c r="O58" s="67">
        <f>IF(ISNUMBER(tblY10[[#This Row],[4B01 - Cell Biology
Raw Score]]),IFERROR(VLOOKUP(ROUND(STANDARDIZE(tblY10[[#This Row],[4B01 - Cell Biology
Raw Score]],AVERAGE(tblY10[[4B01 - Cell Biology
Raw Score]]),_xlfn.STDEV.P(tblY10[[4B01 - Cell Biology
Raw Score]])),9),_Stanine,2),5),"")</f>
        <v>6</v>
      </c>
      <c r="P58" s="66" t="n">
        <v>22</v>
      </c>
      <c r="Q58" s="67">
        <f>IF(ISNUMBER(tblY10[[#This Row],[4C01 - Atomic Structure
Raw Score]]),IFERROR(VLOOKUP(ROUND(STANDARDIZE(tblY10[[#This Row],[4C01 - Atomic Structure
Raw Score]],AVERAGE(tblY10[[4C01 - Atomic Structure
Raw Score]]),_xlfn.STDEV.P(tblY10[[4C01 - Atomic Structure
Raw Score]])),9),_Stanine,2),5),"")</f>
        <v>6</v>
      </c>
      <c r="R58" s="66" t="n">
        <v>15</v>
      </c>
      <c r="S58" s="67">
        <f>IF(ISNUMBER(tblY10[[#This Row],[4P01 - Energy
Raw Score]]),IFERROR(VLOOKUP(ROUND(STANDARDIZE(tblY10[[#This Row],[4P01 - Energy
Raw Score]],AVERAGE(tblY10[[4P01 - Energy
Raw Score]]),_xlfn.STDEV.P(tblY10[[4P01 - Energy
Raw Score]])),9),_Stanine,2),5),"")</f>
        <v>5</v>
      </c>
      <c r="T58" s="66" t="n">
        <v>25</v>
      </c>
      <c r="U58" s="67">
        <f>IF(ISNUMBER(tblY10[[#This Row],[4B02 - Organisation
Raw Score]]),IFERROR(VLOOKUP(ROUND(STANDARDIZE(tblY10[[#This Row],[4B02 - Organisation
Raw Score]],AVERAGE(tblY10[[4B02 - Organisation
Raw Score]]),_xlfn.STDEV.P(tblY10[[4B02 - Organisation
Raw Score]])),9),_Stanine,2),5),"")</f>
        <v>6</v>
      </c>
      <c r="V58" s="66" t="n"/>
      <c r="W58" s="67" t="str">
        <f>IF(ISNUMBER(tblY10[[#This Row],[4C02 - Bonding
Raw Score]]),IFERROR(VLOOKUP(ROUND(STANDARDIZE(tblY10[[#This Row],[4C02 - Bonding
Raw Score]],AVERAGE(tblY10[[4C02 - Bonding
Raw Score]]),_xlfn.STDEV.P(tblY10[[4C02 - Bonding
Raw Score]])),9),_Stanine,2),5),"")</f>
        <v/>
      </c>
    </row>
    <row r="59">
      <c r="A59" s="65" t="inlineStr">
        <is>
          <t>X905929105677</t>
        </is>
      </c>
      <c r="B59" s="65" t="inlineStr">
        <is>
          <t>Adeyemi</t>
        </is>
      </c>
      <c r="C59" s="65" t="inlineStr">
        <is>
          <t>Maisie</t>
        </is>
      </c>
      <c r="D59" s="66" t="inlineStr">
        <is>
          <t>F</t>
        </is>
      </c>
      <c r="E59" s="66" t="inlineStr">
        <is>
          <t>K</t>
        </is>
      </c>
      <c r="F59" s="66" t="inlineStr">
        <is>
          <t>N</t>
        </is>
      </c>
      <c r="G59" s="34" t="n">
        <v>91.09999999999999</v>
      </c>
      <c r="H59" s="34" t="n">
        <v>101.5</v>
      </c>
      <c r="I59" s="67">
        <f>IF(ISNUMBER(tblY10[[#This Row],[Avg KS2]]),IFERROR(VLOOKUP(ROUND(STANDARDIZE(tblY10[[#This Row],[Avg KS2]],AVERAGE(tblY10[[Avg KS2]]),_xlfn.STDEV.P(tblY10[[Avg KS2]])),9),_Stanine,2),5),"")</f>
        <v>4</v>
      </c>
      <c r="J59" s="66" t="inlineStr">
        <is>
          <t>10S/Sc3</t>
        </is>
      </c>
      <c r="K59" s="67">
        <f>IF(tblY10[[#This Row],[Preferred Last name]]="","",COUNTIFS($N$1:$ZZ$1,"*"&amp;CHAR(10)&amp;"Stanine",$N59:$ZZ59,"&gt;=1"))</f>
        <v>5</v>
      </c>
      <c r="L59" s="68">
        <f>IFERROR(AVERAGEIF($N$1:$ZZ$1,"*"&amp;CHAR(10)&amp;"Stanine",$N59:$ZZ59),"")</f>
        <v>5.2</v>
      </c>
      <c r="M59" s="69">
        <f>IF(AND(ISNUMBER(tblY10[[#This Row],[Mean Stanine]]),ISNUMBER(tblY10[[#This Row],[Avg KS2 Band]]),ISNUMBER(SlopeY10)),tblY10[[#This Row],[Mean Stanine]]-(InterceptY10+SlopeY10*tblY10[[#This Row],[Avg KS2 Band]]),"")</f>
        <v>1.0738701397588</v>
      </c>
      <c r="N59" s="66" t="n">
        <v>19</v>
      </c>
      <c r="O59" s="67">
        <f>IF(ISNUMBER(tblY10[[#This Row],[4B01 - Cell Biology
Raw Score]]),IFERROR(VLOOKUP(ROUND(STANDARDIZE(tblY10[[#This Row],[4B01 - Cell Biology
Raw Score]],AVERAGE(tblY10[[4B01 - Cell Biology
Raw Score]]),_xlfn.STDEV.P(tblY10[[4B01 - Cell Biology
Raw Score]])),9),_Stanine,2),5),"")</f>
        <v>5</v>
      </c>
      <c r="P59" s="66" t="n">
        <v>15</v>
      </c>
      <c r="Q59" s="67">
        <f>IF(ISNUMBER(tblY10[[#This Row],[4C01 - Atomic Structure
Raw Score]]),IFERROR(VLOOKUP(ROUND(STANDARDIZE(tblY10[[#This Row],[4C01 - Atomic Structure
Raw Score]],AVERAGE(tblY10[[4C01 - Atomic Structure
Raw Score]]),_xlfn.STDEV.P(tblY10[[4C01 - Atomic Structure
Raw Score]])),9),_Stanine,2),5),"")</f>
        <v>4</v>
      </c>
      <c r="R59" s="66" t="n">
        <v>17</v>
      </c>
      <c r="S59" s="67">
        <f>IF(ISNUMBER(tblY10[[#This Row],[4P01 - Energy
Raw Score]]),IFERROR(VLOOKUP(ROUND(STANDARDIZE(tblY10[[#This Row],[4P01 - Energy
Raw Score]],AVERAGE(tblY10[[4P01 - Energy
Raw Score]]),_xlfn.STDEV.P(tblY10[[4P01 - Energy
Raw Score]])),9),_Stanine,2),5),"")</f>
        <v>5</v>
      </c>
      <c r="T59" s="66" t="n">
        <v>25</v>
      </c>
      <c r="U59" s="67">
        <f>IF(ISNUMBER(tblY10[[#This Row],[4B02 - Organisation
Raw Score]]),IFERROR(VLOOKUP(ROUND(STANDARDIZE(tblY10[[#This Row],[4B02 - Organisation
Raw Score]],AVERAGE(tblY10[[4B02 - Organisation
Raw Score]]),_xlfn.STDEV.P(tblY10[[4B02 - Organisation
Raw Score]])),9),_Stanine,2),5),"")</f>
        <v>6</v>
      </c>
      <c r="V59" s="66" t="n">
        <v>26</v>
      </c>
      <c r="W59" s="67">
        <f>IF(ISNUMBER(tblY10[[#This Row],[4C02 - Bonding
Raw Score]]),IFERROR(VLOOKUP(ROUND(STANDARDIZE(tblY10[[#This Row],[4C02 - Bonding
Raw Score]],AVERAGE(tblY10[[4C02 - Bonding
Raw Score]]),_xlfn.STDEV.P(tblY10[[4C02 - Bonding
Raw Score]])),9),_Stanine,2),5),"")</f>
        <v>6</v>
      </c>
    </row>
    <row r="60">
      <c r="A60" s="65" t="inlineStr">
        <is>
          <t>X909368312923</t>
        </is>
      </c>
      <c r="B60" s="65" t="inlineStr">
        <is>
          <t>Begum</t>
        </is>
      </c>
      <c r="C60" s="65" t="inlineStr">
        <is>
          <t>Aisha</t>
        </is>
      </c>
      <c r="D60" s="66" t="inlineStr">
        <is>
          <t>M</t>
        </is>
      </c>
      <c r="E60" s="66" t="inlineStr">
        <is>
          <t>N</t>
        </is>
      </c>
      <c r="F60" s="66" t="inlineStr">
        <is>
          <t>N</t>
        </is>
      </c>
      <c r="G60" s="34" t="n">
        <v>96</v>
      </c>
      <c r="H60" s="34" t="n">
        <v>100</v>
      </c>
      <c r="I60" s="67">
        <f>IF(ISNUMBER(tblY10[[#This Row],[Avg KS2]]),IFERROR(VLOOKUP(ROUND(STANDARDIZE(tblY10[[#This Row],[Avg KS2]],AVERAGE(tblY10[[Avg KS2]]),_xlfn.STDEV.P(tblY10[[Avg KS2]])),9),_Stanine,2),5),"")</f>
        <v>4</v>
      </c>
      <c r="J60" s="66" t="inlineStr">
        <is>
          <t>10S/Sc3</t>
        </is>
      </c>
      <c r="K60" s="67">
        <f>IF(tblY10[[#This Row],[Preferred Last name]]="","",COUNTIFS($N$1:$ZZ$1,"*"&amp;CHAR(10)&amp;"Stanine",$N60:$ZZ60,"&gt;=1"))</f>
        <v>5</v>
      </c>
      <c r="L60" s="68">
        <f>IFERROR(AVERAGEIF($N$1:$ZZ$1,"*"&amp;CHAR(10)&amp;"Stanine",$N60:$ZZ60),"")</f>
        <v>5.6</v>
      </c>
      <c r="M60" s="69">
        <f>IF(AND(ISNUMBER(tblY10[[#This Row],[Mean Stanine]]),ISNUMBER(tblY10[[#This Row],[Avg KS2 Band]]),ISNUMBER(SlopeY10)),tblY10[[#This Row],[Mean Stanine]]-(InterceptY10+SlopeY10*tblY10[[#This Row],[Avg KS2 Band]]),"")</f>
        <v>1.4738701397588</v>
      </c>
      <c r="N60" s="66" t="n">
        <v>22</v>
      </c>
      <c r="O60" s="67">
        <f>IF(ISNUMBER(tblY10[[#This Row],[4B01 - Cell Biology
Raw Score]]),IFERROR(VLOOKUP(ROUND(STANDARDIZE(tblY10[[#This Row],[4B01 - Cell Biology
Raw Score]],AVERAGE(tblY10[[4B01 - Cell Biology
Raw Score]]),_xlfn.STDEV.P(tblY10[[4B01 - Cell Biology
Raw Score]])),9),_Stanine,2),5),"")</f>
        <v>6</v>
      </c>
      <c r="P60" s="66" t="n">
        <v>16</v>
      </c>
      <c r="Q60" s="67">
        <f>IF(ISNUMBER(tblY10[[#This Row],[4C01 - Atomic Structure
Raw Score]]),IFERROR(VLOOKUP(ROUND(STANDARDIZE(tblY10[[#This Row],[4C01 - Atomic Structure
Raw Score]],AVERAGE(tblY10[[4C01 - Atomic Structure
Raw Score]]),_xlfn.STDEV.P(tblY10[[4C01 - Atomic Structure
Raw Score]])),9),_Stanine,2),5),"")</f>
        <v>5</v>
      </c>
      <c r="R60" s="66" t="n">
        <v>16</v>
      </c>
      <c r="S60" s="67">
        <f>IF(ISNUMBER(tblY10[[#This Row],[4P01 - Energy
Raw Score]]),IFERROR(VLOOKUP(ROUND(STANDARDIZE(tblY10[[#This Row],[4P01 - Energy
Raw Score]],AVERAGE(tblY10[[4P01 - Energy
Raw Score]]),_xlfn.STDEV.P(tblY10[[4P01 - Energy
Raw Score]])),9),_Stanine,2),5),"")</f>
        <v>5</v>
      </c>
      <c r="T60" s="66" t="n">
        <v>28</v>
      </c>
      <c r="U60" s="67">
        <f>IF(ISNUMBER(tblY10[[#This Row],[4B02 - Organisation
Raw Score]]),IFERROR(VLOOKUP(ROUND(STANDARDIZE(tblY10[[#This Row],[4B02 - Organisation
Raw Score]],AVERAGE(tblY10[[4B02 - Organisation
Raw Score]]),_xlfn.STDEV.P(tblY10[[4B02 - Organisation
Raw Score]])),9),_Stanine,2),5),"")</f>
        <v>6</v>
      </c>
      <c r="V60" s="66" t="n">
        <v>26</v>
      </c>
      <c r="W60" s="67">
        <f>IF(ISNUMBER(tblY10[[#This Row],[4C02 - Bonding
Raw Score]]),IFERROR(VLOOKUP(ROUND(STANDARDIZE(tblY10[[#This Row],[4C02 - Bonding
Raw Score]],AVERAGE(tblY10[[4C02 - Bonding
Raw Score]]),_xlfn.STDEV.P(tblY10[[4C02 - Bonding
Raw Score]])),9),_Stanine,2),5),"")</f>
        <v>6</v>
      </c>
    </row>
    <row r="61">
      <c r="A61" s="65" t="inlineStr">
        <is>
          <t>X902221472971</t>
        </is>
      </c>
      <c r="B61" s="65" t="inlineStr">
        <is>
          <t>Fletcher</t>
        </is>
      </c>
      <c r="C61" s="65" t="inlineStr">
        <is>
          <t>Grace</t>
        </is>
      </c>
      <c r="D61" s="66" t="inlineStr">
        <is>
          <t>F</t>
        </is>
      </c>
      <c r="E61" s="66" t="inlineStr">
        <is>
          <t>N</t>
        </is>
      </c>
      <c r="F61" s="66" t="inlineStr">
        <is>
          <t>Y</t>
        </is>
      </c>
      <c r="G61" s="34" t="n">
        <v>89.59999999999999</v>
      </c>
      <c r="H61" s="34" t="n">
        <v>95</v>
      </c>
      <c r="I61" s="67">
        <f>IF(ISNUMBER(tblY10[[#This Row],[Avg KS2]]),IFERROR(VLOOKUP(ROUND(STANDARDIZE(tblY10[[#This Row],[Avg KS2]],AVERAGE(tblY10[[Avg KS2]]),_xlfn.STDEV.P(tblY10[[Avg KS2]])),9),_Stanine,2),5),"")</f>
        <v>2</v>
      </c>
      <c r="J61" s="66" t="inlineStr">
        <is>
          <t>10S/Sc3</t>
        </is>
      </c>
      <c r="K61" s="67">
        <f>IF(tblY10[[#This Row],[Preferred Last name]]="","",COUNTIFS($N$1:$ZZ$1,"*"&amp;CHAR(10)&amp;"Stanine",$N61:$ZZ61,"&gt;=1"))</f>
        <v>5</v>
      </c>
      <c r="L61" s="68">
        <f>IFERROR(AVERAGEIF($N$1:$ZZ$1,"*"&amp;CHAR(10)&amp;"Stanine",$N61:$ZZ61),"")</f>
        <v>4.8</v>
      </c>
      <c r="M61" s="69">
        <f>IF(AND(ISNUMBER(tblY10[[#This Row],[Mean Stanine]]),ISNUMBER(tblY10[[#This Row],[Avg KS2 Band]]),ISNUMBER(SlopeY10)),tblY10[[#This Row],[Mean Stanine]]-(InterceptY10+SlopeY10*tblY10[[#This Row],[Avg KS2 Band]]),"")</f>
        <v>2.30187470832413</v>
      </c>
      <c r="N61" s="66" t="n">
        <v>14</v>
      </c>
      <c r="O61" s="67">
        <f>IF(ISNUMBER(tblY10[[#This Row],[4B01 - Cell Biology
Raw Score]]),IFERROR(VLOOKUP(ROUND(STANDARDIZE(tblY10[[#This Row],[4B01 - Cell Biology
Raw Score]],AVERAGE(tblY10[[4B01 - Cell Biology
Raw Score]]),_xlfn.STDEV.P(tblY10[[4B01 - Cell Biology
Raw Score]])),9),_Stanine,2),5),"")</f>
        <v>4</v>
      </c>
      <c r="P61" s="66" t="n">
        <v>16</v>
      </c>
      <c r="Q61" s="67">
        <f>IF(ISNUMBER(tblY10[[#This Row],[4C01 - Atomic Structure
Raw Score]]),IFERROR(VLOOKUP(ROUND(STANDARDIZE(tblY10[[#This Row],[4C01 - Atomic Structure
Raw Score]],AVERAGE(tblY10[[4C01 - Atomic Structure
Raw Score]]),_xlfn.STDEV.P(tblY10[[4C01 - Atomic Structure
Raw Score]])),9),_Stanine,2),5),"")</f>
        <v>5</v>
      </c>
      <c r="R61" s="66" t="n">
        <v>18</v>
      </c>
      <c r="S61" s="67">
        <f>IF(ISNUMBER(tblY10[[#This Row],[4P01 - Energy
Raw Score]]),IFERROR(VLOOKUP(ROUND(STANDARDIZE(tblY10[[#This Row],[4P01 - Energy
Raw Score]],AVERAGE(tblY10[[4P01 - Energy
Raw Score]]),_xlfn.STDEV.P(tblY10[[4P01 - Energy
Raw Score]])),9),_Stanine,2),5),"")</f>
        <v>6</v>
      </c>
      <c r="T61" s="66" t="n">
        <v>23</v>
      </c>
      <c r="U61" s="67">
        <f>IF(ISNUMBER(tblY10[[#This Row],[4B02 - Organisation
Raw Score]]),IFERROR(VLOOKUP(ROUND(STANDARDIZE(tblY10[[#This Row],[4B02 - Organisation
Raw Score]],AVERAGE(tblY10[[4B02 - Organisation
Raw Score]]),_xlfn.STDEV.P(tblY10[[4B02 - Organisation
Raw Score]])),9),_Stanine,2),5),"")</f>
        <v>5</v>
      </c>
      <c r="V61" s="66" t="n">
        <v>17</v>
      </c>
      <c r="W61" s="67">
        <f>IF(ISNUMBER(tblY10[[#This Row],[4C02 - Bonding
Raw Score]]),IFERROR(VLOOKUP(ROUND(STANDARDIZE(tblY10[[#This Row],[4C02 - Bonding
Raw Score]],AVERAGE(tblY10[[4C02 - Bonding
Raw Score]]),_xlfn.STDEV.P(tblY10[[4C02 - Bonding
Raw Score]])),9),_Stanine,2),5),"")</f>
        <v>4</v>
      </c>
    </row>
    <row r="62">
      <c r="A62" s="65" t="inlineStr">
        <is>
          <t>X909634630084</t>
        </is>
      </c>
      <c r="B62" s="65" t="inlineStr">
        <is>
          <t>Hall</t>
        </is>
      </c>
      <c r="C62" s="65" t="inlineStr">
        <is>
          <t>Arjun</t>
        </is>
      </c>
      <c r="D62" s="66" t="inlineStr">
        <is>
          <t>M</t>
        </is>
      </c>
      <c r="E62" s="66" t="inlineStr">
        <is>
          <t>N</t>
        </is>
      </c>
      <c r="F62" s="66" t="inlineStr">
        <is>
          <t>Y</t>
        </is>
      </c>
      <c r="G62" s="34" t="n">
        <v>88.90000000000001</v>
      </c>
      <c r="H62" s="34" t="n">
        <v>95</v>
      </c>
      <c r="I62" s="67">
        <f>IF(ISNUMBER(tblY10[[#This Row],[Avg KS2]]),IFERROR(VLOOKUP(ROUND(STANDARDIZE(tblY10[[#This Row],[Avg KS2]],AVERAGE(tblY10[[Avg KS2]]),_xlfn.STDEV.P(tblY10[[Avg KS2]])),9),_Stanine,2),5),"")</f>
        <v>2</v>
      </c>
      <c r="J62" s="66" t="inlineStr">
        <is>
          <t>10S/Sc3</t>
        </is>
      </c>
      <c r="K62" s="67">
        <f>IF(tblY10[[#This Row],[Preferred Last name]]="","",COUNTIFS($N$1:$ZZ$1,"*"&amp;CHAR(10)&amp;"Stanine",$N62:$ZZ62,"&gt;=1"))</f>
        <v>5</v>
      </c>
      <c r="L62" s="68">
        <f>IFERROR(AVERAGEIF($N$1:$ZZ$1,"*"&amp;CHAR(10)&amp;"Stanine",$N62:$ZZ62),"")</f>
        <v>4.2</v>
      </c>
      <c r="M62" s="69">
        <f>IF(AND(ISNUMBER(tblY10[[#This Row],[Mean Stanine]]),ISNUMBER(tblY10[[#This Row],[Avg KS2 Band]]),ISNUMBER(SlopeY10)),tblY10[[#This Row],[Mean Stanine]]-(InterceptY10+SlopeY10*tblY10[[#This Row],[Avg KS2 Band]]),"")</f>
        <v>1.70187470832413</v>
      </c>
      <c r="N62" s="66" t="n">
        <v>21</v>
      </c>
      <c r="O62" s="67">
        <f>IF(ISNUMBER(tblY10[[#This Row],[4B01 - Cell Biology
Raw Score]]),IFERROR(VLOOKUP(ROUND(STANDARDIZE(tblY10[[#This Row],[4B01 - Cell Biology
Raw Score]],AVERAGE(tblY10[[4B01 - Cell Biology
Raw Score]]),_xlfn.STDEV.P(tblY10[[4B01 - Cell Biology
Raw Score]])),9),_Stanine,2),5),"")</f>
        <v>5</v>
      </c>
      <c r="P62" s="66" t="n">
        <v>18</v>
      </c>
      <c r="Q62" s="67">
        <f>IF(ISNUMBER(tblY10[[#This Row],[4C01 - Atomic Structure
Raw Score]]),IFERROR(VLOOKUP(ROUND(STANDARDIZE(tblY10[[#This Row],[4C01 - Atomic Structure
Raw Score]],AVERAGE(tblY10[[4C01 - Atomic Structure
Raw Score]]),_xlfn.STDEV.P(tblY10[[4C01 - Atomic Structure
Raw Score]])),9),_Stanine,2),5),"")</f>
        <v>5</v>
      </c>
      <c r="R62" s="66" t="n">
        <v>11</v>
      </c>
      <c r="S62" s="67">
        <f>IF(ISNUMBER(tblY10[[#This Row],[4P01 - Energy
Raw Score]]),IFERROR(VLOOKUP(ROUND(STANDARDIZE(tblY10[[#This Row],[4P01 - Energy
Raw Score]],AVERAGE(tblY10[[4P01 - Energy
Raw Score]]),_xlfn.STDEV.P(tblY10[[4P01 - Energy
Raw Score]])),9),_Stanine,2),5),"")</f>
        <v>4</v>
      </c>
      <c r="T62" s="66" t="n">
        <v>17</v>
      </c>
      <c r="U62" s="67">
        <f>IF(ISNUMBER(tblY10[[#This Row],[4B02 - Organisation
Raw Score]]),IFERROR(VLOOKUP(ROUND(STANDARDIZE(tblY10[[#This Row],[4B02 - Organisation
Raw Score]],AVERAGE(tblY10[[4B02 - Organisation
Raw Score]]),_xlfn.STDEV.P(tblY10[[4B02 - Organisation
Raw Score]])),9),_Stanine,2),5),"")</f>
        <v>4</v>
      </c>
      <c r="V62" s="66" t="n">
        <v>14</v>
      </c>
      <c r="W62" s="67">
        <f>IF(ISNUMBER(tblY10[[#This Row],[4C02 - Bonding
Raw Score]]),IFERROR(VLOOKUP(ROUND(STANDARDIZE(tblY10[[#This Row],[4C02 - Bonding
Raw Score]],AVERAGE(tblY10[[4C02 - Bonding
Raw Score]]),_xlfn.STDEV.P(tblY10[[4C02 - Bonding
Raw Score]])),9),_Stanine,2),5),"")</f>
        <v>3</v>
      </c>
    </row>
    <row r="63">
      <c r="A63" s="65" t="inlineStr">
        <is>
          <t>X901768640296</t>
        </is>
      </c>
      <c r="B63" s="65" t="inlineStr">
        <is>
          <t>Hall</t>
        </is>
      </c>
      <c r="C63" s="65" t="inlineStr">
        <is>
          <t>Hollie</t>
        </is>
      </c>
      <c r="D63" s="66" t="inlineStr">
        <is>
          <t>M</t>
        </is>
      </c>
      <c r="E63" s="66" t="inlineStr">
        <is>
          <t>K</t>
        </is>
      </c>
      <c r="F63" s="66" t="inlineStr">
        <is>
          <t>N</t>
        </is>
      </c>
      <c r="G63" s="34" t="n">
        <v>100</v>
      </c>
      <c r="H63" s="34" t="n">
        <v>96.5</v>
      </c>
      <c r="I63" s="67">
        <f>IF(ISNUMBER(tblY10[[#This Row],[Avg KS2]]),IFERROR(VLOOKUP(ROUND(STANDARDIZE(tblY10[[#This Row],[Avg KS2]],AVERAGE(tblY10[[Avg KS2]]),_xlfn.STDEV.P(tblY10[[Avg KS2]])),9),_Stanine,2),5),"")</f>
        <v>3</v>
      </c>
      <c r="J63" s="66" t="inlineStr">
        <is>
          <t>10S/Sc3</t>
        </is>
      </c>
      <c r="K63" s="67">
        <f>IF(tblY10[[#This Row],[Preferred Last name]]="","",COUNTIFS($N$1:$ZZ$1,"*"&amp;CHAR(10)&amp;"Stanine",$N63:$ZZ63,"&gt;=1"))</f>
        <v>4</v>
      </c>
      <c r="L63" s="68">
        <f>IFERROR(AVERAGEIF($N$1:$ZZ$1,"*"&amp;CHAR(10)&amp;"Stanine",$N63:$ZZ63),"")</f>
        <v>2.75</v>
      </c>
      <c r="M63" s="69">
        <f>IF(AND(ISNUMBER(tblY10[[#This Row],[Mean Stanine]]),ISNUMBER(tblY10[[#This Row],[Avg KS2 Band]]),ISNUMBER(SlopeY10)),tblY10[[#This Row],[Mean Stanine]]-(InterceptY10+SlopeY10*tblY10[[#This Row],[Avg KS2 Band]]),"")</f>
        <v>-0.562127575958537</v>
      </c>
      <c r="N63" s="66" t="inlineStr">
        <is>
          <t>A</t>
        </is>
      </c>
      <c r="O63" s="67" t="str">
        <f>IF(ISNUMBER(tblY10[[#This Row],[4B01 - Cell Biology
Raw Score]]),IFERROR(VLOOKUP(ROUND(STANDARDIZE(tblY10[[#This Row],[4B01 - Cell Biology
Raw Score]],AVERAGE(tblY10[[4B01 - Cell Biology
Raw Score]]),_xlfn.STDEV.P(tblY10[[4B01 - Cell Biology
Raw Score]])),9),_Stanine,2),5),"")</f>
        <v/>
      </c>
      <c r="P63" s="66" t="n">
        <v>7</v>
      </c>
      <c r="Q63" s="67">
        <f>IF(ISNUMBER(tblY10[[#This Row],[4C01 - Atomic Structure
Raw Score]]),IFERROR(VLOOKUP(ROUND(STANDARDIZE(tblY10[[#This Row],[4C01 - Atomic Structure
Raw Score]],AVERAGE(tblY10[[4C01 - Atomic Structure
Raw Score]]),_xlfn.STDEV.P(tblY10[[4C01 - Atomic Structure
Raw Score]])),9),_Stanine,2),5),"")</f>
        <v>2</v>
      </c>
      <c r="R63" s="66" t="n">
        <v>9</v>
      </c>
      <c r="S63" s="67">
        <f>IF(ISNUMBER(tblY10[[#This Row],[4P01 - Energy
Raw Score]]),IFERROR(VLOOKUP(ROUND(STANDARDIZE(tblY10[[#This Row],[4P01 - Energy
Raw Score]],AVERAGE(tblY10[[4P01 - Energy
Raw Score]]),_xlfn.STDEV.P(tblY10[[4P01 - Energy
Raw Score]])),9),_Stanine,2),5),"")</f>
        <v>3</v>
      </c>
      <c r="T63" s="66" t="n">
        <v>9</v>
      </c>
      <c r="U63" s="67">
        <f>IF(ISNUMBER(tblY10[[#This Row],[4B02 - Organisation
Raw Score]]),IFERROR(VLOOKUP(ROUND(STANDARDIZE(tblY10[[#This Row],[4B02 - Organisation
Raw Score]],AVERAGE(tblY10[[4B02 - Organisation
Raw Score]]),_xlfn.STDEV.P(tblY10[[4B02 - Organisation
Raw Score]])),9),_Stanine,2),5),"")</f>
        <v>2</v>
      </c>
      <c r="V63" s="66" t="n">
        <v>15</v>
      </c>
      <c r="W63" s="67">
        <f>IF(ISNUMBER(tblY10[[#This Row],[4C02 - Bonding
Raw Score]]),IFERROR(VLOOKUP(ROUND(STANDARDIZE(tblY10[[#This Row],[4C02 - Bonding
Raw Score]],AVERAGE(tblY10[[4C02 - Bonding
Raw Score]]),_xlfn.STDEV.P(tblY10[[4C02 - Bonding
Raw Score]])),9),_Stanine,2),5),"")</f>
        <v>4</v>
      </c>
    </row>
    <row r="64">
      <c r="A64" s="65" t="inlineStr">
        <is>
          <t>X908167632084</t>
        </is>
      </c>
      <c r="B64" s="65" t="inlineStr">
        <is>
          <t>Hall</t>
        </is>
      </c>
      <c r="C64" s="65" t="inlineStr">
        <is>
          <t>Poppy</t>
        </is>
      </c>
      <c r="D64" s="66" t="inlineStr">
        <is>
          <t>F</t>
        </is>
      </c>
      <c r="E64" s="66" t="n"/>
      <c r="F64" s="66" t="inlineStr">
        <is>
          <t>N</t>
        </is>
      </c>
      <c r="G64" s="34" t="n">
        <v>92.40000000000001</v>
      </c>
      <c r="H64" s="34" t="n">
        <v>103.5</v>
      </c>
      <c r="I64" s="67">
        <f>IF(ISNUMBER(tblY10[[#This Row],[Avg KS2]]),IFERROR(VLOOKUP(ROUND(STANDARDIZE(tblY10[[#This Row],[Avg KS2]],AVERAGE(tblY10[[Avg KS2]]),_xlfn.STDEV.P(tblY10[[Avg KS2]])),9),_Stanine,2),5),"")</f>
        <v>5</v>
      </c>
      <c r="J64" s="66" t="inlineStr">
        <is>
          <t>10S/Sc3</t>
        </is>
      </c>
      <c r="K64" s="67">
        <f>IF(tblY10[[#This Row],[Preferred Last name]]="","",COUNTIFS($N$1:$ZZ$1,"*"&amp;CHAR(10)&amp;"Stanine",$N64:$ZZ64,"&gt;=1"))</f>
        <v>5</v>
      </c>
      <c r="L64" s="68">
        <f>IFERROR(AVERAGEIF($N$1:$ZZ$1,"*"&amp;CHAR(10)&amp;"Stanine",$N64:$ZZ64),"")</f>
        <v>4.8</v>
      </c>
      <c r="M64" s="69">
        <f>IF(AND(ISNUMBER(tblY10[[#This Row],[Mean Stanine]]),ISNUMBER(tblY10[[#This Row],[Avg KS2 Band]]),ISNUMBER(SlopeY10)),tblY10[[#This Row],[Mean Stanine]]-(InterceptY10+SlopeY10*tblY10[[#This Row],[Avg KS2 Band]]),"")</f>
        <v>-0.140132144523862</v>
      </c>
      <c r="N64" s="66" t="n">
        <v>19</v>
      </c>
      <c r="O64" s="67">
        <f>IF(ISNUMBER(tblY10[[#This Row],[4B01 - Cell Biology
Raw Score]]),IFERROR(VLOOKUP(ROUND(STANDARDIZE(tblY10[[#This Row],[4B01 - Cell Biology
Raw Score]],AVERAGE(tblY10[[4B01 - Cell Biology
Raw Score]]),_xlfn.STDEV.P(tblY10[[4B01 - Cell Biology
Raw Score]])),9),_Stanine,2),5),"")</f>
        <v>5</v>
      </c>
      <c r="P64" s="66" t="n">
        <v>14</v>
      </c>
      <c r="Q64" s="67">
        <f>IF(ISNUMBER(tblY10[[#This Row],[4C01 - Atomic Structure
Raw Score]]),IFERROR(VLOOKUP(ROUND(STANDARDIZE(tblY10[[#This Row],[4C01 - Atomic Structure
Raw Score]],AVERAGE(tblY10[[4C01 - Atomic Structure
Raw Score]]),_xlfn.STDEV.P(tblY10[[4C01 - Atomic Structure
Raw Score]])),9),_Stanine,2),5),"")</f>
        <v>4</v>
      </c>
      <c r="R64" s="66" t="n">
        <v>15</v>
      </c>
      <c r="S64" s="67">
        <f>IF(ISNUMBER(tblY10[[#This Row],[4P01 - Energy
Raw Score]]),IFERROR(VLOOKUP(ROUND(STANDARDIZE(tblY10[[#This Row],[4P01 - Energy
Raw Score]],AVERAGE(tblY10[[4P01 - Energy
Raw Score]]),_xlfn.STDEV.P(tblY10[[4P01 - Energy
Raw Score]])),9),_Stanine,2),5),"")</f>
        <v>5</v>
      </c>
      <c r="T64" s="66" t="n">
        <v>25</v>
      </c>
      <c r="U64" s="67">
        <f>IF(ISNUMBER(tblY10[[#This Row],[4B02 - Organisation
Raw Score]]),IFERROR(VLOOKUP(ROUND(STANDARDIZE(tblY10[[#This Row],[4B02 - Organisation
Raw Score]],AVERAGE(tblY10[[4B02 - Organisation
Raw Score]]),_xlfn.STDEV.P(tblY10[[4B02 - Organisation
Raw Score]])),9),_Stanine,2),5),"")</f>
        <v>6</v>
      </c>
      <c r="V64" s="66" t="n">
        <v>19</v>
      </c>
      <c r="W64" s="67">
        <f>IF(ISNUMBER(tblY10[[#This Row],[4C02 - Bonding
Raw Score]]),IFERROR(VLOOKUP(ROUND(STANDARDIZE(tblY10[[#This Row],[4C02 - Bonding
Raw Score]],AVERAGE(tblY10[[4C02 - Bonding
Raw Score]]),_xlfn.STDEV.P(tblY10[[4C02 - Bonding
Raw Score]])),9),_Stanine,2),5),"")</f>
        <v>4</v>
      </c>
    </row>
    <row r="65">
      <c r="A65" s="65" t="inlineStr">
        <is>
          <t>X906055324091</t>
        </is>
      </c>
      <c r="B65" s="65" t="inlineStr">
        <is>
          <t>Hughes</t>
        </is>
      </c>
      <c r="C65" s="65" t="inlineStr">
        <is>
          <t>Arthur</t>
        </is>
      </c>
      <c r="D65" s="66" t="inlineStr">
        <is>
          <t>F</t>
        </is>
      </c>
      <c r="E65" s="66" t="n"/>
      <c r="F65" s="66" t="inlineStr">
        <is>
          <t>N</t>
        </is>
      </c>
      <c r="G65" s="34" t="n">
        <v>90.40000000000001</v>
      </c>
      <c r="H65" s="34" t="n">
        <v>105</v>
      </c>
      <c r="I65" s="67">
        <f>IF(ISNUMBER(tblY10[[#This Row],[Avg KS2]]),IFERROR(VLOOKUP(ROUND(STANDARDIZE(tblY10[[#This Row],[Avg KS2]],AVERAGE(tblY10[[Avg KS2]]),_xlfn.STDEV.P(tblY10[[Avg KS2]])),9),_Stanine,2),5),"")</f>
        <v>6</v>
      </c>
      <c r="J65" s="66" t="inlineStr">
        <is>
          <t>10S/Sc3</t>
        </is>
      </c>
      <c r="K65" s="67">
        <f>IF(tblY10[[#This Row],[Preferred Last name]]="","",COUNTIFS($N$1:$ZZ$1,"*"&amp;CHAR(10)&amp;"Stanine",$N65:$ZZ65,"&gt;=1"))</f>
        <v>5</v>
      </c>
      <c r="L65" s="68">
        <f>IFERROR(AVERAGEIF($N$1:$ZZ$1,"*"&amp;CHAR(10)&amp;"Stanine",$N65:$ZZ65),"")</f>
        <v>4.6</v>
      </c>
      <c r="M65" s="69">
        <f>IF(AND(ISNUMBER(tblY10[[#This Row],[Mean Stanine]]),ISNUMBER(tblY10[[#This Row],[Avg KS2 Band]]),ISNUMBER(SlopeY10)),tblY10[[#This Row],[Mean Stanine]]-(InterceptY10+SlopeY10*tblY10[[#This Row],[Avg KS2 Band]]),"")</f>
        <v>-1.15413442880652</v>
      </c>
      <c r="N65" s="66" t="n">
        <v>21</v>
      </c>
      <c r="O65" s="67">
        <f>IF(ISNUMBER(tblY10[[#This Row],[4B01 - Cell Biology
Raw Score]]),IFERROR(VLOOKUP(ROUND(STANDARDIZE(tblY10[[#This Row],[4B01 - Cell Biology
Raw Score]],AVERAGE(tblY10[[4B01 - Cell Biology
Raw Score]]),_xlfn.STDEV.P(tblY10[[4B01 - Cell Biology
Raw Score]])),9),_Stanine,2),5),"")</f>
        <v>5</v>
      </c>
      <c r="P65" s="66" t="n">
        <v>16</v>
      </c>
      <c r="Q65" s="67">
        <f>IF(ISNUMBER(tblY10[[#This Row],[4C01 - Atomic Structure
Raw Score]]),IFERROR(VLOOKUP(ROUND(STANDARDIZE(tblY10[[#This Row],[4C01 - Atomic Structure
Raw Score]],AVERAGE(tblY10[[4C01 - Atomic Structure
Raw Score]]),_xlfn.STDEV.P(tblY10[[4C01 - Atomic Structure
Raw Score]])),9),_Stanine,2),5),"")</f>
        <v>5</v>
      </c>
      <c r="R65" s="66" t="n">
        <v>13</v>
      </c>
      <c r="S65" s="67">
        <f>IF(ISNUMBER(tblY10[[#This Row],[4P01 - Energy
Raw Score]]),IFERROR(VLOOKUP(ROUND(STANDARDIZE(tblY10[[#This Row],[4P01 - Energy
Raw Score]],AVERAGE(tblY10[[4P01 - Energy
Raw Score]]),_xlfn.STDEV.P(tblY10[[4P01 - Energy
Raw Score]])),9),_Stanine,2),5),"")</f>
        <v>4</v>
      </c>
      <c r="T65" s="66" t="n">
        <v>21</v>
      </c>
      <c r="U65" s="67">
        <f>IF(ISNUMBER(tblY10[[#This Row],[4B02 - Organisation
Raw Score]]),IFERROR(VLOOKUP(ROUND(STANDARDIZE(tblY10[[#This Row],[4B02 - Organisation
Raw Score]],AVERAGE(tblY10[[4B02 - Organisation
Raw Score]]),_xlfn.STDEV.P(tblY10[[4B02 - Organisation
Raw Score]])),9),_Stanine,2),5),"")</f>
        <v>5</v>
      </c>
      <c r="V65" s="66" t="n">
        <v>18</v>
      </c>
      <c r="W65" s="67">
        <f>IF(ISNUMBER(tblY10[[#This Row],[4C02 - Bonding
Raw Score]]),IFERROR(VLOOKUP(ROUND(STANDARDIZE(tblY10[[#This Row],[4C02 - Bonding
Raw Score]],AVERAGE(tblY10[[4C02 - Bonding
Raw Score]]),_xlfn.STDEV.P(tblY10[[4C02 - Bonding
Raw Score]])),9),_Stanine,2),5),"")</f>
        <v>4</v>
      </c>
    </row>
    <row r="66">
      <c r="A66" s="65" t="inlineStr">
        <is>
          <t>X900260520280</t>
        </is>
      </c>
      <c r="B66" s="65" t="inlineStr">
        <is>
          <t>Hughes</t>
        </is>
      </c>
      <c r="C66" s="65" t="inlineStr">
        <is>
          <t>Ibrahim</t>
        </is>
      </c>
      <c r="D66" s="66" t="inlineStr">
        <is>
          <t>M</t>
        </is>
      </c>
      <c r="E66" s="66" t="inlineStr">
        <is>
          <t>K</t>
        </is>
      </c>
      <c r="F66" s="66" t="inlineStr">
        <is>
          <t>N</t>
        </is>
      </c>
      <c r="G66" s="34" t="n">
        <v>78.3</v>
      </c>
      <c r="H66" s="34" t="n">
        <v>96.5</v>
      </c>
      <c r="I66" s="67">
        <f>IF(ISNUMBER(tblY10[[#This Row],[Avg KS2]]),IFERROR(VLOOKUP(ROUND(STANDARDIZE(tblY10[[#This Row],[Avg KS2]],AVERAGE(tblY10[[Avg KS2]]),_xlfn.STDEV.P(tblY10[[Avg KS2]])),9),_Stanine,2),5),"")</f>
        <v>3</v>
      </c>
      <c r="J66" s="66" t="inlineStr">
        <is>
          <t>10S/Sc3</t>
        </is>
      </c>
      <c r="K66" s="67">
        <f>IF(tblY10[[#This Row],[Preferred Last name]]="","",COUNTIFS($N$1:$ZZ$1,"*"&amp;CHAR(10)&amp;"Stanine",$N66:$ZZ66,"&gt;=1"))</f>
        <v>5</v>
      </c>
      <c r="L66" s="68">
        <f>IFERROR(AVERAGEIF($N$1:$ZZ$1,"*"&amp;CHAR(10)&amp;"Stanine",$N66:$ZZ66),"")</f>
        <v>2.8</v>
      </c>
      <c r="M66" s="69">
        <f>IF(AND(ISNUMBER(tblY10[[#This Row],[Mean Stanine]]),ISNUMBER(tblY10[[#This Row],[Avg KS2 Band]]),ISNUMBER(SlopeY10)),tblY10[[#This Row],[Mean Stanine]]-(InterceptY10+SlopeY10*tblY10[[#This Row],[Avg KS2 Band]]),"")</f>
        <v>-0.512127575958537</v>
      </c>
      <c r="N66" s="66" t="n">
        <v>16</v>
      </c>
      <c r="O66" s="67">
        <f>IF(ISNUMBER(tblY10[[#This Row],[4B01 - Cell Biology
Raw Score]]),IFERROR(VLOOKUP(ROUND(STANDARDIZE(tblY10[[#This Row],[4B01 - Cell Biology
Raw Score]],AVERAGE(tblY10[[4B01 - Cell Biology
Raw Score]]),_xlfn.STDEV.P(tblY10[[4B01 - Cell Biology
Raw Score]])),9),_Stanine,2),5),"")</f>
        <v>4</v>
      </c>
      <c r="P66" s="66" t="n">
        <v>6</v>
      </c>
      <c r="Q66" s="67">
        <f>IF(ISNUMBER(tblY10[[#This Row],[4C01 - Atomic Structure
Raw Score]]),IFERROR(VLOOKUP(ROUND(STANDARDIZE(tblY10[[#This Row],[4C01 - Atomic Structure
Raw Score]],AVERAGE(tblY10[[4C01 - Atomic Structure
Raw Score]]),_xlfn.STDEV.P(tblY10[[4C01 - Atomic Structure
Raw Score]])),9),_Stanine,2),5),"")</f>
        <v>2</v>
      </c>
      <c r="R66" s="66" t="n">
        <v>6</v>
      </c>
      <c r="S66" s="67">
        <f>IF(ISNUMBER(tblY10[[#This Row],[4P01 - Energy
Raw Score]]),IFERROR(VLOOKUP(ROUND(STANDARDIZE(tblY10[[#This Row],[4P01 - Energy
Raw Score]],AVERAGE(tblY10[[4P01 - Energy
Raw Score]]),_xlfn.STDEV.P(tblY10[[4P01 - Energy
Raw Score]])),9),_Stanine,2),5),"")</f>
        <v>3</v>
      </c>
      <c r="T66" s="66" t="n">
        <v>15</v>
      </c>
      <c r="U66" s="67">
        <f>IF(ISNUMBER(tblY10[[#This Row],[4B02 - Organisation
Raw Score]]),IFERROR(VLOOKUP(ROUND(STANDARDIZE(tblY10[[#This Row],[4B02 - Organisation
Raw Score]],AVERAGE(tblY10[[4B02 - Organisation
Raw Score]]),_xlfn.STDEV.P(tblY10[[4B02 - Organisation
Raw Score]])),9),_Stanine,2),5),"")</f>
        <v>3</v>
      </c>
      <c r="V66" s="66" t="n">
        <v>10</v>
      </c>
      <c r="W66" s="67">
        <f>IF(ISNUMBER(tblY10[[#This Row],[4C02 - Bonding
Raw Score]]),IFERROR(VLOOKUP(ROUND(STANDARDIZE(tblY10[[#This Row],[4C02 - Bonding
Raw Score]],AVERAGE(tblY10[[4C02 - Bonding
Raw Score]]),_xlfn.STDEV.P(tblY10[[4C02 - Bonding
Raw Score]])),9),_Stanine,2),5),"")</f>
        <v>2</v>
      </c>
    </row>
    <row r="67">
      <c r="A67" s="65" t="inlineStr">
        <is>
          <t>X902446461816</t>
        </is>
      </c>
      <c r="B67" s="65" t="inlineStr">
        <is>
          <t>Jones</t>
        </is>
      </c>
      <c r="C67" s="65" t="inlineStr">
        <is>
          <t>Kai</t>
        </is>
      </c>
      <c r="D67" s="66" t="inlineStr">
        <is>
          <t>F</t>
        </is>
      </c>
      <c r="E67" s="66" t="n"/>
      <c r="F67" s="66" t="inlineStr">
        <is>
          <t>Y</t>
        </is>
      </c>
      <c r="G67" s="34" t="n">
        <v>100</v>
      </c>
      <c r="H67" s="34" t="n">
        <v>98</v>
      </c>
      <c r="I67" s="67">
        <f>IF(ISNUMBER(tblY10[[#This Row],[Avg KS2]]),IFERROR(VLOOKUP(ROUND(STANDARDIZE(tblY10[[#This Row],[Avg KS2]],AVERAGE(tblY10[[Avg KS2]]),_xlfn.STDEV.P(tblY10[[Avg KS2]])),9),_Stanine,2),5),"")</f>
        <v>3</v>
      </c>
      <c r="J67" s="66" t="inlineStr">
        <is>
          <t>10S/Sc3</t>
        </is>
      </c>
      <c r="K67" s="67">
        <f>IF(tblY10[[#This Row],[Preferred Last name]]="","",COUNTIFS($N$1:$ZZ$1,"*"&amp;CHAR(10)&amp;"Stanine",$N67:$ZZ67,"&gt;=1"))</f>
        <v>5</v>
      </c>
      <c r="L67" s="68">
        <f>IFERROR(AVERAGEIF($N$1:$ZZ$1,"*"&amp;CHAR(10)&amp;"Stanine",$N67:$ZZ67),"")</f>
        <v>3.4</v>
      </c>
      <c r="M67" s="69">
        <f>IF(AND(ISNUMBER(tblY10[[#This Row],[Mean Stanine]]),ISNUMBER(tblY10[[#This Row],[Avg KS2 Band]]),ISNUMBER(SlopeY10)),tblY10[[#This Row],[Mean Stanine]]-(InterceptY10+SlopeY10*tblY10[[#This Row],[Avg KS2 Band]]),"")</f>
        <v>0.0878724240414632</v>
      </c>
      <c r="N67" s="66" t="n">
        <v>14</v>
      </c>
      <c r="O67" s="67">
        <f>IF(ISNUMBER(tblY10[[#This Row],[4B01 - Cell Biology
Raw Score]]),IFERROR(VLOOKUP(ROUND(STANDARDIZE(tblY10[[#This Row],[4B01 - Cell Biology
Raw Score]],AVERAGE(tblY10[[4B01 - Cell Biology
Raw Score]]),_xlfn.STDEV.P(tblY10[[4B01 - Cell Biology
Raw Score]])),9),_Stanine,2),5),"")</f>
        <v>4</v>
      </c>
      <c r="P67" s="66" t="n">
        <v>11</v>
      </c>
      <c r="Q67" s="67">
        <f>IF(ISNUMBER(tblY10[[#This Row],[4C01 - Atomic Structure
Raw Score]]),IFERROR(VLOOKUP(ROUND(STANDARDIZE(tblY10[[#This Row],[4C01 - Atomic Structure
Raw Score]],AVERAGE(tblY10[[4C01 - Atomic Structure
Raw Score]]),_xlfn.STDEV.P(tblY10[[4C01 - Atomic Structure
Raw Score]])),9),_Stanine,2),5),"")</f>
        <v>3</v>
      </c>
      <c r="R67" s="66" t="n">
        <v>11</v>
      </c>
      <c r="S67" s="67">
        <f>IF(ISNUMBER(tblY10[[#This Row],[4P01 - Energy
Raw Score]]),IFERROR(VLOOKUP(ROUND(STANDARDIZE(tblY10[[#This Row],[4P01 - Energy
Raw Score]],AVERAGE(tblY10[[4P01 - Energy
Raw Score]]),_xlfn.STDEV.P(tblY10[[4P01 - Energy
Raw Score]])),9),_Stanine,2),5),"")</f>
        <v>4</v>
      </c>
      <c r="T67" s="66" t="n">
        <v>15</v>
      </c>
      <c r="U67" s="67">
        <f>IF(ISNUMBER(tblY10[[#This Row],[4B02 - Organisation
Raw Score]]),IFERROR(VLOOKUP(ROUND(STANDARDIZE(tblY10[[#This Row],[4B02 - Organisation
Raw Score]],AVERAGE(tblY10[[4B02 - Organisation
Raw Score]]),_xlfn.STDEV.P(tblY10[[4B02 - Organisation
Raw Score]])),9),_Stanine,2),5),"")</f>
        <v>3</v>
      </c>
      <c r="V67" s="66" t="n">
        <v>14</v>
      </c>
      <c r="W67" s="67">
        <f>IF(ISNUMBER(tblY10[[#This Row],[4C02 - Bonding
Raw Score]]),IFERROR(VLOOKUP(ROUND(STANDARDIZE(tblY10[[#This Row],[4C02 - Bonding
Raw Score]],AVERAGE(tblY10[[4C02 - Bonding
Raw Score]]),_xlfn.STDEV.P(tblY10[[4C02 - Bonding
Raw Score]])),9),_Stanine,2),5),"")</f>
        <v>3</v>
      </c>
    </row>
    <row r="68">
      <c r="A68" s="65" t="inlineStr">
        <is>
          <t>X906342193119</t>
        </is>
      </c>
      <c r="B68" s="65" t="inlineStr">
        <is>
          <t>Kowalski</t>
        </is>
      </c>
      <c r="C68" s="65" t="inlineStr">
        <is>
          <t>Amara</t>
        </is>
      </c>
      <c r="D68" s="66" t="inlineStr">
        <is>
          <t>F</t>
        </is>
      </c>
      <c r="E68" s="66" t="inlineStr">
        <is>
          <t>K</t>
        </is>
      </c>
      <c r="F68" s="66" t="inlineStr">
        <is>
          <t>N</t>
        </is>
      </c>
      <c r="G68" s="34" t="n">
        <v>79</v>
      </c>
      <c r="H68" s="34" t="n">
        <v>98.5</v>
      </c>
      <c r="I68" s="67">
        <f>IF(ISNUMBER(tblY10[[#This Row],[Avg KS2]]),IFERROR(VLOOKUP(ROUND(STANDARDIZE(tblY10[[#This Row],[Avg KS2]],AVERAGE(tblY10[[Avg KS2]]),_xlfn.STDEV.P(tblY10[[Avg KS2]])),9),_Stanine,2),5),"")</f>
        <v>4</v>
      </c>
      <c r="J68" s="66" t="inlineStr">
        <is>
          <t>10S/Sc3</t>
        </is>
      </c>
      <c r="K68" s="67">
        <f>IF(tblY10[[#This Row],[Preferred Last name]]="","",COUNTIFS($N$1:$ZZ$1,"*"&amp;CHAR(10)&amp;"Stanine",$N68:$ZZ68,"&gt;=1"))</f>
        <v>4</v>
      </c>
      <c r="L68" s="68">
        <f>IFERROR(AVERAGEIF($N$1:$ZZ$1,"*"&amp;CHAR(10)&amp;"Stanine",$N68:$ZZ68),"")</f>
        <v>3.75</v>
      </c>
      <c r="M68" s="69">
        <f>IF(AND(ISNUMBER(tblY10[[#This Row],[Mean Stanine]]),ISNUMBER(tblY10[[#This Row],[Avg KS2 Band]]),ISNUMBER(SlopeY10)),tblY10[[#This Row],[Mean Stanine]]-(InterceptY10+SlopeY10*tblY10[[#This Row],[Avg KS2 Band]]),"")</f>
        <v>-0.376129860241199</v>
      </c>
      <c r="N68" s="66" t="inlineStr">
        <is>
          <t>A</t>
        </is>
      </c>
      <c r="O68" s="67" t="str">
        <f>IF(ISNUMBER(tblY10[[#This Row],[4B01 - Cell Biology
Raw Score]]),IFERROR(VLOOKUP(ROUND(STANDARDIZE(tblY10[[#This Row],[4B01 - Cell Biology
Raw Score]],AVERAGE(tblY10[[4B01 - Cell Biology
Raw Score]]),_xlfn.STDEV.P(tblY10[[4B01 - Cell Biology
Raw Score]])),9),_Stanine,2),5),"")</f>
        <v/>
      </c>
      <c r="P68" s="66" t="n">
        <v>13</v>
      </c>
      <c r="Q68" s="67">
        <f>IF(ISNUMBER(tblY10[[#This Row],[4C01 - Atomic Structure
Raw Score]]),IFERROR(VLOOKUP(ROUND(STANDARDIZE(tblY10[[#This Row],[4C01 - Atomic Structure
Raw Score]],AVERAGE(tblY10[[4C01 - Atomic Structure
Raw Score]]),_xlfn.STDEV.P(tblY10[[4C01 - Atomic Structure
Raw Score]])),9),_Stanine,2),5),"")</f>
        <v>4</v>
      </c>
      <c r="R68" s="66" t="n">
        <v>12</v>
      </c>
      <c r="S68" s="67">
        <f>IF(ISNUMBER(tblY10[[#This Row],[4P01 - Energy
Raw Score]]),IFERROR(VLOOKUP(ROUND(STANDARDIZE(tblY10[[#This Row],[4P01 - Energy
Raw Score]],AVERAGE(tblY10[[4P01 - Energy
Raw Score]]),_xlfn.STDEV.P(tblY10[[4P01 - Energy
Raw Score]])),9),_Stanine,2),5),"")</f>
        <v>4</v>
      </c>
      <c r="T68" s="66" t="n">
        <v>14</v>
      </c>
      <c r="U68" s="67">
        <f>IF(ISNUMBER(tblY10[[#This Row],[4B02 - Organisation
Raw Score]]),IFERROR(VLOOKUP(ROUND(STANDARDIZE(tblY10[[#This Row],[4B02 - Organisation
Raw Score]],AVERAGE(tblY10[[4B02 - Organisation
Raw Score]]),_xlfn.STDEV.P(tblY10[[4B02 - Organisation
Raw Score]])),9),_Stanine,2),5),"")</f>
        <v>3</v>
      </c>
      <c r="V68" s="66" t="n">
        <v>18</v>
      </c>
      <c r="W68" s="67">
        <f>IF(ISNUMBER(tblY10[[#This Row],[4C02 - Bonding
Raw Score]]),IFERROR(VLOOKUP(ROUND(STANDARDIZE(tblY10[[#This Row],[4C02 - Bonding
Raw Score]],AVERAGE(tblY10[[4C02 - Bonding
Raw Score]]),_xlfn.STDEV.P(tblY10[[4C02 - Bonding
Raw Score]])),9),_Stanine,2),5),"")</f>
        <v>4</v>
      </c>
    </row>
    <row r="69">
      <c r="A69" s="65" t="inlineStr">
        <is>
          <t>X901188926842</t>
        </is>
      </c>
      <c r="B69" s="65" t="inlineStr">
        <is>
          <t>Kowalski</t>
        </is>
      </c>
      <c r="C69" s="65" t="inlineStr">
        <is>
          <t>Arjun</t>
        </is>
      </c>
      <c r="D69" s="66" t="inlineStr">
        <is>
          <t>M</t>
        </is>
      </c>
      <c r="E69" s="66" t="inlineStr">
        <is>
          <t>N</t>
        </is>
      </c>
      <c r="F69" s="66" t="inlineStr">
        <is>
          <t>Y</t>
        </is>
      </c>
      <c r="G69" s="34" t="n">
        <v>94.8</v>
      </c>
      <c r="H69" s="34" t="n">
        <v>103</v>
      </c>
      <c r="I69" s="67">
        <f>IF(ISNUMBER(tblY10[[#This Row],[Avg KS2]]),IFERROR(VLOOKUP(ROUND(STANDARDIZE(tblY10[[#This Row],[Avg KS2]],AVERAGE(tblY10[[Avg KS2]]),_xlfn.STDEV.P(tblY10[[Avg KS2]])),9),_Stanine,2),5),"")</f>
        <v>5</v>
      </c>
      <c r="J69" s="66" t="inlineStr">
        <is>
          <t>10S/Sc3</t>
        </is>
      </c>
      <c r="K69" s="67">
        <f>IF(tblY10[[#This Row],[Preferred Last name]]="","",COUNTIFS($N$1:$ZZ$1,"*"&amp;CHAR(10)&amp;"Stanine",$N69:$ZZ69,"&gt;=1"))</f>
        <v>5</v>
      </c>
      <c r="L69" s="68">
        <f>IFERROR(AVERAGEIF($N$1:$ZZ$1,"*"&amp;CHAR(10)&amp;"Stanine",$N69:$ZZ69),"")</f>
        <v>6</v>
      </c>
      <c r="M69" s="69">
        <f>IF(AND(ISNUMBER(tblY10[[#This Row],[Mean Stanine]]),ISNUMBER(tblY10[[#This Row],[Avg KS2 Band]]),ISNUMBER(SlopeY10)),tblY10[[#This Row],[Mean Stanine]]-(InterceptY10+SlopeY10*tblY10[[#This Row],[Avg KS2 Band]]),"")</f>
        <v>1.05986785547614</v>
      </c>
      <c r="N69" s="66" t="n">
        <v>20</v>
      </c>
      <c r="O69" s="67">
        <f>IF(ISNUMBER(tblY10[[#This Row],[4B01 - Cell Biology
Raw Score]]),IFERROR(VLOOKUP(ROUND(STANDARDIZE(tblY10[[#This Row],[4B01 - Cell Biology
Raw Score]],AVERAGE(tblY10[[4B01 - Cell Biology
Raw Score]]),_xlfn.STDEV.P(tblY10[[4B01 - Cell Biology
Raw Score]])),9),_Stanine,2),5),"")</f>
        <v>5</v>
      </c>
      <c r="P69" s="66" t="n">
        <v>23</v>
      </c>
      <c r="Q69" s="67">
        <f>IF(ISNUMBER(tblY10[[#This Row],[4C01 - Atomic Structure
Raw Score]]),IFERROR(VLOOKUP(ROUND(STANDARDIZE(tblY10[[#This Row],[4C01 - Atomic Structure
Raw Score]],AVERAGE(tblY10[[4C01 - Atomic Structure
Raw Score]]),_xlfn.STDEV.P(tblY10[[4C01 - Atomic Structure
Raw Score]])),9),_Stanine,2),5),"")</f>
        <v>6</v>
      </c>
      <c r="R69" s="66" t="n">
        <v>23</v>
      </c>
      <c r="S69" s="67">
        <f>IF(ISNUMBER(tblY10[[#This Row],[4P01 - Energy
Raw Score]]),IFERROR(VLOOKUP(ROUND(STANDARDIZE(tblY10[[#This Row],[4P01 - Energy
Raw Score]],AVERAGE(tblY10[[4P01 - Energy
Raw Score]]),_xlfn.STDEV.P(tblY10[[4P01 - Energy
Raw Score]])),9),_Stanine,2),5),"")</f>
        <v>7</v>
      </c>
      <c r="T69" s="66" t="n">
        <v>28</v>
      </c>
      <c r="U69" s="67">
        <f>IF(ISNUMBER(tblY10[[#This Row],[4B02 - Organisation
Raw Score]]),IFERROR(VLOOKUP(ROUND(STANDARDIZE(tblY10[[#This Row],[4B02 - Organisation
Raw Score]],AVERAGE(tblY10[[4B02 - Organisation
Raw Score]]),_xlfn.STDEV.P(tblY10[[4B02 - Organisation
Raw Score]])),9),_Stanine,2),5),"")</f>
        <v>6</v>
      </c>
      <c r="V69" s="66" t="n">
        <v>26</v>
      </c>
      <c r="W69" s="67">
        <f>IF(ISNUMBER(tblY10[[#This Row],[4C02 - Bonding
Raw Score]]),IFERROR(VLOOKUP(ROUND(STANDARDIZE(tblY10[[#This Row],[4C02 - Bonding
Raw Score]],AVERAGE(tblY10[[4C02 - Bonding
Raw Score]]),_xlfn.STDEV.P(tblY10[[4C02 - Bonding
Raw Score]])),9),_Stanine,2),5),"")</f>
        <v>6</v>
      </c>
    </row>
    <row r="70">
      <c r="A70" s="65" t="inlineStr">
        <is>
          <t>X908879432086</t>
        </is>
      </c>
      <c r="B70" s="65" t="inlineStr">
        <is>
          <t>Nowak</t>
        </is>
      </c>
      <c r="C70" s="65" t="inlineStr">
        <is>
          <t>Ella</t>
        </is>
      </c>
      <c r="D70" s="66" t="inlineStr">
        <is>
          <t>M</t>
        </is>
      </c>
      <c r="E70" s="66" t="inlineStr">
        <is>
          <t>N</t>
        </is>
      </c>
      <c r="F70" s="66" t="inlineStr">
        <is>
          <t>N</t>
        </is>
      </c>
      <c r="G70" s="34" t="n">
        <v>95.3</v>
      </c>
      <c r="H70" s="34" t="n">
        <v>97.5</v>
      </c>
      <c r="I70" s="67">
        <f>IF(ISNUMBER(tblY10[[#This Row],[Avg KS2]]),IFERROR(VLOOKUP(ROUND(STANDARDIZE(tblY10[[#This Row],[Avg KS2]],AVERAGE(tblY10[[Avg KS2]]),_xlfn.STDEV.P(tblY10[[Avg KS2]])),9),_Stanine,2),5),"")</f>
        <v>3</v>
      </c>
      <c r="J70" s="66" t="inlineStr">
        <is>
          <t>10S/Sc3</t>
        </is>
      </c>
      <c r="K70" s="67">
        <f>IF(tblY10[[#This Row],[Preferred Last name]]="","",COUNTIFS($N$1:$ZZ$1,"*"&amp;CHAR(10)&amp;"Stanine",$N70:$ZZ70,"&gt;=1"))</f>
        <v>4</v>
      </c>
      <c r="L70" s="68">
        <f>IFERROR(AVERAGEIF($N$1:$ZZ$1,"*"&amp;CHAR(10)&amp;"Stanine",$N70:$ZZ70),"")</f>
        <v>4</v>
      </c>
      <c r="M70" s="69">
        <f>IF(AND(ISNUMBER(tblY10[[#This Row],[Mean Stanine]]),ISNUMBER(tblY10[[#This Row],[Avg KS2 Band]]),ISNUMBER(SlopeY10)),tblY10[[#This Row],[Mean Stanine]]-(InterceptY10+SlopeY10*tblY10[[#This Row],[Avg KS2 Band]]),"")</f>
        <v>0.687872424041463</v>
      </c>
      <c r="N70" s="66" t="n">
        <v>9</v>
      </c>
      <c r="O70" s="67">
        <f>IF(ISNUMBER(tblY10[[#This Row],[4B01 - Cell Biology
Raw Score]]),IFERROR(VLOOKUP(ROUND(STANDARDIZE(tblY10[[#This Row],[4B01 - Cell Biology
Raw Score]],AVERAGE(tblY10[[4B01 - Cell Biology
Raw Score]]),_xlfn.STDEV.P(tblY10[[4B01 - Cell Biology
Raw Score]])),9),_Stanine,2),5),"")</f>
        <v>3</v>
      </c>
      <c r="P70" s="66" t="n">
        <v>13</v>
      </c>
      <c r="Q70" s="67">
        <f>IF(ISNUMBER(tblY10[[#This Row],[4C01 - Atomic Structure
Raw Score]]),IFERROR(VLOOKUP(ROUND(STANDARDIZE(tblY10[[#This Row],[4C01 - Atomic Structure
Raw Score]],AVERAGE(tblY10[[4C01 - Atomic Structure
Raw Score]]),_xlfn.STDEV.P(tblY10[[4C01 - Atomic Structure
Raw Score]])),9),_Stanine,2),5),"")</f>
        <v>4</v>
      </c>
      <c r="R70" s="66" t="inlineStr">
        <is>
          <t>A</t>
        </is>
      </c>
      <c r="S70" s="67" t="str">
        <f>IF(ISNUMBER(tblY10[[#This Row],[4P01 - Energy
Raw Score]]),IFERROR(VLOOKUP(ROUND(STANDARDIZE(tblY10[[#This Row],[4P01 - Energy
Raw Score]],AVERAGE(tblY10[[4P01 - Energy
Raw Score]]),_xlfn.STDEV.P(tblY10[[4P01 - Energy
Raw Score]])),9),_Stanine,2),5),"")</f>
        <v/>
      </c>
      <c r="T70" s="66" t="n">
        <v>21</v>
      </c>
      <c r="U70" s="67">
        <f>IF(ISNUMBER(tblY10[[#This Row],[4B02 - Organisation
Raw Score]]),IFERROR(VLOOKUP(ROUND(STANDARDIZE(tblY10[[#This Row],[4B02 - Organisation
Raw Score]],AVERAGE(tblY10[[4B02 - Organisation
Raw Score]]),_xlfn.STDEV.P(tblY10[[4B02 - Organisation
Raw Score]])),9),_Stanine,2),5),"")</f>
        <v>5</v>
      </c>
      <c r="V70" s="66" t="n">
        <v>17</v>
      </c>
      <c r="W70" s="67">
        <f>IF(ISNUMBER(tblY10[[#This Row],[4C02 - Bonding
Raw Score]]),IFERROR(VLOOKUP(ROUND(STANDARDIZE(tblY10[[#This Row],[4C02 - Bonding
Raw Score]],AVERAGE(tblY10[[4C02 - Bonding
Raw Score]]),_xlfn.STDEV.P(tblY10[[4C02 - Bonding
Raw Score]])),9),_Stanine,2),5),"")</f>
        <v>4</v>
      </c>
    </row>
    <row r="71">
      <c r="A71" s="65" t="inlineStr">
        <is>
          <t>X905359028264</t>
        </is>
      </c>
      <c r="B71" s="65" t="inlineStr">
        <is>
          <t>Patel</t>
        </is>
      </c>
      <c r="C71" s="65" t="inlineStr">
        <is>
          <t>Arjun</t>
        </is>
      </c>
      <c r="D71" s="66" t="inlineStr">
        <is>
          <t>F</t>
        </is>
      </c>
      <c r="E71" s="66" t="inlineStr">
        <is>
          <t>N</t>
        </is>
      </c>
      <c r="F71" s="66" t="inlineStr">
        <is>
          <t>N</t>
        </is>
      </c>
      <c r="G71" s="34" t="n">
        <v>92.8</v>
      </c>
      <c r="H71" s="34" t="n">
        <v>108.5</v>
      </c>
      <c r="I71" s="67">
        <f>IF(ISNUMBER(tblY10[[#This Row],[Avg KS2]]),IFERROR(VLOOKUP(ROUND(STANDARDIZE(tblY10[[#This Row],[Avg KS2]],AVERAGE(tblY10[[Avg KS2]]),_xlfn.STDEV.P(tblY10[[Avg KS2]])),9),_Stanine,2),5),"")</f>
        <v>7</v>
      </c>
      <c r="J71" s="66" t="inlineStr">
        <is>
          <t>10S/Sc3</t>
        </is>
      </c>
      <c r="K71" s="67">
        <f>IF(tblY10[[#This Row],[Preferred Last name]]="","",COUNTIFS($N$1:$ZZ$1,"*"&amp;CHAR(10)&amp;"Stanine",$N71:$ZZ71,"&gt;=1"))</f>
        <v>5</v>
      </c>
      <c r="L71" s="68">
        <f>IFERROR(AVERAGEIF($N$1:$ZZ$1,"*"&amp;CHAR(10)&amp;"Stanine",$N71:$ZZ71),"")</f>
        <v>5.8</v>
      </c>
      <c r="M71" s="69">
        <f>IF(AND(ISNUMBER(tblY10[[#This Row],[Mean Stanine]]),ISNUMBER(tblY10[[#This Row],[Avg KS2 Band]]),ISNUMBER(SlopeY10)),tblY10[[#This Row],[Mean Stanine]]-(InterceptY10+SlopeY10*tblY10[[#This Row],[Avg KS2 Band]]),"")</f>
        <v>-0.768136713089186</v>
      </c>
      <c r="N71" s="66" t="n">
        <v>18</v>
      </c>
      <c r="O71" s="67">
        <f>IF(ISNUMBER(tblY10[[#This Row],[4B01 - Cell Biology
Raw Score]]),IFERROR(VLOOKUP(ROUND(STANDARDIZE(tblY10[[#This Row],[4B01 - Cell Biology
Raw Score]],AVERAGE(tblY10[[4B01 - Cell Biology
Raw Score]]),_xlfn.STDEV.P(tblY10[[4B01 - Cell Biology
Raw Score]])),9),_Stanine,2),5),"")</f>
        <v>5</v>
      </c>
      <c r="P71" s="66" t="n">
        <v>23</v>
      </c>
      <c r="Q71" s="67">
        <f>IF(ISNUMBER(tblY10[[#This Row],[4C01 - Atomic Structure
Raw Score]]),IFERROR(VLOOKUP(ROUND(STANDARDIZE(tblY10[[#This Row],[4C01 - Atomic Structure
Raw Score]],AVERAGE(tblY10[[4C01 - Atomic Structure
Raw Score]]),_xlfn.STDEV.P(tblY10[[4C01 - Atomic Structure
Raw Score]])),9),_Stanine,2),5),"")</f>
        <v>6</v>
      </c>
      <c r="R71" s="66" t="n">
        <v>15</v>
      </c>
      <c r="S71" s="67">
        <f>IF(ISNUMBER(tblY10[[#This Row],[4P01 - Energy
Raw Score]]),IFERROR(VLOOKUP(ROUND(STANDARDIZE(tblY10[[#This Row],[4P01 - Energy
Raw Score]],AVERAGE(tblY10[[4P01 - Energy
Raw Score]]),_xlfn.STDEV.P(tblY10[[4P01 - Energy
Raw Score]])),9),_Stanine,2),5),"")</f>
        <v>5</v>
      </c>
      <c r="T71" s="66" t="n">
        <v>26</v>
      </c>
      <c r="U71" s="67">
        <f>IF(ISNUMBER(tblY10[[#This Row],[4B02 - Organisation
Raw Score]]),IFERROR(VLOOKUP(ROUND(STANDARDIZE(tblY10[[#This Row],[4B02 - Organisation
Raw Score]],AVERAGE(tblY10[[4B02 - Organisation
Raw Score]]),_xlfn.STDEV.P(tblY10[[4B02 - Organisation
Raw Score]])),9),_Stanine,2),5),"")</f>
        <v>6</v>
      </c>
      <c r="V71" s="66" t="n">
        <v>32</v>
      </c>
      <c r="W71" s="67">
        <f>IF(ISNUMBER(tblY10[[#This Row],[4C02 - Bonding
Raw Score]]),IFERROR(VLOOKUP(ROUND(STANDARDIZE(tblY10[[#This Row],[4C02 - Bonding
Raw Score]],AVERAGE(tblY10[[4C02 - Bonding
Raw Score]]),_xlfn.STDEV.P(tblY10[[4C02 - Bonding
Raw Score]])),9),_Stanine,2),5),"")</f>
        <v>7</v>
      </c>
    </row>
    <row r="72">
      <c r="A72" s="65" t="inlineStr">
        <is>
          <t>X909055754789</t>
        </is>
      </c>
      <c r="B72" s="65" t="inlineStr">
        <is>
          <t>Shaw</t>
        </is>
      </c>
      <c r="C72" s="65" t="inlineStr">
        <is>
          <t>Arjun</t>
        </is>
      </c>
      <c r="D72" s="66" t="inlineStr">
        <is>
          <t>F</t>
        </is>
      </c>
      <c r="E72" s="66" t="n"/>
      <c r="F72" s="66" t="inlineStr">
        <is>
          <t>N</t>
        </is>
      </c>
      <c r="G72" s="34" t="n">
        <v>88.90000000000001</v>
      </c>
      <c r="H72" s="34" t="n">
        <v>111.5</v>
      </c>
      <c r="I72" s="67">
        <f>IF(ISNUMBER(tblY10[[#This Row],[Avg KS2]]),IFERROR(VLOOKUP(ROUND(STANDARDIZE(tblY10[[#This Row],[Avg KS2]],AVERAGE(tblY10[[Avg KS2]]),_xlfn.STDEV.P(tblY10[[Avg KS2]])),9),_Stanine,2),5),"")</f>
        <v>8</v>
      </c>
      <c r="J72" s="66" t="inlineStr">
        <is>
          <t>10S/Sc3</t>
        </is>
      </c>
      <c r="K72" s="67">
        <f>IF(tblY10[[#This Row],[Preferred Last name]]="","",COUNTIFS($N$1:$ZZ$1,"*"&amp;CHAR(10)&amp;"Stanine",$N72:$ZZ72,"&gt;=1"))</f>
        <v>5</v>
      </c>
      <c r="L72" s="68">
        <f>IFERROR(AVERAGEIF($N$1:$ZZ$1,"*"&amp;CHAR(10)&amp;"Stanine",$N72:$ZZ72),"")</f>
        <v>7.6</v>
      </c>
      <c r="M72" s="69">
        <f>IF(AND(ISNUMBER(tblY10[[#This Row],[Mean Stanine]]),ISNUMBER(tblY10[[#This Row],[Avg KS2 Band]]),ISNUMBER(SlopeY10)),tblY10[[#This Row],[Mean Stanine]]-(InterceptY10+SlopeY10*tblY10[[#This Row],[Avg KS2 Band]]),"")</f>
        <v>0.217861002628151</v>
      </c>
      <c r="N72" s="66" t="n">
        <v>31</v>
      </c>
      <c r="O72" s="67">
        <f>IF(ISNUMBER(tblY10[[#This Row],[4B01 - Cell Biology
Raw Score]]),IFERROR(VLOOKUP(ROUND(STANDARDIZE(tblY10[[#This Row],[4B01 - Cell Biology
Raw Score]],AVERAGE(tblY10[[4B01 - Cell Biology
Raw Score]]),_xlfn.STDEV.P(tblY10[[4B01 - Cell Biology
Raw Score]])),9),_Stanine,2),5),"")</f>
        <v>7</v>
      </c>
      <c r="P72" s="66" t="n">
        <v>28</v>
      </c>
      <c r="Q72" s="67">
        <f>IF(ISNUMBER(tblY10[[#This Row],[4C01 - Atomic Structure
Raw Score]]),IFERROR(VLOOKUP(ROUND(STANDARDIZE(tblY10[[#This Row],[4C01 - Atomic Structure
Raw Score]],AVERAGE(tblY10[[4C01 - Atomic Structure
Raw Score]]),_xlfn.STDEV.P(tblY10[[4C01 - Atomic Structure
Raw Score]])),9),_Stanine,2),5),"")</f>
        <v>8</v>
      </c>
      <c r="R72" s="66" t="n">
        <v>30</v>
      </c>
      <c r="S72" s="67">
        <f>IF(ISNUMBER(tblY10[[#This Row],[4P01 - Energy
Raw Score]]),IFERROR(VLOOKUP(ROUND(STANDARDIZE(tblY10[[#This Row],[4P01 - Energy
Raw Score]],AVERAGE(tblY10[[4P01 - Energy
Raw Score]]),_xlfn.STDEV.P(tblY10[[4P01 - Energy
Raw Score]])),9),_Stanine,2),5),"")</f>
        <v>9</v>
      </c>
      <c r="T72" s="66" t="n">
        <v>32</v>
      </c>
      <c r="U72" s="67">
        <f>IF(ISNUMBER(tblY10[[#This Row],[4B02 - Organisation
Raw Score]]),IFERROR(VLOOKUP(ROUND(STANDARDIZE(tblY10[[#This Row],[4B02 - Organisation
Raw Score]],AVERAGE(tblY10[[4B02 - Organisation
Raw Score]]),_xlfn.STDEV.P(tblY10[[4B02 - Organisation
Raw Score]])),9),_Stanine,2),5),"")</f>
        <v>7</v>
      </c>
      <c r="V72" s="66" t="n">
        <v>32</v>
      </c>
      <c r="W72" s="67">
        <f>IF(ISNUMBER(tblY10[[#This Row],[4C02 - Bonding
Raw Score]]),IFERROR(VLOOKUP(ROUND(STANDARDIZE(tblY10[[#This Row],[4C02 - Bonding
Raw Score]],AVERAGE(tblY10[[4C02 - Bonding
Raw Score]]),_xlfn.STDEV.P(tblY10[[4C02 - Bonding
Raw Score]])),9),_Stanine,2),5),"")</f>
        <v>7</v>
      </c>
    </row>
    <row r="73">
      <c r="A73" s="65" t="inlineStr">
        <is>
          <t>X905807786455</t>
        </is>
      </c>
      <c r="B73" s="65" t="inlineStr">
        <is>
          <t>Shaw</t>
        </is>
      </c>
      <c r="C73" s="65" t="inlineStr">
        <is>
          <t>Zara</t>
        </is>
      </c>
      <c r="D73" s="66" t="inlineStr">
        <is>
          <t>M</t>
        </is>
      </c>
      <c r="E73" s="66" t="inlineStr">
        <is>
          <t>K</t>
        </is>
      </c>
      <c r="F73" s="66" t="inlineStr">
        <is>
          <t>Y</t>
        </is>
      </c>
      <c r="G73" s="34" t="n">
        <v>89.2</v>
      </c>
      <c r="H73" s="34" t="n">
        <v>104</v>
      </c>
      <c r="I73" s="67">
        <f>IF(ISNUMBER(tblY10[[#This Row],[Avg KS2]]),IFERROR(VLOOKUP(ROUND(STANDARDIZE(tblY10[[#This Row],[Avg KS2]],AVERAGE(tblY10[[Avg KS2]]),_xlfn.STDEV.P(tblY10[[Avg KS2]])),9),_Stanine,2),5),"")</f>
        <v>5</v>
      </c>
      <c r="J73" s="66" t="inlineStr">
        <is>
          <t>10S/Sc3</t>
        </is>
      </c>
      <c r="K73" s="67">
        <f>IF(tblY10[[#This Row],[Preferred Last name]]="","",COUNTIFS($N$1:$ZZ$1,"*"&amp;CHAR(10)&amp;"Stanine",$N73:$ZZ73,"&gt;=1"))</f>
        <v>5</v>
      </c>
      <c r="L73" s="68">
        <f>IFERROR(AVERAGEIF($N$1:$ZZ$1,"*"&amp;CHAR(10)&amp;"Stanine",$N73:$ZZ73),"")</f>
        <v>4.2</v>
      </c>
      <c r="M73" s="69">
        <f>IF(AND(ISNUMBER(tblY10[[#This Row],[Mean Stanine]]),ISNUMBER(tblY10[[#This Row],[Avg KS2 Band]]),ISNUMBER(SlopeY10)),tblY10[[#This Row],[Mean Stanine]]-(InterceptY10+SlopeY10*tblY10[[#This Row],[Avg KS2 Band]]),"")</f>
        <v>-0.740132144523861</v>
      </c>
      <c r="N73" s="66" t="n">
        <v>19</v>
      </c>
      <c r="O73" s="67">
        <f>IF(ISNUMBER(tblY10[[#This Row],[4B01 - Cell Biology
Raw Score]]),IFERROR(VLOOKUP(ROUND(STANDARDIZE(tblY10[[#This Row],[4B01 - Cell Biology
Raw Score]],AVERAGE(tblY10[[4B01 - Cell Biology
Raw Score]]),_xlfn.STDEV.P(tblY10[[4B01 - Cell Biology
Raw Score]])),9),_Stanine,2),5),"")</f>
        <v>5</v>
      </c>
      <c r="P73" s="66" t="n">
        <v>15</v>
      </c>
      <c r="Q73" s="67">
        <f>IF(ISNUMBER(tblY10[[#This Row],[4C01 - Atomic Structure
Raw Score]]),IFERROR(VLOOKUP(ROUND(STANDARDIZE(tblY10[[#This Row],[4C01 - Atomic Structure
Raw Score]],AVERAGE(tblY10[[4C01 - Atomic Structure
Raw Score]]),_xlfn.STDEV.P(tblY10[[4C01 - Atomic Structure
Raw Score]])),9),_Stanine,2),5),"")</f>
        <v>4</v>
      </c>
      <c r="R73" s="66" t="n">
        <v>9</v>
      </c>
      <c r="S73" s="67">
        <f>IF(ISNUMBER(tblY10[[#This Row],[4P01 - Energy
Raw Score]]),IFERROR(VLOOKUP(ROUND(STANDARDIZE(tblY10[[#This Row],[4P01 - Energy
Raw Score]],AVERAGE(tblY10[[4P01 - Energy
Raw Score]]),_xlfn.STDEV.P(tblY10[[4P01 - Energy
Raw Score]])),9),_Stanine,2),5),"")</f>
        <v>3</v>
      </c>
      <c r="T73" s="66" t="n">
        <v>21</v>
      </c>
      <c r="U73" s="67">
        <f>IF(ISNUMBER(tblY10[[#This Row],[4B02 - Organisation
Raw Score]]),IFERROR(VLOOKUP(ROUND(STANDARDIZE(tblY10[[#This Row],[4B02 - Organisation
Raw Score]],AVERAGE(tblY10[[4B02 - Organisation
Raw Score]]),_xlfn.STDEV.P(tblY10[[4B02 - Organisation
Raw Score]])),9),_Stanine,2),5),"")</f>
        <v>5</v>
      </c>
      <c r="V73" s="66" t="n">
        <v>17</v>
      </c>
      <c r="W73" s="67">
        <f>IF(ISNUMBER(tblY10[[#This Row],[4C02 - Bonding
Raw Score]]),IFERROR(VLOOKUP(ROUND(STANDARDIZE(tblY10[[#This Row],[4C02 - Bonding
Raw Score]],AVERAGE(tblY10[[4C02 - Bonding
Raw Score]]),_xlfn.STDEV.P(tblY10[[4C02 - Bonding
Raw Score]])),9),_Stanine,2),5),"")</f>
        <v>4</v>
      </c>
    </row>
    <row r="74">
      <c r="A74" s="65" t="inlineStr">
        <is>
          <t>X904784464869</t>
        </is>
      </c>
      <c r="B74" s="65" t="inlineStr">
        <is>
          <t>Taylor</t>
        </is>
      </c>
      <c r="C74" s="65" t="inlineStr">
        <is>
          <t>Seren</t>
        </is>
      </c>
      <c r="D74" s="66" t="inlineStr">
        <is>
          <t>M</t>
        </is>
      </c>
      <c r="E74" s="66" t="inlineStr">
        <is>
          <t>N</t>
        </is>
      </c>
      <c r="F74" s="66" t="inlineStr">
        <is>
          <t>N</t>
        </is>
      </c>
      <c r="G74" s="34" t="n">
        <v>97.3</v>
      </c>
      <c r="H74" s="34" t="n">
        <v>104</v>
      </c>
      <c r="I74" s="67">
        <f>IF(ISNUMBER(tblY10[[#This Row],[Avg KS2]]),IFERROR(VLOOKUP(ROUND(STANDARDIZE(tblY10[[#This Row],[Avg KS2]],AVERAGE(tblY10[[Avg KS2]]),_xlfn.STDEV.P(tblY10[[Avg KS2]])),9),_Stanine,2),5),"")</f>
        <v>5</v>
      </c>
      <c r="J74" s="66" t="inlineStr">
        <is>
          <t>10S/Sc3</t>
        </is>
      </c>
      <c r="K74" s="67">
        <f>IF(tblY10[[#This Row],[Preferred Last name]]="","",COUNTIFS($N$1:$ZZ$1,"*"&amp;CHAR(10)&amp;"Stanine",$N74:$ZZ74,"&gt;=1"))</f>
        <v>4</v>
      </c>
      <c r="L74" s="68">
        <f>IFERROR(AVERAGEIF($N$1:$ZZ$1,"*"&amp;CHAR(10)&amp;"Stanine",$N74:$ZZ74),"")</f>
        <v>5.25</v>
      </c>
      <c r="M74" s="69">
        <f>IF(AND(ISNUMBER(tblY10[[#This Row],[Mean Stanine]]),ISNUMBER(tblY10[[#This Row],[Avg KS2 Band]]),ISNUMBER(SlopeY10)),tblY10[[#This Row],[Mean Stanine]]-(InterceptY10+SlopeY10*tblY10[[#This Row],[Avg KS2 Band]]),"")</f>
        <v>0.309867855476139</v>
      </c>
      <c r="N74" s="66" t="n">
        <v>21</v>
      </c>
      <c r="O74" s="67">
        <f>IF(ISNUMBER(tblY10[[#This Row],[4B01 - Cell Biology
Raw Score]]),IFERROR(VLOOKUP(ROUND(STANDARDIZE(tblY10[[#This Row],[4B01 - Cell Biology
Raw Score]],AVERAGE(tblY10[[4B01 - Cell Biology
Raw Score]]),_xlfn.STDEV.P(tblY10[[4B01 - Cell Biology
Raw Score]])),9),_Stanine,2),5),"")</f>
        <v>5</v>
      </c>
      <c r="P74" s="66" t="n">
        <v>22</v>
      </c>
      <c r="Q74" s="67">
        <f>IF(ISNUMBER(tblY10[[#This Row],[4C01 - Atomic Structure
Raw Score]]),IFERROR(VLOOKUP(ROUND(STANDARDIZE(tblY10[[#This Row],[4C01 - Atomic Structure
Raw Score]],AVERAGE(tblY10[[4C01 - Atomic Structure
Raw Score]]),_xlfn.STDEV.P(tblY10[[4C01 - Atomic Structure
Raw Score]])),9),_Stanine,2),5),"")</f>
        <v>6</v>
      </c>
      <c r="R74" s="66" t="n">
        <v>15</v>
      </c>
      <c r="S74" s="67">
        <f>IF(ISNUMBER(tblY10[[#This Row],[4P01 - Energy
Raw Score]]),IFERROR(VLOOKUP(ROUND(STANDARDIZE(tblY10[[#This Row],[4P01 - Energy
Raw Score]],AVERAGE(tblY10[[4P01 - Energy
Raw Score]]),_xlfn.STDEV.P(tblY10[[4P01 - Energy
Raw Score]])),9),_Stanine,2),5),"")</f>
        <v>5</v>
      </c>
      <c r="T74" s="66" t="n">
        <v>22</v>
      </c>
      <c r="U74" s="67">
        <f>IF(ISNUMBER(tblY10[[#This Row],[4B02 - Organisation
Raw Score]]),IFERROR(VLOOKUP(ROUND(STANDARDIZE(tblY10[[#This Row],[4B02 - Organisation
Raw Score]],AVERAGE(tblY10[[4B02 - Organisation
Raw Score]]),_xlfn.STDEV.P(tblY10[[4B02 - Organisation
Raw Score]])),9),_Stanine,2),5),"")</f>
        <v>5</v>
      </c>
      <c r="V74" s="66" t="inlineStr">
        <is>
          <t>A</t>
        </is>
      </c>
      <c r="W74" s="67" t="str">
        <f>IF(ISNUMBER(tblY10[[#This Row],[4C02 - Bonding
Raw Score]]),IFERROR(VLOOKUP(ROUND(STANDARDIZE(tblY10[[#This Row],[4C02 - Bonding
Raw Score]],AVERAGE(tblY10[[4C02 - Bonding
Raw Score]]),_xlfn.STDEV.P(tblY10[[4C02 - Bonding
Raw Score]])),9),_Stanine,2),5),"")</f>
        <v/>
      </c>
    </row>
    <row r="75">
      <c r="A75" s="65" t="inlineStr">
        <is>
          <t>X900410089839</t>
        </is>
      </c>
      <c r="B75" s="65" t="inlineStr">
        <is>
          <t>Thompson</t>
        </is>
      </c>
      <c r="C75" s="65" t="inlineStr">
        <is>
          <t>Rhys</t>
        </is>
      </c>
      <c r="D75" s="66" t="inlineStr">
        <is>
          <t>M</t>
        </is>
      </c>
      <c r="E75" s="66" t="inlineStr">
        <is>
          <t>N</t>
        </is>
      </c>
      <c r="F75" s="66" t="inlineStr">
        <is>
          <t>N</t>
        </is>
      </c>
      <c r="G75" s="34" t="n">
        <v>94</v>
      </c>
      <c r="H75" s="34" t="n">
        <v>106.5</v>
      </c>
      <c r="I75" s="67">
        <f>IF(ISNUMBER(tblY10[[#This Row],[Avg KS2]]),IFERROR(VLOOKUP(ROUND(STANDARDIZE(tblY10[[#This Row],[Avg KS2]],AVERAGE(tblY10[[Avg KS2]]),_xlfn.STDEV.P(tblY10[[Avg KS2]])),9),_Stanine,2),5),"")</f>
        <v>6</v>
      </c>
      <c r="J75" s="66" t="inlineStr">
        <is>
          <t>10S/Sc3</t>
        </is>
      </c>
      <c r="K75" s="67">
        <f>IF(tblY10[[#This Row],[Preferred Last name]]="","",COUNTIFS($N$1:$ZZ$1,"*"&amp;CHAR(10)&amp;"Stanine",$N75:$ZZ75,"&gt;=1"))</f>
        <v>5</v>
      </c>
      <c r="L75" s="68">
        <f>IFERROR(AVERAGEIF($N$1:$ZZ$1,"*"&amp;CHAR(10)&amp;"Stanine",$N75:$ZZ75),"")</f>
        <v>5.8</v>
      </c>
      <c r="M75" s="69">
        <f>IF(AND(ISNUMBER(tblY10[[#This Row],[Mean Stanine]]),ISNUMBER(tblY10[[#This Row],[Avg KS2 Band]]),ISNUMBER(SlopeY10)),tblY10[[#This Row],[Mean Stanine]]-(InterceptY10+SlopeY10*tblY10[[#This Row],[Avg KS2 Band]]),"")</f>
        <v>0.0458655711934766</v>
      </c>
      <c r="N75" s="66" t="n">
        <v>24</v>
      </c>
      <c r="O75" s="67">
        <f>IF(ISNUMBER(tblY10[[#This Row],[4B01 - Cell Biology
Raw Score]]),IFERROR(VLOOKUP(ROUND(STANDARDIZE(tblY10[[#This Row],[4B01 - Cell Biology
Raw Score]],AVERAGE(tblY10[[4B01 - Cell Biology
Raw Score]]),_xlfn.STDEV.P(tblY10[[4B01 - Cell Biology
Raw Score]])),9),_Stanine,2),5),"")</f>
        <v>6</v>
      </c>
      <c r="P75" s="66" t="n">
        <v>16</v>
      </c>
      <c r="Q75" s="67">
        <f>IF(ISNUMBER(tblY10[[#This Row],[4C01 - Atomic Structure
Raw Score]]),IFERROR(VLOOKUP(ROUND(STANDARDIZE(tblY10[[#This Row],[4C01 - Atomic Structure
Raw Score]],AVERAGE(tblY10[[4C01 - Atomic Structure
Raw Score]]),_xlfn.STDEV.P(tblY10[[4C01 - Atomic Structure
Raw Score]])),9),_Stanine,2),5),"")</f>
        <v>5</v>
      </c>
      <c r="R75" s="66" t="n">
        <v>19</v>
      </c>
      <c r="S75" s="67">
        <f>IF(ISNUMBER(tblY10[[#This Row],[4P01 - Energy
Raw Score]]),IFERROR(VLOOKUP(ROUND(STANDARDIZE(tblY10[[#This Row],[4P01 - Energy
Raw Score]],AVERAGE(tblY10[[4P01 - Energy
Raw Score]]),_xlfn.STDEV.P(tblY10[[4P01 - Energy
Raw Score]])),9),_Stanine,2),5),"")</f>
        <v>6</v>
      </c>
      <c r="T75" s="66" t="n">
        <v>25</v>
      </c>
      <c r="U75" s="67">
        <f>IF(ISNUMBER(tblY10[[#This Row],[4B02 - Organisation
Raw Score]]),IFERROR(VLOOKUP(ROUND(STANDARDIZE(tblY10[[#This Row],[4B02 - Organisation
Raw Score]],AVERAGE(tblY10[[4B02 - Organisation
Raw Score]]),_xlfn.STDEV.P(tblY10[[4B02 - Organisation
Raw Score]])),9),_Stanine,2),5),"")</f>
        <v>6</v>
      </c>
      <c r="V75" s="66" t="n">
        <v>24</v>
      </c>
      <c r="W75" s="67">
        <f>IF(ISNUMBER(tblY10[[#This Row],[4C02 - Bonding
Raw Score]]),IFERROR(VLOOKUP(ROUND(STANDARDIZE(tblY10[[#This Row],[4C02 - Bonding
Raw Score]],AVERAGE(tblY10[[4C02 - Bonding
Raw Score]]),_xlfn.STDEV.P(tblY10[[4C02 - Bonding
Raw Score]])),9),_Stanine,2),5),"")</f>
        <v>6</v>
      </c>
    </row>
    <row r="76">
      <c r="A76" s="65" t="inlineStr">
        <is>
          <t>X901748743750</t>
        </is>
      </c>
      <c r="B76" s="65" t="inlineStr">
        <is>
          <t>Ward</t>
        </is>
      </c>
      <c r="C76" s="65" t="inlineStr">
        <is>
          <t>Hollie</t>
        </is>
      </c>
      <c r="D76" s="66" t="inlineStr">
        <is>
          <t>M</t>
        </is>
      </c>
      <c r="E76" s="66" t="inlineStr">
        <is>
          <t>N</t>
        </is>
      </c>
      <c r="F76" s="66" t="inlineStr">
        <is>
          <t>N</t>
        </is>
      </c>
      <c r="G76" s="34" t="n">
        <v>99.5</v>
      </c>
      <c r="H76" s="34" t="n">
        <v>103</v>
      </c>
      <c r="I76" s="67">
        <f>IF(ISNUMBER(tblY10[[#This Row],[Avg KS2]]),IFERROR(VLOOKUP(ROUND(STANDARDIZE(tblY10[[#This Row],[Avg KS2]],AVERAGE(tblY10[[Avg KS2]]),_xlfn.STDEV.P(tblY10[[Avg KS2]])),9),_Stanine,2),5),"")</f>
        <v>5</v>
      </c>
      <c r="J76" s="66" t="inlineStr">
        <is>
          <t>10S/Sc3</t>
        </is>
      </c>
      <c r="K76" s="67">
        <f>IF(tblY10[[#This Row],[Preferred Last name]]="","",COUNTIFS($N$1:$ZZ$1,"*"&amp;CHAR(10)&amp;"Stanine",$N76:$ZZ76,"&gt;=1"))</f>
        <v>5</v>
      </c>
      <c r="L76" s="68">
        <f>IFERROR(AVERAGEIF($N$1:$ZZ$1,"*"&amp;CHAR(10)&amp;"Stanine",$N76:$ZZ76),"")</f>
        <v>6.6</v>
      </c>
      <c r="M76" s="69">
        <f>IF(AND(ISNUMBER(tblY10[[#This Row],[Mean Stanine]]),ISNUMBER(tblY10[[#This Row],[Avg KS2 Band]]),ISNUMBER(SlopeY10)),tblY10[[#This Row],[Mean Stanine]]-(InterceptY10+SlopeY10*tblY10[[#This Row],[Avg KS2 Band]]),"")</f>
        <v>1.65986785547614</v>
      </c>
      <c r="N76" s="66" t="n">
        <v>27</v>
      </c>
      <c r="O76" s="67">
        <f>IF(ISNUMBER(tblY10[[#This Row],[4B01 - Cell Biology
Raw Score]]),IFERROR(VLOOKUP(ROUND(STANDARDIZE(tblY10[[#This Row],[4B01 - Cell Biology
Raw Score]],AVERAGE(tblY10[[4B01 - Cell Biology
Raw Score]]),_xlfn.STDEV.P(tblY10[[4B01 - Cell Biology
Raw Score]])),9),_Stanine,2),5),"")</f>
        <v>7</v>
      </c>
      <c r="P76" s="66" t="n">
        <v>28</v>
      </c>
      <c r="Q76" s="67">
        <f>IF(ISNUMBER(tblY10[[#This Row],[4C01 - Atomic Structure
Raw Score]]),IFERROR(VLOOKUP(ROUND(STANDARDIZE(tblY10[[#This Row],[4C01 - Atomic Structure
Raw Score]],AVERAGE(tblY10[[4C01 - Atomic Structure
Raw Score]]),_xlfn.STDEV.P(tblY10[[4C01 - Atomic Structure
Raw Score]])),9),_Stanine,2),5),"")</f>
        <v>8</v>
      </c>
      <c r="R76" s="66" t="n">
        <v>20</v>
      </c>
      <c r="S76" s="67">
        <f>IF(ISNUMBER(tblY10[[#This Row],[4P01 - Energy
Raw Score]]),IFERROR(VLOOKUP(ROUND(STANDARDIZE(tblY10[[#This Row],[4P01 - Energy
Raw Score]],AVERAGE(tblY10[[4P01 - Energy
Raw Score]]),_xlfn.STDEV.P(tblY10[[4P01 - Energy
Raw Score]])),9),_Stanine,2),5),"")</f>
        <v>6</v>
      </c>
      <c r="T76" s="66" t="n">
        <v>32</v>
      </c>
      <c r="U76" s="67">
        <f>IF(ISNUMBER(tblY10[[#This Row],[4B02 - Organisation
Raw Score]]),IFERROR(VLOOKUP(ROUND(STANDARDIZE(tblY10[[#This Row],[4B02 - Organisation
Raw Score]],AVERAGE(tblY10[[4B02 - Organisation
Raw Score]]),_xlfn.STDEV.P(tblY10[[4B02 - Organisation
Raw Score]])),9),_Stanine,2),5),"")</f>
        <v>7</v>
      </c>
      <c r="V76" s="66" t="n">
        <v>23</v>
      </c>
      <c r="W76" s="67">
        <f>IF(ISNUMBER(tblY10[[#This Row],[4C02 - Bonding
Raw Score]]),IFERROR(VLOOKUP(ROUND(STANDARDIZE(tblY10[[#This Row],[4C02 - Bonding
Raw Score]],AVERAGE(tblY10[[4C02 - Bonding
Raw Score]]),_xlfn.STDEV.P(tblY10[[4C02 - Bonding
Raw Score]])),9),_Stanine,2),5),"")</f>
        <v>5</v>
      </c>
    </row>
    <row r="77">
      <c r="A77" s="65" t="inlineStr">
        <is>
          <t>X909102045950</t>
        </is>
      </c>
      <c r="B77" s="65" t="inlineStr">
        <is>
          <t>Ward</t>
        </is>
      </c>
      <c r="C77" s="65" t="inlineStr">
        <is>
          <t>Megan</t>
        </is>
      </c>
      <c r="D77" s="66" t="inlineStr">
        <is>
          <t>M</t>
        </is>
      </c>
      <c r="E77" s="66" t="n"/>
      <c r="F77" s="66" t="inlineStr">
        <is>
          <t>N</t>
        </is>
      </c>
      <c r="G77" s="34" t="n">
        <v>100</v>
      </c>
      <c r="H77" s="34" t="n">
        <v>106</v>
      </c>
      <c r="I77" s="67">
        <f>IF(ISNUMBER(tblY10[[#This Row],[Avg KS2]]),IFERROR(VLOOKUP(ROUND(STANDARDIZE(tblY10[[#This Row],[Avg KS2]],AVERAGE(tblY10[[Avg KS2]]),_xlfn.STDEV.P(tblY10[[Avg KS2]])),9),_Stanine,2),5),"")</f>
        <v>6</v>
      </c>
      <c r="J77" s="66" t="inlineStr">
        <is>
          <t>10S/Sc3</t>
        </is>
      </c>
      <c r="K77" s="67">
        <f>IF(tblY10[[#This Row],[Preferred Last name]]="","",COUNTIFS($N$1:$ZZ$1,"*"&amp;CHAR(10)&amp;"Stanine",$N77:$ZZ77,"&gt;=1"))</f>
        <v>5</v>
      </c>
      <c r="L77" s="68">
        <f>IFERROR(AVERAGEIF($N$1:$ZZ$1,"*"&amp;CHAR(10)&amp;"Stanine",$N77:$ZZ77),"")</f>
        <v>4.8</v>
      </c>
      <c r="M77" s="69">
        <f>IF(AND(ISNUMBER(tblY10[[#This Row],[Mean Stanine]]),ISNUMBER(tblY10[[#This Row],[Avg KS2 Band]]),ISNUMBER(SlopeY10)),tblY10[[#This Row],[Mean Stanine]]-(InterceptY10+SlopeY10*tblY10[[#This Row],[Avg KS2 Band]]),"")</f>
        <v>-0.954134428806523</v>
      </c>
      <c r="N77" s="66" t="n">
        <v>22</v>
      </c>
      <c r="O77" s="67">
        <f>IF(ISNUMBER(tblY10[[#This Row],[4B01 - Cell Biology
Raw Score]]),IFERROR(VLOOKUP(ROUND(STANDARDIZE(tblY10[[#This Row],[4B01 - Cell Biology
Raw Score]],AVERAGE(tblY10[[4B01 - Cell Biology
Raw Score]]),_xlfn.STDEV.P(tblY10[[4B01 - Cell Biology
Raw Score]])),9),_Stanine,2),5),"")</f>
        <v>6</v>
      </c>
      <c r="P77" s="66" t="n">
        <v>15</v>
      </c>
      <c r="Q77" s="67">
        <f>IF(ISNUMBER(tblY10[[#This Row],[4C01 - Atomic Structure
Raw Score]]),IFERROR(VLOOKUP(ROUND(STANDARDIZE(tblY10[[#This Row],[4C01 - Atomic Structure
Raw Score]],AVERAGE(tblY10[[4C01 - Atomic Structure
Raw Score]]),_xlfn.STDEV.P(tblY10[[4C01 - Atomic Structure
Raw Score]])),9),_Stanine,2),5),"")</f>
        <v>4</v>
      </c>
      <c r="R77" s="66" t="n">
        <v>11</v>
      </c>
      <c r="S77" s="67">
        <f>IF(ISNUMBER(tblY10[[#This Row],[4P01 - Energy
Raw Score]]),IFERROR(VLOOKUP(ROUND(STANDARDIZE(tblY10[[#This Row],[4P01 - Energy
Raw Score]],AVERAGE(tblY10[[4P01 - Energy
Raw Score]]),_xlfn.STDEV.P(tblY10[[4P01 - Energy
Raw Score]])),9),_Stanine,2),5),"")</f>
        <v>4</v>
      </c>
      <c r="T77" s="66" t="n">
        <v>24</v>
      </c>
      <c r="U77" s="67">
        <f>IF(ISNUMBER(tblY10[[#This Row],[4B02 - Organisation
Raw Score]]),IFERROR(VLOOKUP(ROUND(STANDARDIZE(tblY10[[#This Row],[4B02 - Organisation
Raw Score]],AVERAGE(tblY10[[4B02 - Organisation
Raw Score]]),_xlfn.STDEV.P(tblY10[[4B02 - Organisation
Raw Score]])),9),_Stanine,2),5),"")</f>
        <v>5</v>
      </c>
      <c r="V77" s="66" t="n">
        <v>21</v>
      </c>
      <c r="W77" s="67">
        <f>IF(ISNUMBER(tblY10[[#This Row],[4C02 - Bonding
Raw Score]]),IFERROR(VLOOKUP(ROUND(STANDARDIZE(tblY10[[#This Row],[4C02 - Bonding
Raw Score]],AVERAGE(tblY10[[4C02 - Bonding
Raw Score]]),_xlfn.STDEV.P(tblY10[[4C02 - Bonding
Raw Score]])),9),_Stanine,2),5),"")</f>
        <v>5</v>
      </c>
    </row>
    <row r="78">
      <c r="A78" s="65" t="inlineStr">
        <is>
          <t>X908704276160</t>
        </is>
      </c>
      <c r="B78" s="65" t="inlineStr">
        <is>
          <t>White</t>
        </is>
      </c>
      <c r="C78" s="65" t="inlineStr">
        <is>
          <t>Sami</t>
        </is>
      </c>
      <c r="D78" s="66" t="inlineStr">
        <is>
          <t>F</t>
        </is>
      </c>
      <c r="E78" s="66" t="n"/>
      <c r="F78" s="66" t="inlineStr">
        <is>
          <t>N</t>
        </is>
      </c>
      <c r="G78" s="34" t="n">
        <v>94.3</v>
      </c>
      <c r="H78" s="34" t="n">
        <v>103</v>
      </c>
      <c r="I78" s="67">
        <f>IF(ISNUMBER(tblY10[[#This Row],[Avg KS2]]),IFERROR(VLOOKUP(ROUND(STANDARDIZE(tblY10[[#This Row],[Avg KS2]],AVERAGE(tblY10[[Avg KS2]]),_xlfn.STDEV.P(tblY10[[Avg KS2]])),9),_Stanine,2),5),"")</f>
        <v>5</v>
      </c>
      <c r="J78" s="66" t="inlineStr">
        <is>
          <t>10S/Sc3</t>
        </is>
      </c>
      <c r="K78" s="67">
        <f>IF(tblY10[[#This Row],[Preferred Last name]]="","",COUNTIFS($N$1:$ZZ$1,"*"&amp;CHAR(10)&amp;"Stanine",$N78:$ZZ78,"&gt;=1"))</f>
        <v>5</v>
      </c>
      <c r="L78" s="68">
        <f>IFERROR(AVERAGEIF($N$1:$ZZ$1,"*"&amp;CHAR(10)&amp;"Stanine",$N78:$ZZ78),"")</f>
        <v>5.4</v>
      </c>
      <c r="M78" s="69">
        <f>IF(AND(ISNUMBER(tblY10[[#This Row],[Mean Stanine]]),ISNUMBER(tblY10[[#This Row],[Avg KS2 Band]]),ISNUMBER(SlopeY10)),tblY10[[#This Row],[Mean Stanine]]-(InterceptY10+SlopeY10*tblY10[[#This Row],[Avg KS2 Band]]),"")</f>
        <v>0.459867855476139</v>
      </c>
      <c r="N78" s="66" t="n">
        <v>21</v>
      </c>
      <c r="O78" s="67">
        <f>IF(ISNUMBER(tblY10[[#This Row],[4B01 - Cell Biology
Raw Score]]),IFERROR(VLOOKUP(ROUND(STANDARDIZE(tblY10[[#This Row],[4B01 - Cell Biology
Raw Score]],AVERAGE(tblY10[[4B01 - Cell Biology
Raw Score]]),_xlfn.STDEV.P(tblY10[[4B01 - Cell Biology
Raw Score]])),9),_Stanine,2),5),"")</f>
        <v>5</v>
      </c>
      <c r="P78" s="66" t="n">
        <v>20</v>
      </c>
      <c r="Q78" s="67">
        <f>IF(ISNUMBER(tblY10[[#This Row],[4C01 - Atomic Structure
Raw Score]]),IFERROR(VLOOKUP(ROUND(STANDARDIZE(tblY10[[#This Row],[4C01 - Atomic Structure
Raw Score]],AVERAGE(tblY10[[4C01 - Atomic Structure
Raw Score]]),_xlfn.STDEV.P(tblY10[[4C01 - Atomic Structure
Raw Score]])),9),_Stanine,2),5),"")</f>
        <v>6</v>
      </c>
      <c r="R78" s="66" t="n">
        <v>15</v>
      </c>
      <c r="S78" s="67">
        <f>IF(ISNUMBER(tblY10[[#This Row],[4P01 - Energy
Raw Score]]),IFERROR(VLOOKUP(ROUND(STANDARDIZE(tblY10[[#This Row],[4P01 - Energy
Raw Score]],AVERAGE(tblY10[[4P01 - Energy
Raw Score]]),_xlfn.STDEV.P(tblY10[[4P01 - Energy
Raw Score]])),9),_Stanine,2),5),"")</f>
        <v>5</v>
      </c>
      <c r="T78" s="66" t="n">
        <v>23</v>
      </c>
      <c r="U78" s="67">
        <f>IF(ISNUMBER(tblY10[[#This Row],[4B02 - Organisation
Raw Score]]),IFERROR(VLOOKUP(ROUND(STANDARDIZE(tblY10[[#This Row],[4B02 - Organisation
Raw Score]],AVERAGE(tblY10[[4B02 - Organisation
Raw Score]]),_xlfn.STDEV.P(tblY10[[4B02 - Organisation
Raw Score]])),9),_Stanine,2),5),"")</f>
        <v>5</v>
      </c>
      <c r="V78" s="66" t="n">
        <v>26</v>
      </c>
      <c r="W78" s="67">
        <f>IF(ISNUMBER(tblY10[[#This Row],[4C02 - Bonding
Raw Score]]),IFERROR(VLOOKUP(ROUND(STANDARDIZE(tblY10[[#This Row],[4C02 - Bonding
Raw Score]],AVERAGE(tblY10[[4C02 - Bonding
Raw Score]]),_xlfn.STDEV.P(tblY10[[4C02 - Bonding
Raw Score]])),9),_Stanine,2),5),"")</f>
        <v>6</v>
      </c>
    </row>
    <row r="79">
      <c r="A79" s="65" t="inlineStr">
        <is>
          <t>X906814502693</t>
        </is>
      </c>
      <c r="B79" s="65" t="inlineStr">
        <is>
          <t>Wright</t>
        </is>
      </c>
      <c r="C79" s="65" t="inlineStr">
        <is>
          <t>Layla</t>
        </is>
      </c>
      <c r="D79" s="66" t="inlineStr">
        <is>
          <t>F</t>
        </is>
      </c>
      <c r="E79" s="66" t="n"/>
      <c r="F79" s="66" t="inlineStr">
        <is>
          <t>N</t>
        </is>
      </c>
      <c r="G79" s="34" t="n">
        <v>86.8</v>
      </c>
      <c r="H79" s="34" t="n">
        <v>104</v>
      </c>
      <c r="I79" s="67">
        <f>IF(ISNUMBER(tblY10[[#This Row],[Avg KS2]]),IFERROR(VLOOKUP(ROUND(STANDARDIZE(tblY10[[#This Row],[Avg KS2]],AVERAGE(tblY10[[Avg KS2]]),_xlfn.STDEV.P(tblY10[[Avg KS2]])),9),_Stanine,2),5),"")</f>
        <v>5</v>
      </c>
      <c r="J79" s="66" t="inlineStr">
        <is>
          <t>10S/Sc3</t>
        </is>
      </c>
      <c r="K79" s="67">
        <f>IF(tblY10[[#This Row],[Preferred Last name]]="","",COUNTIFS($N$1:$ZZ$1,"*"&amp;CHAR(10)&amp;"Stanine",$N79:$ZZ79,"&gt;=1"))</f>
        <v>4</v>
      </c>
      <c r="L79" s="68">
        <f>IFERROR(AVERAGEIF($N$1:$ZZ$1,"*"&amp;CHAR(10)&amp;"Stanine",$N79:$ZZ79),"")</f>
        <v>5.75</v>
      </c>
      <c r="M79" s="69">
        <f>IF(AND(ISNUMBER(tblY10[[#This Row],[Mean Stanine]]),ISNUMBER(tblY10[[#This Row],[Avg KS2 Band]]),ISNUMBER(SlopeY10)),tblY10[[#This Row],[Mean Stanine]]-(InterceptY10+SlopeY10*tblY10[[#This Row],[Avg KS2 Band]]),"")</f>
        <v>0.809867855476139</v>
      </c>
      <c r="N79" s="66" t="inlineStr">
        <is>
          <t>A</t>
        </is>
      </c>
      <c r="O79" s="67" t="str">
        <f>IF(ISNUMBER(tblY10[[#This Row],[4B01 - Cell Biology
Raw Score]]),IFERROR(VLOOKUP(ROUND(STANDARDIZE(tblY10[[#This Row],[4B01 - Cell Biology
Raw Score]],AVERAGE(tblY10[[4B01 - Cell Biology
Raw Score]]),_xlfn.STDEV.P(tblY10[[4B01 - Cell Biology
Raw Score]])),9),_Stanine,2),5),"")</f>
        <v/>
      </c>
      <c r="P79" s="66" t="n">
        <v>21</v>
      </c>
      <c r="Q79" s="67">
        <f>IF(ISNUMBER(tblY10[[#This Row],[4C01 - Atomic Structure
Raw Score]]),IFERROR(VLOOKUP(ROUND(STANDARDIZE(tblY10[[#This Row],[4C01 - Atomic Structure
Raw Score]],AVERAGE(tblY10[[4C01 - Atomic Structure
Raw Score]]),_xlfn.STDEV.P(tblY10[[4C01 - Atomic Structure
Raw Score]])),9),_Stanine,2),5),"")</f>
        <v>6</v>
      </c>
      <c r="R79" s="66" t="n">
        <v>17</v>
      </c>
      <c r="S79" s="67">
        <f>IF(ISNUMBER(tblY10[[#This Row],[4P01 - Energy
Raw Score]]),IFERROR(VLOOKUP(ROUND(STANDARDIZE(tblY10[[#This Row],[4P01 - Energy
Raw Score]],AVERAGE(tblY10[[4P01 - Energy
Raw Score]]),_xlfn.STDEV.P(tblY10[[4P01 - Energy
Raw Score]])),9),_Stanine,2),5),"")</f>
        <v>5</v>
      </c>
      <c r="T79" s="66" t="n">
        <v>31</v>
      </c>
      <c r="U79" s="67">
        <f>IF(ISNUMBER(tblY10[[#This Row],[4B02 - Organisation
Raw Score]]),IFERROR(VLOOKUP(ROUND(STANDARDIZE(tblY10[[#This Row],[4B02 - Organisation
Raw Score]],AVERAGE(tblY10[[4B02 - Organisation
Raw Score]]),_xlfn.STDEV.P(tblY10[[4B02 - Organisation
Raw Score]])),9),_Stanine,2),5),"")</f>
        <v>7</v>
      </c>
      <c r="V79" s="66" t="n">
        <v>21</v>
      </c>
      <c r="W79" s="67">
        <f>IF(ISNUMBER(tblY10[[#This Row],[4C02 - Bonding
Raw Score]]),IFERROR(VLOOKUP(ROUND(STANDARDIZE(tblY10[[#This Row],[4C02 - Bonding
Raw Score]],AVERAGE(tblY10[[4C02 - Bonding
Raw Score]]),_xlfn.STDEV.P(tblY10[[4C02 - Bonding
Raw Score]])),9),_Stanine,2),5),"")</f>
        <v>5</v>
      </c>
    </row>
    <row r="80">
      <c r="A80" s="65" t="inlineStr">
        <is>
          <t>X906298467802</t>
        </is>
      </c>
      <c r="B80" s="65" t="inlineStr">
        <is>
          <t>Wright</t>
        </is>
      </c>
      <c r="C80" s="65" t="inlineStr">
        <is>
          <t>Nia</t>
        </is>
      </c>
      <c r="D80" s="66" t="inlineStr">
        <is>
          <t>M</t>
        </is>
      </c>
      <c r="E80" s="66" t="inlineStr">
        <is>
          <t>N</t>
        </is>
      </c>
      <c r="F80" s="66" t="inlineStr">
        <is>
          <t>Y</t>
        </is>
      </c>
      <c r="G80" s="34" t="n">
        <v>100</v>
      </c>
      <c r="H80" s="34" t="n">
        <v>106.5</v>
      </c>
      <c r="I80" s="67">
        <f>IF(ISNUMBER(tblY10[[#This Row],[Avg KS2]]),IFERROR(VLOOKUP(ROUND(STANDARDIZE(tblY10[[#This Row],[Avg KS2]],AVERAGE(tblY10[[Avg KS2]]),_xlfn.STDEV.P(tblY10[[Avg KS2]])),9),_Stanine,2),5),"")</f>
        <v>6</v>
      </c>
      <c r="J80" s="66" t="inlineStr">
        <is>
          <t>10S/Sc3</t>
        </is>
      </c>
      <c r="K80" s="67">
        <f>IF(tblY10[[#This Row],[Preferred Last name]]="","",COUNTIFS($N$1:$ZZ$1,"*"&amp;CHAR(10)&amp;"Stanine",$N80:$ZZ80,"&gt;=1"))</f>
        <v>5</v>
      </c>
      <c r="L80" s="68">
        <f>IFERROR(AVERAGEIF($N$1:$ZZ$1,"*"&amp;CHAR(10)&amp;"Stanine",$N80:$ZZ80),"")</f>
        <v>5.6</v>
      </c>
      <c r="M80" s="69">
        <f>IF(AND(ISNUMBER(tblY10[[#This Row],[Mean Stanine]]),ISNUMBER(tblY10[[#This Row],[Avg KS2 Band]]),ISNUMBER(SlopeY10)),tblY10[[#This Row],[Mean Stanine]]-(InterceptY10+SlopeY10*tblY10[[#This Row],[Avg KS2 Band]]),"")</f>
        <v>-0.154134428806524</v>
      </c>
      <c r="N80" s="66" t="n">
        <v>25</v>
      </c>
      <c r="O80" s="67">
        <f>IF(ISNUMBER(tblY10[[#This Row],[4B01 - Cell Biology
Raw Score]]),IFERROR(VLOOKUP(ROUND(STANDARDIZE(tblY10[[#This Row],[4B01 - Cell Biology
Raw Score]],AVERAGE(tblY10[[4B01 - Cell Biology
Raw Score]]),_xlfn.STDEV.P(tblY10[[4B01 - Cell Biology
Raw Score]])),9),_Stanine,2),5),"")</f>
        <v>6</v>
      </c>
      <c r="P80" s="66" t="n">
        <v>16</v>
      </c>
      <c r="Q80" s="67">
        <f>IF(ISNUMBER(tblY10[[#This Row],[4C01 - Atomic Structure
Raw Score]]),IFERROR(VLOOKUP(ROUND(STANDARDIZE(tblY10[[#This Row],[4C01 - Atomic Structure
Raw Score]],AVERAGE(tblY10[[4C01 - Atomic Structure
Raw Score]]),_xlfn.STDEV.P(tblY10[[4C01 - Atomic Structure
Raw Score]])),9),_Stanine,2),5),"")</f>
        <v>5</v>
      </c>
      <c r="R80" s="66" t="n">
        <v>20</v>
      </c>
      <c r="S80" s="67">
        <f>IF(ISNUMBER(tblY10[[#This Row],[4P01 - Energy
Raw Score]]),IFERROR(VLOOKUP(ROUND(STANDARDIZE(tblY10[[#This Row],[4P01 - Energy
Raw Score]],AVERAGE(tblY10[[4P01 - Energy
Raw Score]]),_xlfn.STDEV.P(tblY10[[4P01 - Energy
Raw Score]])),9),_Stanine,2),5),"")</f>
        <v>6</v>
      </c>
      <c r="T80" s="66" t="n">
        <v>28</v>
      </c>
      <c r="U80" s="67">
        <f>IF(ISNUMBER(tblY10[[#This Row],[4B02 - Organisation
Raw Score]]),IFERROR(VLOOKUP(ROUND(STANDARDIZE(tblY10[[#This Row],[4B02 - Organisation
Raw Score]],AVERAGE(tblY10[[4B02 - Organisation
Raw Score]]),_xlfn.STDEV.P(tblY10[[4B02 - Organisation
Raw Score]])),9),_Stanine,2),5),"")</f>
        <v>6</v>
      </c>
      <c r="V80" s="66" t="n">
        <v>20</v>
      </c>
      <c r="W80" s="67">
        <f>IF(ISNUMBER(tblY10[[#This Row],[4C02 - Bonding
Raw Score]]),IFERROR(VLOOKUP(ROUND(STANDARDIZE(tblY10[[#This Row],[4C02 - Bonding
Raw Score]],AVERAGE(tblY10[[4C02 - Bonding
Raw Score]]),_xlfn.STDEV.P(tblY10[[4C02 - Bonding
Raw Score]])),9),_Stanine,2),5),"")</f>
        <v>5</v>
      </c>
    </row>
    <row r="81">
      <c r="A81" s="65" t="inlineStr">
        <is>
          <t>X902602935316</t>
        </is>
      </c>
      <c r="B81" s="65" t="inlineStr">
        <is>
          <t>Wright</t>
        </is>
      </c>
      <c r="C81" s="65" t="inlineStr">
        <is>
          <t>Reuben</t>
        </is>
      </c>
      <c r="D81" s="66" t="inlineStr">
        <is>
          <t>M</t>
        </is>
      </c>
      <c r="E81" s="66" t="inlineStr">
        <is>
          <t>N</t>
        </is>
      </c>
      <c r="F81" s="66" t="inlineStr">
        <is>
          <t>Y</t>
        </is>
      </c>
      <c r="G81" s="34" t="n">
        <v>92.5</v>
      </c>
      <c r="H81" s="34" t="n">
        <v>94</v>
      </c>
      <c r="I81" s="67">
        <f>IF(ISNUMBER(tblY10[[#This Row],[Avg KS2]]),IFERROR(VLOOKUP(ROUND(STANDARDIZE(tblY10[[#This Row],[Avg KS2]],AVERAGE(tblY10[[Avg KS2]]),_xlfn.STDEV.P(tblY10[[Avg KS2]])),9),_Stanine,2),5),"")</f>
        <v>2</v>
      </c>
      <c r="J81" s="66" t="inlineStr">
        <is>
          <t>10S/Sc3</t>
        </is>
      </c>
      <c r="K81" s="67">
        <f>IF(tblY10[[#This Row],[Preferred Last name]]="","",COUNTIFS($N$1:$ZZ$1,"*"&amp;CHAR(10)&amp;"Stanine",$N81:$ZZ81,"&gt;=1"))</f>
        <v>4</v>
      </c>
      <c r="L81" s="68">
        <f>IFERROR(AVERAGEIF($N$1:$ZZ$1,"*"&amp;CHAR(10)&amp;"Stanine",$N81:$ZZ81),"")</f>
        <v>4.25</v>
      </c>
      <c r="M81" s="69">
        <f>IF(AND(ISNUMBER(tblY10[[#This Row],[Mean Stanine]]),ISNUMBER(tblY10[[#This Row],[Avg KS2 Band]]),ISNUMBER(SlopeY10)),tblY10[[#This Row],[Mean Stanine]]-(InterceptY10+SlopeY10*tblY10[[#This Row],[Avg KS2 Band]]),"")</f>
        <v>1.75187470832413</v>
      </c>
      <c r="N81" s="66" t="n">
        <v>17</v>
      </c>
      <c r="O81" s="67">
        <f>IF(ISNUMBER(tblY10[[#This Row],[4B01 - Cell Biology
Raw Score]]),IFERROR(VLOOKUP(ROUND(STANDARDIZE(tblY10[[#This Row],[4B01 - Cell Biology
Raw Score]],AVERAGE(tblY10[[4B01 - Cell Biology
Raw Score]]),_xlfn.STDEV.P(tblY10[[4B01 - Cell Biology
Raw Score]])),9),_Stanine,2),5),"")</f>
        <v>4</v>
      </c>
      <c r="P81" s="66" t="n">
        <v>14</v>
      </c>
      <c r="Q81" s="67">
        <f>IF(ISNUMBER(tblY10[[#This Row],[4C01 - Atomic Structure
Raw Score]]),IFERROR(VLOOKUP(ROUND(STANDARDIZE(tblY10[[#This Row],[4C01 - Atomic Structure
Raw Score]],AVERAGE(tblY10[[4C01 - Atomic Structure
Raw Score]]),_xlfn.STDEV.P(tblY10[[4C01 - Atomic Structure
Raw Score]])),9),_Stanine,2),5),"")</f>
        <v>4</v>
      </c>
      <c r="R81" s="66" t="n">
        <v>11</v>
      </c>
      <c r="S81" s="67">
        <f>IF(ISNUMBER(tblY10[[#This Row],[4P01 - Energy
Raw Score]]),IFERROR(VLOOKUP(ROUND(STANDARDIZE(tblY10[[#This Row],[4P01 - Energy
Raw Score]],AVERAGE(tblY10[[4P01 - Energy
Raw Score]]),_xlfn.STDEV.P(tblY10[[4P01 - Energy
Raw Score]])),9),_Stanine,2),5),"")</f>
        <v>4</v>
      </c>
      <c r="T81" s="66" t="n">
        <v>23</v>
      </c>
      <c r="U81" s="67">
        <f>IF(ISNUMBER(tblY10[[#This Row],[4B02 - Organisation
Raw Score]]),IFERROR(VLOOKUP(ROUND(STANDARDIZE(tblY10[[#This Row],[4B02 - Organisation
Raw Score]],AVERAGE(tblY10[[4B02 - Organisation
Raw Score]]),_xlfn.STDEV.P(tblY10[[4B02 - Organisation
Raw Score]])),9),_Stanine,2),5),"")</f>
        <v>5</v>
      </c>
      <c r="V81" s="66" t="inlineStr">
        <is>
          <t>A</t>
        </is>
      </c>
      <c r="W81" s="67" t="str">
        <f>IF(ISNUMBER(tblY10[[#This Row],[4C02 - Bonding
Raw Score]]),IFERROR(VLOOKUP(ROUND(STANDARDIZE(tblY10[[#This Row],[4C02 - Bonding
Raw Score]],AVERAGE(tblY10[[4C02 - Bonding
Raw Score]]),_xlfn.STDEV.P(tblY10[[4C02 - Bonding
Raw Score]])),9),_Stanine,2),5),"")</f>
        <v/>
      </c>
    </row>
    <row r="82">
      <c r="A82" s="65" t="inlineStr">
        <is>
          <t>X907475943431</t>
        </is>
      </c>
      <c r="B82" s="65" t="inlineStr">
        <is>
          <t>Adeyemi</t>
        </is>
      </c>
      <c r="C82" s="65" t="inlineStr">
        <is>
          <t>Kai</t>
        </is>
      </c>
      <c r="D82" s="66" t="inlineStr">
        <is>
          <t>F</t>
        </is>
      </c>
      <c r="E82" s="66" t="inlineStr">
        <is>
          <t>K</t>
        </is>
      </c>
      <c r="F82" s="66" t="inlineStr">
        <is>
          <t>N</t>
        </is>
      </c>
      <c r="G82" s="34" t="n">
        <v>86.5</v>
      </c>
      <c r="H82" s="34" t="n">
        <v>98</v>
      </c>
      <c r="I82" s="67">
        <f>IF(ISNUMBER(tblY10[[#This Row],[Avg KS2]]),IFERROR(VLOOKUP(ROUND(STANDARDIZE(tblY10[[#This Row],[Avg KS2]],AVERAGE(tblY10[[Avg KS2]]),_xlfn.STDEV.P(tblY10[[Avg KS2]])),9),_Stanine,2),5),"")</f>
        <v>3</v>
      </c>
      <c r="J82" s="66" t="inlineStr">
        <is>
          <t>10S/Sc4</t>
        </is>
      </c>
      <c r="K82" s="67">
        <f>IF(tblY10[[#This Row],[Preferred Last name]]="","",COUNTIFS($N$1:$ZZ$1,"*"&amp;CHAR(10)&amp;"Stanine",$N82:$ZZ82,"&gt;=1"))</f>
        <v>4</v>
      </c>
      <c r="L82" s="68">
        <f>IFERROR(AVERAGEIF($N$1:$ZZ$1,"*"&amp;CHAR(10)&amp;"Stanine",$N82:$ZZ82),"")</f>
        <v>3.75</v>
      </c>
      <c r="M82" s="69">
        <f>IF(AND(ISNUMBER(tblY10[[#This Row],[Mean Stanine]]),ISNUMBER(tblY10[[#This Row],[Avg KS2 Band]]),ISNUMBER(SlopeY10)),tblY10[[#This Row],[Mean Stanine]]-(InterceptY10+SlopeY10*tblY10[[#This Row],[Avg KS2 Band]]),"")</f>
        <v>0.437872424041463</v>
      </c>
      <c r="N82" s="66" t="inlineStr">
        <is>
          <t>A</t>
        </is>
      </c>
      <c r="O82" s="67" t="str">
        <f>IF(ISNUMBER(tblY10[[#This Row],[4B01 - Cell Biology
Raw Score]]),IFERROR(VLOOKUP(ROUND(STANDARDIZE(tblY10[[#This Row],[4B01 - Cell Biology
Raw Score]],AVERAGE(tblY10[[4B01 - Cell Biology
Raw Score]]),_xlfn.STDEV.P(tblY10[[4B01 - Cell Biology
Raw Score]])),9),_Stanine,2),5),"")</f>
        <v/>
      </c>
      <c r="P82" s="66" t="n">
        <v>14</v>
      </c>
      <c r="Q82" s="67">
        <f>IF(ISNUMBER(tblY10[[#This Row],[4C01 - Atomic Structure
Raw Score]]),IFERROR(VLOOKUP(ROUND(STANDARDIZE(tblY10[[#This Row],[4C01 - Atomic Structure
Raw Score]],AVERAGE(tblY10[[4C01 - Atomic Structure
Raw Score]]),_xlfn.STDEV.P(tblY10[[4C01 - Atomic Structure
Raw Score]])),9),_Stanine,2),5),"")</f>
        <v>4</v>
      </c>
      <c r="R82" s="66" t="n">
        <v>7</v>
      </c>
      <c r="S82" s="67">
        <f>IF(ISNUMBER(tblY10[[#This Row],[4P01 - Energy
Raw Score]]),IFERROR(VLOOKUP(ROUND(STANDARDIZE(tblY10[[#This Row],[4P01 - Energy
Raw Score]],AVERAGE(tblY10[[4P01 - Energy
Raw Score]]),_xlfn.STDEV.P(tblY10[[4P01 - Energy
Raw Score]])),9),_Stanine,2),5),"")</f>
        <v>3</v>
      </c>
      <c r="T82" s="66" t="n">
        <v>16</v>
      </c>
      <c r="U82" s="67">
        <f>IF(ISNUMBER(tblY10[[#This Row],[4B02 - Organisation
Raw Score]]),IFERROR(VLOOKUP(ROUND(STANDARDIZE(tblY10[[#This Row],[4B02 - Organisation
Raw Score]],AVERAGE(tblY10[[4B02 - Organisation
Raw Score]]),_xlfn.STDEV.P(tblY10[[4B02 - Organisation
Raw Score]])),9),_Stanine,2),5),"")</f>
        <v>3</v>
      </c>
      <c r="V82" s="66" t="n">
        <v>20</v>
      </c>
      <c r="W82" s="67">
        <f>IF(ISNUMBER(tblY10[[#This Row],[4C02 - Bonding
Raw Score]]),IFERROR(VLOOKUP(ROUND(STANDARDIZE(tblY10[[#This Row],[4C02 - Bonding
Raw Score]],AVERAGE(tblY10[[4C02 - Bonding
Raw Score]]),_xlfn.STDEV.P(tblY10[[4C02 - Bonding
Raw Score]])),9),_Stanine,2),5),"")</f>
        <v>5</v>
      </c>
    </row>
    <row r="83">
      <c r="A83" s="65" t="inlineStr">
        <is>
          <t>X907018812866</t>
        </is>
      </c>
      <c r="B83" s="65" t="inlineStr">
        <is>
          <t>Ahmed</t>
        </is>
      </c>
      <c r="C83" s="65" t="inlineStr">
        <is>
          <t>Zara</t>
        </is>
      </c>
      <c r="D83" s="66" t="inlineStr">
        <is>
          <t>F</t>
        </is>
      </c>
      <c r="E83" s="66" t="n"/>
      <c r="F83" s="66" t="inlineStr">
        <is>
          <t>N</t>
        </is>
      </c>
      <c r="G83" s="34" t="n">
        <v>89.5</v>
      </c>
      <c r="H83" s="34" t="n">
        <v>95.5</v>
      </c>
      <c r="I83" s="67">
        <f>IF(ISNUMBER(tblY10[[#This Row],[Avg KS2]]),IFERROR(VLOOKUP(ROUND(STANDARDIZE(tblY10[[#This Row],[Avg KS2]],AVERAGE(tblY10[[Avg KS2]]),_xlfn.STDEV.P(tblY10[[Avg KS2]])),9),_Stanine,2),5),"")</f>
        <v>3</v>
      </c>
      <c r="J83" s="66" t="inlineStr">
        <is>
          <t>10S/Sc4</t>
        </is>
      </c>
      <c r="K83" s="67">
        <f>IF(tblY10[[#This Row],[Preferred Last name]]="","",COUNTIFS($N$1:$ZZ$1,"*"&amp;CHAR(10)&amp;"Stanine",$N83:$ZZ83,"&gt;=1"))</f>
        <v>5</v>
      </c>
      <c r="L83" s="68">
        <f>IFERROR(AVERAGEIF($N$1:$ZZ$1,"*"&amp;CHAR(10)&amp;"Stanine",$N83:$ZZ83),"")</f>
        <v>3.8</v>
      </c>
      <c r="M83" s="69">
        <f>IF(AND(ISNUMBER(tblY10[[#This Row],[Mean Stanine]]),ISNUMBER(tblY10[[#This Row],[Avg KS2 Band]]),ISNUMBER(SlopeY10)),tblY10[[#This Row],[Mean Stanine]]-(InterceptY10+SlopeY10*tblY10[[#This Row],[Avg KS2 Band]]),"")</f>
        <v>0.487872424041463</v>
      </c>
      <c r="N83" s="66" t="n">
        <v>19</v>
      </c>
      <c r="O83" s="67">
        <f>IF(ISNUMBER(tblY10[[#This Row],[4B01 - Cell Biology
Raw Score]]),IFERROR(VLOOKUP(ROUND(STANDARDIZE(tblY10[[#This Row],[4B01 - Cell Biology
Raw Score]],AVERAGE(tblY10[[4B01 - Cell Biology
Raw Score]]),_xlfn.STDEV.P(tblY10[[4B01 - Cell Biology
Raw Score]])),9),_Stanine,2),5),"")</f>
        <v>5</v>
      </c>
      <c r="P83" s="66" t="n">
        <v>15</v>
      </c>
      <c r="Q83" s="67">
        <f>IF(ISNUMBER(tblY10[[#This Row],[4C01 - Atomic Structure
Raw Score]]),IFERROR(VLOOKUP(ROUND(STANDARDIZE(tblY10[[#This Row],[4C01 - Atomic Structure
Raw Score]],AVERAGE(tblY10[[4C01 - Atomic Structure
Raw Score]]),_xlfn.STDEV.P(tblY10[[4C01 - Atomic Structure
Raw Score]])),9),_Stanine,2),5),"")</f>
        <v>4</v>
      </c>
      <c r="R83" s="66" t="n">
        <v>9</v>
      </c>
      <c r="S83" s="67">
        <f>IF(ISNUMBER(tblY10[[#This Row],[4P01 - Energy
Raw Score]]),IFERROR(VLOOKUP(ROUND(STANDARDIZE(tblY10[[#This Row],[4P01 - Energy
Raw Score]],AVERAGE(tblY10[[4P01 - Energy
Raw Score]]),_xlfn.STDEV.P(tblY10[[4P01 - Energy
Raw Score]])),9),_Stanine,2),5),"")</f>
        <v>3</v>
      </c>
      <c r="T83" s="66" t="n">
        <v>10</v>
      </c>
      <c r="U83" s="67">
        <f>IF(ISNUMBER(tblY10[[#This Row],[4B02 - Organisation
Raw Score]]),IFERROR(VLOOKUP(ROUND(STANDARDIZE(tblY10[[#This Row],[4B02 - Organisation
Raw Score]],AVERAGE(tblY10[[4B02 - Organisation
Raw Score]]),_xlfn.STDEV.P(tblY10[[4B02 - Organisation
Raw Score]])),9),_Stanine,2),5),"")</f>
        <v>2</v>
      </c>
      <c r="V83" s="66" t="n">
        <v>23</v>
      </c>
      <c r="W83" s="67">
        <f>IF(ISNUMBER(tblY10[[#This Row],[4C02 - Bonding
Raw Score]]),IFERROR(VLOOKUP(ROUND(STANDARDIZE(tblY10[[#This Row],[4C02 - Bonding
Raw Score]],AVERAGE(tblY10[[4C02 - Bonding
Raw Score]]),_xlfn.STDEV.P(tblY10[[4C02 - Bonding
Raw Score]])),9),_Stanine,2),5),"")</f>
        <v>5</v>
      </c>
    </row>
    <row r="84">
      <c r="A84" s="65" t="inlineStr">
        <is>
          <t>X907020219957</t>
        </is>
      </c>
      <c r="B84" s="65" t="inlineStr">
        <is>
          <t>Begum</t>
        </is>
      </c>
      <c r="C84" s="65" t="inlineStr">
        <is>
          <t>Evie</t>
        </is>
      </c>
      <c r="D84" s="66" t="inlineStr">
        <is>
          <t>M</t>
        </is>
      </c>
      <c r="E84" s="66" t="inlineStr">
        <is>
          <t>K</t>
        </is>
      </c>
      <c r="F84" s="66" t="inlineStr">
        <is>
          <t>N</t>
        </is>
      </c>
      <c r="G84" s="34" t="n">
        <v>88.59999999999999</v>
      </c>
      <c r="H84" s="34" t="n">
        <v>105</v>
      </c>
      <c r="I84" s="67">
        <f>IF(ISNUMBER(tblY10[[#This Row],[Avg KS2]]),IFERROR(VLOOKUP(ROUND(STANDARDIZE(tblY10[[#This Row],[Avg KS2]],AVERAGE(tblY10[[Avg KS2]]),_xlfn.STDEV.P(tblY10[[Avg KS2]])),9),_Stanine,2),5),"")</f>
        <v>6</v>
      </c>
      <c r="J84" s="66" t="inlineStr">
        <is>
          <t>10S/Sc4</t>
        </is>
      </c>
      <c r="K84" s="67">
        <f>IF(tblY10[[#This Row],[Preferred Last name]]="","",COUNTIFS($N$1:$ZZ$1,"*"&amp;CHAR(10)&amp;"Stanine",$N84:$ZZ84,"&gt;=1"))</f>
        <v>5</v>
      </c>
      <c r="L84" s="68">
        <f>IFERROR(AVERAGEIF($N$1:$ZZ$1,"*"&amp;CHAR(10)&amp;"Stanine",$N84:$ZZ84),"")</f>
        <v>6.8</v>
      </c>
      <c r="M84" s="69">
        <f>IF(AND(ISNUMBER(tblY10[[#This Row],[Mean Stanine]]),ISNUMBER(tblY10[[#This Row],[Avg KS2 Band]]),ISNUMBER(SlopeY10)),tblY10[[#This Row],[Mean Stanine]]-(InterceptY10+SlopeY10*tblY10[[#This Row],[Avg KS2 Band]]),"")</f>
        <v>1.04586557119348</v>
      </c>
      <c r="N84" s="66" t="n">
        <v>31</v>
      </c>
      <c r="O84" s="67">
        <f>IF(ISNUMBER(tblY10[[#This Row],[4B01 - Cell Biology
Raw Score]]),IFERROR(VLOOKUP(ROUND(STANDARDIZE(tblY10[[#This Row],[4B01 - Cell Biology
Raw Score]],AVERAGE(tblY10[[4B01 - Cell Biology
Raw Score]]),_xlfn.STDEV.P(tblY10[[4B01 - Cell Biology
Raw Score]])),9),_Stanine,2),5),"")</f>
        <v>7</v>
      </c>
      <c r="P84" s="66" t="n">
        <v>28</v>
      </c>
      <c r="Q84" s="67">
        <f>IF(ISNUMBER(tblY10[[#This Row],[4C01 - Atomic Structure
Raw Score]]),IFERROR(VLOOKUP(ROUND(STANDARDIZE(tblY10[[#This Row],[4C01 - Atomic Structure
Raw Score]],AVERAGE(tblY10[[4C01 - Atomic Structure
Raw Score]]),_xlfn.STDEV.P(tblY10[[4C01 - Atomic Structure
Raw Score]])),9),_Stanine,2),5),"")</f>
        <v>8</v>
      </c>
      <c r="R84" s="66" t="n">
        <v>23</v>
      </c>
      <c r="S84" s="67">
        <f>IF(ISNUMBER(tblY10[[#This Row],[4P01 - Energy
Raw Score]]),IFERROR(VLOOKUP(ROUND(STANDARDIZE(tblY10[[#This Row],[4P01 - Energy
Raw Score]],AVERAGE(tblY10[[4P01 - Energy
Raw Score]]),_xlfn.STDEV.P(tblY10[[4P01 - Energy
Raw Score]])),9),_Stanine,2),5),"")</f>
        <v>7</v>
      </c>
      <c r="T84" s="66" t="n">
        <v>27</v>
      </c>
      <c r="U84" s="67">
        <f>IF(ISNUMBER(tblY10[[#This Row],[4B02 - Organisation
Raw Score]]),IFERROR(VLOOKUP(ROUND(STANDARDIZE(tblY10[[#This Row],[4B02 - Organisation
Raw Score]],AVERAGE(tblY10[[4B02 - Organisation
Raw Score]]),_xlfn.STDEV.P(tblY10[[4B02 - Organisation
Raw Score]])),9),_Stanine,2),5),"")</f>
        <v>6</v>
      </c>
      <c r="V84" s="66" t="n">
        <v>27</v>
      </c>
      <c r="W84" s="67">
        <f>IF(ISNUMBER(tblY10[[#This Row],[4C02 - Bonding
Raw Score]]),IFERROR(VLOOKUP(ROUND(STANDARDIZE(tblY10[[#This Row],[4C02 - Bonding
Raw Score]],AVERAGE(tblY10[[4C02 - Bonding
Raw Score]]),_xlfn.STDEV.P(tblY10[[4C02 - Bonding
Raw Score]])),9),_Stanine,2),5),"")</f>
        <v>6</v>
      </c>
    </row>
    <row r="85">
      <c r="A85" s="65" t="inlineStr">
        <is>
          <t>X906373219452</t>
        </is>
      </c>
      <c r="B85" s="65" t="inlineStr">
        <is>
          <t>Bennett</t>
        </is>
      </c>
      <c r="C85" s="65" t="inlineStr">
        <is>
          <t>Arthur</t>
        </is>
      </c>
      <c r="D85" s="66" t="inlineStr">
        <is>
          <t>M</t>
        </is>
      </c>
      <c r="E85" s="66" t="inlineStr">
        <is>
          <t>N</t>
        </is>
      </c>
      <c r="F85" s="66" t="inlineStr">
        <is>
          <t>N</t>
        </is>
      </c>
      <c r="G85" s="34" t="n">
        <v>98</v>
      </c>
      <c r="H85" s="34" t="n">
        <v>96.5</v>
      </c>
      <c r="I85" s="67">
        <f>IF(ISNUMBER(tblY10[[#This Row],[Avg KS2]]),IFERROR(VLOOKUP(ROUND(STANDARDIZE(tblY10[[#This Row],[Avg KS2]],AVERAGE(tblY10[[Avg KS2]]),_xlfn.STDEV.P(tblY10[[Avg KS2]])),9),_Stanine,2),5),"")</f>
        <v>3</v>
      </c>
      <c r="J85" s="66" t="inlineStr">
        <is>
          <t>10S/Sc4</t>
        </is>
      </c>
      <c r="K85" s="67">
        <f>IF(tblY10[[#This Row],[Preferred Last name]]="","",COUNTIFS($N$1:$ZZ$1,"*"&amp;CHAR(10)&amp;"Stanine",$N85:$ZZ85,"&gt;=1"))</f>
        <v>5</v>
      </c>
      <c r="L85" s="68">
        <f>IFERROR(AVERAGEIF($N$1:$ZZ$1,"*"&amp;CHAR(10)&amp;"Stanine",$N85:$ZZ85),"")</f>
        <v>2.8</v>
      </c>
      <c r="M85" s="69">
        <f>IF(AND(ISNUMBER(tblY10[[#This Row],[Mean Stanine]]),ISNUMBER(tblY10[[#This Row],[Avg KS2 Band]]),ISNUMBER(SlopeY10)),tblY10[[#This Row],[Mean Stanine]]-(InterceptY10+SlopeY10*tblY10[[#This Row],[Avg KS2 Band]]),"")</f>
        <v>-0.512127575958537</v>
      </c>
      <c r="N85" s="66" t="n">
        <v>8</v>
      </c>
      <c r="O85" s="67">
        <f>IF(ISNUMBER(tblY10[[#This Row],[4B01 - Cell Biology
Raw Score]]),IFERROR(VLOOKUP(ROUND(STANDARDIZE(tblY10[[#This Row],[4B01 - Cell Biology
Raw Score]],AVERAGE(tblY10[[4B01 - Cell Biology
Raw Score]]),_xlfn.STDEV.P(tblY10[[4B01 - Cell Biology
Raw Score]])),9),_Stanine,2),5),"")</f>
        <v>2</v>
      </c>
      <c r="P85" s="66" t="n">
        <v>7</v>
      </c>
      <c r="Q85" s="67">
        <f>IF(ISNUMBER(tblY10[[#This Row],[4C01 - Atomic Structure
Raw Score]]),IFERROR(VLOOKUP(ROUND(STANDARDIZE(tblY10[[#This Row],[4C01 - Atomic Structure
Raw Score]],AVERAGE(tblY10[[4C01 - Atomic Structure
Raw Score]]),_xlfn.STDEV.P(tblY10[[4C01 - Atomic Structure
Raw Score]])),9),_Stanine,2),5),"")</f>
        <v>2</v>
      </c>
      <c r="R85" s="66" t="n">
        <v>9</v>
      </c>
      <c r="S85" s="67">
        <f>IF(ISNUMBER(tblY10[[#This Row],[4P01 - Energy
Raw Score]]),IFERROR(VLOOKUP(ROUND(STANDARDIZE(tblY10[[#This Row],[4P01 - Energy
Raw Score]],AVERAGE(tblY10[[4P01 - Energy
Raw Score]]),_xlfn.STDEV.P(tblY10[[4P01 - Energy
Raw Score]])),9),_Stanine,2),5),"")</f>
        <v>3</v>
      </c>
      <c r="T85" s="66" t="n">
        <v>20</v>
      </c>
      <c r="U85" s="67">
        <f>IF(ISNUMBER(tblY10[[#This Row],[4B02 - Organisation
Raw Score]]),IFERROR(VLOOKUP(ROUND(STANDARDIZE(tblY10[[#This Row],[4B02 - Organisation
Raw Score]],AVERAGE(tblY10[[4B02 - Organisation
Raw Score]]),_xlfn.STDEV.P(tblY10[[4B02 - Organisation
Raw Score]])),9),_Stanine,2),5),"")</f>
        <v>4</v>
      </c>
      <c r="V85" s="66" t="n">
        <v>14</v>
      </c>
      <c r="W85" s="67">
        <f>IF(ISNUMBER(tblY10[[#This Row],[4C02 - Bonding
Raw Score]]),IFERROR(VLOOKUP(ROUND(STANDARDIZE(tblY10[[#This Row],[4C02 - Bonding
Raw Score]],AVERAGE(tblY10[[4C02 - Bonding
Raw Score]]),_xlfn.STDEV.P(tblY10[[4C02 - Bonding
Raw Score]])),9),_Stanine,2),5),"")</f>
        <v>3</v>
      </c>
    </row>
    <row r="86">
      <c r="A86" s="65" t="inlineStr">
        <is>
          <t>X900823532386</t>
        </is>
      </c>
      <c r="B86" s="65" t="inlineStr">
        <is>
          <t>Clarke</t>
        </is>
      </c>
      <c r="C86" s="65" t="inlineStr">
        <is>
          <t>Poppy</t>
        </is>
      </c>
      <c r="D86" s="66" t="inlineStr">
        <is>
          <t>F</t>
        </is>
      </c>
      <c r="E86" s="66" t="n"/>
      <c r="F86" s="66" t="inlineStr">
        <is>
          <t>N</t>
        </is>
      </c>
      <c r="G86" s="34" t="n">
        <v>94.8</v>
      </c>
      <c r="H86" s="34" t="n">
        <v>97</v>
      </c>
      <c r="I86" s="67">
        <f>IF(ISNUMBER(tblY10[[#This Row],[Avg KS2]]),IFERROR(VLOOKUP(ROUND(STANDARDIZE(tblY10[[#This Row],[Avg KS2]],AVERAGE(tblY10[[Avg KS2]]),_xlfn.STDEV.P(tblY10[[Avg KS2]])),9),_Stanine,2),5),"")</f>
        <v>3</v>
      </c>
      <c r="J86" s="66" t="inlineStr">
        <is>
          <t>10S/Sc4</t>
        </is>
      </c>
      <c r="K86" s="67">
        <f>IF(tblY10[[#This Row],[Preferred Last name]]="","",COUNTIFS($N$1:$ZZ$1,"*"&amp;CHAR(10)&amp;"Stanine",$N86:$ZZ86,"&gt;=1"))</f>
        <v>5</v>
      </c>
      <c r="L86" s="68">
        <f>IFERROR(AVERAGEIF($N$1:$ZZ$1,"*"&amp;CHAR(10)&amp;"Stanine",$N86:$ZZ86),"")</f>
        <v>3.2</v>
      </c>
      <c r="M86" s="69">
        <f>IF(AND(ISNUMBER(tblY10[[#This Row],[Mean Stanine]]),ISNUMBER(tblY10[[#This Row],[Avg KS2 Band]]),ISNUMBER(SlopeY10)),tblY10[[#This Row],[Mean Stanine]]-(InterceptY10+SlopeY10*tblY10[[#This Row],[Avg KS2 Band]]),"")</f>
        <v>-0.112127575958537</v>
      </c>
      <c r="N86" s="66" t="n">
        <v>13</v>
      </c>
      <c r="O86" s="67">
        <f>IF(ISNUMBER(tblY10[[#This Row],[4B01 - Cell Biology
Raw Score]]),IFERROR(VLOOKUP(ROUND(STANDARDIZE(tblY10[[#This Row],[4B01 - Cell Biology
Raw Score]],AVERAGE(tblY10[[4B01 - Cell Biology
Raw Score]]),_xlfn.STDEV.P(tblY10[[4B01 - Cell Biology
Raw Score]])),9),_Stanine,2),5),"")</f>
        <v>4</v>
      </c>
      <c r="P86" s="66" t="n">
        <v>7</v>
      </c>
      <c r="Q86" s="67">
        <f>IF(ISNUMBER(tblY10[[#This Row],[4C01 - Atomic Structure
Raw Score]]),IFERROR(VLOOKUP(ROUND(STANDARDIZE(tblY10[[#This Row],[4C01 - Atomic Structure
Raw Score]],AVERAGE(tblY10[[4C01 - Atomic Structure
Raw Score]]),_xlfn.STDEV.P(tblY10[[4C01 - Atomic Structure
Raw Score]])),9),_Stanine,2),5),"")</f>
        <v>2</v>
      </c>
      <c r="R86" s="66" t="n">
        <v>7</v>
      </c>
      <c r="S86" s="67">
        <f>IF(ISNUMBER(tblY10[[#This Row],[4P01 - Energy
Raw Score]]),IFERROR(VLOOKUP(ROUND(STANDARDIZE(tblY10[[#This Row],[4P01 - Energy
Raw Score]],AVERAGE(tblY10[[4P01 - Energy
Raw Score]]),_xlfn.STDEV.P(tblY10[[4P01 - Energy
Raw Score]])),9),_Stanine,2),5),"")</f>
        <v>3</v>
      </c>
      <c r="T86" s="66" t="n">
        <v>17</v>
      </c>
      <c r="U86" s="67">
        <f>IF(ISNUMBER(tblY10[[#This Row],[4B02 - Organisation
Raw Score]]),IFERROR(VLOOKUP(ROUND(STANDARDIZE(tblY10[[#This Row],[4B02 - Organisation
Raw Score]],AVERAGE(tblY10[[4B02 - Organisation
Raw Score]]),_xlfn.STDEV.P(tblY10[[4B02 - Organisation
Raw Score]])),9),_Stanine,2),5),"")</f>
        <v>4</v>
      </c>
      <c r="V86" s="66" t="n">
        <v>12</v>
      </c>
      <c r="W86" s="67">
        <f>IF(ISNUMBER(tblY10[[#This Row],[4C02 - Bonding
Raw Score]]),IFERROR(VLOOKUP(ROUND(STANDARDIZE(tblY10[[#This Row],[4C02 - Bonding
Raw Score]],AVERAGE(tblY10[[4C02 - Bonding
Raw Score]]),_xlfn.STDEV.P(tblY10[[4C02 - Bonding
Raw Score]])),9),_Stanine,2),5),"")</f>
        <v>3</v>
      </c>
    </row>
    <row r="87">
      <c r="A87" s="65" t="inlineStr">
        <is>
          <t>X906915683865</t>
        </is>
      </c>
      <c r="B87" s="65" t="inlineStr">
        <is>
          <t>Fletcher</t>
        </is>
      </c>
      <c r="C87" s="65" t="inlineStr">
        <is>
          <t>Muhammad</t>
        </is>
      </c>
      <c r="D87" s="66" t="inlineStr">
        <is>
          <t>M</t>
        </is>
      </c>
      <c r="E87" s="66" t="inlineStr">
        <is>
          <t>N</t>
        </is>
      </c>
      <c r="F87" s="66" t="inlineStr">
        <is>
          <t>Y</t>
        </is>
      </c>
      <c r="G87" s="34" t="n">
        <v>92.8</v>
      </c>
      <c r="H87" s="34" t="n">
        <v>92.5</v>
      </c>
      <c r="I87" s="67">
        <f>IF(ISNUMBER(tblY10[[#This Row],[Avg KS2]]),IFERROR(VLOOKUP(ROUND(STANDARDIZE(tblY10[[#This Row],[Avg KS2]],AVERAGE(tblY10[[Avg KS2]]),_xlfn.STDEV.P(tblY10[[Avg KS2]])),9),_Stanine,2),5),"")</f>
        <v>2</v>
      </c>
      <c r="J87" s="66" t="inlineStr">
        <is>
          <t>10S/Sc4</t>
        </is>
      </c>
      <c r="K87" s="67">
        <f>IF(tblY10[[#This Row],[Preferred Last name]]="","",COUNTIFS($N$1:$ZZ$1,"*"&amp;CHAR(10)&amp;"Stanine",$N87:$ZZ87,"&gt;=1"))</f>
        <v>5</v>
      </c>
      <c r="L87" s="68">
        <f>IFERROR(AVERAGEIF($N$1:$ZZ$1,"*"&amp;CHAR(10)&amp;"Stanine",$N87:$ZZ87),"")</f>
        <v>1.4</v>
      </c>
      <c r="M87" s="69">
        <f>IF(AND(ISNUMBER(tblY10[[#This Row],[Mean Stanine]]),ISNUMBER(tblY10[[#This Row],[Avg KS2 Band]]),ISNUMBER(SlopeY10)),tblY10[[#This Row],[Mean Stanine]]-(InterceptY10+SlopeY10*tblY10[[#This Row],[Avg KS2 Band]]),"")</f>
        <v>-1.09812529167587</v>
      </c>
      <c r="N87" s="66" t="n">
        <v>3</v>
      </c>
      <c r="O87" s="67">
        <f>IF(ISNUMBER(tblY10[[#This Row],[4B01 - Cell Biology
Raw Score]]),IFERROR(VLOOKUP(ROUND(STANDARDIZE(tblY10[[#This Row],[4B01 - Cell Biology
Raw Score]],AVERAGE(tblY10[[4B01 - Cell Biology
Raw Score]]),_xlfn.STDEV.P(tblY10[[4B01 - Cell Biology
Raw Score]])),9),_Stanine,2),5),"")</f>
        <v>1</v>
      </c>
      <c r="P87" s="66" t="n">
        <v>4</v>
      </c>
      <c r="Q87" s="67">
        <f>IF(ISNUMBER(tblY10[[#This Row],[4C01 - Atomic Structure
Raw Score]]),IFERROR(VLOOKUP(ROUND(STANDARDIZE(tblY10[[#This Row],[4C01 - Atomic Structure
Raw Score]],AVERAGE(tblY10[[4C01 - Atomic Structure
Raw Score]]),_xlfn.STDEV.P(tblY10[[4C01 - Atomic Structure
Raw Score]])),9),_Stanine,2),5),"")</f>
        <v>2</v>
      </c>
      <c r="R87" s="66" t="n">
        <v>5</v>
      </c>
      <c r="S87" s="67">
        <f>IF(ISNUMBER(tblY10[[#This Row],[4P01 - Energy
Raw Score]]),IFERROR(VLOOKUP(ROUND(STANDARDIZE(tblY10[[#This Row],[4P01 - Energy
Raw Score]],AVERAGE(tblY10[[4P01 - Energy
Raw Score]]),_xlfn.STDEV.P(tblY10[[4P01 - Energy
Raw Score]])),9),_Stanine,2),5),"")</f>
        <v>2</v>
      </c>
      <c r="T87" s="66" t="n">
        <v>6</v>
      </c>
      <c r="U87" s="67">
        <f>IF(ISNUMBER(tblY10[[#This Row],[4B02 - Organisation
Raw Score]]),IFERROR(VLOOKUP(ROUND(STANDARDIZE(tblY10[[#This Row],[4B02 - Organisation
Raw Score]],AVERAGE(tblY10[[4B02 - Organisation
Raw Score]]),_xlfn.STDEV.P(tblY10[[4B02 - Organisation
Raw Score]])),9),_Stanine,2),5),"")</f>
        <v>1</v>
      </c>
      <c r="V87" s="66" t="n">
        <v>3</v>
      </c>
      <c r="W87" s="67">
        <f>IF(ISNUMBER(tblY10[[#This Row],[4C02 - Bonding
Raw Score]]),IFERROR(VLOOKUP(ROUND(STANDARDIZE(tblY10[[#This Row],[4C02 - Bonding
Raw Score]],AVERAGE(tblY10[[4C02 - Bonding
Raw Score]]),_xlfn.STDEV.P(tblY10[[4C02 - Bonding
Raw Score]])),9),_Stanine,2),5),"")</f>
        <v>1</v>
      </c>
    </row>
    <row r="88">
      <c r="A88" s="65" t="inlineStr">
        <is>
          <t>X906063377675</t>
        </is>
      </c>
      <c r="B88" s="65" t="inlineStr">
        <is>
          <t>Griffiths</t>
        </is>
      </c>
      <c r="C88" s="65" t="inlineStr">
        <is>
          <t>Callum</t>
        </is>
      </c>
      <c r="D88" s="66" t="inlineStr">
        <is>
          <t>M</t>
        </is>
      </c>
      <c r="E88" s="66" t="inlineStr">
        <is>
          <t>K</t>
        </is>
      </c>
      <c r="F88" s="66" t="inlineStr">
        <is>
          <t>Y</t>
        </is>
      </c>
      <c r="G88" s="34" t="n">
        <v>92.2</v>
      </c>
      <c r="H88" s="34" t="n">
        <v>98.5</v>
      </c>
      <c r="I88" s="67">
        <f>IF(ISNUMBER(tblY10[[#This Row],[Avg KS2]]),IFERROR(VLOOKUP(ROUND(STANDARDIZE(tblY10[[#This Row],[Avg KS2]],AVERAGE(tblY10[[Avg KS2]]),_xlfn.STDEV.P(tblY10[[Avg KS2]])),9),_Stanine,2),5),"")</f>
        <v>4</v>
      </c>
      <c r="J88" s="66" t="inlineStr">
        <is>
          <t>10S/Sc4</t>
        </is>
      </c>
      <c r="K88" s="67">
        <f>IF(tblY10[[#This Row],[Preferred Last name]]="","",COUNTIFS($N$1:$ZZ$1,"*"&amp;CHAR(10)&amp;"Stanine",$N88:$ZZ88,"&gt;=1"))</f>
        <v>5</v>
      </c>
      <c r="L88" s="68">
        <f>IFERROR(AVERAGEIF($N$1:$ZZ$1,"*"&amp;CHAR(10)&amp;"Stanine",$N88:$ZZ88),"")</f>
        <v>3.2</v>
      </c>
      <c r="M88" s="69">
        <f>IF(AND(ISNUMBER(tblY10[[#This Row],[Mean Stanine]]),ISNUMBER(tblY10[[#This Row],[Avg KS2 Band]]),ISNUMBER(SlopeY10)),tblY10[[#This Row],[Mean Stanine]]-(InterceptY10+SlopeY10*tblY10[[#This Row],[Avg KS2 Band]]),"")</f>
        <v>-0.926129860241199</v>
      </c>
      <c r="N88" s="66" t="n">
        <v>11</v>
      </c>
      <c r="O88" s="67">
        <f>IF(ISNUMBER(tblY10[[#This Row],[4B01 - Cell Biology
Raw Score]]),IFERROR(VLOOKUP(ROUND(STANDARDIZE(tblY10[[#This Row],[4B01 - Cell Biology
Raw Score]],AVERAGE(tblY10[[4B01 - Cell Biology
Raw Score]]),_xlfn.STDEV.P(tblY10[[4B01 - Cell Biology
Raw Score]])),9),_Stanine,2),5),"")</f>
        <v>3</v>
      </c>
      <c r="P88" s="66" t="n">
        <v>17</v>
      </c>
      <c r="Q88" s="67">
        <f>IF(ISNUMBER(tblY10[[#This Row],[4C01 - Atomic Structure
Raw Score]]),IFERROR(VLOOKUP(ROUND(STANDARDIZE(tblY10[[#This Row],[4C01 - Atomic Structure
Raw Score]],AVERAGE(tblY10[[4C01 - Atomic Structure
Raw Score]]),_xlfn.STDEV.P(tblY10[[4C01 - Atomic Structure
Raw Score]])),9),_Stanine,2),5),"")</f>
        <v>5</v>
      </c>
      <c r="R88" s="66" t="n">
        <v>5</v>
      </c>
      <c r="S88" s="67">
        <f>IF(ISNUMBER(tblY10[[#This Row],[4P01 - Energy
Raw Score]]),IFERROR(VLOOKUP(ROUND(STANDARDIZE(tblY10[[#This Row],[4P01 - Energy
Raw Score]],AVERAGE(tblY10[[4P01 - Energy
Raw Score]]),_xlfn.STDEV.P(tblY10[[4P01 - Energy
Raw Score]])),9),_Stanine,2),5),"")</f>
        <v>2</v>
      </c>
      <c r="T88" s="66" t="n">
        <v>13</v>
      </c>
      <c r="U88" s="67">
        <f>IF(ISNUMBER(tblY10[[#This Row],[4B02 - Organisation
Raw Score]]),IFERROR(VLOOKUP(ROUND(STANDARDIZE(tblY10[[#This Row],[4B02 - Organisation
Raw Score]],AVERAGE(tblY10[[4B02 - Organisation
Raw Score]]),_xlfn.STDEV.P(tblY10[[4B02 - Organisation
Raw Score]])),9),_Stanine,2),5),"")</f>
        <v>3</v>
      </c>
      <c r="V88" s="66" t="n">
        <v>13</v>
      </c>
      <c r="W88" s="67">
        <f>IF(ISNUMBER(tblY10[[#This Row],[4C02 - Bonding
Raw Score]]),IFERROR(VLOOKUP(ROUND(STANDARDIZE(tblY10[[#This Row],[4C02 - Bonding
Raw Score]],AVERAGE(tblY10[[4C02 - Bonding
Raw Score]]),_xlfn.STDEV.P(tblY10[[4C02 - Bonding
Raw Score]])),9),_Stanine,2),5),"")</f>
        <v>3</v>
      </c>
    </row>
    <row r="89">
      <c r="A89" s="65" t="inlineStr">
        <is>
          <t>X902815549394</t>
        </is>
      </c>
      <c r="B89" s="65" t="inlineStr">
        <is>
          <t>Hall</t>
        </is>
      </c>
      <c r="C89" s="65" t="inlineStr">
        <is>
          <t>Kai</t>
        </is>
      </c>
      <c r="D89" s="66" t="inlineStr">
        <is>
          <t>F</t>
        </is>
      </c>
      <c r="E89" s="66" t="inlineStr">
        <is>
          <t>N</t>
        </is>
      </c>
      <c r="F89" s="66" t="inlineStr">
        <is>
          <t>N</t>
        </is>
      </c>
      <c r="G89" s="34" t="n">
        <v>90.5</v>
      </c>
      <c r="H89" s="34" t="n">
        <v>92</v>
      </c>
      <c r="I89" s="67">
        <f>IF(ISNUMBER(tblY10[[#This Row],[Avg KS2]]),IFERROR(VLOOKUP(ROUND(STANDARDIZE(tblY10[[#This Row],[Avg KS2]],AVERAGE(tblY10[[Avg KS2]]),_xlfn.STDEV.P(tblY10[[Avg KS2]])),9),_Stanine,2),5),"")</f>
        <v>1</v>
      </c>
      <c r="J89" s="66" t="inlineStr">
        <is>
          <t>10S/Sc4</t>
        </is>
      </c>
      <c r="K89" s="67">
        <f>IF(tblY10[[#This Row],[Preferred Last name]]="","",COUNTIFS($N$1:$ZZ$1,"*"&amp;CHAR(10)&amp;"Stanine",$N89:$ZZ89,"&gt;=1"))</f>
        <v>4</v>
      </c>
      <c r="L89" s="68">
        <f>IFERROR(AVERAGEIF($N$1:$ZZ$1,"*"&amp;CHAR(10)&amp;"Stanine",$N89:$ZZ89),"")</f>
        <v>1.75</v>
      </c>
      <c r="M89" s="69">
        <f>IF(AND(ISNUMBER(tblY10[[#This Row],[Mean Stanine]]),ISNUMBER(tblY10[[#This Row],[Avg KS2 Band]]),ISNUMBER(SlopeY10)),tblY10[[#This Row],[Mean Stanine]]-(InterceptY10+SlopeY10*tblY10[[#This Row],[Avg KS2 Band]]),"")</f>
        <v>0.0658769926067881</v>
      </c>
      <c r="N89" s="66" t="n">
        <v>4</v>
      </c>
      <c r="O89" s="67">
        <f>IF(ISNUMBER(tblY10[[#This Row],[4B01 - Cell Biology
Raw Score]]),IFERROR(VLOOKUP(ROUND(STANDARDIZE(tblY10[[#This Row],[4B01 - Cell Biology
Raw Score]],AVERAGE(tblY10[[4B01 - Cell Biology
Raw Score]]),_xlfn.STDEV.P(tblY10[[4B01 - Cell Biology
Raw Score]])),9),_Stanine,2),5),"")</f>
        <v>2</v>
      </c>
      <c r="P89" s="66" t="n">
        <v>4</v>
      </c>
      <c r="Q89" s="67">
        <f>IF(ISNUMBER(tblY10[[#This Row],[4C01 - Atomic Structure
Raw Score]]),IFERROR(VLOOKUP(ROUND(STANDARDIZE(tblY10[[#This Row],[4C01 - Atomic Structure
Raw Score]],AVERAGE(tblY10[[4C01 - Atomic Structure
Raw Score]]),_xlfn.STDEV.P(tblY10[[4C01 - Atomic Structure
Raw Score]])),9),_Stanine,2),5),"")</f>
        <v>2</v>
      </c>
      <c r="R89" s="66" t="n">
        <v>4</v>
      </c>
      <c r="S89" s="67">
        <f>IF(ISNUMBER(tblY10[[#This Row],[4P01 - Energy
Raw Score]]),IFERROR(VLOOKUP(ROUND(STANDARDIZE(tblY10[[#This Row],[4P01 - Energy
Raw Score]],AVERAGE(tblY10[[4P01 - Energy
Raw Score]]),_xlfn.STDEV.P(tblY10[[4P01 - Energy
Raw Score]])),9),_Stanine,2),5),"")</f>
        <v>2</v>
      </c>
      <c r="T89" s="66" t="inlineStr">
        <is>
          <t>A</t>
        </is>
      </c>
      <c r="U89" s="67" t="str">
        <f>IF(ISNUMBER(tblY10[[#This Row],[4B02 - Organisation
Raw Score]]),IFERROR(VLOOKUP(ROUND(STANDARDIZE(tblY10[[#This Row],[4B02 - Organisation
Raw Score]],AVERAGE(tblY10[[4B02 - Organisation
Raw Score]]),_xlfn.STDEV.P(tblY10[[4B02 - Organisation
Raw Score]])),9),_Stanine,2),5),"")</f>
        <v/>
      </c>
      <c r="V89" s="66" t="n">
        <v>3</v>
      </c>
      <c r="W89" s="67">
        <f>IF(ISNUMBER(tblY10[[#This Row],[4C02 - Bonding
Raw Score]]),IFERROR(VLOOKUP(ROUND(STANDARDIZE(tblY10[[#This Row],[4C02 - Bonding
Raw Score]],AVERAGE(tblY10[[4C02 - Bonding
Raw Score]]),_xlfn.STDEV.P(tblY10[[4C02 - Bonding
Raw Score]])),9),_Stanine,2),5),"")</f>
        <v>1</v>
      </c>
    </row>
    <row r="90">
      <c r="A90" s="65" t="inlineStr">
        <is>
          <t>X906089757451</t>
        </is>
      </c>
      <c r="B90" s="65" t="inlineStr">
        <is>
          <t>Hughes</t>
        </is>
      </c>
      <c r="C90" s="65" t="inlineStr">
        <is>
          <t>Alfie</t>
        </is>
      </c>
      <c r="D90" s="66" t="inlineStr">
        <is>
          <t>M</t>
        </is>
      </c>
      <c r="E90" s="66" t="n"/>
      <c r="F90" s="66" t="inlineStr">
        <is>
          <t>N</t>
        </is>
      </c>
      <c r="G90" s="34" t="n">
        <v>86.2</v>
      </c>
      <c r="H90" s="34" t="n">
        <v>102</v>
      </c>
      <c r="I90" s="67">
        <f>IF(ISNUMBER(tblY10[[#This Row],[Avg KS2]]),IFERROR(VLOOKUP(ROUND(STANDARDIZE(tblY10[[#This Row],[Avg KS2]],AVERAGE(tblY10[[Avg KS2]]),_xlfn.STDEV.P(tblY10[[Avg KS2]])),9),_Stanine,2),5),"")</f>
        <v>5</v>
      </c>
      <c r="J90" s="66" t="inlineStr">
        <is>
          <t>10S/Sc4</t>
        </is>
      </c>
      <c r="K90" s="67">
        <f>IF(tblY10[[#This Row],[Preferred Last name]]="","",COUNTIFS($N$1:$ZZ$1,"*"&amp;CHAR(10)&amp;"Stanine",$N90:$ZZ90,"&gt;=1"))</f>
        <v>4</v>
      </c>
      <c r="L90" s="68">
        <f>IFERROR(AVERAGEIF($N$1:$ZZ$1,"*"&amp;CHAR(10)&amp;"Stanine",$N90:$ZZ90),"")</f>
        <v>3</v>
      </c>
      <c r="M90" s="69">
        <f>IF(AND(ISNUMBER(tblY10[[#This Row],[Mean Stanine]]),ISNUMBER(tblY10[[#This Row],[Avg KS2 Band]]),ISNUMBER(SlopeY10)),tblY10[[#This Row],[Mean Stanine]]-(InterceptY10+SlopeY10*tblY10[[#This Row],[Avg KS2 Band]]),"")</f>
        <v>-1.94013214452386</v>
      </c>
      <c r="N90" s="66" t="n">
        <v>9</v>
      </c>
      <c r="O90" s="67">
        <f>IF(ISNUMBER(tblY10[[#This Row],[4B01 - Cell Biology
Raw Score]]),IFERROR(VLOOKUP(ROUND(STANDARDIZE(tblY10[[#This Row],[4B01 - Cell Biology
Raw Score]],AVERAGE(tblY10[[4B01 - Cell Biology
Raw Score]]),_xlfn.STDEV.P(tblY10[[4B01 - Cell Biology
Raw Score]])),9),_Stanine,2),5),"")</f>
        <v>3</v>
      </c>
      <c r="P90" s="66" t="n">
        <v>9</v>
      </c>
      <c r="Q90" s="67">
        <f>IF(ISNUMBER(tblY10[[#This Row],[4C01 - Atomic Structure
Raw Score]]),IFERROR(VLOOKUP(ROUND(STANDARDIZE(tblY10[[#This Row],[4C01 - Atomic Structure
Raw Score]],AVERAGE(tblY10[[4C01 - Atomic Structure
Raw Score]]),_xlfn.STDEV.P(tblY10[[4C01 - Atomic Structure
Raw Score]])),9),_Stanine,2),5),"")</f>
        <v>3</v>
      </c>
      <c r="R90" s="66" t="n">
        <v>6</v>
      </c>
      <c r="S90" s="67">
        <f>IF(ISNUMBER(tblY10[[#This Row],[4P01 - Energy
Raw Score]]),IFERROR(VLOOKUP(ROUND(STANDARDIZE(tblY10[[#This Row],[4P01 - Energy
Raw Score]],AVERAGE(tblY10[[4P01 - Energy
Raw Score]]),_xlfn.STDEV.P(tblY10[[4P01 - Energy
Raw Score]])),9),_Stanine,2),5),"")</f>
        <v>3</v>
      </c>
      <c r="T90" s="66" t="inlineStr">
        <is>
          <t>A</t>
        </is>
      </c>
      <c r="U90" s="67" t="str">
        <f>IF(ISNUMBER(tblY10[[#This Row],[4B02 - Organisation
Raw Score]]),IFERROR(VLOOKUP(ROUND(STANDARDIZE(tblY10[[#This Row],[4B02 - Organisation
Raw Score]],AVERAGE(tblY10[[4B02 - Organisation
Raw Score]]),_xlfn.STDEV.P(tblY10[[4B02 - Organisation
Raw Score]])),9),_Stanine,2),5),"")</f>
        <v/>
      </c>
      <c r="V90" s="66" t="n">
        <v>11</v>
      </c>
      <c r="W90" s="67">
        <f>IF(ISNUMBER(tblY10[[#This Row],[4C02 - Bonding
Raw Score]]),IFERROR(VLOOKUP(ROUND(STANDARDIZE(tblY10[[#This Row],[4C02 - Bonding
Raw Score]],AVERAGE(tblY10[[4C02 - Bonding
Raw Score]]),_xlfn.STDEV.P(tblY10[[4C02 - Bonding
Raw Score]])),9),_Stanine,2),5),"")</f>
        <v>3</v>
      </c>
    </row>
    <row r="91">
      <c r="A91" s="65" t="inlineStr">
        <is>
          <t>X901819101349</t>
        </is>
      </c>
      <c r="B91" s="65" t="inlineStr">
        <is>
          <t>Johnson</t>
        </is>
      </c>
      <c r="C91" s="65" t="inlineStr">
        <is>
          <t>Alfie</t>
        </is>
      </c>
      <c r="D91" s="66" t="inlineStr">
        <is>
          <t>M</t>
        </is>
      </c>
      <c r="E91" s="66" t="n"/>
      <c r="F91" s="66" t="inlineStr">
        <is>
          <t>Y</t>
        </is>
      </c>
      <c r="G91" s="34" t="n">
        <v>97.2</v>
      </c>
      <c r="H91" s="34" t="n">
        <v>96</v>
      </c>
      <c r="I91" s="67">
        <f>IF(ISNUMBER(tblY10[[#This Row],[Avg KS2]]),IFERROR(VLOOKUP(ROUND(STANDARDIZE(tblY10[[#This Row],[Avg KS2]],AVERAGE(tblY10[[Avg KS2]]),_xlfn.STDEV.P(tblY10[[Avg KS2]])),9),_Stanine,2),5),"")</f>
        <v>3</v>
      </c>
      <c r="J91" s="66" t="inlineStr">
        <is>
          <t>10S/Sc4</t>
        </is>
      </c>
      <c r="K91" s="67">
        <f>IF(tblY10[[#This Row],[Preferred Last name]]="","",COUNTIFS($N$1:$ZZ$1,"*"&amp;CHAR(10)&amp;"Stanine",$N91:$ZZ91,"&gt;=1"))</f>
        <v>5</v>
      </c>
      <c r="L91" s="68">
        <f>IFERROR(AVERAGEIF($N$1:$ZZ$1,"*"&amp;CHAR(10)&amp;"Stanine",$N91:$ZZ91),"")</f>
        <v>2.6</v>
      </c>
      <c r="M91" s="69">
        <f>IF(AND(ISNUMBER(tblY10[[#This Row],[Mean Stanine]]),ISNUMBER(tblY10[[#This Row],[Avg KS2 Band]]),ISNUMBER(SlopeY10)),tblY10[[#This Row],[Mean Stanine]]-(InterceptY10+SlopeY10*tblY10[[#This Row],[Avg KS2 Band]]),"")</f>
        <v>-0.712127575958537</v>
      </c>
      <c r="N91" s="66" t="n">
        <v>11</v>
      </c>
      <c r="O91" s="67">
        <f>IF(ISNUMBER(tblY10[[#This Row],[4B01 - Cell Biology
Raw Score]]),IFERROR(VLOOKUP(ROUND(STANDARDIZE(tblY10[[#This Row],[4B01 - Cell Biology
Raw Score]],AVERAGE(tblY10[[4B01 - Cell Biology
Raw Score]]),_xlfn.STDEV.P(tblY10[[4B01 - Cell Biology
Raw Score]])),9),_Stanine,2),5),"")</f>
        <v>3</v>
      </c>
      <c r="P91" s="66" t="n">
        <v>4</v>
      </c>
      <c r="Q91" s="67">
        <f>IF(ISNUMBER(tblY10[[#This Row],[4C01 - Atomic Structure
Raw Score]]),IFERROR(VLOOKUP(ROUND(STANDARDIZE(tblY10[[#This Row],[4C01 - Atomic Structure
Raw Score]],AVERAGE(tblY10[[4C01 - Atomic Structure
Raw Score]]),_xlfn.STDEV.P(tblY10[[4C01 - Atomic Structure
Raw Score]])),9),_Stanine,2),5),"")</f>
        <v>2</v>
      </c>
      <c r="R91" s="66" t="n">
        <v>6</v>
      </c>
      <c r="S91" s="67">
        <f>IF(ISNUMBER(tblY10[[#This Row],[4P01 - Energy
Raw Score]]),IFERROR(VLOOKUP(ROUND(STANDARDIZE(tblY10[[#This Row],[4P01 - Energy
Raw Score]],AVERAGE(tblY10[[4P01 - Energy
Raw Score]]),_xlfn.STDEV.P(tblY10[[4P01 - Energy
Raw Score]])),9),_Stanine,2),5),"")</f>
        <v>3</v>
      </c>
      <c r="T91" s="66" t="n">
        <v>12</v>
      </c>
      <c r="U91" s="67">
        <f>IF(ISNUMBER(tblY10[[#This Row],[4B02 - Organisation
Raw Score]]),IFERROR(VLOOKUP(ROUND(STANDARDIZE(tblY10[[#This Row],[4B02 - Organisation
Raw Score]],AVERAGE(tblY10[[4B02 - Organisation
Raw Score]]),_xlfn.STDEV.P(tblY10[[4B02 - Organisation
Raw Score]])),9),_Stanine,2),5),"")</f>
        <v>3</v>
      </c>
      <c r="V91" s="66" t="n">
        <v>6</v>
      </c>
      <c r="W91" s="67">
        <f>IF(ISNUMBER(tblY10[[#This Row],[4C02 - Bonding
Raw Score]]),IFERROR(VLOOKUP(ROUND(STANDARDIZE(tblY10[[#This Row],[4C02 - Bonding
Raw Score]],AVERAGE(tblY10[[4C02 - Bonding
Raw Score]]),_xlfn.STDEV.P(tblY10[[4C02 - Bonding
Raw Score]])),9),_Stanine,2),5),"")</f>
        <v>2</v>
      </c>
    </row>
    <row r="92">
      <c r="A92" s="65" t="inlineStr">
        <is>
          <t>X903567058651</t>
        </is>
      </c>
      <c r="B92" s="65" t="inlineStr">
        <is>
          <t>Kelly</t>
        </is>
      </c>
      <c r="C92" s="65" t="inlineStr">
        <is>
          <t>Amelia</t>
        </is>
      </c>
      <c r="D92" s="66" t="inlineStr">
        <is>
          <t>M</t>
        </is>
      </c>
      <c r="E92" s="66" t="n"/>
      <c r="F92" s="66" t="inlineStr">
        <is>
          <t>N</t>
        </is>
      </c>
      <c r="G92" s="34" t="n">
        <v>100</v>
      </c>
      <c r="H92" s="34" t="inlineStr">
        <is>
          <t>No Data</t>
        </is>
      </c>
      <c r="I92" s="67" t="str">
        <f>IF(ISNUMBER(tblY10[[#This Row],[Avg KS2]]),IFERROR(VLOOKUP(ROUND(STANDARDIZE(tblY10[[#This Row],[Avg KS2]],AVERAGE(tblY10[[Avg KS2]]),_xlfn.STDEV.P(tblY10[[Avg KS2]])),9),_Stanine,2),5),"")</f>
        <v/>
      </c>
      <c r="J92" s="66" t="inlineStr">
        <is>
          <t>10S/Sc4</t>
        </is>
      </c>
      <c r="K92" s="67">
        <f>IF(tblY10[[#This Row],[Preferred Last name]]="","",COUNTIFS($N$1:$ZZ$1,"*"&amp;CHAR(10)&amp;"Stanine",$N92:$ZZ92,"&gt;=1"))</f>
        <v>4</v>
      </c>
      <c r="L92" s="68">
        <f>IFERROR(AVERAGEIF($N$1:$ZZ$1,"*"&amp;CHAR(10)&amp;"Stanine",$N92:$ZZ92),"")</f>
        <v>3.5</v>
      </c>
      <c r="M92" s="69" t="str">
        <f>IF(AND(ISNUMBER(tblY10[[#This Row],[Mean Stanine]]),ISNUMBER(tblY10[[#This Row],[Avg KS2 Band]]),ISNUMBER(SlopeY10)),tblY10[[#This Row],[Mean Stanine]]-(InterceptY10+SlopeY10*tblY10[[#This Row],[Avg KS2 Band]]),"")</f>
        <v/>
      </c>
      <c r="N92" s="66" t="n">
        <v>11</v>
      </c>
      <c r="O92" s="67">
        <f>IF(ISNUMBER(tblY10[[#This Row],[4B01 - Cell Biology
Raw Score]]),IFERROR(VLOOKUP(ROUND(STANDARDIZE(tblY10[[#This Row],[4B01 - Cell Biology
Raw Score]],AVERAGE(tblY10[[4B01 - Cell Biology
Raw Score]]),_xlfn.STDEV.P(tblY10[[4B01 - Cell Biology
Raw Score]])),9),_Stanine,2),5),"")</f>
        <v>3</v>
      </c>
      <c r="P92" s="66" t="inlineStr">
        <is>
          <t>A</t>
        </is>
      </c>
      <c r="Q92" s="67" t="str">
        <f>IF(ISNUMBER(tblY10[[#This Row],[4C01 - Atomic Structure
Raw Score]]),IFERROR(VLOOKUP(ROUND(STANDARDIZE(tblY10[[#This Row],[4C01 - Atomic Structure
Raw Score]],AVERAGE(tblY10[[4C01 - Atomic Structure
Raw Score]]),_xlfn.STDEV.P(tblY10[[4C01 - Atomic Structure
Raw Score]])),9),_Stanine,2),5),"")</f>
        <v/>
      </c>
      <c r="R92" s="66" t="n">
        <v>9</v>
      </c>
      <c r="S92" s="67">
        <f>IF(ISNUMBER(tblY10[[#This Row],[4P01 - Energy
Raw Score]]),IFERROR(VLOOKUP(ROUND(STANDARDIZE(tblY10[[#This Row],[4P01 - Energy
Raw Score]],AVERAGE(tblY10[[4P01 - Energy
Raw Score]]),_xlfn.STDEV.P(tblY10[[4P01 - Energy
Raw Score]])),9),_Stanine,2),5),"")</f>
        <v>3</v>
      </c>
      <c r="T92" s="66" t="n">
        <v>20</v>
      </c>
      <c r="U92" s="67">
        <f>IF(ISNUMBER(tblY10[[#This Row],[4B02 - Organisation
Raw Score]]),IFERROR(VLOOKUP(ROUND(STANDARDIZE(tblY10[[#This Row],[4B02 - Organisation
Raw Score]],AVERAGE(tblY10[[4B02 - Organisation
Raw Score]]),_xlfn.STDEV.P(tblY10[[4B02 - Organisation
Raw Score]])),9),_Stanine,2),5),"")</f>
        <v>4</v>
      </c>
      <c r="V92" s="66" t="n">
        <v>19</v>
      </c>
      <c r="W92" s="67">
        <f>IF(ISNUMBER(tblY10[[#This Row],[4C02 - Bonding
Raw Score]]),IFERROR(VLOOKUP(ROUND(STANDARDIZE(tblY10[[#This Row],[4C02 - Bonding
Raw Score]],AVERAGE(tblY10[[4C02 - Bonding
Raw Score]]),_xlfn.STDEV.P(tblY10[[4C02 - Bonding
Raw Score]])),9),_Stanine,2),5),"")</f>
        <v>4</v>
      </c>
    </row>
    <row r="93">
      <c r="A93" s="65" t="inlineStr">
        <is>
          <t>X904502786131</t>
        </is>
      </c>
      <c r="B93" s="65" t="inlineStr">
        <is>
          <t>Lloyd</t>
        </is>
      </c>
      <c r="C93" s="65" t="inlineStr">
        <is>
          <t>Zara</t>
        </is>
      </c>
      <c r="D93" s="66" t="inlineStr">
        <is>
          <t>M</t>
        </is>
      </c>
      <c r="E93" s="66" t="inlineStr">
        <is>
          <t>K</t>
        </is>
      </c>
      <c r="F93" s="66" t="inlineStr">
        <is>
          <t>Y</t>
        </is>
      </c>
      <c r="G93" s="34" t="n">
        <v>99.8</v>
      </c>
      <c r="H93" s="34" t="n">
        <v>99.5</v>
      </c>
      <c r="I93" s="67">
        <f>IF(ISNUMBER(tblY10[[#This Row],[Avg KS2]]),IFERROR(VLOOKUP(ROUND(STANDARDIZE(tblY10[[#This Row],[Avg KS2]],AVERAGE(tblY10[[Avg KS2]]),_xlfn.STDEV.P(tblY10[[Avg KS2]])),9),_Stanine,2),5),"")</f>
        <v>4</v>
      </c>
      <c r="J93" s="66" t="inlineStr">
        <is>
          <t>10S/Sc4</t>
        </is>
      </c>
      <c r="K93" s="67">
        <f>IF(tblY10[[#This Row],[Preferred Last name]]="","",COUNTIFS($N$1:$ZZ$1,"*"&amp;CHAR(10)&amp;"Stanine",$N93:$ZZ93,"&gt;=1"))</f>
        <v>5</v>
      </c>
      <c r="L93" s="68">
        <f>IFERROR(AVERAGEIF($N$1:$ZZ$1,"*"&amp;CHAR(10)&amp;"Stanine",$N93:$ZZ93),"")</f>
        <v>1.8</v>
      </c>
      <c r="M93" s="69">
        <f>IF(AND(ISNUMBER(tblY10[[#This Row],[Mean Stanine]]),ISNUMBER(tblY10[[#This Row],[Avg KS2 Band]]),ISNUMBER(SlopeY10)),tblY10[[#This Row],[Mean Stanine]]-(InterceptY10+SlopeY10*tblY10[[#This Row],[Avg KS2 Band]]),"")</f>
        <v>-2.3261298602412</v>
      </c>
      <c r="N93" s="66" t="n">
        <v>6</v>
      </c>
      <c r="O93" s="67">
        <f>IF(ISNUMBER(tblY10[[#This Row],[4B01 - Cell Biology
Raw Score]]),IFERROR(VLOOKUP(ROUND(STANDARDIZE(tblY10[[#This Row],[4B01 - Cell Biology
Raw Score]],AVERAGE(tblY10[[4B01 - Cell Biology
Raw Score]]),_xlfn.STDEV.P(tblY10[[4B01 - Cell Biology
Raw Score]])),9),_Stanine,2),5),"")</f>
        <v>2</v>
      </c>
      <c r="P93" s="66" t="n">
        <v>6</v>
      </c>
      <c r="Q93" s="67">
        <f>IF(ISNUMBER(tblY10[[#This Row],[4C01 - Atomic Structure
Raw Score]]),IFERROR(VLOOKUP(ROUND(STANDARDIZE(tblY10[[#This Row],[4C01 - Atomic Structure
Raw Score]],AVERAGE(tblY10[[4C01 - Atomic Structure
Raw Score]]),_xlfn.STDEV.P(tblY10[[4C01 - Atomic Structure
Raw Score]])),9),_Stanine,2),5),"")</f>
        <v>2</v>
      </c>
      <c r="R93" s="66" t="n">
        <v>3</v>
      </c>
      <c r="S93" s="67">
        <f>IF(ISNUMBER(tblY10[[#This Row],[4P01 - Energy
Raw Score]]),IFERROR(VLOOKUP(ROUND(STANDARDIZE(tblY10[[#This Row],[4P01 - Energy
Raw Score]],AVERAGE(tblY10[[4P01 - Energy
Raw Score]]),_xlfn.STDEV.P(tblY10[[4P01 - Energy
Raw Score]])),9),_Stanine,2),5),"")</f>
        <v>2</v>
      </c>
      <c r="T93" s="66" t="n">
        <v>6</v>
      </c>
      <c r="U93" s="67">
        <f>IF(ISNUMBER(tblY10[[#This Row],[4B02 - Organisation
Raw Score]]),IFERROR(VLOOKUP(ROUND(STANDARDIZE(tblY10[[#This Row],[4B02 - Organisation
Raw Score]],AVERAGE(tblY10[[4B02 - Organisation
Raw Score]]),_xlfn.STDEV.P(tblY10[[4B02 - Organisation
Raw Score]])),9),_Stanine,2),5),"")</f>
        <v>1</v>
      </c>
      <c r="V93" s="66" t="n">
        <v>8</v>
      </c>
      <c r="W93" s="67">
        <f>IF(ISNUMBER(tblY10[[#This Row],[4C02 - Bonding
Raw Score]]),IFERROR(VLOOKUP(ROUND(STANDARDIZE(tblY10[[#This Row],[4C02 - Bonding
Raw Score]],AVERAGE(tblY10[[4C02 - Bonding
Raw Score]]),_xlfn.STDEV.P(tblY10[[4C02 - Bonding
Raw Score]])),9),_Stanine,2),5),"")</f>
        <v>2</v>
      </c>
    </row>
    <row r="94">
      <c r="A94" s="65" t="inlineStr">
        <is>
          <t>X905181306993</t>
        </is>
      </c>
      <c r="B94" s="65" t="inlineStr">
        <is>
          <t>Mistry</t>
        </is>
      </c>
      <c r="C94" s="65" t="inlineStr">
        <is>
          <t>Rosie</t>
        </is>
      </c>
      <c r="D94" s="66" t="inlineStr">
        <is>
          <t>M</t>
        </is>
      </c>
      <c r="E94" s="66" t="inlineStr">
        <is>
          <t>N</t>
        </is>
      </c>
      <c r="F94" s="66" t="inlineStr">
        <is>
          <t>Y</t>
        </is>
      </c>
      <c r="G94" s="34" t="n">
        <v>93.8</v>
      </c>
      <c r="H94" s="34" t="n">
        <v>97</v>
      </c>
      <c r="I94" s="67">
        <f>IF(ISNUMBER(tblY10[[#This Row],[Avg KS2]]),IFERROR(VLOOKUP(ROUND(STANDARDIZE(tblY10[[#This Row],[Avg KS2]],AVERAGE(tblY10[[Avg KS2]]),_xlfn.STDEV.P(tblY10[[Avg KS2]])),9),_Stanine,2),5),"")</f>
        <v>3</v>
      </c>
      <c r="J94" s="66" t="inlineStr">
        <is>
          <t>10S/Sc4</t>
        </is>
      </c>
      <c r="K94" s="67">
        <f>IF(tblY10[[#This Row],[Preferred Last name]]="","",COUNTIFS($N$1:$ZZ$1,"*"&amp;CHAR(10)&amp;"Stanine",$N94:$ZZ94,"&gt;=1"))</f>
        <v>4</v>
      </c>
      <c r="L94" s="68">
        <f>IFERROR(AVERAGEIF($N$1:$ZZ$1,"*"&amp;CHAR(10)&amp;"Stanine",$N94:$ZZ94),"")</f>
        <v>2.5</v>
      </c>
      <c r="M94" s="69">
        <f>IF(AND(ISNUMBER(tblY10[[#This Row],[Mean Stanine]]),ISNUMBER(tblY10[[#This Row],[Avg KS2 Band]]),ISNUMBER(SlopeY10)),tblY10[[#This Row],[Mean Stanine]]-(InterceptY10+SlopeY10*tblY10[[#This Row],[Avg KS2 Band]]),"")</f>
        <v>-0.812127575958537</v>
      </c>
      <c r="N94" s="66" t="n">
        <v>8</v>
      </c>
      <c r="O94" s="67">
        <f>IF(ISNUMBER(tblY10[[#This Row],[4B01 - Cell Biology
Raw Score]]),IFERROR(VLOOKUP(ROUND(STANDARDIZE(tblY10[[#This Row],[4B01 - Cell Biology
Raw Score]],AVERAGE(tblY10[[4B01 - Cell Biology
Raw Score]]),_xlfn.STDEV.P(tblY10[[4B01 - Cell Biology
Raw Score]])),9),_Stanine,2),5),"")</f>
        <v>2</v>
      </c>
      <c r="P94" s="66" t="n">
        <v>9</v>
      </c>
      <c r="Q94" s="67">
        <f>IF(ISNUMBER(tblY10[[#This Row],[4C01 - Atomic Structure
Raw Score]]),IFERROR(VLOOKUP(ROUND(STANDARDIZE(tblY10[[#This Row],[4C01 - Atomic Structure
Raw Score]],AVERAGE(tblY10[[4C01 - Atomic Structure
Raw Score]]),_xlfn.STDEV.P(tblY10[[4C01 - Atomic Structure
Raw Score]])),9),_Stanine,2),5),"")</f>
        <v>3</v>
      </c>
      <c r="R94" s="66" t="n">
        <v>6</v>
      </c>
      <c r="S94" s="67">
        <f>IF(ISNUMBER(tblY10[[#This Row],[4P01 - Energy
Raw Score]]),IFERROR(VLOOKUP(ROUND(STANDARDIZE(tblY10[[#This Row],[4P01 - Energy
Raw Score]],AVERAGE(tblY10[[4P01 - Energy
Raw Score]]),_xlfn.STDEV.P(tblY10[[4P01 - Energy
Raw Score]])),9),_Stanine,2),5),"")</f>
        <v>3</v>
      </c>
      <c r="T94" s="66" t="inlineStr">
        <is>
          <t>A</t>
        </is>
      </c>
      <c r="U94" s="67" t="str">
        <f>IF(ISNUMBER(tblY10[[#This Row],[4B02 - Organisation
Raw Score]]),IFERROR(VLOOKUP(ROUND(STANDARDIZE(tblY10[[#This Row],[4B02 - Organisation
Raw Score]],AVERAGE(tblY10[[4B02 - Organisation
Raw Score]]),_xlfn.STDEV.P(tblY10[[4B02 - Organisation
Raw Score]])),9),_Stanine,2),5),"")</f>
        <v/>
      </c>
      <c r="V94" s="66" t="n">
        <v>9</v>
      </c>
      <c r="W94" s="67">
        <f>IF(ISNUMBER(tblY10[[#This Row],[4C02 - Bonding
Raw Score]]),IFERROR(VLOOKUP(ROUND(STANDARDIZE(tblY10[[#This Row],[4C02 - Bonding
Raw Score]],AVERAGE(tblY10[[4C02 - Bonding
Raw Score]]),_xlfn.STDEV.P(tblY10[[4C02 - Bonding
Raw Score]])),9),_Stanine,2),5),"")</f>
        <v>2</v>
      </c>
    </row>
    <row r="95">
      <c r="A95" s="65" t="inlineStr">
        <is>
          <t>X902875334340</t>
        </is>
      </c>
      <c r="B95" s="65" t="inlineStr">
        <is>
          <t>Morgan</t>
        </is>
      </c>
      <c r="C95" s="65" t="inlineStr">
        <is>
          <t>Theo</t>
        </is>
      </c>
      <c r="D95" s="66" t="inlineStr">
        <is>
          <t>F</t>
        </is>
      </c>
      <c r="E95" s="66" t="inlineStr">
        <is>
          <t>N</t>
        </is>
      </c>
      <c r="F95" s="66" t="inlineStr">
        <is>
          <t>N</t>
        </is>
      </c>
      <c r="G95" s="34" t="n">
        <v>91.7</v>
      </c>
      <c r="H95" s="34" t="n">
        <v>113</v>
      </c>
      <c r="I95" s="67">
        <f>IF(ISNUMBER(tblY10[[#This Row],[Avg KS2]]),IFERROR(VLOOKUP(ROUND(STANDARDIZE(tblY10[[#This Row],[Avg KS2]],AVERAGE(tblY10[[Avg KS2]]),_xlfn.STDEV.P(tblY10[[Avg KS2]])),9),_Stanine,2),5),"")</f>
        <v>8</v>
      </c>
      <c r="J95" s="66" t="inlineStr">
        <is>
          <t>10S/Sc4</t>
        </is>
      </c>
      <c r="K95" s="67">
        <f>IF(tblY10[[#This Row],[Preferred Last name]]="","",COUNTIFS($N$1:$ZZ$1,"*"&amp;CHAR(10)&amp;"Stanine",$N95:$ZZ95,"&gt;=1"))</f>
        <v>5</v>
      </c>
      <c r="L95" s="68">
        <f>IFERROR(AVERAGEIF($N$1:$ZZ$1,"*"&amp;CHAR(10)&amp;"Stanine",$N95:$ZZ95),"")</f>
        <v>6.6</v>
      </c>
      <c r="M95" s="69">
        <f>IF(AND(ISNUMBER(tblY10[[#This Row],[Mean Stanine]]),ISNUMBER(tblY10[[#This Row],[Avg KS2 Band]]),ISNUMBER(SlopeY10)),tblY10[[#This Row],[Mean Stanine]]-(InterceptY10+SlopeY10*tblY10[[#This Row],[Avg KS2 Band]]),"")</f>
        <v>-0.782138997371849</v>
      </c>
      <c r="N95" s="66" t="n">
        <v>23</v>
      </c>
      <c r="O95" s="67">
        <f>IF(ISNUMBER(tblY10[[#This Row],[4B01 - Cell Biology
Raw Score]]),IFERROR(VLOOKUP(ROUND(STANDARDIZE(tblY10[[#This Row],[4B01 - Cell Biology
Raw Score]],AVERAGE(tblY10[[4B01 - Cell Biology
Raw Score]]),_xlfn.STDEV.P(tblY10[[4B01 - Cell Biology
Raw Score]])),9),_Stanine,2),5),"")</f>
        <v>6</v>
      </c>
      <c r="P95" s="66" t="n">
        <v>26</v>
      </c>
      <c r="Q95" s="67">
        <f>IF(ISNUMBER(tblY10[[#This Row],[4C01 - Atomic Structure
Raw Score]]),IFERROR(VLOOKUP(ROUND(STANDARDIZE(tblY10[[#This Row],[4C01 - Atomic Structure
Raw Score]],AVERAGE(tblY10[[4C01 - Atomic Structure
Raw Score]]),_xlfn.STDEV.P(tblY10[[4C01 - Atomic Structure
Raw Score]])),9),_Stanine,2),5),"")</f>
        <v>7</v>
      </c>
      <c r="R95" s="66" t="n">
        <v>26</v>
      </c>
      <c r="S95" s="67">
        <f>IF(ISNUMBER(tblY10[[#This Row],[4P01 - Energy
Raw Score]]),IFERROR(VLOOKUP(ROUND(STANDARDIZE(tblY10[[#This Row],[4P01 - Energy
Raw Score]],AVERAGE(tblY10[[4P01 - Energy
Raw Score]]),_xlfn.STDEV.P(tblY10[[4P01 - Energy
Raw Score]])),9),_Stanine,2),5),"")</f>
        <v>8</v>
      </c>
      <c r="T95" s="66" t="n">
        <v>32</v>
      </c>
      <c r="U95" s="67">
        <f>IF(ISNUMBER(tblY10[[#This Row],[4B02 - Organisation
Raw Score]]),IFERROR(VLOOKUP(ROUND(STANDARDIZE(tblY10[[#This Row],[4B02 - Organisation
Raw Score]],AVERAGE(tblY10[[4B02 - Organisation
Raw Score]]),_xlfn.STDEV.P(tblY10[[4B02 - Organisation
Raw Score]])),9),_Stanine,2),5),"")</f>
        <v>7</v>
      </c>
      <c r="V95" s="66" t="n">
        <v>23</v>
      </c>
      <c r="W95" s="67">
        <f>IF(ISNUMBER(tblY10[[#This Row],[4C02 - Bonding
Raw Score]]),IFERROR(VLOOKUP(ROUND(STANDARDIZE(tblY10[[#This Row],[4C02 - Bonding
Raw Score]],AVERAGE(tblY10[[4C02 - Bonding
Raw Score]]),_xlfn.STDEV.P(tblY10[[4C02 - Bonding
Raw Score]])),9),_Stanine,2),5),"")</f>
        <v>5</v>
      </c>
    </row>
    <row r="96">
      <c r="A96" s="65" t="inlineStr">
        <is>
          <t>X902645138960</t>
        </is>
      </c>
      <c r="B96" s="65" t="inlineStr">
        <is>
          <t>Nowak</t>
        </is>
      </c>
      <c r="C96" s="65" t="inlineStr">
        <is>
          <t>Freya</t>
        </is>
      </c>
      <c r="D96" s="66" t="inlineStr">
        <is>
          <t>M</t>
        </is>
      </c>
      <c r="E96" s="66" t="n"/>
      <c r="F96" s="66" t="inlineStr">
        <is>
          <t>N</t>
        </is>
      </c>
      <c r="G96" s="34" t="n">
        <v>89.59999999999999</v>
      </c>
      <c r="H96" s="34" t="n">
        <v>95</v>
      </c>
      <c r="I96" s="67">
        <f>IF(ISNUMBER(tblY10[[#This Row],[Avg KS2]]),IFERROR(VLOOKUP(ROUND(STANDARDIZE(tblY10[[#This Row],[Avg KS2]],AVERAGE(tblY10[[Avg KS2]]),_xlfn.STDEV.P(tblY10[[Avg KS2]])),9),_Stanine,2),5),"")</f>
        <v>2</v>
      </c>
      <c r="J96" s="66" t="inlineStr">
        <is>
          <t>10S/Sc4</t>
        </is>
      </c>
      <c r="K96" s="67">
        <f>IF(tblY10[[#This Row],[Preferred Last name]]="","",COUNTIFS($N$1:$ZZ$1,"*"&amp;CHAR(10)&amp;"Stanine",$N96:$ZZ96,"&gt;=1"))</f>
        <v>4</v>
      </c>
      <c r="L96" s="68">
        <f>IFERROR(AVERAGEIF($N$1:$ZZ$1,"*"&amp;CHAR(10)&amp;"Stanine",$N96:$ZZ96),"")</f>
        <v>3.25</v>
      </c>
      <c r="M96" s="69">
        <f>IF(AND(ISNUMBER(tblY10[[#This Row],[Mean Stanine]]),ISNUMBER(tblY10[[#This Row],[Avg KS2 Band]]),ISNUMBER(SlopeY10)),tblY10[[#This Row],[Mean Stanine]]-(InterceptY10+SlopeY10*tblY10[[#This Row],[Avg KS2 Band]]),"")</f>
        <v>0.751874708324126</v>
      </c>
      <c r="N96" s="66" t="n">
        <v>11</v>
      </c>
      <c r="O96" s="67">
        <f>IF(ISNUMBER(tblY10[[#This Row],[4B01 - Cell Biology
Raw Score]]),IFERROR(VLOOKUP(ROUND(STANDARDIZE(tblY10[[#This Row],[4B01 - Cell Biology
Raw Score]],AVERAGE(tblY10[[4B01 - Cell Biology
Raw Score]]),_xlfn.STDEV.P(tblY10[[4B01 - Cell Biology
Raw Score]])),9),_Stanine,2),5),"")</f>
        <v>3</v>
      </c>
      <c r="P96" s="66" t="n">
        <v>9</v>
      </c>
      <c r="Q96" s="67">
        <f>IF(ISNUMBER(tblY10[[#This Row],[4C01 - Atomic Structure
Raw Score]]),IFERROR(VLOOKUP(ROUND(STANDARDIZE(tblY10[[#This Row],[4C01 - Atomic Structure
Raw Score]],AVERAGE(tblY10[[4C01 - Atomic Structure
Raw Score]]),_xlfn.STDEV.P(tblY10[[4C01 - Atomic Structure
Raw Score]])),9),_Stanine,2),5),"")</f>
        <v>3</v>
      </c>
      <c r="R96" s="66" t="n">
        <v>13</v>
      </c>
      <c r="S96" s="67">
        <f>IF(ISNUMBER(tblY10[[#This Row],[4P01 - Energy
Raw Score]]),IFERROR(VLOOKUP(ROUND(STANDARDIZE(tblY10[[#This Row],[4P01 - Energy
Raw Score]],AVERAGE(tblY10[[4P01 - Energy
Raw Score]]),_xlfn.STDEV.P(tblY10[[4P01 - Energy
Raw Score]])),9),_Stanine,2),5),"")</f>
        <v>4</v>
      </c>
      <c r="T96" s="66" t="n">
        <v>13</v>
      </c>
      <c r="U96" s="67">
        <f>IF(ISNUMBER(tblY10[[#This Row],[4B02 - Organisation
Raw Score]]),IFERROR(VLOOKUP(ROUND(STANDARDIZE(tblY10[[#This Row],[4B02 - Organisation
Raw Score]],AVERAGE(tblY10[[4B02 - Organisation
Raw Score]]),_xlfn.STDEV.P(tblY10[[4B02 - Organisation
Raw Score]])),9),_Stanine,2),5),"")</f>
        <v>3</v>
      </c>
      <c r="V96" s="66" t="inlineStr">
        <is>
          <t>A</t>
        </is>
      </c>
      <c r="W96" s="67" t="str">
        <f>IF(ISNUMBER(tblY10[[#This Row],[4C02 - Bonding
Raw Score]]),IFERROR(VLOOKUP(ROUND(STANDARDIZE(tblY10[[#This Row],[4C02 - Bonding
Raw Score]],AVERAGE(tblY10[[4C02 - Bonding
Raw Score]]),_xlfn.STDEV.P(tblY10[[4C02 - Bonding
Raw Score]])),9),_Stanine,2),5),"")</f>
        <v/>
      </c>
    </row>
    <row r="97">
      <c r="A97" s="65" t="inlineStr">
        <is>
          <t>X903629302171</t>
        </is>
      </c>
      <c r="B97" s="65" t="inlineStr">
        <is>
          <t>Nowak</t>
        </is>
      </c>
      <c r="C97" s="65" t="inlineStr">
        <is>
          <t>Lily</t>
        </is>
      </c>
      <c r="D97" s="66" t="inlineStr">
        <is>
          <t>F</t>
        </is>
      </c>
      <c r="E97" s="66" t="inlineStr">
        <is>
          <t>K</t>
        </is>
      </c>
      <c r="F97" s="66" t="inlineStr">
        <is>
          <t>N</t>
        </is>
      </c>
      <c r="G97" s="34" t="n">
        <v>95.7</v>
      </c>
      <c r="H97" s="34" t="n">
        <v>93.5</v>
      </c>
      <c r="I97" s="67">
        <f>IF(ISNUMBER(tblY10[[#This Row],[Avg KS2]]),IFERROR(VLOOKUP(ROUND(STANDARDIZE(tblY10[[#This Row],[Avg KS2]],AVERAGE(tblY10[[Avg KS2]]),_xlfn.STDEV.P(tblY10[[Avg KS2]])),9),_Stanine,2),5),"")</f>
        <v>2</v>
      </c>
      <c r="J97" s="66" t="inlineStr">
        <is>
          <t>10S/Sc4</t>
        </is>
      </c>
      <c r="K97" s="67">
        <f>IF(tblY10[[#This Row],[Preferred Last name]]="","",COUNTIFS($N$1:$ZZ$1,"*"&amp;CHAR(10)&amp;"Stanine",$N97:$ZZ97,"&gt;=1"))</f>
        <v>5</v>
      </c>
      <c r="L97" s="68">
        <f>IFERROR(AVERAGEIF($N$1:$ZZ$1,"*"&amp;CHAR(10)&amp;"Stanine",$N97:$ZZ97),"")</f>
        <v>2.6</v>
      </c>
      <c r="M97" s="69">
        <f>IF(AND(ISNUMBER(tblY10[[#This Row],[Mean Stanine]]),ISNUMBER(tblY10[[#This Row],[Avg KS2 Band]]),ISNUMBER(SlopeY10)),tblY10[[#This Row],[Mean Stanine]]-(InterceptY10+SlopeY10*tblY10[[#This Row],[Avg KS2 Band]]),"")</f>
        <v>0.101874708324126</v>
      </c>
      <c r="N97" s="66" t="n">
        <v>6</v>
      </c>
      <c r="O97" s="67">
        <f>IF(ISNUMBER(tblY10[[#This Row],[4B01 - Cell Biology
Raw Score]]),IFERROR(VLOOKUP(ROUND(STANDARDIZE(tblY10[[#This Row],[4B01 - Cell Biology
Raw Score]],AVERAGE(tblY10[[4B01 - Cell Biology
Raw Score]]),_xlfn.STDEV.P(tblY10[[4B01 - Cell Biology
Raw Score]])),9),_Stanine,2),5),"")</f>
        <v>2</v>
      </c>
      <c r="P97" s="66" t="n">
        <v>11</v>
      </c>
      <c r="Q97" s="67">
        <f>IF(ISNUMBER(tblY10[[#This Row],[4C01 - Atomic Structure
Raw Score]]),IFERROR(VLOOKUP(ROUND(STANDARDIZE(tblY10[[#This Row],[4C01 - Atomic Structure
Raw Score]],AVERAGE(tblY10[[4C01 - Atomic Structure
Raw Score]]),_xlfn.STDEV.P(tblY10[[4C01 - Atomic Structure
Raw Score]])),9),_Stanine,2),5),"")</f>
        <v>3</v>
      </c>
      <c r="R97" s="66" t="n">
        <v>9</v>
      </c>
      <c r="S97" s="67">
        <f>IF(ISNUMBER(tblY10[[#This Row],[4P01 - Energy
Raw Score]]),IFERROR(VLOOKUP(ROUND(STANDARDIZE(tblY10[[#This Row],[4P01 - Energy
Raw Score]],AVERAGE(tblY10[[4P01 - Energy
Raw Score]]),_xlfn.STDEV.P(tblY10[[4P01 - Energy
Raw Score]])),9),_Stanine,2),5),"")</f>
        <v>3</v>
      </c>
      <c r="T97" s="66" t="n">
        <v>10</v>
      </c>
      <c r="U97" s="67">
        <f>IF(ISNUMBER(tblY10[[#This Row],[4B02 - Organisation
Raw Score]]),IFERROR(VLOOKUP(ROUND(STANDARDIZE(tblY10[[#This Row],[4B02 - Organisation
Raw Score]],AVERAGE(tblY10[[4B02 - Organisation
Raw Score]]),_xlfn.STDEV.P(tblY10[[4B02 - Organisation
Raw Score]])),9),_Stanine,2),5),"")</f>
        <v>2</v>
      </c>
      <c r="V97" s="66" t="n">
        <v>11</v>
      </c>
      <c r="W97" s="67">
        <f>IF(ISNUMBER(tblY10[[#This Row],[4C02 - Bonding
Raw Score]]),IFERROR(VLOOKUP(ROUND(STANDARDIZE(tblY10[[#This Row],[4C02 - Bonding
Raw Score]],AVERAGE(tblY10[[4C02 - Bonding
Raw Score]]),_xlfn.STDEV.P(tblY10[[4C02 - Bonding
Raw Score]])),9),_Stanine,2),5),"")</f>
        <v>3</v>
      </c>
    </row>
    <row r="98">
      <c r="A98" s="65" t="inlineStr">
        <is>
          <t>X906863890453</t>
        </is>
      </c>
      <c r="B98" s="65" t="inlineStr">
        <is>
          <t>Taylor</t>
        </is>
      </c>
      <c r="C98" s="65" t="inlineStr">
        <is>
          <t>Zofia</t>
        </is>
      </c>
      <c r="D98" s="66" t="inlineStr">
        <is>
          <t>F</t>
        </is>
      </c>
      <c r="E98" s="66" t="n"/>
      <c r="F98" s="66" t="inlineStr">
        <is>
          <t>N</t>
        </is>
      </c>
      <c r="G98" s="34" t="n">
        <v>95.40000000000001</v>
      </c>
      <c r="H98" s="34" t="n">
        <v>97.5</v>
      </c>
      <c r="I98" s="67">
        <f>IF(ISNUMBER(tblY10[[#This Row],[Avg KS2]]),IFERROR(VLOOKUP(ROUND(STANDARDIZE(tblY10[[#This Row],[Avg KS2]],AVERAGE(tblY10[[Avg KS2]]),_xlfn.STDEV.P(tblY10[[Avg KS2]])),9),_Stanine,2),5),"")</f>
        <v>3</v>
      </c>
      <c r="J98" s="66" t="inlineStr">
        <is>
          <t>10S/Sc4</t>
        </is>
      </c>
      <c r="K98" s="67">
        <f>IF(tblY10[[#This Row],[Preferred Last name]]="","",COUNTIFS($N$1:$ZZ$1,"*"&amp;CHAR(10)&amp;"Stanine",$N98:$ZZ98,"&gt;=1"))</f>
        <v>5</v>
      </c>
      <c r="L98" s="68">
        <f>IFERROR(AVERAGEIF($N$1:$ZZ$1,"*"&amp;CHAR(10)&amp;"Stanine",$N98:$ZZ98),"")</f>
        <v>2.8</v>
      </c>
      <c r="M98" s="69">
        <f>IF(AND(ISNUMBER(tblY10[[#This Row],[Mean Stanine]]),ISNUMBER(tblY10[[#This Row],[Avg KS2 Band]]),ISNUMBER(SlopeY10)),tblY10[[#This Row],[Mean Stanine]]-(InterceptY10+SlopeY10*tblY10[[#This Row],[Avg KS2 Band]]),"")</f>
        <v>-0.512127575958537</v>
      </c>
      <c r="N98" s="66" t="n">
        <v>9</v>
      </c>
      <c r="O98" s="67">
        <f>IF(ISNUMBER(tblY10[[#This Row],[4B01 - Cell Biology
Raw Score]]),IFERROR(VLOOKUP(ROUND(STANDARDIZE(tblY10[[#This Row],[4B01 - Cell Biology
Raw Score]],AVERAGE(tblY10[[4B01 - Cell Biology
Raw Score]]),_xlfn.STDEV.P(tblY10[[4B01 - Cell Biology
Raw Score]])),9),_Stanine,2),5),"")</f>
        <v>3</v>
      </c>
      <c r="P98" s="66" t="n">
        <v>7</v>
      </c>
      <c r="Q98" s="67">
        <f>IF(ISNUMBER(tblY10[[#This Row],[4C01 - Atomic Structure
Raw Score]]),IFERROR(VLOOKUP(ROUND(STANDARDIZE(tblY10[[#This Row],[4C01 - Atomic Structure
Raw Score]],AVERAGE(tblY10[[4C01 - Atomic Structure
Raw Score]]),_xlfn.STDEV.P(tblY10[[4C01 - Atomic Structure
Raw Score]])),9),_Stanine,2),5),"")</f>
        <v>2</v>
      </c>
      <c r="R98" s="66" t="n">
        <v>8</v>
      </c>
      <c r="S98" s="67">
        <f>IF(ISNUMBER(tblY10[[#This Row],[4P01 - Energy
Raw Score]]),IFERROR(VLOOKUP(ROUND(STANDARDIZE(tblY10[[#This Row],[4P01 - Energy
Raw Score]],AVERAGE(tblY10[[4P01 - Energy
Raw Score]]),_xlfn.STDEV.P(tblY10[[4P01 - Energy
Raw Score]])),9),_Stanine,2),5),"")</f>
        <v>3</v>
      </c>
      <c r="T98" s="66" t="n">
        <v>15</v>
      </c>
      <c r="U98" s="67">
        <f>IF(ISNUMBER(tblY10[[#This Row],[4B02 - Organisation
Raw Score]]),IFERROR(VLOOKUP(ROUND(STANDARDIZE(tblY10[[#This Row],[4B02 - Organisation
Raw Score]],AVERAGE(tblY10[[4B02 - Organisation
Raw Score]]),_xlfn.STDEV.P(tblY10[[4B02 - Organisation
Raw Score]])),9),_Stanine,2),5),"")</f>
        <v>3</v>
      </c>
      <c r="V98" s="66" t="n">
        <v>14</v>
      </c>
      <c r="W98" s="67">
        <f>IF(ISNUMBER(tblY10[[#This Row],[4C02 - Bonding
Raw Score]]),IFERROR(VLOOKUP(ROUND(STANDARDIZE(tblY10[[#This Row],[4C02 - Bonding
Raw Score]],AVERAGE(tblY10[[4C02 - Bonding
Raw Score]]),_xlfn.STDEV.P(tblY10[[4C02 - Bonding
Raw Score]])),9),_Stanine,2),5),"")</f>
        <v>3</v>
      </c>
    </row>
    <row r="99">
      <c r="A99" s="65" t="inlineStr">
        <is>
          <t>X908264127468</t>
        </is>
      </c>
      <c r="B99" s="65" t="inlineStr">
        <is>
          <t>Thompson</t>
        </is>
      </c>
      <c r="C99" s="65" t="inlineStr">
        <is>
          <t>Megan</t>
        </is>
      </c>
      <c r="D99" s="66" t="inlineStr">
        <is>
          <t>F</t>
        </is>
      </c>
      <c r="E99" s="66" t="inlineStr">
        <is>
          <t>K</t>
        </is>
      </c>
      <c r="F99" s="66" t="inlineStr">
        <is>
          <t>N</t>
        </is>
      </c>
      <c r="G99" s="34" t="n">
        <v>100</v>
      </c>
      <c r="H99" s="34" t="n">
        <v>98</v>
      </c>
      <c r="I99" s="67">
        <f>IF(ISNUMBER(tblY10[[#This Row],[Avg KS2]]),IFERROR(VLOOKUP(ROUND(STANDARDIZE(tblY10[[#This Row],[Avg KS2]],AVERAGE(tblY10[[Avg KS2]]),_xlfn.STDEV.P(tblY10[[Avg KS2]])),9),_Stanine,2),5),"")</f>
        <v>3</v>
      </c>
      <c r="J99" s="66" t="inlineStr">
        <is>
          <t>10S/Sc4</t>
        </is>
      </c>
      <c r="K99" s="67">
        <f>IF(tblY10[[#This Row],[Preferred Last name]]="","",COUNTIFS($N$1:$ZZ$1,"*"&amp;CHAR(10)&amp;"Stanine",$N99:$ZZ99,"&gt;=1"))</f>
        <v>5</v>
      </c>
      <c r="L99" s="68">
        <f>IFERROR(AVERAGEIF($N$1:$ZZ$1,"*"&amp;CHAR(10)&amp;"Stanine",$N99:$ZZ99),"")</f>
        <v>2.8</v>
      </c>
      <c r="M99" s="69">
        <f>IF(AND(ISNUMBER(tblY10[[#This Row],[Mean Stanine]]),ISNUMBER(tblY10[[#This Row],[Avg KS2 Band]]),ISNUMBER(SlopeY10)),tblY10[[#This Row],[Mean Stanine]]-(InterceptY10+SlopeY10*tblY10[[#This Row],[Avg KS2 Band]]),"")</f>
        <v>-0.512127575958537</v>
      </c>
      <c r="N99" s="66" t="n">
        <v>10</v>
      </c>
      <c r="O99" s="67">
        <f>IF(ISNUMBER(tblY10[[#This Row],[4B01 - Cell Biology
Raw Score]]),IFERROR(VLOOKUP(ROUND(STANDARDIZE(tblY10[[#This Row],[4B01 - Cell Biology
Raw Score]],AVERAGE(tblY10[[4B01 - Cell Biology
Raw Score]]),_xlfn.STDEV.P(tblY10[[4B01 - Cell Biology
Raw Score]])),9),_Stanine,2),5),"")</f>
        <v>3</v>
      </c>
      <c r="P99" s="66" t="n">
        <v>8</v>
      </c>
      <c r="Q99" s="67">
        <f>IF(ISNUMBER(tblY10[[#This Row],[4C01 - Atomic Structure
Raw Score]]),IFERROR(VLOOKUP(ROUND(STANDARDIZE(tblY10[[#This Row],[4C01 - Atomic Structure
Raw Score]],AVERAGE(tblY10[[4C01 - Atomic Structure
Raw Score]]),_xlfn.STDEV.P(tblY10[[4C01 - Atomic Structure
Raw Score]])),9),_Stanine,2),5),"")</f>
        <v>3</v>
      </c>
      <c r="R99" s="66" t="n">
        <v>7</v>
      </c>
      <c r="S99" s="67">
        <f>IF(ISNUMBER(tblY10[[#This Row],[4P01 - Energy
Raw Score]]),IFERROR(VLOOKUP(ROUND(STANDARDIZE(tblY10[[#This Row],[4P01 - Energy
Raw Score]],AVERAGE(tblY10[[4P01 - Energy
Raw Score]]),_xlfn.STDEV.P(tblY10[[4P01 - Energy
Raw Score]])),9),_Stanine,2),5),"")</f>
        <v>3</v>
      </c>
      <c r="T99" s="66" t="n">
        <v>13</v>
      </c>
      <c r="U99" s="67">
        <f>IF(ISNUMBER(tblY10[[#This Row],[4B02 - Organisation
Raw Score]]),IFERROR(VLOOKUP(ROUND(STANDARDIZE(tblY10[[#This Row],[4B02 - Organisation
Raw Score]],AVERAGE(tblY10[[4B02 - Organisation
Raw Score]]),_xlfn.STDEV.P(tblY10[[4B02 - Organisation
Raw Score]])),9),_Stanine,2),5),"")</f>
        <v>3</v>
      </c>
      <c r="V99" s="66" t="n">
        <v>10</v>
      </c>
      <c r="W99" s="67">
        <f>IF(ISNUMBER(tblY10[[#This Row],[4C02 - Bonding
Raw Score]]),IFERROR(VLOOKUP(ROUND(STANDARDIZE(tblY10[[#This Row],[4C02 - Bonding
Raw Score]],AVERAGE(tblY10[[4C02 - Bonding
Raw Score]]),_xlfn.STDEV.P(tblY10[[4C02 - Bonding
Raw Score]])),9),_Stanine,2),5),"")</f>
        <v>2</v>
      </c>
    </row>
    <row r="100">
      <c r="A100" s="65" t="inlineStr">
        <is>
          <t>X903831697154</t>
        </is>
      </c>
      <c r="B100" s="65" t="inlineStr">
        <is>
          <t>Turner</t>
        </is>
      </c>
      <c r="C100" s="65" t="inlineStr">
        <is>
          <t>Dylan</t>
        </is>
      </c>
      <c r="D100" s="66" t="inlineStr">
        <is>
          <t>F</t>
        </is>
      </c>
      <c r="E100" s="66" t="n"/>
      <c r="F100" s="66" t="inlineStr">
        <is>
          <t>Y</t>
        </is>
      </c>
      <c r="G100" s="34" t="n">
        <v>88.90000000000001</v>
      </c>
      <c r="H100" s="34" t="n">
        <v>99.5</v>
      </c>
      <c r="I100" s="67">
        <f>IF(ISNUMBER(tblY10[[#This Row],[Avg KS2]]),IFERROR(VLOOKUP(ROUND(STANDARDIZE(tblY10[[#This Row],[Avg KS2]],AVERAGE(tblY10[[Avg KS2]]),_xlfn.STDEV.P(tblY10[[Avg KS2]])),9),_Stanine,2),5),"")</f>
        <v>4</v>
      </c>
      <c r="J100" s="66" t="inlineStr">
        <is>
          <t>10S/Sc4</t>
        </is>
      </c>
      <c r="K100" s="67">
        <f>IF(tblY10[[#This Row],[Preferred Last name]]="","",COUNTIFS($N$1:$ZZ$1,"*"&amp;CHAR(10)&amp;"Stanine",$N100:$ZZ100,"&gt;=1"))</f>
        <v>5</v>
      </c>
      <c r="L100" s="68">
        <f>IFERROR(AVERAGEIF($N$1:$ZZ$1,"*"&amp;CHAR(10)&amp;"Stanine",$N100:$ZZ100),"")</f>
        <v>3.4</v>
      </c>
      <c r="M100" s="69">
        <f>IF(AND(ISNUMBER(tblY10[[#This Row],[Mean Stanine]]),ISNUMBER(tblY10[[#This Row],[Avg KS2 Band]]),ISNUMBER(SlopeY10)),tblY10[[#This Row],[Mean Stanine]]-(InterceptY10+SlopeY10*tblY10[[#This Row],[Avg KS2 Band]]),"")</f>
        <v>-0.726129860241199</v>
      </c>
      <c r="N100" s="66" t="n">
        <v>17</v>
      </c>
      <c r="O100" s="67">
        <f>IF(ISNUMBER(tblY10[[#This Row],[4B01 - Cell Biology
Raw Score]]),IFERROR(VLOOKUP(ROUND(STANDARDIZE(tblY10[[#This Row],[4B01 - Cell Biology
Raw Score]],AVERAGE(tblY10[[4B01 - Cell Biology
Raw Score]]),_xlfn.STDEV.P(tblY10[[4B01 - Cell Biology
Raw Score]])),9),_Stanine,2),5),"")</f>
        <v>4</v>
      </c>
      <c r="P100" s="66" t="n">
        <v>13</v>
      </c>
      <c r="Q100" s="67">
        <f>IF(ISNUMBER(tblY10[[#This Row],[4C01 - Atomic Structure
Raw Score]]),IFERROR(VLOOKUP(ROUND(STANDARDIZE(tblY10[[#This Row],[4C01 - Atomic Structure
Raw Score]],AVERAGE(tblY10[[4C01 - Atomic Structure
Raw Score]]),_xlfn.STDEV.P(tblY10[[4C01 - Atomic Structure
Raw Score]])),9),_Stanine,2),5),"")</f>
        <v>4</v>
      </c>
      <c r="R100" s="66" t="n">
        <v>9</v>
      </c>
      <c r="S100" s="67">
        <f>IF(ISNUMBER(tblY10[[#This Row],[4P01 - Energy
Raw Score]]),IFERROR(VLOOKUP(ROUND(STANDARDIZE(tblY10[[#This Row],[4P01 - Energy
Raw Score]],AVERAGE(tblY10[[4P01 - Energy
Raw Score]]),_xlfn.STDEV.P(tblY10[[4P01 - Energy
Raw Score]])),9),_Stanine,2),5),"")</f>
        <v>3</v>
      </c>
      <c r="T100" s="66" t="n">
        <v>11</v>
      </c>
      <c r="U100" s="67">
        <f>IF(ISNUMBER(tblY10[[#This Row],[4B02 - Organisation
Raw Score]]),IFERROR(VLOOKUP(ROUND(STANDARDIZE(tblY10[[#This Row],[4B02 - Organisation
Raw Score]],AVERAGE(tblY10[[4B02 - Organisation
Raw Score]]),_xlfn.STDEV.P(tblY10[[4B02 - Organisation
Raw Score]])),9),_Stanine,2),5),"")</f>
        <v>2</v>
      </c>
      <c r="V100" s="66" t="n">
        <v>19</v>
      </c>
      <c r="W100" s="67">
        <f>IF(ISNUMBER(tblY10[[#This Row],[4C02 - Bonding
Raw Score]]),IFERROR(VLOOKUP(ROUND(STANDARDIZE(tblY10[[#This Row],[4C02 - Bonding
Raw Score]],AVERAGE(tblY10[[4C02 - Bonding
Raw Score]]),_xlfn.STDEV.P(tblY10[[4C02 - Bonding
Raw Score]])),9),_Stanine,2),5),"")</f>
        <v>4</v>
      </c>
    </row>
    <row r="101">
      <c r="A101" s="65" t="inlineStr">
        <is>
          <t>X903904071412</t>
        </is>
      </c>
      <c r="B101" s="65" t="inlineStr">
        <is>
          <t>Ward</t>
        </is>
      </c>
      <c r="C101" s="65" t="inlineStr">
        <is>
          <t>Rhys</t>
        </is>
      </c>
      <c r="D101" s="66" t="inlineStr">
        <is>
          <t>F</t>
        </is>
      </c>
      <c r="E101" s="66" t="inlineStr">
        <is>
          <t>N</t>
        </is>
      </c>
      <c r="F101" s="66" t="inlineStr">
        <is>
          <t>Y</t>
        </is>
      </c>
      <c r="G101" s="34" t="n">
        <v>87.40000000000001</v>
      </c>
      <c r="H101" s="34" t="n">
        <v>90</v>
      </c>
      <c r="I101" s="67">
        <f>IF(ISNUMBER(tblY10[[#This Row],[Avg KS2]]),IFERROR(VLOOKUP(ROUND(STANDARDIZE(tblY10[[#This Row],[Avg KS2]],AVERAGE(tblY10[[Avg KS2]]),_xlfn.STDEV.P(tblY10[[Avg KS2]])),9),_Stanine,2),5),"")</f>
        <v>1</v>
      </c>
      <c r="J101" s="66" t="inlineStr">
        <is>
          <t>10S/Sc4</t>
        </is>
      </c>
      <c r="K101" s="67">
        <f>IF(tblY10[[#This Row],[Preferred Last name]]="","",COUNTIFS($N$1:$ZZ$1,"*"&amp;CHAR(10)&amp;"Stanine",$N101:$ZZ101,"&gt;=1"))</f>
        <v>5</v>
      </c>
      <c r="L101" s="68">
        <f>IFERROR(AVERAGEIF($N$1:$ZZ$1,"*"&amp;CHAR(10)&amp;"Stanine",$N101:$ZZ101),"")</f>
        <v>3</v>
      </c>
      <c r="M101" s="69">
        <f>IF(AND(ISNUMBER(tblY10[[#This Row],[Mean Stanine]]),ISNUMBER(tblY10[[#This Row],[Avg KS2 Band]]),ISNUMBER(SlopeY10)),tblY10[[#This Row],[Mean Stanine]]-(InterceptY10+SlopeY10*tblY10[[#This Row],[Avg KS2 Band]]),"")</f>
        <v>1.31587699260679</v>
      </c>
      <c r="N101" s="66" t="n">
        <v>14</v>
      </c>
      <c r="O101" s="67">
        <f>IF(ISNUMBER(tblY10[[#This Row],[4B01 - Cell Biology
Raw Score]]),IFERROR(VLOOKUP(ROUND(STANDARDIZE(tblY10[[#This Row],[4B01 - Cell Biology
Raw Score]],AVERAGE(tblY10[[4B01 - Cell Biology
Raw Score]]),_xlfn.STDEV.P(tblY10[[4B01 - Cell Biology
Raw Score]])),9),_Stanine,2),5),"")</f>
        <v>4</v>
      </c>
      <c r="P101" s="66" t="n">
        <v>10</v>
      </c>
      <c r="Q101" s="67">
        <f>IF(ISNUMBER(tblY10[[#This Row],[4C01 - Atomic Structure
Raw Score]]),IFERROR(VLOOKUP(ROUND(STANDARDIZE(tblY10[[#This Row],[4C01 - Atomic Structure
Raw Score]],AVERAGE(tblY10[[4C01 - Atomic Structure
Raw Score]]),_xlfn.STDEV.P(tblY10[[4C01 - Atomic Structure
Raw Score]])),9),_Stanine,2),5),"")</f>
        <v>3</v>
      </c>
      <c r="R101" s="66" t="n">
        <v>8</v>
      </c>
      <c r="S101" s="67">
        <f>IF(ISNUMBER(tblY10[[#This Row],[4P01 - Energy
Raw Score]]),IFERROR(VLOOKUP(ROUND(STANDARDIZE(tblY10[[#This Row],[4P01 - Energy
Raw Score]],AVERAGE(tblY10[[4P01 - Energy
Raw Score]]),_xlfn.STDEV.P(tblY10[[4P01 - Energy
Raw Score]])),9),_Stanine,2),5),"")</f>
        <v>3</v>
      </c>
      <c r="T101" s="66" t="n">
        <v>16</v>
      </c>
      <c r="U101" s="67">
        <f>IF(ISNUMBER(tblY10[[#This Row],[4B02 - Organisation
Raw Score]]),IFERROR(VLOOKUP(ROUND(STANDARDIZE(tblY10[[#This Row],[4B02 - Organisation
Raw Score]],AVERAGE(tblY10[[4B02 - Organisation
Raw Score]]),_xlfn.STDEV.P(tblY10[[4B02 - Organisation
Raw Score]])),9),_Stanine,2),5),"")</f>
        <v>3</v>
      </c>
      <c r="V101" s="66" t="n">
        <v>10</v>
      </c>
      <c r="W101" s="67">
        <f>IF(ISNUMBER(tblY10[[#This Row],[4C02 - Bonding
Raw Score]]),IFERROR(VLOOKUP(ROUND(STANDARDIZE(tblY10[[#This Row],[4C02 - Bonding
Raw Score]],AVERAGE(tblY10[[4C02 - Bonding
Raw Score]]),_xlfn.STDEV.P(tblY10[[4C02 - Bonding
Raw Score]])),9),_Stanine,2),5),"")</f>
        <v>2</v>
      </c>
    </row>
    <row r="102">
      <c r="A102" s="65" t="inlineStr">
        <is>
          <t>X908701321556</t>
        </is>
      </c>
      <c r="B102" s="65" t="inlineStr">
        <is>
          <t>Williams</t>
        </is>
      </c>
      <c r="C102" s="65" t="inlineStr">
        <is>
          <t>Ava</t>
        </is>
      </c>
      <c r="D102" s="66" t="inlineStr">
        <is>
          <t>F</t>
        </is>
      </c>
      <c r="E102" s="66" t="n"/>
      <c r="F102" s="66" t="inlineStr">
        <is>
          <t>N</t>
        </is>
      </c>
      <c r="G102" s="34" t="n">
        <v>95.09999999999999</v>
      </c>
      <c r="H102" s="34" t="n">
        <v>107.5</v>
      </c>
      <c r="I102" s="67">
        <f>IF(ISNUMBER(tblY10[[#This Row],[Avg KS2]]),IFERROR(VLOOKUP(ROUND(STANDARDIZE(tblY10[[#This Row],[Avg KS2]],AVERAGE(tblY10[[Avg KS2]]),_xlfn.STDEV.P(tblY10[[Avg KS2]])),9),_Stanine,2),5),"")</f>
        <v>6</v>
      </c>
      <c r="J102" s="66" t="inlineStr">
        <is>
          <t>10S/Sc4</t>
        </is>
      </c>
      <c r="K102" s="67">
        <f>IF(tblY10[[#This Row],[Preferred Last name]]="","",COUNTIFS($N$1:$ZZ$1,"*"&amp;CHAR(10)&amp;"Stanine",$N102:$ZZ102,"&gt;=1"))</f>
        <v>5</v>
      </c>
      <c r="L102" s="68">
        <f>IFERROR(AVERAGEIF($N$1:$ZZ$1,"*"&amp;CHAR(10)&amp;"Stanine",$N102:$ZZ102),"")</f>
        <v>3.8</v>
      </c>
      <c r="M102" s="69">
        <f>IF(AND(ISNUMBER(tblY10[[#This Row],[Mean Stanine]]),ISNUMBER(tblY10[[#This Row],[Avg KS2 Band]]),ISNUMBER(SlopeY10)),tblY10[[#This Row],[Mean Stanine]]-(InterceptY10+SlopeY10*tblY10[[#This Row],[Avg KS2 Band]]),"")</f>
        <v>-1.95413442880652</v>
      </c>
      <c r="N102" s="66" t="n">
        <v>20</v>
      </c>
      <c r="O102" s="67">
        <f>IF(ISNUMBER(tblY10[[#This Row],[4B01 - Cell Biology
Raw Score]]),IFERROR(VLOOKUP(ROUND(STANDARDIZE(tblY10[[#This Row],[4B01 - Cell Biology
Raw Score]],AVERAGE(tblY10[[4B01 - Cell Biology
Raw Score]]),_xlfn.STDEV.P(tblY10[[4B01 - Cell Biology
Raw Score]])),9),_Stanine,2),5),"")</f>
        <v>5</v>
      </c>
      <c r="P102" s="66" t="n">
        <v>15</v>
      </c>
      <c r="Q102" s="67">
        <f>IF(ISNUMBER(tblY10[[#This Row],[4C01 - Atomic Structure
Raw Score]]),IFERROR(VLOOKUP(ROUND(STANDARDIZE(tblY10[[#This Row],[4C01 - Atomic Structure
Raw Score]],AVERAGE(tblY10[[4C01 - Atomic Structure
Raw Score]]),_xlfn.STDEV.P(tblY10[[4C01 - Atomic Structure
Raw Score]])),9),_Stanine,2),5),"")</f>
        <v>4</v>
      </c>
      <c r="R102" s="66" t="n">
        <v>11</v>
      </c>
      <c r="S102" s="67">
        <f>IF(ISNUMBER(tblY10[[#This Row],[4P01 - Energy
Raw Score]]),IFERROR(VLOOKUP(ROUND(STANDARDIZE(tblY10[[#This Row],[4P01 - Energy
Raw Score]],AVERAGE(tblY10[[4P01 - Energy
Raw Score]]),_xlfn.STDEV.P(tblY10[[4P01 - Energy
Raw Score]])),9),_Stanine,2),5),"")</f>
        <v>4</v>
      </c>
      <c r="T102" s="66" t="n">
        <v>16</v>
      </c>
      <c r="U102" s="67">
        <f>IF(ISNUMBER(tblY10[[#This Row],[4B02 - Organisation
Raw Score]]),IFERROR(VLOOKUP(ROUND(STANDARDIZE(tblY10[[#This Row],[4B02 - Organisation
Raw Score]],AVERAGE(tblY10[[4B02 - Organisation
Raw Score]]),_xlfn.STDEV.P(tblY10[[4B02 - Organisation
Raw Score]])),9),_Stanine,2),5),"")</f>
        <v>3</v>
      </c>
      <c r="V102" s="66" t="n">
        <v>14</v>
      </c>
      <c r="W102" s="67">
        <f>IF(ISNUMBER(tblY10[[#This Row],[4C02 - Bonding
Raw Score]]),IFERROR(VLOOKUP(ROUND(STANDARDIZE(tblY10[[#This Row],[4C02 - Bonding
Raw Score]],AVERAGE(tblY10[[4C02 - Bonding
Raw Score]]),_xlfn.STDEV.P(tblY10[[4C02 - Bonding
Raw Score]])),9),_Stanine,2),5),"")</f>
        <v>3</v>
      </c>
    </row>
    <row r="103">
      <c r="A103" s="65" t="inlineStr">
        <is>
          <t>X904042141684</t>
        </is>
      </c>
      <c r="B103" s="65" t="inlineStr">
        <is>
          <t>Wood</t>
        </is>
      </c>
      <c r="C103" s="65" t="inlineStr">
        <is>
          <t>Amara</t>
        </is>
      </c>
      <c r="D103" s="66" t="inlineStr">
        <is>
          <t>M</t>
        </is>
      </c>
      <c r="E103" s="66" t="inlineStr">
        <is>
          <t>K</t>
        </is>
      </c>
      <c r="F103" s="66" t="inlineStr">
        <is>
          <t>N</t>
        </is>
      </c>
      <c r="G103" s="34" t="n">
        <v>100</v>
      </c>
      <c r="H103" s="34" t="n">
        <v>110.5</v>
      </c>
      <c r="I103" s="67">
        <f>IF(ISNUMBER(tblY10[[#This Row],[Avg KS2]]),IFERROR(VLOOKUP(ROUND(STANDARDIZE(tblY10[[#This Row],[Avg KS2]],AVERAGE(tblY10[[Avg KS2]]),_xlfn.STDEV.P(tblY10[[Avg KS2]])),9),_Stanine,2),5),"")</f>
        <v>7</v>
      </c>
      <c r="J103" s="66" t="inlineStr">
        <is>
          <t>10S/Sc4</t>
        </is>
      </c>
      <c r="K103" s="67">
        <f>IF(tblY10[[#This Row],[Preferred Last name]]="","",COUNTIFS($N$1:$ZZ$1,"*"&amp;CHAR(10)&amp;"Stanine",$N103:$ZZ103,"&gt;=1"))</f>
        <v>5</v>
      </c>
      <c r="L103" s="68">
        <f>IFERROR(AVERAGEIF($N$1:$ZZ$1,"*"&amp;CHAR(10)&amp;"Stanine",$N103:$ZZ103),"")</f>
        <v>6</v>
      </c>
      <c r="M103" s="69">
        <f>IF(AND(ISNUMBER(tblY10[[#This Row],[Mean Stanine]]),ISNUMBER(tblY10[[#This Row],[Avg KS2 Band]]),ISNUMBER(SlopeY10)),tblY10[[#This Row],[Mean Stanine]]-(InterceptY10+SlopeY10*tblY10[[#This Row],[Avg KS2 Band]]),"")</f>
        <v>-0.568136713089186</v>
      </c>
      <c r="N103" s="66" t="n">
        <v>29</v>
      </c>
      <c r="O103" s="67">
        <f>IF(ISNUMBER(tblY10[[#This Row],[4B01 - Cell Biology
Raw Score]]),IFERROR(VLOOKUP(ROUND(STANDARDIZE(tblY10[[#This Row],[4B01 - Cell Biology
Raw Score]],AVERAGE(tblY10[[4B01 - Cell Biology
Raw Score]]),_xlfn.STDEV.P(tblY10[[4B01 - Cell Biology
Raw Score]])),9),_Stanine,2),5),"")</f>
        <v>7</v>
      </c>
      <c r="P103" s="66" t="n">
        <v>27</v>
      </c>
      <c r="Q103" s="67">
        <f>IF(ISNUMBER(tblY10[[#This Row],[4C01 - Atomic Structure
Raw Score]]),IFERROR(VLOOKUP(ROUND(STANDARDIZE(tblY10[[#This Row],[4C01 - Atomic Structure
Raw Score]],AVERAGE(tblY10[[4C01 - Atomic Structure
Raw Score]]),_xlfn.STDEV.P(tblY10[[4C01 - Atomic Structure
Raw Score]])),9),_Stanine,2),5),"")</f>
        <v>7</v>
      </c>
      <c r="R103" s="66" t="n">
        <v>17</v>
      </c>
      <c r="S103" s="67">
        <f>IF(ISNUMBER(tblY10[[#This Row],[4P01 - Energy
Raw Score]]),IFERROR(VLOOKUP(ROUND(STANDARDIZE(tblY10[[#This Row],[4P01 - Energy
Raw Score]],AVERAGE(tblY10[[4P01 - Energy
Raw Score]]),_xlfn.STDEV.P(tblY10[[4P01 - Energy
Raw Score]])),9),_Stanine,2),5),"")</f>
        <v>5</v>
      </c>
      <c r="T103" s="66" t="n">
        <v>25</v>
      </c>
      <c r="U103" s="67">
        <f>IF(ISNUMBER(tblY10[[#This Row],[4B02 - Organisation
Raw Score]]),IFERROR(VLOOKUP(ROUND(STANDARDIZE(tblY10[[#This Row],[4B02 - Organisation
Raw Score]],AVERAGE(tblY10[[4B02 - Organisation
Raw Score]]),_xlfn.STDEV.P(tblY10[[4B02 - Organisation
Raw Score]])),9),_Stanine,2),5),"")</f>
        <v>6</v>
      </c>
      <c r="V103" s="66" t="n">
        <v>22</v>
      </c>
      <c r="W103" s="67">
        <f>IF(ISNUMBER(tblY10[[#This Row],[4C02 - Bonding
Raw Score]]),IFERROR(VLOOKUP(ROUND(STANDARDIZE(tblY10[[#This Row],[4C02 - Bonding
Raw Score]],AVERAGE(tblY10[[4C02 - Bonding
Raw Score]]),_xlfn.STDEV.P(tblY10[[4C02 - Bonding
Raw Score]])),9),_Stanine,2),5),"")</f>
        <v>5</v>
      </c>
    </row>
    <row r="104">
      <c r="A104" s="65" t="inlineStr">
        <is>
          <t>X901315963884</t>
        </is>
      </c>
      <c r="B104" s="65" t="inlineStr">
        <is>
          <t>Hussain</t>
        </is>
      </c>
      <c r="C104" s="65" t="inlineStr">
        <is>
          <t>Hollie</t>
        </is>
      </c>
      <c r="D104" s="66" t="inlineStr">
        <is>
          <t>F</t>
        </is>
      </c>
      <c r="E104" s="66" t="inlineStr">
        <is>
          <t>N</t>
        </is>
      </c>
      <c r="F104" s="66" t="inlineStr">
        <is>
          <t>Y</t>
        </is>
      </c>
      <c r="G104" s="34" t="n">
        <v>100</v>
      </c>
      <c r="H104" s="34" t="n">
        <v>98.5</v>
      </c>
      <c r="I104" s="67">
        <f>IF(ISNUMBER(tblY10[[#This Row],[Avg KS2]]),IFERROR(VLOOKUP(ROUND(STANDARDIZE(tblY10[[#This Row],[Avg KS2]],AVERAGE(tblY10[[Avg KS2]]),_xlfn.STDEV.P(tblY10[[Avg KS2]])),9),_Stanine,2),5),"")</f>
        <v>4</v>
      </c>
      <c r="J104" s="66" t="inlineStr">
        <is>
          <t>10S/Sc5</t>
        </is>
      </c>
      <c r="K104" s="67">
        <f>IF(tblY10[[#This Row],[Preferred Last name]]="","",COUNTIFS($N$1:$ZZ$1,"*"&amp;CHAR(10)&amp;"Stanine",$N104:$ZZ104,"&gt;=1"))</f>
        <v>4</v>
      </c>
      <c r="L104" s="68">
        <f>IFERROR(AVERAGEIF($N$1:$ZZ$1,"*"&amp;CHAR(10)&amp;"Stanine",$N104:$ZZ104),"")</f>
        <v>2</v>
      </c>
      <c r="M104" s="69">
        <f>IF(AND(ISNUMBER(tblY10[[#This Row],[Mean Stanine]]),ISNUMBER(tblY10[[#This Row],[Avg KS2 Band]]),ISNUMBER(SlopeY10)),tblY10[[#This Row],[Mean Stanine]]-(InterceptY10+SlopeY10*tblY10[[#This Row],[Avg KS2 Band]]),"")</f>
        <v>-2.1261298602412</v>
      </c>
      <c r="N104" s="66" t="n">
        <v>5</v>
      </c>
      <c r="O104" s="67">
        <f>IF(ISNUMBER(tblY10[[#This Row],[4B01 - Cell Biology
Raw Score]]),IFERROR(VLOOKUP(ROUND(STANDARDIZE(tblY10[[#This Row],[4B01 - Cell Biology
Raw Score]],AVERAGE(tblY10[[4B01 - Cell Biology
Raw Score]]),_xlfn.STDEV.P(tblY10[[4B01 - Cell Biology
Raw Score]])),9),_Stanine,2),5),"")</f>
        <v>2</v>
      </c>
      <c r="P104" s="66" t="n">
        <v>11</v>
      </c>
      <c r="Q104" s="67">
        <f>IF(ISNUMBER(tblY10[[#This Row],[4C01 - Atomic Structure
Raw Score]]),IFERROR(VLOOKUP(ROUND(STANDARDIZE(tblY10[[#This Row],[4C01 - Atomic Structure
Raw Score]],AVERAGE(tblY10[[4C01 - Atomic Structure
Raw Score]]),_xlfn.STDEV.P(tblY10[[4C01 - Atomic Structure
Raw Score]])),9),_Stanine,2),5),"")</f>
        <v>3</v>
      </c>
      <c r="R104" s="66" t="n">
        <v>3</v>
      </c>
      <c r="S104" s="67">
        <f>IF(ISNUMBER(tblY10[[#This Row],[4P01 - Energy
Raw Score]]),IFERROR(VLOOKUP(ROUND(STANDARDIZE(tblY10[[#This Row],[4P01 - Energy
Raw Score]],AVERAGE(tblY10[[4P01 - Energy
Raw Score]]),_xlfn.STDEV.P(tblY10[[4P01 - Energy
Raw Score]])),9),_Stanine,2),5),"")</f>
        <v>2</v>
      </c>
      <c r="T104" s="66" t="n">
        <v>6</v>
      </c>
      <c r="U104" s="67">
        <f>IF(ISNUMBER(tblY10[[#This Row],[4B02 - Organisation
Raw Score]]),IFERROR(VLOOKUP(ROUND(STANDARDIZE(tblY10[[#This Row],[4B02 - Organisation
Raw Score]],AVERAGE(tblY10[[4B02 - Organisation
Raw Score]]),_xlfn.STDEV.P(tblY10[[4B02 - Organisation
Raw Score]])),9),_Stanine,2),5),"")</f>
        <v>1</v>
      </c>
      <c r="V104" s="66" t="n"/>
      <c r="W104" s="67" t="str">
        <f>IF(ISNUMBER(tblY10[[#This Row],[4C02 - Bonding
Raw Score]]),IFERROR(VLOOKUP(ROUND(STANDARDIZE(tblY10[[#This Row],[4C02 - Bonding
Raw Score]],AVERAGE(tblY10[[4C02 - Bonding
Raw Score]]),_xlfn.STDEV.P(tblY10[[4C02 - Bonding
Raw Score]])),9),_Stanine,2),5),"")</f>
        <v/>
      </c>
    </row>
    <row r="105">
      <c r="A105" s="65" t="inlineStr">
        <is>
          <t>X905690678662</t>
        </is>
      </c>
      <c r="B105" s="65" t="inlineStr">
        <is>
          <t>Jones</t>
        </is>
      </c>
      <c r="C105" s="65" t="inlineStr">
        <is>
          <t>Harry</t>
        </is>
      </c>
      <c r="D105" s="66" t="inlineStr">
        <is>
          <t>F</t>
        </is>
      </c>
      <c r="E105" s="66" t="n"/>
      <c r="F105" s="66" t="inlineStr">
        <is>
          <t>Y</t>
        </is>
      </c>
      <c r="G105" s="34" t="n">
        <v>96.8</v>
      </c>
      <c r="H105" s="34" t="n">
        <v>100</v>
      </c>
      <c r="I105" s="67">
        <f>IF(ISNUMBER(tblY10[[#This Row],[Avg KS2]]),IFERROR(VLOOKUP(ROUND(STANDARDIZE(tblY10[[#This Row],[Avg KS2]],AVERAGE(tblY10[[Avg KS2]]),_xlfn.STDEV.P(tblY10[[Avg KS2]])),9),_Stanine,2),5),"")</f>
        <v>4</v>
      </c>
      <c r="J105" s="66" t="inlineStr">
        <is>
          <t>10S/Sc5</t>
        </is>
      </c>
      <c r="K105" s="67">
        <f>IF(tblY10[[#This Row],[Preferred Last name]]="","",COUNTIFS($N$1:$ZZ$1,"*"&amp;CHAR(10)&amp;"Stanine",$N105:$ZZ105,"&gt;=1"))</f>
        <v>4</v>
      </c>
      <c r="L105" s="68">
        <f>IFERROR(AVERAGEIF($N$1:$ZZ$1,"*"&amp;CHAR(10)&amp;"Stanine",$N105:$ZZ105),"")</f>
        <v>4</v>
      </c>
      <c r="M105" s="69">
        <f>IF(AND(ISNUMBER(tblY10[[#This Row],[Mean Stanine]]),ISNUMBER(tblY10[[#This Row],[Avg KS2 Band]]),ISNUMBER(SlopeY10)),tblY10[[#This Row],[Mean Stanine]]-(InterceptY10+SlopeY10*tblY10[[#This Row],[Avg KS2 Band]]),"")</f>
        <v>-0.126129860241199</v>
      </c>
      <c r="N105" s="66" t="n">
        <v>13</v>
      </c>
      <c r="O105" s="67">
        <f>IF(ISNUMBER(tblY10[[#This Row],[4B01 - Cell Biology
Raw Score]]),IFERROR(VLOOKUP(ROUND(STANDARDIZE(tblY10[[#This Row],[4B01 - Cell Biology
Raw Score]],AVERAGE(tblY10[[4B01 - Cell Biology
Raw Score]]),_xlfn.STDEV.P(tblY10[[4B01 - Cell Biology
Raw Score]])),9),_Stanine,2),5),"")</f>
        <v>4</v>
      </c>
      <c r="P105" s="66" t="n">
        <v>16</v>
      </c>
      <c r="Q105" s="67">
        <f>IF(ISNUMBER(tblY10[[#This Row],[4C01 - Atomic Structure
Raw Score]]),IFERROR(VLOOKUP(ROUND(STANDARDIZE(tblY10[[#This Row],[4C01 - Atomic Structure
Raw Score]],AVERAGE(tblY10[[4C01 - Atomic Structure
Raw Score]]),_xlfn.STDEV.P(tblY10[[4C01 - Atomic Structure
Raw Score]])),9),_Stanine,2),5),"")</f>
        <v>5</v>
      </c>
      <c r="R105" s="66" t="n">
        <v>12</v>
      </c>
      <c r="S105" s="67">
        <f>IF(ISNUMBER(tblY10[[#This Row],[4P01 - Energy
Raw Score]]),IFERROR(VLOOKUP(ROUND(STANDARDIZE(tblY10[[#This Row],[4P01 - Energy
Raw Score]],AVERAGE(tblY10[[4P01 - Energy
Raw Score]]),_xlfn.STDEV.P(tblY10[[4P01 - Energy
Raw Score]])),9),_Stanine,2),5),"")</f>
        <v>4</v>
      </c>
      <c r="T105" s="66" t="n">
        <v>15</v>
      </c>
      <c r="U105" s="67">
        <f>IF(ISNUMBER(tblY10[[#This Row],[4B02 - Organisation
Raw Score]]),IFERROR(VLOOKUP(ROUND(STANDARDIZE(tblY10[[#This Row],[4B02 - Organisation
Raw Score]],AVERAGE(tblY10[[4B02 - Organisation
Raw Score]]),_xlfn.STDEV.P(tblY10[[4B02 - Organisation
Raw Score]])),9),_Stanine,2),5),"")</f>
        <v>3</v>
      </c>
      <c r="V105" s="66" t="n"/>
      <c r="W105" s="67" t="str">
        <f>IF(ISNUMBER(tblY10[[#This Row],[4C02 - Bonding
Raw Score]]),IFERROR(VLOOKUP(ROUND(STANDARDIZE(tblY10[[#This Row],[4C02 - Bonding
Raw Score]],AVERAGE(tblY10[[4C02 - Bonding
Raw Score]]),_xlfn.STDEV.P(tblY10[[4C02 - Bonding
Raw Score]])),9),_Stanine,2),5),"")</f>
        <v/>
      </c>
    </row>
    <row r="106">
      <c r="A106" s="65" t="inlineStr">
        <is>
          <t>X900408205664</t>
        </is>
      </c>
      <c r="B106" s="65" t="inlineStr">
        <is>
          <t>Khan</t>
        </is>
      </c>
      <c r="C106" s="65" t="inlineStr">
        <is>
          <t>Reuben</t>
        </is>
      </c>
      <c r="D106" s="66" t="inlineStr">
        <is>
          <t>F</t>
        </is>
      </c>
      <c r="E106" s="66" t="n"/>
      <c r="F106" s="66" t="inlineStr">
        <is>
          <t>N</t>
        </is>
      </c>
      <c r="G106" s="34" t="n">
        <v>86.40000000000001</v>
      </c>
      <c r="H106" s="34" t="n">
        <v>95.5</v>
      </c>
      <c r="I106" s="67">
        <f>IF(ISNUMBER(tblY10[[#This Row],[Avg KS2]]),IFERROR(VLOOKUP(ROUND(STANDARDIZE(tblY10[[#This Row],[Avg KS2]],AVERAGE(tblY10[[Avg KS2]]),_xlfn.STDEV.P(tblY10[[Avg KS2]])),9),_Stanine,2),5),"")</f>
        <v>3</v>
      </c>
      <c r="J106" s="66" t="inlineStr">
        <is>
          <t>10S/Sc5</t>
        </is>
      </c>
      <c r="K106" s="67">
        <f>IF(tblY10[[#This Row],[Preferred Last name]]="","",COUNTIFS($N$1:$ZZ$1,"*"&amp;CHAR(10)&amp;"Stanine",$N106:$ZZ106,"&gt;=1"))</f>
        <v>4</v>
      </c>
      <c r="L106" s="68">
        <f>IFERROR(AVERAGEIF($N$1:$ZZ$1,"*"&amp;CHAR(10)&amp;"Stanine",$N106:$ZZ106),"")</f>
        <v>2.5</v>
      </c>
      <c r="M106" s="69">
        <f>IF(AND(ISNUMBER(tblY10[[#This Row],[Mean Stanine]]),ISNUMBER(tblY10[[#This Row],[Avg KS2 Band]]),ISNUMBER(SlopeY10)),tblY10[[#This Row],[Mean Stanine]]-(InterceptY10+SlopeY10*tblY10[[#This Row],[Avg KS2 Band]]),"")</f>
        <v>-0.812127575958537</v>
      </c>
      <c r="N106" s="66" t="n">
        <v>8</v>
      </c>
      <c r="O106" s="67">
        <f>IF(ISNUMBER(tblY10[[#This Row],[4B01 - Cell Biology
Raw Score]]),IFERROR(VLOOKUP(ROUND(STANDARDIZE(tblY10[[#This Row],[4B01 - Cell Biology
Raw Score]],AVERAGE(tblY10[[4B01 - Cell Biology
Raw Score]]),_xlfn.STDEV.P(tblY10[[4B01 - Cell Biology
Raw Score]])),9),_Stanine,2),5),"")</f>
        <v>2</v>
      </c>
      <c r="P106" s="66" t="n">
        <v>5</v>
      </c>
      <c r="Q106" s="67">
        <f>IF(ISNUMBER(tblY10[[#This Row],[4C01 - Atomic Structure
Raw Score]]),IFERROR(VLOOKUP(ROUND(STANDARDIZE(tblY10[[#This Row],[4C01 - Atomic Structure
Raw Score]],AVERAGE(tblY10[[4C01 - Atomic Structure
Raw Score]]),_xlfn.STDEV.P(tblY10[[4C01 - Atomic Structure
Raw Score]])),9),_Stanine,2),5),"")</f>
        <v>2</v>
      </c>
      <c r="R106" s="66" t="n">
        <v>6</v>
      </c>
      <c r="S106" s="67">
        <f>IF(ISNUMBER(tblY10[[#This Row],[4P01 - Energy
Raw Score]]),IFERROR(VLOOKUP(ROUND(STANDARDIZE(tblY10[[#This Row],[4P01 - Energy
Raw Score]],AVERAGE(tblY10[[4P01 - Energy
Raw Score]]),_xlfn.STDEV.P(tblY10[[4P01 - Energy
Raw Score]])),9),_Stanine,2),5),"")</f>
        <v>3</v>
      </c>
      <c r="T106" s="66" t="n">
        <v>13</v>
      </c>
      <c r="U106" s="67">
        <f>IF(ISNUMBER(tblY10[[#This Row],[4B02 - Organisation
Raw Score]]),IFERROR(VLOOKUP(ROUND(STANDARDIZE(tblY10[[#This Row],[4B02 - Organisation
Raw Score]],AVERAGE(tblY10[[4B02 - Organisation
Raw Score]]),_xlfn.STDEV.P(tblY10[[4B02 - Organisation
Raw Score]])),9),_Stanine,2),5),"")</f>
        <v>3</v>
      </c>
      <c r="V106" s="66" t="n"/>
      <c r="W106" s="67" t="str">
        <f>IF(ISNUMBER(tblY10[[#This Row],[4C02 - Bonding
Raw Score]]),IFERROR(VLOOKUP(ROUND(STANDARDIZE(tblY10[[#This Row],[4C02 - Bonding
Raw Score]],AVERAGE(tblY10[[4C02 - Bonding
Raw Score]]),_xlfn.STDEV.P(tblY10[[4C02 - Bonding
Raw Score]])),9),_Stanine,2),5),"")</f>
        <v/>
      </c>
    </row>
    <row r="107">
      <c r="A107" s="65" t="inlineStr">
        <is>
          <t>X904458307322</t>
        </is>
      </c>
      <c r="B107" s="65" t="inlineStr">
        <is>
          <t>Nowak</t>
        </is>
      </c>
      <c r="C107" s="65" t="inlineStr">
        <is>
          <t>Keira</t>
        </is>
      </c>
      <c r="D107" s="66" t="inlineStr">
        <is>
          <t>M</t>
        </is>
      </c>
      <c r="E107" s="66" t="n"/>
      <c r="F107" s="66" t="inlineStr">
        <is>
          <t>N</t>
        </is>
      </c>
      <c r="G107" s="34" t="n">
        <v>88.3</v>
      </c>
      <c r="H107" s="34" t="n">
        <v>102</v>
      </c>
      <c r="I107" s="67">
        <f>IF(ISNUMBER(tblY10[[#This Row],[Avg KS2]]),IFERROR(VLOOKUP(ROUND(STANDARDIZE(tblY10[[#This Row],[Avg KS2]],AVERAGE(tblY10[[Avg KS2]]),_xlfn.STDEV.P(tblY10[[Avg KS2]])),9),_Stanine,2),5),"")</f>
        <v>5</v>
      </c>
      <c r="J107" s="66" t="inlineStr">
        <is>
          <t>10S/Sc5</t>
        </is>
      </c>
      <c r="K107" s="67">
        <f>IF(tblY10[[#This Row],[Preferred Last name]]="","",COUNTIFS($N$1:$ZZ$1,"*"&amp;CHAR(10)&amp;"Stanine",$N107:$ZZ107,"&gt;=1"))</f>
        <v>4</v>
      </c>
      <c r="L107" s="68">
        <f>IFERROR(AVERAGEIF($N$1:$ZZ$1,"*"&amp;CHAR(10)&amp;"Stanine",$N107:$ZZ107),"")</f>
        <v>2.5</v>
      </c>
      <c r="M107" s="69">
        <f>IF(AND(ISNUMBER(tblY10[[#This Row],[Mean Stanine]]),ISNUMBER(tblY10[[#This Row],[Avg KS2 Band]]),ISNUMBER(SlopeY10)),tblY10[[#This Row],[Mean Stanine]]-(InterceptY10+SlopeY10*tblY10[[#This Row],[Avg KS2 Band]]),"")</f>
        <v>-2.44013214452386</v>
      </c>
      <c r="N107" s="66" t="n">
        <v>10</v>
      </c>
      <c r="O107" s="67">
        <f>IF(ISNUMBER(tblY10[[#This Row],[4B01 - Cell Biology
Raw Score]]),IFERROR(VLOOKUP(ROUND(STANDARDIZE(tblY10[[#This Row],[4B01 - Cell Biology
Raw Score]],AVERAGE(tblY10[[4B01 - Cell Biology
Raw Score]]),_xlfn.STDEV.P(tblY10[[4B01 - Cell Biology
Raw Score]])),9),_Stanine,2),5),"")</f>
        <v>3</v>
      </c>
      <c r="P107" s="66" t="n">
        <v>7</v>
      </c>
      <c r="Q107" s="67">
        <f>IF(ISNUMBER(tblY10[[#This Row],[4C01 - Atomic Structure
Raw Score]]),IFERROR(VLOOKUP(ROUND(STANDARDIZE(tblY10[[#This Row],[4C01 - Atomic Structure
Raw Score]],AVERAGE(tblY10[[4C01 - Atomic Structure
Raw Score]]),_xlfn.STDEV.P(tblY10[[4C01 - Atomic Structure
Raw Score]])),9),_Stanine,2),5),"")</f>
        <v>2</v>
      </c>
      <c r="R107" s="66" t="n">
        <v>7</v>
      </c>
      <c r="S107" s="67">
        <f>IF(ISNUMBER(tblY10[[#This Row],[4P01 - Energy
Raw Score]]),IFERROR(VLOOKUP(ROUND(STANDARDIZE(tblY10[[#This Row],[4P01 - Energy
Raw Score]],AVERAGE(tblY10[[4P01 - Energy
Raw Score]]),_xlfn.STDEV.P(tblY10[[4P01 - Energy
Raw Score]])),9),_Stanine,2),5),"")</f>
        <v>3</v>
      </c>
      <c r="T107" s="66" t="n">
        <v>11</v>
      </c>
      <c r="U107" s="67">
        <f>IF(ISNUMBER(tblY10[[#This Row],[4B02 - Organisation
Raw Score]]),IFERROR(VLOOKUP(ROUND(STANDARDIZE(tblY10[[#This Row],[4B02 - Organisation
Raw Score]],AVERAGE(tblY10[[4B02 - Organisation
Raw Score]]),_xlfn.STDEV.P(tblY10[[4B02 - Organisation
Raw Score]])),9),_Stanine,2),5),"")</f>
        <v>2</v>
      </c>
      <c r="V107" s="66" t="n"/>
      <c r="W107" s="67" t="str">
        <f>IF(ISNUMBER(tblY10[[#This Row],[4C02 - Bonding
Raw Score]]),IFERROR(VLOOKUP(ROUND(STANDARDIZE(tblY10[[#This Row],[4C02 - Bonding
Raw Score]],AVERAGE(tblY10[[4C02 - Bonding
Raw Score]]),_xlfn.STDEV.P(tblY10[[4C02 - Bonding
Raw Score]])),9),_Stanine,2),5),"")</f>
        <v/>
      </c>
    </row>
    <row r="108">
      <c r="A108" s="65" t="inlineStr">
        <is>
          <t>X907662320779</t>
        </is>
      </c>
      <c r="B108" s="65" t="inlineStr">
        <is>
          <t>Patel</t>
        </is>
      </c>
      <c r="C108" s="65" t="inlineStr">
        <is>
          <t>Jacob</t>
        </is>
      </c>
      <c r="D108" s="66" t="inlineStr">
        <is>
          <t>F</t>
        </is>
      </c>
      <c r="E108" s="66" t="inlineStr">
        <is>
          <t>N</t>
        </is>
      </c>
      <c r="F108" s="66" t="inlineStr">
        <is>
          <t>N</t>
        </is>
      </c>
      <c r="G108" s="34" t="n">
        <v>93.90000000000001</v>
      </c>
      <c r="H108" s="34" t="n">
        <v>100.5</v>
      </c>
      <c r="I108" s="67">
        <f>IF(ISNUMBER(tblY10[[#This Row],[Avg KS2]]),IFERROR(VLOOKUP(ROUND(STANDARDIZE(tblY10[[#This Row],[Avg KS2]],AVERAGE(tblY10[[Avg KS2]]),_xlfn.STDEV.P(tblY10[[Avg KS2]])),9),_Stanine,2),5),"")</f>
        <v>4</v>
      </c>
      <c r="J108" s="66" t="inlineStr">
        <is>
          <t>10S/Sc5</t>
        </is>
      </c>
      <c r="K108" s="67">
        <f>IF(tblY10[[#This Row],[Preferred Last name]]="","",COUNTIFS($N$1:$ZZ$1,"*"&amp;CHAR(10)&amp;"Stanine",$N108:$ZZ108,"&gt;=1"))</f>
        <v>3</v>
      </c>
      <c r="L108" s="68">
        <f>IFERROR(AVERAGEIF($N$1:$ZZ$1,"*"&amp;CHAR(10)&amp;"Stanine",$N108:$ZZ108),"")</f>
        <v>4.33333333333333</v>
      </c>
      <c r="M108" s="69">
        <f>IF(AND(ISNUMBER(tblY10[[#This Row],[Mean Stanine]]),ISNUMBER(tblY10[[#This Row],[Avg KS2 Band]]),ISNUMBER(SlopeY10)),tblY10[[#This Row],[Mean Stanine]]-(InterceptY10+SlopeY10*tblY10[[#This Row],[Avg KS2 Band]]),"")</f>
        <v>0.207203473092134</v>
      </c>
      <c r="N108" s="66" t="n">
        <v>15</v>
      </c>
      <c r="O108" s="67">
        <f>IF(ISNUMBER(tblY10[[#This Row],[4B01 - Cell Biology
Raw Score]]),IFERROR(VLOOKUP(ROUND(STANDARDIZE(tblY10[[#This Row],[4B01 - Cell Biology
Raw Score]],AVERAGE(tblY10[[4B01 - Cell Biology
Raw Score]]),_xlfn.STDEV.P(tblY10[[4B01 - Cell Biology
Raw Score]])),9),_Stanine,2),5),"")</f>
        <v>4</v>
      </c>
      <c r="P108" s="66" t="inlineStr">
        <is>
          <t>A</t>
        </is>
      </c>
      <c r="Q108" s="67" t="str">
        <f>IF(ISNUMBER(tblY10[[#This Row],[4C01 - Atomic Structure
Raw Score]]),IFERROR(VLOOKUP(ROUND(STANDARDIZE(tblY10[[#This Row],[4C01 - Atomic Structure
Raw Score]],AVERAGE(tblY10[[4C01 - Atomic Structure
Raw Score]]),_xlfn.STDEV.P(tblY10[[4C01 - Atomic Structure
Raw Score]])),9),_Stanine,2),5),"")</f>
        <v/>
      </c>
      <c r="R108" s="66" t="n">
        <v>13</v>
      </c>
      <c r="S108" s="67">
        <f>IF(ISNUMBER(tblY10[[#This Row],[4P01 - Energy
Raw Score]]),IFERROR(VLOOKUP(ROUND(STANDARDIZE(tblY10[[#This Row],[4P01 - Energy
Raw Score]],AVERAGE(tblY10[[4P01 - Energy
Raw Score]]),_xlfn.STDEV.P(tblY10[[4P01 - Energy
Raw Score]])),9),_Stanine,2),5),"")</f>
        <v>4</v>
      </c>
      <c r="T108" s="66" t="n">
        <v>22</v>
      </c>
      <c r="U108" s="67">
        <f>IF(ISNUMBER(tblY10[[#This Row],[4B02 - Organisation
Raw Score]]),IFERROR(VLOOKUP(ROUND(STANDARDIZE(tblY10[[#This Row],[4B02 - Organisation
Raw Score]],AVERAGE(tblY10[[4B02 - Organisation
Raw Score]]),_xlfn.STDEV.P(tblY10[[4B02 - Organisation
Raw Score]])),9),_Stanine,2),5),"")</f>
        <v>5</v>
      </c>
      <c r="V108" s="66" t="n"/>
      <c r="W108" s="67" t="str">
        <f>IF(ISNUMBER(tblY10[[#This Row],[4C02 - Bonding
Raw Score]]),IFERROR(VLOOKUP(ROUND(STANDARDIZE(tblY10[[#This Row],[4C02 - Bonding
Raw Score]],AVERAGE(tblY10[[4C02 - Bonding
Raw Score]]),_xlfn.STDEV.P(tblY10[[4C02 - Bonding
Raw Score]])),9),_Stanine,2),5),"")</f>
        <v/>
      </c>
    </row>
    <row r="109">
      <c r="A109" s="65" t="inlineStr">
        <is>
          <t>X904387339253</t>
        </is>
      </c>
      <c r="B109" s="65" t="inlineStr">
        <is>
          <t>Price</t>
        </is>
      </c>
      <c r="C109" s="65" t="inlineStr">
        <is>
          <t>Tomasz</t>
        </is>
      </c>
      <c r="D109" s="66" t="inlineStr">
        <is>
          <t>M</t>
        </is>
      </c>
      <c r="E109" s="66" t="inlineStr">
        <is>
          <t>K</t>
        </is>
      </c>
      <c r="F109" s="66" t="inlineStr">
        <is>
          <t>Y</t>
        </is>
      </c>
      <c r="G109" s="34" t="n">
        <v>100</v>
      </c>
      <c r="H109" s="34" t="n">
        <v>91.5</v>
      </c>
      <c r="I109" s="67">
        <f>IF(ISNUMBER(tblY10[[#This Row],[Avg KS2]]),IFERROR(VLOOKUP(ROUND(STANDARDIZE(tblY10[[#This Row],[Avg KS2]],AVERAGE(tblY10[[Avg KS2]]),_xlfn.STDEV.P(tblY10[[Avg KS2]])),9),_Stanine,2),5),"")</f>
        <v>1</v>
      </c>
      <c r="J109" s="66" t="inlineStr">
        <is>
          <t>10S/Sc5</t>
        </is>
      </c>
      <c r="K109" s="67">
        <f>IF(tblY10[[#This Row],[Preferred Last name]]="","",COUNTIFS($N$1:$ZZ$1,"*"&amp;CHAR(10)&amp;"Stanine",$N109:$ZZ109,"&gt;=1"))</f>
        <v>3</v>
      </c>
      <c r="L109" s="68">
        <f>IFERROR(AVERAGEIF($N$1:$ZZ$1,"*"&amp;CHAR(10)&amp;"Stanine",$N109:$ZZ109),"")</f>
        <v>1.66666666666667</v>
      </c>
      <c r="M109" s="69">
        <f>IF(AND(ISNUMBER(tblY10[[#This Row],[Mean Stanine]]),ISNUMBER(tblY10[[#This Row],[Avg KS2 Band]]),ISNUMBER(SlopeY10)),tblY10[[#This Row],[Mean Stanine]]-(InterceptY10+SlopeY10*tblY10[[#This Row],[Avg KS2 Band]]),"")</f>
        <v>-0.0174563407265451</v>
      </c>
      <c r="N109" s="66" t="n">
        <v>4</v>
      </c>
      <c r="O109" s="67">
        <f>IF(ISNUMBER(tblY10[[#This Row],[4B01 - Cell Biology
Raw Score]]),IFERROR(VLOOKUP(ROUND(STANDARDIZE(tblY10[[#This Row],[4B01 - Cell Biology
Raw Score]],AVERAGE(tblY10[[4B01 - Cell Biology
Raw Score]]),_xlfn.STDEV.P(tblY10[[4B01 - Cell Biology
Raw Score]])),9),_Stanine,2),5),"")</f>
        <v>2</v>
      </c>
      <c r="P109" s="66" t="n">
        <v>2</v>
      </c>
      <c r="Q109" s="67">
        <f>IF(ISNUMBER(tblY10[[#This Row],[4C01 - Atomic Structure
Raw Score]]),IFERROR(VLOOKUP(ROUND(STANDARDIZE(tblY10[[#This Row],[4C01 - Atomic Structure
Raw Score]],AVERAGE(tblY10[[4C01 - Atomic Structure
Raw Score]]),_xlfn.STDEV.P(tblY10[[4C01 - Atomic Structure
Raw Score]])),9),_Stanine,2),5),"")</f>
        <v>1</v>
      </c>
      <c r="R109" s="66" t="n">
        <v>2</v>
      </c>
      <c r="S109" s="67">
        <f>IF(ISNUMBER(tblY10[[#This Row],[4P01 - Energy
Raw Score]]),IFERROR(VLOOKUP(ROUND(STANDARDIZE(tblY10[[#This Row],[4P01 - Energy
Raw Score]],AVERAGE(tblY10[[4P01 - Energy
Raw Score]]),_xlfn.STDEV.P(tblY10[[4P01 - Energy
Raw Score]])),9),_Stanine,2),5),"")</f>
        <v>2</v>
      </c>
      <c r="T109" s="66" t="inlineStr">
        <is>
          <t>A</t>
        </is>
      </c>
      <c r="U109" s="67" t="str">
        <f>IF(ISNUMBER(tblY10[[#This Row],[4B02 - Organisation
Raw Score]]),IFERROR(VLOOKUP(ROUND(STANDARDIZE(tblY10[[#This Row],[4B02 - Organisation
Raw Score]],AVERAGE(tblY10[[4B02 - Organisation
Raw Score]]),_xlfn.STDEV.P(tblY10[[4B02 - Organisation
Raw Score]])),9),_Stanine,2),5),"")</f>
        <v/>
      </c>
      <c r="V109" s="66" t="n"/>
      <c r="W109" s="67" t="str">
        <f>IF(ISNUMBER(tblY10[[#This Row],[4C02 - Bonding
Raw Score]]),IFERROR(VLOOKUP(ROUND(STANDARDIZE(tblY10[[#This Row],[4C02 - Bonding
Raw Score]],AVERAGE(tblY10[[4C02 - Bonding
Raw Score]]),_xlfn.STDEV.P(tblY10[[4C02 - Bonding
Raw Score]])),9),_Stanine,2),5),"")</f>
        <v/>
      </c>
    </row>
    <row r="110">
      <c r="A110" s="65" t="inlineStr">
        <is>
          <t>X903975519282</t>
        </is>
      </c>
      <c r="B110" s="65" t="inlineStr">
        <is>
          <t>Roberts</t>
        </is>
      </c>
      <c r="C110" s="65" t="inlineStr">
        <is>
          <t>Arthur</t>
        </is>
      </c>
      <c r="D110" s="66" t="inlineStr">
        <is>
          <t>M</t>
        </is>
      </c>
      <c r="E110" s="66" t="n"/>
      <c r="F110" s="66" t="inlineStr">
        <is>
          <t>N</t>
        </is>
      </c>
      <c r="G110" s="34" t="n">
        <v>84.09999999999999</v>
      </c>
      <c r="H110" s="34" t="n">
        <v>102</v>
      </c>
      <c r="I110" s="67">
        <f>IF(ISNUMBER(tblY10[[#This Row],[Avg KS2]]),IFERROR(VLOOKUP(ROUND(STANDARDIZE(tblY10[[#This Row],[Avg KS2]],AVERAGE(tblY10[[Avg KS2]]),_xlfn.STDEV.P(tblY10[[Avg KS2]])),9),_Stanine,2),5),"")</f>
        <v>5</v>
      </c>
      <c r="J110" s="66" t="inlineStr">
        <is>
          <t>10S/Sc5</t>
        </is>
      </c>
      <c r="K110" s="67">
        <f>IF(tblY10[[#This Row],[Preferred Last name]]="","",COUNTIFS($N$1:$ZZ$1,"*"&amp;CHAR(10)&amp;"Stanine",$N110:$ZZ110,"&gt;=1"))</f>
        <v>4</v>
      </c>
      <c r="L110" s="68">
        <f>IFERROR(AVERAGEIF($N$1:$ZZ$1,"*"&amp;CHAR(10)&amp;"Stanine",$N110:$ZZ110),"")</f>
        <v>4.25</v>
      </c>
      <c r="M110" s="69">
        <f>IF(AND(ISNUMBER(tblY10[[#This Row],[Mean Stanine]]),ISNUMBER(tblY10[[#This Row],[Avg KS2 Band]]),ISNUMBER(SlopeY10)),tblY10[[#This Row],[Mean Stanine]]-(InterceptY10+SlopeY10*tblY10[[#This Row],[Avg KS2 Band]]),"")</f>
        <v>-0.690132144523862</v>
      </c>
      <c r="N110" s="66" t="n">
        <v>21</v>
      </c>
      <c r="O110" s="67">
        <f>IF(ISNUMBER(tblY10[[#This Row],[4B01 - Cell Biology
Raw Score]]),IFERROR(VLOOKUP(ROUND(STANDARDIZE(tblY10[[#This Row],[4B01 - Cell Biology
Raw Score]],AVERAGE(tblY10[[4B01 - Cell Biology
Raw Score]]),_xlfn.STDEV.P(tblY10[[4B01 - Cell Biology
Raw Score]])),9),_Stanine,2),5),"")</f>
        <v>5</v>
      </c>
      <c r="P110" s="66" t="n">
        <v>15</v>
      </c>
      <c r="Q110" s="67">
        <f>IF(ISNUMBER(tblY10[[#This Row],[4C01 - Atomic Structure
Raw Score]]),IFERROR(VLOOKUP(ROUND(STANDARDIZE(tblY10[[#This Row],[4C01 - Atomic Structure
Raw Score]],AVERAGE(tblY10[[4C01 - Atomic Structure
Raw Score]]),_xlfn.STDEV.P(tblY10[[4C01 - Atomic Structure
Raw Score]])),9),_Stanine,2),5),"")</f>
        <v>4</v>
      </c>
      <c r="R110" s="66" t="n">
        <v>10</v>
      </c>
      <c r="S110" s="67">
        <f>IF(ISNUMBER(tblY10[[#This Row],[4P01 - Energy
Raw Score]]),IFERROR(VLOOKUP(ROUND(STANDARDIZE(tblY10[[#This Row],[4P01 - Energy
Raw Score]],AVERAGE(tblY10[[4P01 - Energy
Raw Score]]),_xlfn.STDEV.P(tblY10[[4P01 - Energy
Raw Score]])),9),_Stanine,2),5),"")</f>
        <v>4</v>
      </c>
      <c r="T110" s="66" t="n">
        <v>17</v>
      </c>
      <c r="U110" s="67">
        <f>IF(ISNUMBER(tblY10[[#This Row],[4B02 - Organisation
Raw Score]]),IFERROR(VLOOKUP(ROUND(STANDARDIZE(tblY10[[#This Row],[4B02 - Organisation
Raw Score]],AVERAGE(tblY10[[4B02 - Organisation
Raw Score]]),_xlfn.STDEV.P(tblY10[[4B02 - Organisation
Raw Score]])),9),_Stanine,2),5),"")</f>
        <v>4</v>
      </c>
      <c r="V110" s="66" t="n"/>
      <c r="W110" s="67" t="str">
        <f>IF(ISNUMBER(tblY10[[#This Row],[4C02 - Bonding
Raw Score]]),IFERROR(VLOOKUP(ROUND(STANDARDIZE(tblY10[[#This Row],[4C02 - Bonding
Raw Score]],AVERAGE(tblY10[[4C02 - Bonding
Raw Score]]),_xlfn.STDEV.P(tblY10[[4C02 - Bonding
Raw Score]])),9),_Stanine,2),5),"")</f>
        <v/>
      </c>
    </row>
    <row r="111">
      <c r="A111" s="65" t="inlineStr">
        <is>
          <t>X909948830081</t>
        </is>
      </c>
      <c r="B111" s="65" t="inlineStr">
        <is>
          <t>Shaw</t>
        </is>
      </c>
      <c r="C111" s="65" t="inlineStr">
        <is>
          <t>Seren</t>
        </is>
      </c>
      <c r="D111" s="66" t="inlineStr">
        <is>
          <t>M</t>
        </is>
      </c>
      <c r="E111" s="66" t="n"/>
      <c r="F111" s="66" t="inlineStr">
        <is>
          <t>N</t>
        </is>
      </c>
      <c r="G111" s="34" t="n">
        <v>89.2</v>
      </c>
      <c r="H111" s="34" t="n">
        <v>90</v>
      </c>
      <c r="I111" s="67">
        <f>IF(ISNUMBER(tblY10[[#This Row],[Avg KS2]]),IFERROR(VLOOKUP(ROUND(STANDARDIZE(tblY10[[#This Row],[Avg KS2]],AVERAGE(tblY10[[Avg KS2]]),_xlfn.STDEV.P(tblY10[[Avg KS2]])),9),_Stanine,2),5),"")</f>
        <v>1</v>
      </c>
      <c r="J111" s="66" t="inlineStr">
        <is>
          <t>10S/Sc5</t>
        </is>
      </c>
      <c r="K111" s="67">
        <f>IF(tblY10[[#This Row],[Preferred Last name]]="","",COUNTIFS($N$1:$ZZ$1,"*"&amp;CHAR(10)&amp;"Stanine",$N111:$ZZ111,"&gt;=1"))</f>
        <v>3</v>
      </c>
      <c r="L111" s="68">
        <f>IFERROR(AVERAGEIF($N$1:$ZZ$1,"*"&amp;CHAR(10)&amp;"Stanine",$N111:$ZZ111),"")</f>
        <v>2</v>
      </c>
      <c r="M111" s="69">
        <f>IF(AND(ISNUMBER(tblY10[[#This Row],[Mean Stanine]]),ISNUMBER(tblY10[[#This Row],[Avg KS2 Band]]),ISNUMBER(SlopeY10)),tblY10[[#This Row],[Mean Stanine]]-(InterceptY10+SlopeY10*tblY10[[#This Row],[Avg KS2 Band]]),"")</f>
        <v>0.315876992606788</v>
      </c>
      <c r="N111" s="66" t="n">
        <v>5</v>
      </c>
      <c r="O111" s="67">
        <f>IF(ISNUMBER(tblY10[[#This Row],[4B01 - Cell Biology
Raw Score]]),IFERROR(VLOOKUP(ROUND(STANDARDIZE(tblY10[[#This Row],[4B01 - Cell Biology
Raw Score]],AVERAGE(tblY10[[4B01 - Cell Biology
Raw Score]]),_xlfn.STDEV.P(tblY10[[4B01 - Cell Biology
Raw Score]])),9),_Stanine,2),5),"")</f>
        <v>2</v>
      </c>
      <c r="P111" s="66" t="n">
        <v>4</v>
      </c>
      <c r="Q111" s="67">
        <f>IF(ISNUMBER(tblY10[[#This Row],[4C01 - Atomic Structure
Raw Score]]),IFERROR(VLOOKUP(ROUND(STANDARDIZE(tblY10[[#This Row],[4C01 - Atomic Structure
Raw Score]],AVERAGE(tblY10[[4C01 - Atomic Structure
Raw Score]]),_xlfn.STDEV.P(tblY10[[4C01 - Atomic Structure
Raw Score]])),9),_Stanine,2),5),"")</f>
        <v>2</v>
      </c>
      <c r="R111" s="66" t="n">
        <v>3</v>
      </c>
      <c r="S111" s="67">
        <f>IF(ISNUMBER(tblY10[[#This Row],[4P01 - Energy
Raw Score]]),IFERROR(VLOOKUP(ROUND(STANDARDIZE(tblY10[[#This Row],[4P01 - Energy
Raw Score]],AVERAGE(tblY10[[4P01 - Energy
Raw Score]]),_xlfn.STDEV.P(tblY10[[4P01 - Energy
Raw Score]])),9),_Stanine,2),5),"")</f>
        <v>2</v>
      </c>
      <c r="T111" s="66" t="inlineStr">
        <is>
          <t>A</t>
        </is>
      </c>
      <c r="U111" s="67" t="str">
        <f>IF(ISNUMBER(tblY10[[#This Row],[4B02 - Organisation
Raw Score]]),IFERROR(VLOOKUP(ROUND(STANDARDIZE(tblY10[[#This Row],[4B02 - Organisation
Raw Score]],AVERAGE(tblY10[[4B02 - Organisation
Raw Score]]),_xlfn.STDEV.P(tblY10[[4B02 - Organisation
Raw Score]])),9),_Stanine,2),5),"")</f>
        <v/>
      </c>
      <c r="V111" s="66" t="n"/>
      <c r="W111" s="67" t="str">
        <f>IF(ISNUMBER(tblY10[[#This Row],[4C02 - Bonding
Raw Score]]),IFERROR(VLOOKUP(ROUND(STANDARDIZE(tblY10[[#This Row],[4C02 - Bonding
Raw Score]],AVERAGE(tblY10[[4C02 - Bonding
Raw Score]]),_xlfn.STDEV.P(tblY10[[4C02 - Bonding
Raw Score]])),9),_Stanine,2),5),"")</f>
        <v/>
      </c>
    </row>
    <row r="112">
      <c r="A112" s="65" t="inlineStr">
        <is>
          <t>X906700806557</t>
        </is>
      </c>
      <c r="B112" s="65" t="inlineStr">
        <is>
          <t>Walker</t>
        </is>
      </c>
      <c r="C112" s="65" t="inlineStr">
        <is>
          <t>Mia</t>
        </is>
      </c>
      <c r="D112" s="66" t="inlineStr">
        <is>
          <t>F</t>
        </is>
      </c>
      <c r="E112" s="66" t="inlineStr">
        <is>
          <t>E</t>
        </is>
      </c>
      <c r="F112" s="66" t="inlineStr">
        <is>
          <t>N</t>
        </is>
      </c>
      <c r="G112" s="34" t="n">
        <v>92.2</v>
      </c>
      <c r="H112" s="34" t="n">
        <v>109</v>
      </c>
      <c r="I112" s="67">
        <f>IF(ISNUMBER(tblY10[[#This Row],[Avg KS2]]),IFERROR(VLOOKUP(ROUND(STANDARDIZE(tblY10[[#This Row],[Avg KS2]],AVERAGE(tblY10[[Avg KS2]]),_xlfn.STDEV.P(tblY10[[Avg KS2]])),9),_Stanine,2),5),"")</f>
        <v>7</v>
      </c>
      <c r="J112" s="66" t="inlineStr">
        <is>
          <t>10S/Sc5</t>
        </is>
      </c>
      <c r="K112" s="67">
        <f>IF(tblY10[[#This Row],[Preferred Last name]]="","",COUNTIFS($N$1:$ZZ$1,"*"&amp;CHAR(10)&amp;"Stanine",$N112:$ZZ112,"&gt;=1"))</f>
        <v>4</v>
      </c>
      <c r="L112" s="68">
        <f>IFERROR(AVERAGEIF($N$1:$ZZ$1,"*"&amp;CHAR(10)&amp;"Stanine",$N112:$ZZ112),"")</f>
        <v>6.5</v>
      </c>
      <c r="M112" s="69">
        <f>IF(AND(ISNUMBER(tblY10[[#This Row],[Mean Stanine]]),ISNUMBER(tblY10[[#This Row],[Avg KS2 Band]]),ISNUMBER(SlopeY10)),tblY10[[#This Row],[Mean Stanine]]-(InterceptY10+SlopeY10*tblY10[[#This Row],[Avg KS2 Band]]),"")</f>
        <v>-0.0681367130891859</v>
      </c>
      <c r="N112" s="66" t="n">
        <v>33</v>
      </c>
      <c r="O112" s="67">
        <f>IF(ISNUMBER(tblY10[[#This Row],[4B01 - Cell Biology
Raw Score]]),IFERROR(VLOOKUP(ROUND(STANDARDIZE(tblY10[[#This Row],[4B01 - Cell Biology
Raw Score]],AVERAGE(tblY10[[4B01 - Cell Biology
Raw Score]]),_xlfn.STDEV.P(tblY10[[4B01 - Cell Biology
Raw Score]])),9),_Stanine,2),5),"")</f>
        <v>8</v>
      </c>
      <c r="P112" s="66" t="n">
        <v>20</v>
      </c>
      <c r="Q112" s="67">
        <f>IF(ISNUMBER(tblY10[[#This Row],[4C01 - Atomic Structure
Raw Score]]),IFERROR(VLOOKUP(ROUND(STANDARDIZE(tblY10[[#This Row],[4C01 - Atomic Structure
Raw Score]],AVERAGE(tblY10[[4C01 - Atomic Structure
Raw Score]]),_xlfn.STDEV.P(tblY10[[4C01 - Atomic Structure
Raw Score]])),9),_Stanine,2),5),"")</f>
        <v>6</v>
      </c>
      <c r="R112" s="66" t="n">
        <v>21</v>
      </c>
      <c r="S112" s="67">
        <f>IF(ISNUMBER(tblY10[[#This Row],[4P01 - Energy
Raw Score]]),IFERROR(VLOOKUP(ROUND(STANDARDIZE(tblY10[[#This Row],[4P01 - Energy
Raw Score]],AVERAGE(tblY10[[4P01 - Energy
Raw Score]]),_xlfn.STDEV.P(tblY10[[4P01 - Energy
Raw Score]])),9),_Stanine,2),5),"")</f>
        <v>6</v>
      </c>
      <c r="T112" s="66" t="n">
        <v>28</v>
      </c>
      <c r="U112" s="67">
        <f>IF(ISNUMBER(tblY10[[#This Row],[4B02 - Organisation
Raw Score]]),IFERROR(VLOOKUP(ROUND(STANDARDIZE(tblY10[[#This Row],[4B02 - Organisation
Raw Score]],AVERAGE(tblY10[[4B02 - Organisation
Raw Score]]),_xlfn.STDEV.P(tblY10[[4B02 - Organisation
Raw Score]])),9),_Stanine,2),5),"")</f>
        <v>6</v>
      </c>
      <c r="V112" s="66" t="n"/>
      <c r="W112" s="67" t="str">
        <f>IF(ISNUMBER(tblY10[[#This Row],[4C02 - Bonding
Raw Score]]),IFERROR(VLOOKUP(ROUND(STANDARDIZE(tblY10[[#This Row],[4C02 - Bonding
Raw Score]],AVERAGE(tblY10[[4C02 - Bonding
Raw Score]]),_xlfn.STDEV.P(tblY10[[4C02 - Bonding
Raw Score]])),9),_Stanine,2),5),"")</f>
        <v/>
      </c>
    </row>
    <row r="113">
      <c r="A113" s="65" t="inlineStr">
        <is>
          <t>X907352752474</t>
        </is>
      </c>
      <c r="B113" s="65" t="inlineStr">
        <is>
          <t>Ward</t>
        </is>
      </c>
      <c r="C113" s="65" t="inlineStr">
        <is>
          <t>Arthur</t>
        </is>
      </c>
      <c r="D113" s="66" t="inlineStr">
        <is>
          <t>F</t>
        </is>
      </c>
      <c r="E113" s="66" t="inlineStr">
        <is>
          <t>N</t>
        </is>
      </c>
      <c r="F113" s="66" t="inlineStr">
        <is>
          <t>N</t>
        </is>
      </c>
      <c r="G113" s="34" t="n">
        <v>99</v>
      </c>
      <c r="H113" s="34" t="n">
        <v>99</v>
      </c>
      <c r="I113" s="67">
        <f>IF(ISNUMBER(tblY10[[#This Row],[Avg KS2]]),IFERROR(VLOOKUP(ROUND(STANDARDIZE(tblY10[[#This Row],[Avg KS2]],AVERAGE(tblY10[[Avg KS2]]),_xlfn.STDEV.P(tblY10[[Avg KS2]])),9),_Stanine,2),5),"")</f>
        <v>4</v>
      </c>
      <c r="J113" s="66" t="inlineStr">
        <is>
          <t>10S/Sc5</t>
        </is>
      </c>
      <c r="K113" s="67">
        <f>IF(tblY10[[#This Row],[Preferred Last name]]="","",COUNTIFS($N$1:$ZZ$1,"*"&amp;CHAR(10)&amp;"Stanine",$N113:$ZZ113,"&gt;=1"))</f>
        <v>4</v>
      </c>
      <c r="L113" s="68">
        <f>IFERROR(AVERAGEIF($N$1:$ZZ$1,"*"&amp;CHAR(10)&amp;"Stanine",$N113:$ZZ113),"")</f>
        <v>2.75</v>
      </c>
      <c r="M113" s="69">
        <f>IF(AND(ISNUMBER(tblY10[[#This Row],[Mean Stanine]]),ISNUMBER(tblY10[[#This Row],[Avg KS2 Band]]),ISNUMBER(SlopeY10)),tblY10[[#This Row],[Mean Stanine]]-(InterceptY10+SlopeY10*tblY10[[#This Row],[Avg KS2 Band]]),"")</f>
        <v>-1.3761298602412</v>
      </c>
      <c r="N113" s="66" t="n">
        <v>10</v>
      </c>
      <c r="O113" s="67">
        <f>IF(ISNUMBER(tblY10[[#This Row],[4B01 - Cell Biology
Raw Score]]),IFERROR(VLOOKUP(ROUND(STANDARDIZE(tblY10[[#This Row],[4B01 - Cell Biology
Raw Score]],AVERAGE(tblY10[[4B01 - Cell Biology
Raw Score]]),_xlfn.STDEV.P(tblY10[[4B01 - Cell Biology
Raw Score]])),9),_Stanine,2),5),"")</f>
        <v>3</v>
      </c>
      <c r="P113" s="66" t="n">
        <v>5</v>
      </c>
      <c r="Q113" s="67">
        <f>IF(ISNUMBER(tblY10[[#This Row],[4C01 - Atomic Structure
Raw Score]]),IFERROR(VLOOKUP(ROUND(STANDARDIZE(tblY10[[#This Row],[4C01 - Atomic Structure
Raw Score]],AVERAGE(tblY10[[4C01 - Atomic Structure
Raw Score]]),_xlfn.STDEV.P(tblY10[[4C01 - Atomic Structure
Raw Score]])),9),_Stanine,2),5),"")</f>
        <v>2</v>
      </c>
      <c r="R113" s="66" t="n">
        <v>7</v>
      </c>
      <c r="S113" s="67">
        <f>IF(ISNUMBER(tblY10[[#This Row],[4P01 - Energy
Raw Score]]),IFERROR(VLOOKUP(ROUND(STANDARDIZE(tblY10[[#This Row],[4P01 - Energy
Raw Score]],AVERAGE(tblY10[[4P01 - Energy
Raw Score]]),_xlfn.STDEV.P(tblY10[[4P01 - Energy
Raw Score]])),9),_Stanine,2),5),"")</f>
        <v>3</v>
      </c>
      <c r="T113" s="66" t="n">
        <v>13</v>
      </c>
      <c r="U113" s="67">
        <f>IF(ISNUMBER(tblY10[[#This Row],[4B02 - Organisation
Raw Score]]),IFERROR(VLOOKUP(ROUND(STANDARDIZE(tblY10[[#This Row],[4B02 - Organisation
Raw Score]],AVERAGE(tblY10[[4B02 - Organisation
Raw Score]]),_xlfn.STDEV.P(tblY10[[4B02 - Organisation
Raw Score]])),9),_Stanine,2),5),"")</f>
        <v>3</v>
      </c>
      <c r="V113" s="66" t="n"/>
      <c r="W113" s="67" t="str">
        <f>IF(ISNUMBER(tblY10[[#This Row],[4C02 - Bonding
Raw Score]]),IFERROR(VLOOKUP(ROUND(STANDARDIZE(tblY10[[#This Row],[4C02 - Bonding
Raw Score]],AVERAGE(tblY10[[4C02 - Bonding
Raw Score]]),_xlfn.STDEV.P(tblY10[[4C02 - Bonding
Raw Score]])),9),_Stanine,2),5),"")</f>
        <v/>
      </c>
    </row>
    <row r="114">
      <c r="A114" s="65" t="inlineStr">
        <is>
          <t>X900779053312</t>
        </is>
      </c>
      <c r="B114" s="65" t="inlineStr">
        <is>
          <t>Ward</t>
        </is>
      </c>
      <c r="C114" s="65" t="inlineStr">
        <is>
          <t>Zara</t>
        </is>
      </c>
      <c r="D114" s="66" t="inlineStr">
        <is>
          <t>M</t>
        </is>
      </c>
      <c r="E114" s="66" t="inlineStr">
        <is>
          <t>N</t>
        </is>
      </c>
      <c r="F114" s="66" t="inlineStr">
        <is>
          <t>Y</t>
        </is>
      </c>
      <c r="G114" s="34" t="n">
        <v>100</v>
      </c>
      <c r="H114" s="34" t="n">
        <v>105.5</v>
      </c>
      <c r="I114" s="67">
        <f>IF(ISNUMBER(tblY10[[#This Row],[Avg KS2]]),IFERROR(VLOOKUP(ROUND(STANDARDIZE(tblY10[[#This Row],[Avg KS2]],AVERAGE(tblY10[[Avg KS2]]),_xlfn.STDEV.P(tblY10[[Avg KS2]])),9),_Stanine,2),5),"")</f>
        <v>6</v>
      </c>
      <c r="J114" s="66" t="inlineStr">
        <is>
          <t>10S/Sc5</t>
        </is>
      </c>
      <c r="K114" s="67">
        <f>IF(tblY10[[#This Row],[Preferred Last name]]="","",COUNTIFS($N$1:$ZZ$1,"*"&amp;CHAR(10)&amp;"Stanine",$N114:$ZZ114,"&gt;=1"))</f>
        <v>4</v>
      </c>
      <c r="L114" s="68">
        <f>IFERROR(AVERAGEIF($N$1:$ZZ$1,"*"&amp;CHAR(10)&amp;"Stanine",$N114:$ZZ114),"")</f>
        <v>4.5</v>
      </c>
      <c r="M114" s="69">
        <f>IF(AND(ISNUMBER(tblY10[[#This Row],[Mean Stanine]]),ISNUMBER(tblY10[[#This Row],[Avg KS2 Band]]),ISNUMBER(SlopeY10)),tblY10[[#This Row],[Mean Stanine]]-(InterceptY10+SlopeY10*tblY10[[#This Row],[Avg KS2 Band]]),"")</f>
        <v>-1.25413442880652</v>
      </c>
      <c r="N114" s="66" t="n">
        <v>23</v>
      </c>
      <c r="O114" s="67">
        <f>IF(ISNUMBER(tblY10[[#This Row],[4B01 - Cell Biology
Raw Score]]),IFERROR(VLOOKUP(ROUND(STANDARDIZE(tblY10[[#This Row],[4B01 - Cell Biology
Raw Score]],AVERAGE(tblY10[[4B01 - Cell Biology
Raw Score]]),_xlfn.STDEV.P(tblY10[[4B01 - Cell Biology
Raw Score]])),9),_Stanine,2),5),"")</f>
        <v>6</v>
      </c>
      <c r="P114" s="66" t="n">
        <v>13</v>
      </c>
      <c r="Q114" s="67">
        <f>IF(ISNUMBER(tblY10[[#This Row],[4C01 - Atomic Structure
Raw Score]]),IFERROR(VLOOKUP(ROUND(STANDARDIZE(tblY10[[#This Row],[4C01 - Atomic Structure
Raw Score]],AVERAGE(tblY10[[4C01 - Atomic Structure
Raw Score]]),_xlfn.STDEV.P(tblY10[[4C01 - Atomic Structure
Raw Score]])),9),_Stanine,2),5),"")</f>
        <v>4</v>
      </c>
      <c r="R114" s="66" t="n">
        <v>12</v>
      </c>
      <c r="S114" s="67">
        <f>IF(ISNUMBER(tblY10[[#This Row],[4P01 - Energy
Raw Score]]),IFERROR(VLOOKUP(ROUND(STANDARDIZE(tblY10[[#This Row],[4P01 - Energy
Raw Score]],AVERAGE(tblY10[[4P01 - Energy
Raw Score]]),_xlfn.STDEV.P(tblY10[[4P01 - Energy
Raw Score]])),9),_Stanine,2),5),"")</f>
        <v>4</v>
      </c>
      <c r="T114" s="66" t="n">
        <v>19</v>
      </c>
      <c r="U114" s="67">
        <f>IF(ISNUMBER(tblY10[[#This Row],[4B02 - Organisation
Raw Score]]),IFERROR(VLOOKUP(ROUND(STANDARDIZE(tblY10[[#This Row],[4B02 - Organisation
Raw Score]],AVERAGE(tblY10[[4B02 - Organisation
Raw Score]]),_xlfn.STDEV.P(tblY10[[4B02 - Organisation
Raw Score]])),9),_Stanine,2),5),"")</f>
        <v>4</v>
      </c>
      <c r="V114" s="66" t="n"/>
      <c r="W114" s="67" t="str">
        <f>IF(ISNUMBER(tblY10[[#This Row],[4C02 - Bonding
Raw Score]]),IFERROR(VLOOKUP(ROUND(STANDARDIZE(tblY10[[#This Row],[4C02 - Bonding
Raw Score]],AVERAGE(tblY10[[4C02 - Bonding
Raw Score]]),_xlfn.STDEV.P(tblY10[[4C02 - Bonding
Raw Score]])),9),_Stanine,2),5),"")</f>
        <v/>
      </c>
    </row>
    <row r="115">
      <c r="A115" s="65" t="inlineStr">
        <is>
          <t>X909086765589</t>
        </is>
      </c>
      <c r="B115" s="65" t="inlineStr">
        <is>
          <t>Wood</t>
        </is>
      </c>
      <c r="C115" s="65" t="inlineStr">
        <is>
          <t>Arthur</t>
        </is>
      </c>
      <c r="D115" s="66" t="inlineStr">
        <is>
          <t>M</t>
        </is>
      </c>
      <c r="E115" s="66" t="inlineStr">
        <is>
          <t>K</t>
        </is>
      </c>
      <c r="F115" s="66" t="inlineStr">
        <is>
          <t>N</t>
        </is>
      </c>
      <c r="G115" s="34" t="n">
        <v>90.2</v>
      </c>
      <c r="H115" s="34" t="n">
        <v>98</v>
      </c>
      <c r="I115" s="67">
        <f>IF(ISNUMBER(tblY10[[#This Row],[Avg KS2]]),IFERROR(VLOOKUP(ROUND(STANDARDIZE(tblY10[[#This Row],[Avg KS2]],AVERAGE(tblY10[[Avg KS2]]),_xlfn.STDEV.P(tblY10[[Avg KS2]])),9),_Stanine,2),5),"")</f>
        <v>3</v>
      </c>
      <c r="J115" s="66" t="inlineStr">
        <is>
          <t>10S/Sc5</t>
        </is>
      </c>
      <c r="K115" s="67">
        <f>IF(tblY10[[#This Row],[Preferred Last name]]="","",COUNTIFS($N$1:$ZZ$1,"*"&amp;CHAR(10)&amp;"Stanine",$N115:$ZZ115,"&gt;=1"))</f>
        <v>4</v>
      </c>
      <c r="L115" s="68">
        <f>IFERROR(AVERAGEIF($N$1:$ZZ$1,"*"&amp;CHAR(10)&amp;"Stanine",$N115:$ZZ115),"")</f>
        <v>3.75</v>
      </c>
      <c r="M115" s="69">
        <f>IF(AND(ISNUMBER(tblY10[[#This Row],[Mean Stanine]]),ISNUMBER(tblY10[[#This Row],[Avg KS2 Band]]),ISNUMBER(SlopeY10)),tblY10[[#This Row],[Mean Stanine]]-(InterceptY10+SlopeY10*tblY10[[#This Row],[Avg KS2 Band]]),"")</f>
        <v>0.437872424041463</v>
      </c>
      <c r="N115" s="66" t="n">
        <v>11</v>
      </c>
      <c r="O115" s="67">
        <f>IF(ISNUMBER(tblY10[[#This Row],[4B01 - Cell Biology
Raw Score]]),IFERROR(VLOOKUP(ROUND(STANDARDIZE(tblY10[[#This Row],[4B01 - Cell Biology
Raw Score]],AVERAGE(tblY10[[4B01 - Cell Biology
Raw Score]]),_xlfn.STDEV.P(tblY10[[4B01 - Cell Biology
Raw Score]])),9),_Stanine,2),5),"")</f>
        <v>3</v>
      </c>
      <c r="P115" s="66" t="n">
        <v>14</v>
      </c>
      <c r="Q115" s="67">
        <f>IF(ISNUMBER(tblY10[[#This Row],[4C01 - Atomic Structure
Raw Score]]),IFERROR(VLOOKUP(ROUND(STANDARDIZE(tblY10[[#This Row],[4C01 - Atomic Structure
Raw Score]],AVERAGE(tblY10[[4C01 - Atomic Structure
Raw Score]]),_xlfn.STDEV.P(tblY10[[4C01 - Atomic Structure
Raw Score]])),9),_Stanine,2),5),"")</f>
        <v>4</v>
      </c>
      <c r="R115" s="66" t="n">
        <v>12</v>
      </c>
      <c r="S115" s="67">
        <f>IF(ISNUMBER(tblY10[[#This Row],[4P01 - Energy
Raw Score]]),IFERROR(VLOOKUP(ROUND(STANDARDIZE(tblY10[[#This Row],[4P01 - Energy
Raw Score]],AVERAGE(tblY10[[4P01 - Energy
Raw Score]]),_xlfn.STDEV.P(tblY10[[4P01 - Energy
Raw Score]])),9),_Stanine,2),5),"")</f>
        <v>4</v>
      </c>
      <c r="T115" s="66" t="n">
        <v>18</v>
      </c>
      <c r="U115" s="67">
        <f>IF(ISNUMBER(tblY10[[#This Row],[4B02 - Organisation
Raw Score]]),IFERROR(VLOOKUP(ROUND(STANDARDIZE(tblY10[[#This Row],[4B02 - Organisation
Raw Score]],AVERAGE(tblY10[[4B02 - Organisation
Raw Score]]),_xlfn.STDEV.P(tblY10[[4B02 - Organisation
Raw Score]])),9),_Stanine,2),5),"")</f>
        <v>4</v>
      </c>
      <c r="V115" s="66" t="n"/>
      <c r="W115" s="67" t="str">
        <f>IF(ISNUMBER(tblY10[[#This Row],[4C02 - Bonding
Raw Score]]),IFERROR(VLOOKUP(ROUND(STANDARDIZE(tblY10[[#This Row],[4C02 - Bonding
Raw Score]],AVERAGE(tblY10[[4C02 - Bonding
Raw Score]]),_xlfn.STDEV.P(tblY10[[4C02 - Bonding
Raw Score]])),9),_Stanine,2),5),"")</f>
        <v/>
      </c>
    </row>
    <row r="116">
      <c r="A116" s="65" t="inlineStr">
        <is>
          <t>X903312299627</t>
        </is>
      </c>
      <c r="B116" s="65" t="inlineStr">
        <is>
          <t>Davies</t>
        </is>
      </c>
      <c r="C116" s="65" t="inlineStr">
        <is>
          <t>Amelia</t>
        </is>
      </c>
      <c r="D116" s="66" t="inlineStr">
        <is>
          <t>M</t>
        </is>
      </c>
      <c r="E116" s="66" t="inlineStr">
        <is>
          <t>K</t>
        </is>
      </c>
      <c r="F116" s="66" t="inlineStr">
        <is>
          <t>Y</t>
        </is>
      </c>
      <c r="G116" s="34" t="n">
        <v>85.90000000000001</v>
      </c>
      <c r="H116" s="34" t="n">
        <v>90.5</v>
      </c>
      <c r="I116" s="67">
        <f>IF(ISNUMBER(tblY10[[#This Row],[Avg KS2]]),IFERROR(VLOOKUP(ROUND(STANDARDIZE(tblY10[[#This Row],[Avg KS2]],AVERAGE(tblY10[[Avg KS2]]),_xlfn.STDEV.P(tblY10[[Avg KS2]])),9),_Stanine,2),5),"")</f>
        <v>1</v>
      </c>
      <c r="J116" s="66" t="inlineStr">
        <is>
          <t>Science Support</t>
        </is>
      </c>
      <c r="K116" s="67">
        <f>IF(tblY10[[#This Row],[Preferred Last name]]="","",COUNTIFS($N$1:$ZZ$1,"*"&amp;CHAR(10)&amp;"Stanine",$N116:$ZZ116,"&gt;=1"))</f>
        <v>5</v>
      </c>
      <c r="L116" s="68">
        <f>IFERROR(AVERAGEIF($N$1:$ZZ$1,"*"&amp;CHAR(10)&amp;"Stanine",$N116:$ZZ116),"")</f>
        <v>1.6</v>
      </c>
      <c r="M116" s="69">
        <f>IF(AND(ISNUMBER(tblY10[[#This Row],[Mean Stanine]]),ISNUMBER(tblY10[[#This Row],[Avg KS2 Band]]),ISNUMBER(SlopeY10)),tblY10[[#This Row],[Mean Stanine]]-(InterceptY10+SlopeY10*tblY10[[#This Row],[Avg KS2 Band]]),"")</f>
        <v>-0.0841230073932118</v>
      </c>
      <c r="N116" s="66" t="n">
        <v>3</v>
      </c>
      <c r="O116" s="67">
        <f>IF(ISNUMBER(tblY10[[#This Row],[4B01 - Cell Biology
Raw Score]]),IFERROR(VLOOKUP(ROUND(STANDARDIZE(tblY10[[#This Row],[4B01 - Cell Biology
Raw Score]],AVERAGE(tblY10[[4B01 - Cell Biology
Raw Score]]),_xlfn.STDEV.P(tblY10[[4B01 - Cell Biology
Raw Score]])),9),_Stanine,2),5),"")</f>
        <v>1</v>
      </c>
      <c r="P116" s="66" t="n">
        <v>4</v>
      </c>
      <c r="Q116" s="67">
        <f>IF(ISNUMBER(tblY10[[#This Row],[4C01 - Atomic Structure
Raw Score]]),IFERROR(VLOOKUP(ROUND(STANDARDIZE(tblY10[[#This Row],[4C01 - Atomic Structure
Raw Score]],AVERAGE(tblY10[[4C01 - Atomic Structure
Raw Score]]),_xlfn.STDEV.P(tblY10[[4C01 - Atomic Structure
Raw Score]])),9),_Stanine,2),5),"")</f>
        <v>2</v>
      </c>
      <c r="R116" s="66" t="n">
        <v>3</v>
      </c>
      <c r="S116" s="67">
        <f>IF(ISNUMBER(tblY10[[#This Row],[4P01 - Energy
Raw Score]]),IFERROR(VLOOKUP(ROUND(STANDARDIZE(tblY10[[#This Row],[4P01 - Energy
Raw Score]],AVERAGE(tblY10[[4P01 - Energy
Raw Score]]),_xlfn.STDEV.P(tblY10[[4P01 - Energy
Raw Score]])),9),_Stanine,2),5),"")</f>
        <v>2</v>
      </c>
      <c r="T116" s="66" t="n">
        <v>7</v>
      </c>
      <c r="U116" s="67">
        <f>IF(ISNUMBER(tblY10[[#This Row],[4B02 - Organisation
Raw Score]]),IFERROR(VLOOKUP(ROUND(STANDARDIZE(tblY10[[#This Row],[4B02 - Organisation
Raw Score]],AVERAGE(tblY10[[4B02 - Organisation
Raw Score]]),_xlfn.STDEV.P(tblY10[[4B02 - Organisation
Raw Score]])),9),_Stanine,2),5),"")</f>
        <v>1</v>
      </c>
      <c r="V116" s="66" t="n">
        <v>6</v>
      </c>
      <c r="W116" s="67">
        <f>IF(ISNUMBER(tblY10[[#This Row],[4C02 - Bonding
Raw Score]]),IFERROR(VLOOKUP(ROUND(STANDARDIZE(tblY10[[#This Row],[4C02 - Bonding
Raw Score]],AVERAGE(tblY10[[4C02 - Bonding
Raw Score]]),_xlfn.STDEV.P(tblY10[[4C02 - Bonding
Raw Score]])),9),_Stanine,2),5),"")</f>
        <v>2</v>
      </c>
    </row>
    <row r="117">
      <c r="A117" s="65" t="inlineStr">
        <is>
          <t>X900742010666</t>
        </is>
      </c>
      <c r="B117" s="65" t="inlineStr">
        <is>
          <t>Mistry</t>
        </is>
      </c>
      <c r="C117" s="65" t="inlineStr">
        <is>
          <t>Amara</t>
        </is>
      </c>
      <c r="D117" s="66" t="inlineStr">
        <is>
          <t>M</t>
        </is>
      </c>
      <c r="E117" s="66" t="n"/>
      <c r="F117" s="66" t="inlineStr">
        <is>
          <t>Y</t>
        </is>
      </c>
      <c r="G117" s="34" t="n">
        <v>95.2</v>
      </c>
      <c r="H117" s="34" t="n">
        <v>95</v>
      </c>
      <c r="I117" s="67">
        <f>IF(ISNUMBER(tblY10[[#This Row],[Avg KS2]]),IFERROR(VLOOKUP(ROUND(STANDARDIZE(tblY10[[#This Row],[Avg KS2]],AVERAGE(tblY10[[Avg KS2]]),_xlfn.STDEV.P(tblY10[[Avg KS2]])),9),_Stanine,2),5),"")</f>
        <v>2</v>
      </c>
      <c r="J117" s="66" t="inlineStr">
        <is>
          <t>Science Support</t>
        </is>
      </c>
      <c r="K117" s="67">
        <f>IF(tblY10[[#This Row],[Preferred Last name]]="","",COUNTIFS($N$1:$ZZ$1,"*"&amp;CHAR(10)&amp;"Stanine",$N117:$ZZ117,"&gt;=1"))</f>
        <v>5</v>
      </c>
      <c r="L117" s="68">
        <f>IFERROR(AVERAGEIF($N$1:$ZZ$1,"*"&amp;CHAR(10)&amp;"Stanine",$N117:$ZZ117),"")</f>
        <v>1</v>
      </c>
      <c r="M117" s="69">
        <f>IF(AND(ISNUMBER(tblY10[[#This Row],[Mean Stanine]]),ISNUMBER(tblY10[[#This Row],[Avg KS2 Band]]),ISNUMBER(SlopeY10)),tblY10[[#This Row],[Mean Stanine]]-(InterceptY10+SlopeY10*tblY10[[#This Row],[Avg KS2 Band]]),"")</f>
        <v>-1.49812529167587</v>
      </c>
      <c r="N117" s="66" t="n">
        <v>2</v>
      </c>
      <c r="O117" s="67">
        <f>IF(ISNUMBER(tblY10[[#This Row],[4B01 - Cell Biology
Raw Score]]),IFERROR(VLOOKUP(ROUND(STANDARDIZE(tblY10[[#This Row],[4B01 - Cell Biology
Raw Score]],AVERAGE(tblY10[[4B01 - Cell Biology
Raw Score]]),_xlfn.STDEV.P(tblY10[[4B01 - Cell Biology
Raw Score]])),9),_Stanine,2),5),"")</f>
        <v>1</v>
      </c>
      <c r="P117" s="66" t="n">
        <v>2</v>
      </c>
      <c r="Q117" s="67">
        <f>IF(ISNUMBER(tblY10[[#This Row],[4C01 - Atomic Structure
Raw Score]]),IFERROR(VLOOKUP(ROUND(STANDARDIZE(tblY10[[#This Row],[4C01 - Atomic Structure
Raw Score]],AVERAGE(tblY10[[4C01 - Atomic Structure
Raw Score]]),_xlfn.STDEV.P(tblY10[[4C01 - Atomic Structure
Raw Score]])),9),_Stanine,2),5),"")</f>
        <v>1</v>
      </c>
      <c r="R117" s="66" t="n">
        <v>1</v>
      </c>
      <c r="S117" s="67">
        <f>IF(ISNUMBER(tblY10[[#This Row],[4P01 - Energy
Raw Score]]),IFERROR(VLOOKUP(ROUND(STANDARDIZE(tblY10[[#This Row],[4P01 - Energy
Raw Score]],AVERAGE(tblY10[[4P01 - Energy
Raw Score]]),_xlfn.STDEV.P(tblY10[[4P01 - Energy
Raw Score]])),9),_Stanine,2),5),"")</f>
        <v>1</v>
      </c>
      <c r="T117" s="66" t="n">
        <v>2</v>
      </c>
      <c r="U117" s="67">
        <f>IF(ISNUMBER(tblY10[[#This Row],[4B02 - Organisation
Raw Score]]),IFERROR(VLOOKUP(ROUND(STANDARDIZE(tblY10[[#This Row],[4B02 - Organisation
Raw Score]],AVERAGE(tblY10[[4B02 - Organisation
Raw Score]]),_xlfn.STDEV.P(tblY10[[4B02 - Organisation
Raw Score]])),9),_Stanine,2),5),"")</f>
        <v>1</v>
      </c>
      <c r="V117" s="66" t="n">
        <v>3</v>
      </c>
      <c r="W117" s="67">
        <f>IF(ISNUMBER(tblY10[[#This Row],[4C02 - Bonding
Raw Score]]),IFERROR(VLOOKUP(ROUND(STANDARDIZE(tblY10[[#This Row],[4C02 - Bonding
Raw Score]],AVERAGE(tblY10[[4C02 - Bonding
Raw Score]]),_xlfn.STDEV.P(tblY10[[4C02 - Bonding
Raw Score]])),9),_Stanine,2),5),"")</f>
        <v>1</v>
      </c>
    </row>
    <row r="118">
      <c r="A118" s="65" t="inlineStr">
        <is>
          <t>X900029488817</t>
        </is>
      </c>
      <c r="B118" s="65" t="inlineStr">
        <is>
          <t>Mistry</t>
        </is>
      </c>
      <c r="C118" s="65" t="inlineStr">
        <is>
          <t>Theo</t>
        </is>
      </c>
      <c r="D118" s="66" t="inlineStr">
        <is>
          <t>F</t>
        </is>
      </c>
      <c r="E118" s="66" t="inlineStr">
        <is>
          <t>N</t>
        </is>
      </c>
      <c r="F118" s="66" t="inlineStr">
        <is>
          <t>N</t>
        </is>
      </c>
      <c r="G118" s="34" t="n">
        <v>96.8</v>
      </c>
      <c r="H118" s="34" t="n">
        <v>98</v>
      </c>
      <c r="I118" s="67">
        <f>IF(ISNUMBER(tblY10[[#This Row],[Avg KS2]]),IFERROR(VLOOKUP(ROUND(STANDARDIZE(tblY10[[#This Row],[Avg KS2]],AVERAGE(tblY10[[Avg KS2]]),_xlfn.STDEV.P(tblY10[[Avg KS2]])),9),_Stanine,2),5),"")</f>
        <v>3</v>
      </c>
      <c r="J118" s="66" t="inlineStr">
        <is>
          <t>Science Support</t>
        </is>
      </c>
      <c r="K118" s="67">
        <f>IF(tblY10[[#This Row],[Preferred Last name]]="","",COUNTIFS($N$1:$ZZ$1,"*"&amp;CHAR(10)&amp;"Stanine",$N118:$ZZ118,"&gt;=1"))</f>
        <v>5</v>
      </c>
      <c r="L118" s="68">
        <f>IFERROR(AVERAGEIF($N$1:$ZZ$1,"*"&amp;CHAR(10)&amp;"Stanine",$N118:$ZZ118),"")</f>
        <v>4.8</v>
      </c>
      <c r="M118" s="69">
        <f>IF(AND(ISNUMBER(tblY10[[#This Row],[Mean Stanine]]),ISNUMBER(tblY10[[#This Row],[Avg KS2 Band]]),ISNUMBER(SlopeY10)),tblY10[[#This Row],[Mean Stanine]]-(InterceptY10+SlopeY10*tblY10[[#This Row],[Avg KS2 Band]]),"")</f>
        <v>1.48787242404146</v>
      </c>
      <c r="N118" s="66" t="n">
        <v>20</v>
      </c>
      <c r="O118" s="67">
        <f>IF(ISNUMBER(tblY10[[#This Row],[4B01 - Cell Biology
Raw Score]]),IFERROR(VLOOKUP(ROUND(STANDARDIZE(tblY10[[#This Row],[4B01 - Cell Biology
Raw Score]],AVERAGE(tblY10[[4B01 - Cell Biology
Raw Score]]),_xlfn.STDEV.P(tblY10[[4B01 - Cell Biology
Raw Score]])),9),_Stanine,2),5),"")</f>
        <v>5</v>
      </c>
      <c r="P118" s="66" t="n">
        <v>17</v>
      </c>
      <c r="Q118" s="67">
        <f>IF(ISNUMBER(tblY10[[#This Row],[4C01 - Atomic Structure
Raw Score]]),IFERROR(VLOOKUP(ROUND(STANDARDIZE(tblY10[[#This Row],[4C01 - Atomic Structure
Raw Score]],AVERAGE(tblY10[[4C01 - Atomic Structure
Raw Score]]),_xlfn.STDEV.P(tblY10[[4C01 - Atomic Structure
Raw Score]])),9),_Stanine,2),5),"")</f>
        <v>5</v>
      </c>
      <c r="R118" s="66" t="n">
        <v>16</v>
      </c>
      <c r="S118" s="67">
        <f>IF(ISNUMBER(tblY10[[#This Row],[4P01 - Energy
Raw Score]]),IFERROR(VLOOKUP(ROUND(STANDARDIZE(tblY10[[#This Row],[4P01 - Energy
Raw Score]],AVERAGE(tblY10[[4P01 - Energy
Raw Score]]),_xlfn.STDEV.P(tblY10[[4P01 - Energy
Raw Score]])),9),_Stanine,2),5),"")</f>
        <v>5</v>
      </c>
      <c r="T118" s="66" t="n">
        <v>17</v>
      </c>
      <c r="U118" s="67">
        <f>IF(ISNUMBER(tblY10[[#This Row],[4B02 - Organisation
Raw Score]]),IFERROR(VLOOKUP(ROUND(STANDARDIZE(tblY10[[#This Row],[4B02 - Organisation
Raw Score]],AVERAGE(tblY10[[4B02 - Organisation
Raw Score]]),_xlfn.STDEV.P(tblY10[[4B02 - Organisation
Raw Score]])),9),_Stanine,2),5),"")</f>
        <v>4</v>
      </c>
      <c r="V118" s="66" t="n">
        <v>21</v>
      </c>
      <c r="W118" s="67">
        <f>IF(ISNUMBER(tblY10[[#This Row],[4C02 - Bonding
Raw Score]]),IFERROR(VLOOKUP(ROUND(STANDARDIZE(tblY10[[#This Row],[4C02 - Bonding
Raw Score]],AVERAGE(tblY10[[4C02 - Bonding
Raw Score]]),_xlfn.STDEV.P(tblY10[[4C02 - Bonding
Raw Score]])),9),_Stanine,2),5),"")</f>
        <v>5</v>
      </c>
    </row>
  </sheetData>
  <conditionalFormatting sqref="I2:I118">
    <cfRule type="iconSet" priority="1">
      <iconSet iconSet="3TrafficLights1">
        <cfvo type="percent" val="0"/>
        <cfvo type="num" val="4"/>
        <cfvo type="num" val="7"/>
      </iconSet>
    </cfRule>
  </conditionalFormatting>
  <conditionalFormatting sqref="L2:L118">
    <cfRule type="iconSet" priority="2">
      <iconSet iconSet="3TrafficLights1">
        <cfvo type="percent" val="0"/>
        <cfvo type="num" val="3.5"/>
        <cfvo type="num" val="6.5"/>
      </iconSet>
    </cfRule>
  </conditionalFormatting>
  <conditionalFormatting sqref="M2:M118">
    <cfRule type="iconSet" priority="3">
      <iconSet iconSet="3Arrows">
        <cfvo type="percent" val="0"/>
        <cfvo type="num" val="-0.99"/>
        <cfvo type="num" val="1"/>
      </iconSet>
    </cfRule>
  </conditionalFormatting>
  <conditionalFormatting sqref="O2:O118">
    <cfRule type="iconSet" priority="4">
      <iconSet iconSet="3TrafficLights1">
        <cfvo type="percent" val="0"/>
        <cfvo type="num" val="4"/>
        <cfvo type="num" val="7"/>
      </iconSet>
    </cfRule>
  </conditionalFormatting>
  <conditionalFormatting sqref="Q2:Q118">
    <cfRule type="iconSet" priority="5">
      <iconSet iconSet="3TrafficLights1">
        <cfvo type="percent" val="0"/>
        <cfvo type="num" val="4"/>
        <cfvo type="num" val="7"/>
      </iconSet>
    </cfRule>
  </conditionalFormatting>
  <conditionalFormatting sqref="S2:S118">
    <cfRule type="iconSet" priority="6">
      <iconSet iconSet="3TrafficLights1">
        <cfvo type="percent" val="0"/>
        <cfvo type="num" val="4"/>
        <cfvo type="num" val="7"/>
      </iconSet>
    </cfRule>
  </conditionalFormatting>
  <conditionalFormatting sqref="U2:U118">
    <cfRule type="iconSet" priority="7">
      <iconSet iconSet="3TrafficLights1">
        <cfvo type="percent" val="0"/>
        <cfvo type="num" val="4"/>
        <cfvo type="num" val="7"/>
      </iconSet>
    </cfRule>
  </conditionalFormatting>
  <conditionalFormatting sqref="W2:W118">
    <cfRule type="iconSet" priority="8">
      <iconSet iconSet="3TrafficLights1">
        <cfvo type="percent" val="0"/>
        <cfvo type="num" val="4"/>
        <cfvo type="num" val="7"/>
      </iconSet>
    </cfRule>
  </conditionalFormatting>
  <dataValidations count="5">
    <dataValidation sqref="N2:N118" showDropDown="0" showInputMessage="0" showErrorMessage="1" allowBlank="1" errorTitle="Score out of range" error="Type a mark from 0 to 40, or A for absent. Leave the cell blank if the student has not sat the test yet." type="custom">
      <formula1>OR(UPPER(N2)="A",AND(ISNUMBER(N2),N2&gt;=0,N2&lt;=40))</formula1>
    </dataValidation>
    <dataValidation sqref="P2:P118" showDropDown="0" showInputMessage="0" showErrorMessage="1" allowBlank="1" errorTitle="Score out of range" error="Type a mark from 0 to 36, or A for absent. Leave the cell blank if the student has not sat the test yet." type="custom">
      <formula1>OR(UPPER(P2)="A",AND(ISNUMBER(P2),P2&gt;=0,P2&lt;=36))</formula1>
    </dataValidation>
    <dataValidation sqref="R2:R118" showDropDown="0" showInputMessage="0" showErrorMessage="1" allowBlank="1" errorTitle="Score out of range" error="Type a mark from 0 to 35, or A for absent. Leave the cell blank if the student has not sat the test yet." type="custom">
      <formula1>OR(UPPER(R2)="A",AND(ISNUMBER(R2),R2&gt;=0,R2&lt;=35))</formula1>
    </dataValidation>
    <dataValidation sqref="T2:T118" showDropDown="0" showInputMessage="0" showErrorMessage="1" allowBlank="1" errorTitle="Score out of range" error="Type a mark from 0 to 40, or A for absent. Leave the cell blank if the student has not sat the test yet." type="custom">
      <formula1>OR(UPPER(T2)="A",AND(ISNUMBER(T2),T2&gt;=0,T2&lt;=40))</formula1>
    </dataValidation>
    <dataValidation sqref="V2:V118" showDropDown="0" showInputMessage="0" showErrorMessage="1" allowBlank="1" errorTitle="Score out of range" error="Type a mark from 0 to 38, or A for absent. Leave the cell blank if the student has not sat the test yet." type="custom">
      <formula1>OR(UPPER(V2)="A",AND(ISNUMBER(V2),V2&gt;=0,V2&lt;=38))</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9.xml><?xml version="1.0" encoding="utf-8"?>
<worksheet xmlns="http://schemas.openxmlformats.org/spreadsheetml/2006/main">
  <sheetPr codeName="shY11">
    <outlinePr summaryBelow="1" summaryRight="1"/>
    <pageSetUpPr/>
  </sheetPr>
  <dimension ref="A1:Y107"/>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 width="6.7" customWidth="1" min="22" max="22"/>
    <col width="6.7" customWidth="1" min="23" max="23"/>
    <col width="6.7" customWidth="1" min="24" max="24"/>
    <col width="6.7" customWidth="1" min="25" max="25"/>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4B05 - Homeostasis
Raw Score</t>
        </is>
      </c>
      <c r="O1" s="63" t="inlineStr">
        <is>
          <t>4B05 - Homeostasis
Stanine</t>
        </is>
      </c>
      <c r="P1" s="64" t="inlineStr">
        <is>
          <t>4C09 - Organic Chemistry
Raw Score</t>
        </is>
      </c>
      <c r="Q1" s="64" t="inlineStr">
        <is>
          <t>4C09 - Organic Chemistry
Stanine</t>
        </is>
      </c>
      <c r="R1" s="63" t="inlineStr">
        <is>
          <t>4P06 - Waves
Raw Score</t>
        </is>
      </c>
      <c r="S1" s="63" t="inlineStr">
        <is>
          <t>4P06 - Waves
Stanine</t>
        </is>
      </c>
      <c r="T1" s="64" t="inlineStr">
        <is>
          <t>4B06 - Inheritance
Raw Score</t>
        </is>
      </c>
      <c r="U1" s="64" t="inlineStr">
        <is>
          <t>4B06 - Inheritance
Stanine</t>
        </is>
      </c>
      <c r="V1" s="63" t="inlineStr">
        <is>
          <t>4C10 - Chemical Analysis
Raw Score</t>
        </is>
      </c>
      <c r="W1" s="63" t="inlineStr">
        <is>
          <t>4C10 - Chemical Analysis
Stanine</t>
        </is>
      </c>
      <c r="X1" s="64" t="inlineStr">
        <is>
          <t>4P07 - Magnetism
Raw Score</t>
        </is>
      </c>
      <c r="Y1" s="64" t="inlineStr">
        <is>
          <t>4P07 - Magnetism
Stanine</t>
        </is>
      </c>
    </row>
    <row r="2">
      <c r="A2" s="65" t="inlineStr">
        <is>
          <t>X906171632213</t>
        </is>
      </c>
      <c r="B2" s="65" t="inlineStr">
        <is>
          <t>Begum</t>
        </is>
      </c>
      <c r="C2" s="65" t="inlineStr">
        <is>
          <t>Maisie</t>
        </is>
      </c>
      <c r="D2" s="66" t="inlineStr">
        <is>
          <t>F</t>
        </is>
      </c>
      <c r="E2" s="66" t="inlineStr">
        <is>
          <t>E</t>
        </is>
      </c>
      <c r="F2" s="66" t="inlineStr">
        <is>
          <t>N</t>
        </is>
      </c>
      <c r="G2" s="34" t="n">
        <v>98.40000000000001</v>
      </c>
      <c r="H2" s="34" t="n">
        <v>103</v>
      </c>
      <c r="I2" s="67">
        <f>IF(ISNUMBER(tblY11[[#This Row],[Avg KS2]]),IFERROR(VLOOKUP(ROUND(STANDARDIZE(tblY11[[#This Row],[Avg KS2]],AVERAGE(tblY11[[Avg KS2]]),_xlfn.STDEV.P(tblY11[[Avg KS2]])),9),_Stanine,2),5),"")</f>
        <v>4</v>
      </c>
      <c r="J2" s="66" t="inlineStr">
        <is>
          <t>11S/Sc1</t>
        </is>
      </c>
      <c r="K2" s="67">
        <f>IF(tblY11[[#This Row],[Preferred Last name]]="","",COUNTIFS($N$1:$ZZ$1,"*"&amp;CHAR(10)&amp;"Stanine",$N2:$ZZ2,"&gt;=1"))</f>
        <v>6</v>
      </c>
      <c r="L2" s="68">
        <f>IFERROR(AVERAGEIF($N$1:$ZZ$1,"*"&amp;CHAR(10)&amp;"Stanine",$N2:$ZZ2),"")</f>
        <v>4.66666666666667</v>
      </c>
      <c r="M2" s="69">
        <f>IF(AND(ISNUMBER(tblY11[[#This Row],[Mean Stanine]]),ISNUMBER(tblY11[[#This Row],[Avg KS2 Band]]),ISNUMBER(SlopeY11)),tblY11[[#This Row],[Mean Stanine]]-(InterceptY11+SlopeY11*tblY11[[#This Row],[Avg KS2 Band]]),"")</f>
        <v>0.462831890331891</v>
      </c>
      <c r="N2" s="66" t="n">
        <v>19</v>
      </c>
      <c r="O2" s="67">
        <f>IF(ISNUMBER(tblY11[[#This Row],[4B05 - Homeostasis
Raw Score]]),IFERROR(VLOOKUP(ROUND(STANDARDIZE(tblY11[[#This Row],[4B05 - Homeostasis
Raw Score]],AVERAGE(tblY11[[4B05 - Homeostasis
Raw Score]]),_xlfn.STDEV.P(tblY11[[4B05 - Homeostasis
Raw Score]])),9),_Stanine,2),5),"")</f>
        <v>5</v>
      </c>
      <c r="P2" s="66" t="n">
        <v>13</v>
      </c>
      <c r="Q2" s="67">
        <f>IF(ISNUMBER(tblY11[[#This Row],[4C09 - Organic Chemistry
Raw Score]]),IFERROR(VLOOKUP(ROUND(STANDARDIZE(tblY11[[#This Row],[4C09 - Organic Chemistry
Raw Score]],AVERAGE(tblY11[[4C09 - Organic Chemistry
Raw Score]]),_xlfn.STDEV.P(tblY11[[4C09 - Organic Chemistry
Raw Score]])),9),_Stanine,2),5),"")</f>
        <v>4</v>
      </c>
      <c r="R2" s="66" t="n">
        <v>17</v>
      </c>
      <c r="S2" s="67">
        <f>IF(ISNUMBER(tblY11[[#This Row],[4P06 - Waves
Raw Score]]),IFERROR(VLOOKUP(ROUND(STANDARDIZE(tblY11[[#This Row],[4P06 - Waves
Raw Score]],AVERAGE(tblY11[[4P06 - Waves
Raw Score]]),_xlfn.STDEV.P(tblY11[[4P06 - Waves
Raw Score]])),9),_Stanine,2),5),"")</f>
        <v>4</v>
      </c>
      <c r="T2" s="66" t="n">
        <v>20</v>
      </c>
      <c r="U2" s="67">
        <f>IF(ISNUMBER(tblY11[[#This Row],[4B06 - Inheritance
Raw Score]]),IFERROR(VLOOKUP(ROUND(STANDARDIZE(tblY11[[#This Row],[4B06 - Inheritance
Raw Score]],AVERAGE(tblY11[[4B06 - Inheritance
Raw Score]]),_xlfn.STDEV.P(tblY11[[4B06 - Inheritance
Raw Score]])),9),_Stanine,2),5),"")</f>
        <v>5</v>
      </c>
      <c r="V2" s="66" t="n">
        <v>14</v>
      </c>
      <c r="W2" s="67">
        <f>IF(ISNUMBER(tblY11[[#This Row],[4C10 - Chemical Analysis
Raw Score]]),IFERROR(VLOOKUP(ROUND(STANDARDIZE(tblY11[[#This Row],[4C10 - Chemical Analysis
Raw Score]],AVERAGE(tblY11[[4C10 - Chemical Analysis
Raw Score]]),_xlfn.STDEV.P(tblY11[[4C10 - Chemical Analysis
Raw Score]])),9),_Stanine,2),5),"")</f>
        <v>5</v>
      </c>
      <c r="X2" s="66" t="n">
        <v>15</v>
      </c>
      <c r="Y2" s="67">
        <f>IF(ISNUMBER(tblY11[[#This Row],[4P07 - Magnetism
Raw Score]]),IFERROR(VLOOKUP(ROUND(STANDARDIZE(tblY11[[#This Row],[4P07 - Magnetism
Raw Score]],AVERAGE(tblY11[[4P07 - Magnetism
Raw Score]]),_xlfn.STDEV.P(tblY11[[4P07 - Magnetism
Raw Score]])),9),_Stanine,2),5),"")</f>
        <v>5</v>
      </c>
    </row>
    <row r="3">
      <c r="A3" s="65" t="inlineStr">
        <is>
          <t>X903228599986</t>
        </is>
      </c>
      <c r="B3" s="65" t="inlineStr">
        <is>
          <t>Begum</t>
        </is>
      </c>
      <c r="C3" s="65" t="inlineStr">
        <is>
          <t>Rosie</t>
        </is>
      </c>
      <c r="D3" s="66" t="inlineStr">
        <is>
          <t>F</t>
        </is>
      </c>
      <c r="E3" s="66" t="inlineStr">
        <is>
          <t>N</t>
        </is>
      </c>
      <c r="F3" s="66" t="inlineStr">
        <is>
          <t>Y</t>
        </is>
      </c>
      <c r="G3" s="34" t="n">
        <v>95</v>
      </c>
      <c r="H3" s="34" t="n">
        <v>105</v>
      </c>
      <c r="I3" s="67">
        <f>IF(ISNUMBER(tblY11[[#This Row],[Avg KS2]]),IFERROR(VLOOKUP(ROUND(STANDARDIZE(tblY11[[#This Row],[Avg KS2]],AVERAGE(tblY11[[Avg KS2]]),_xlfn.STDEV.P(tblY11[[Avg KS2]])),9),_Stanine,2),5),"")</f>
        <v>5</v>
      </c>
      <c r="J3" s="66" t="inlineStr">
        <is>
          <t>11S/Sc1</t>
        </is>
      </c>
      <c r="K3" s="67">
        <f>IF(tblY11[[#This Row],[Preferred Last name]]="","",COUNTIFS($N$1:$ZZ$1,"*"&amp;CHAR(10)&amp;"Stanine",$N3:$ZZ3,"&gt;=1"))</f>
        <v>6</v>
      </c>
      <c r="L3" s="68">
        <f>IFERROR(AVERAGEIF($N$1:$ZZ$1,"*"&amp;CHAR(10)&amp;"Stanine",$N3:$ZZ3),"")</f>
        <v>4.5</v>
      </c>
      <c r="M3" s="69">
        <f>IF(AND(ISNUMBER(tblY11[[#This Row],[Mean Stanine]]),ISNUMBER(tblY11[[#This Row],[Avg KS2 Band]]),ISNUMBER(SlopeY11)),tblY11[[#This Row],[Mean Stanine]]-(InterceptY11+SlopeY11*tblY11[[#This Row],[Avg KS2 Band]]),"")</f>
        <v>-0.452698412698412</v>
      </c>
      <c r="N3" s="66" t="n">
        <v>20</v>
      </c>
      <c r="O3" s="67">
        <f>IF(ISNUMBER(tblY11[[#This Row],[4B05 - Homeostasis
Raw Score]]),IFERROR(VLOOKUP(ROUND(STANDARDIZE(tblY11[[#This Row],[4B05 - Homeostasis
Raw Score]],AVERAGE(tblY11[[4B05 - Homeostasis
Raw Score]]),_xlfn.STDEV.P(tblY11[[4B05 - Homeostasis
Raw Score]])),9),_Stanine,2),5),"")</f>
        <v>5</v>
      </c>
      <c r="P3" s="66" t="n">
        <v>13</v>
      </c>
      <c r="Q3" s="67">
        <f>IF(ISNUMBER(tblY11[[#This Row],[4C09 - Organic Chemistry
Raw Score]]),IFERROR(VLOOKUP(ROUND(STANDARDIZE(tblY11[[#This Row],[4C09 - Organic Chemistry
Raw Score]],AVERAGE(tblY11[[4C09 - Organic Chemistry
Raw Score]]),_xlfn.STDEV.P(tblY11[[4C09 - Organic Chemistry
Raw Score]])),9),_Stanine,2),5),"")</f>
        <v>4</v>
      </c>
      <c r="R3" s="66" t="n">
        <v>20</v>
      </c>
      <c r="S3" s="67">
        <f>IF(ISNUMBER(tblY11[[#This Row],[4P06 - Waves
Raw Score]]),IFERROR(VLOOKUP(ROUND(STANDARDIZE(tblY11[[#This Row],[4P06 - Waves
Raw Score]],AVERAGE(tblY11[[4P06 - Waves
Raw Score]]),_xlfn.STDEV.P(tblY11[[4P06 - Waves
Raw Score]])),9),_Stanine,2),5),"")</f>
        <v>5</v>
      </c>
      <c r="T3" s="66" t="n">
        <v>19</v>
      </c>
      <c r="U3" s="67">
        <f>IF(ISNUMBER(tblY11[[#This Row],[4B06 - Inheritance
Raw Score]]),IFERROR(VLOOKUP(ROUND(STANDARDIZE(tblY11[[#This Row],[4B06 - Inheritance
Raw Score]],AVERAGE(tblY11[[4B06 - Inheritance
Raw Score]]),_xlfn.STDEV.P(tblY11[[4B06 - Inheritance
Raw Score]])),9),_Stanine,2),5),"")</f>
        <v>5</v>
      </c>
      <c r="V3" s="66" t="n">
        <v>11</v>
      </c>
      <c r="W3" s="67">
        <f>IF(ISNUMBER(tblY11[[#This Row],[4C10 - Chemical Analysis
Raw Score]]),IFERROR(VLOOKUP(ROUND(STANDARDIZE(tblY11[[#This Row],[4C10 - Chemical Analysis
Raw Score]],AVERAGE(tblY11[[4C10 - Chemical Analysis
Raw Score]]),_xlfn.STDEV.P(tblY11[[4C10 - Chemical Analysis
Raw Score]])),9),_Stanine,2),5),"")</f>
        <v>4</v>
      </c>
      <c r="X3" s="66" t="n">
        <v>13</v>
      </c>
      <c r="Y3" s="67">
        <f>IF(ISNUMBER(tblY11[[#This Row],[4P07 - Magnetism
Raw Score]]),IFERROR(VLOOKUP(ROUND(STANDARDIZE(tblY11[[#This Row],[4P07 - Magnetism
Raw Score]],AVERAGE(tblY11[[4P07 - Magnetism
Raw Score]]),_xlfn.STDEV.P(tblY11[[4P07 - Magnetism
Raw Score]])),9),_Stanine,2),5),"")</f>
        <v>4</v>
      </c>
    </row>
    <row r="4">
      <c r="A4" s="65" t="inlineStr">
        <is>
          <t>X905876831829</t>
        </is>
      </c>
      <c r="B4" s="65" t="inlineStr">
        <is>
          <t>Bennett</t>
        </is>
      </c>
      <c r="C4" s="65" t="inlineStr">
        <is>
          <t>George</t>
        </is>
      </c>
      <c r="D4" s="66" t="inlineStr">
        <is>
          <t>M</t>
        </is>
      </c>
      <c r="E4" s="66" t="n"/>
      <c r="F4" s="66" t="inlineStr">
        <is>
          <t>Y</t>
        </is>
      </c>
      <c r="G4" s="34" t="n">
        <v>84.59999999999999</v>
      </c>
      <c r="H4" s="34" t="n">
        <v>110</v>
      </c>
      <c r="I4" s="67">
        <f>IF(ISNUMBER(tblY11[[#This Row],[Avg KS2]]),IFERROR(VLOOKUP(ROUND(STANDARDIZE(tblY11[[#This Row],[Avg KS2]],AVERAGE(tblY11[[Avg KS2]]),_xlfn.STDEV.P(tblY11[[Avg KS2]])),9),_Stanine,2),5),"")</f>
        <v>7</v>
      </c>
      <c r="J4" s="66" t="inlineStr">
        <is>
          <t>11S/Sc1</t>
        </is>
      </c>
      <c r="K4" s="67">
        <f>IF(tblY11[[#This Row],[Preferred Last name]]="","",COUNTIFS($N$1:$ZZ$1,"*"&amp;CHAR(10)&amp;"Stanine",$N4:$ZZ4,"&gt;=1"))</f>
        <v>6</v>
      </c>
      <c r="L4" s="68">
        <f>IFERROR(AVERAGEIF($N$1:$ZZ$1,"*"&amp;CHAR(10)&amp;"Stanine",$N4:$ZZ4),"")</f>
        <v>6.33333333333333</v>
      </c>
      <c r="M4" s="69">
        <f>IF(AND(ISNUMBER(tblY11[[#This Row],[Mean Stanine]]),ISNUMBER(tblY11[[#This Row],[Avg KS2 Band]]),ISNUMBER(SlopeY11)),tblY11[[#This Row],[Mean Stanine]]-(InterceptY11+SlopeY11*tblY11[[#This Row],[Avg KS2 Band]]),"")</f>
        <v>-0.117092352092352</v>
      </c>
      <c r="N4" s="66" t="n">
        <v>30</v>
      </c>
      <c r="O4" s="67">
        <f>IF(ISNUMBER(tblY11[[#This Row],[4B05 - Homeostasis
Raw Score]]),IFERROR(VLOOKUP(ROUND(STANDARDIZE(tblY11[[#This Row],[4B05 - Homeostasis
Raw Score]],AVERAGE(tblY11[[4B05 - Homeostasis
Raw Score]]),_xlfn.STDEV.P(tblY11[[4B05 - Homeostasis
Raw Score]])),9),_Stanine,2),5),"")</f>
        <v>7</v>
      </c>
      <c r="P4" s="66" t="n">
        <v>17</v>
      </c>
      <c r="Q4" s="67">
        <f>IF(ISNUMBER(tblY11[[#This Row],[4C09 - Organic Chemistry
Raw Score]]),IFERROR(VLOOKUP(ROUND(STANDARDIZE(tblY11[[#This Row],[4C09 - Organic Chemistry
Raw Score]],AVERAGE(tblY11[[4C09 - Organic Chemistry
Raw Score]]),_xlfn.STDEV.P(tblY11[[4C09 - Organic Chemistry
Raw Score]])),9),_Stanine,2),5),"")</f>
        <v>5</v>
      </c>
      <c r="R4" s="66" t="n">
        <v>31</v>
      </c>
      <c r="S4" s="67">
        <f>IF(ISNUMBER(tblY11[[#This Row],[4P06 - Waves
Raw Score]]),IFERROR(VLOOKUP(ROUND(STANDARDIZE(tblY11[[#This Row],[4P06 - Waves
Raw Score]],AVERAGE(tblY11[[4P06 - Waves
Raw Score]]),_xlfn.STDEV.P(tblY11[[4P06 - Waves
Raw Score]])),9),_Stanine,2),5),"")</f>
        <v>7</v>
      </c>
      <c r="T4" s="66" t="n">
        <v>25</v>
      </c>
      <c r="U4" s="67">
        <f>IF(ISNUMBER(tblY11[[#This Row],[4B06 - Inheritance
Raw Score]]),IFERROR(VLOOKUP(ROUND(STANDARDIZE(tblY11[[#This Row],[4B06 - Inheritance
Raw Score]],AVERAGE(tblY11[[4B06 - Inheritance
Raw Score]]),_xlfn.STDEV.P(tblY11[[4B06 - Inheritance
Raw Score]])),9),_Stanine,2),5),"")</f>
        <v>6</v>
      </c>
      <c r="V4" s="66" t="n">
        <v>21</v>
      </c>
      <c r="W4" s="67">
        <f>IF(ISNUMBER(tblY11[[#This Row],[4C10 - Chemical Analysis
Raw Score]]),IFERROR(VLOOKUP(ROUND(STANDARDIZE(tblY11[[#This Row],[4C10 - Chemical Analysis
Raw Score]],AVERAGE(tblY11[[4C10 - Chemical Analysis
Raw Score]]),_xlfn.STDEV.P(tblY11[[4C10 - Chemical Analysis
Raw Score]])),9),_Stanine,2),5),"")</f>
        <v>7</v>
      </c>
      <c r="X4" s="66" t="n">
        <v>21</v>
      </c>
      <c r="Y4" s="67">
        <f>IF(ISNUMBER(tblY11[[#This Row],[4P07 - Magnetism
Raw Score]]),IFERROR(VLOOKUP(ROUND(STANDARDIZE(tblY11[[#This Row],[4P07 - Magnetism
Raw Score]],AVERAGE(tblY11[[4P07 - Magnetism
Raw Score]]),_xlfn.STDEV.P(tblY11[[4P07 - Magnetism
Raw Score]])),9),_Stanine,2),5),"")</f>
        <v>6</v>
      </c>
    </row>
    <row r="5">
      <c r="A5" s="65" t="inlineStr">
        <is>
          <t>X906891673493</t>
        </is>
      </c>
      <c r="B5" s="65" t="inlineStr">
        <is>
          <t>Clarke</t>
        </is>
      </c>
      <c r="C5" s="65" t="inlineStr">
        <is>
          <t>Niamh</t>
        </is>
      </c>
      <c r="D5" s="66" t="inlineStr">
        <is>
          <t>M</t>
        </is>
      </c>
      <c r="E5" s="66" t="inlineStr">
        <is>
          <t>N</t>
        </is>
      </c>
      <c r="F5" s="66" t="inlineStr">
        <is>
          <t>Y</t>
        </is>
      </c>
      <c r="G5" s="34" t="n">
        <v>90.5</v>
      </c>
      <c r="H5" s="34" t="n">
        <v>114.5</v>
      </c>
      <c r="I5" s="67">
        <f>IF(ISNUMBER(tblY11[[#This Row],[Avg KS2]]),IFERROR(VLOOKUP(ROUND(STANDARDIZE(tblY11[[#This Row],[Avg KS2]],AVERAGE(tblY11[[Avg KS2]]),_xlfn.STDEV.P(tblY11[[Avg KS2]])),9),_Stanine,2),5),"")</f>
        <v>8</v>
      </c>
      <c r="J5" s="66" t="inlineStr">
        <is>
          <t>11S/Sc1</t>
        </is>
      </c>
      <c r="K5" s="67">
        <f>IF(tblY11[[#This Row],[Preferred Last name]]="","",COUNTIFS($N$1:$ZZ$1,"*"&amp;CHAR(10)&amp;"Stanine",$N5:$ZZ5,"&gt;=1"))</f>
        <v>6</v>
      </c>
      <c r="L5" s="68">
        <f>IFERROR(AVERAGEIF($N$1:$ZZ$1,"*"&amp;CHAR(10)&amp;"Stanine",$N5:$ZZ5),"")</f>
        <v>9</v>
      </c>
      <c r="M5" s="69">
        <f>IF(AND(ISNUMBER(tblY11[[#This Row],[Mean Stanine]]),ISNUMBER(tblY11[[#This Row],[Avg KS2 Band]]),ISNUMBER(SlopeY11)),tblY11[[#This Row],[Mean Stanine]]-(InterceptY11+SlopeY11*tblY11[[#This Row],[Avg KS2 Band]]),"")</f>
        <v>1.80071067821068</v>
      </c>
      <c r="N5" s="66" t="n">
        <v>36</v>
      </c>
      <c r="O5" s="67">
        <f>IF(ISNUMBER(tblY11[[#This Row],[4B05 - Homeostasis
Raw Score]]),IFERROR(VLOOKUP(ROUND(STANDARDIZE(tblY11[[#This Row],[4B05 - Homeostasis
Raw Score]],AVERAGE(tblY11[[4B05 - Homeostasis
Raw Score]]),_xlfn.STDEV.P(tblY11[[4B05 - Homeostasis
Raw Score]])),9),_Stanine,2),5),"")</f>
        <v>9</v>
      </c>
      <c r="P5" s="66" t="n">
        <v>30</v>
      </c>
      <c r="Q5" s="67">
        <f>IF(ISNUMBER(tblY11[[#This Row],[4C09 - Organic Chemistry
Raw Score]]),IFERROR(VLOOKUP(ROUND(STANDARDIZE(tblY11[[#This Row],[4C09 - Organic Chemistry
Raw Score]],AVERAGE(tblY11[[4C09 - Organic Chemistry
Raw Score]]),_xlfn.STDEV.P(tblY11[[4C09 - Organic Chemistry
Raw Score]])),9),_Stanine,2),5),"")</f>
        <v>9</v>
      </c>
      <c r="R5" s="66" t="n">
        <v>36</v>
      </c>
      <c r="S5" s="67">
        <f>IF(ISNUMBER(tblY11[[#This Row],[4P06 - Waves
Raw Score]]),IFERROR(VLOOKUP(ROUND(STANDARDIZE(tblY11[[#This Row],[4P06 - Waves
Raw Score]],AVERAGE(tblY11[[4P06 - Waves
Raw Score]]),_xlfn.STDEV.P(tblY11[[4P06 - Waves
Raw Score]])),9),_Stanine,2),5),"")</f>
        <v>9</v>
      </c>
      <c r="T5" s="66" t="n">
        <v>39</v>
      </c>
      <c r="U5" s="67">
        <f>IF(ISNUMBER(tblY11[[#This Row],[4B06 - Inheritance
Raw Score]]),IFERROR(VLOOKUP(ROUND(STANDARDIZE(tblY11[[#This Row],[4B06 - Inheritance
Raw Score]],AVERAGE(tblY11[[4B06 - Inheritance
Raw Score]]),_xlfn.STDEV.P(tblY11[[4B06 - Inheritance
Raw Score]])),9),_Stanine,2),5),"")</f>
        <v>9</v>
      </c>
      <c r="V5" s="66" t="n">
        <v>27</v>
      </c>
      <c r="W5" s="67">
        <f>IF(ISNUMBER(tblY11[[#This Row],[4C10 - Chemical Analysis
Raw Score]]),IFERROR(VLOOKUP(ROUND(STANDARDIZE(tblY11[[#This Row],[4C10 - Chemical Analysis
Raw Score]],AVERAGE(tblY11[[4C10 - Chemical Analysis
Raw Score]]),_xlfn.STDEV.P(tblY11[[4C10 - Chemical Analysis
Raw Score]])),9),_Stanine,2),5),"")</f>
        <v>9</v>
      </c>
      <c r="X5" s="66" t="n">
        <v>30</v>
      </c>
      <c r="Y5" s="67">
        <f>IF(ISNUMBER(tblY11[[#This Row],[4P07 - Magnetism
Raw Score]]),IFERROR(VLOOKUP(ROUND(STANDARDIZE(tblY11[[#This Row],[4P07 - Magnetism
Raw Score]],AVERAGE(tblY11[[4P07 - Magnetism
Raw Score]]),_xlfn.STDEV.P(tblY11[[4P07 - Magnetism
Raw Score]])),9),_Stanine,2),5),"")</f>
        <v>9</v>
      </c>
    </row>
    <row r="6">
      <c r="A6" s="65" t="inlineStr">
        <is>
          <t>X903864717117</t>
        </is>
      </c>
      <c r="B6" s="65" t="inlineStr">
        <is>
          <t>Cooper</t>
        </is>
      </c>
      <c r="C6" s="65" t="inlineStr">
        <is>
          <t>Ava</t>
        </is>
      </c>
      <c r="D6" s="66" t="inlineStr">
        <is>
          <t>F</t>
        </is>
      </c>
      <c r="E6" s="66" t="inlineStr">
        <is>
          <t>N</t>
        </is>
      </c>
      <c r="F6" s="66" t="inlineStr">
        <is>
          <t>Y</t>
        </is>
      </c>
      <c r="G6" s="34" t="n">
        <v>95.2</v>
      </c>
      <c r="H6" s="34" t="n">
        <v>105</v>
      </c>
      <c r="I6" s="67">
        <f>IF(ISNUMBER(tblY11[[#This Row],[Avg KS2]]),IFERROR(VLOOKUP(ROUND(STANDARDIZE(tblY11[[#This Row],[Avg KS2]],AVERAGE(tblY11[[Avg KS2]]),_xlfn.STDEV.P(tblY11[[Avg KS2]])),9),_Stanine,2),5),"")</f>
        <v>5</v>
      </c>
      <c r="J6" s="66" t="inlineStr">
        <is>
          <t>11S/Sc1</t>
        </is>
      </c>
      <c r="K6" s="67">
        <f>IF(tblY11[[#This Row],[Preferred Last name]]="","",COUNTIFS($N$1:$ZZ$1,"*"&amp;CHAR(10)&amp;"Stanine",$N6:$ZZ6,"&gt;=1"))</f>
        <v>5</v>
      </c>
      <c r="L6" s="68">
        <f>IFERROR(AVERAGEIF($N$1:$ZZ$1,"*"&amp;CHAR(10)&amp;"Stanine",$N6:$ZZ6),"")</f>
        <v>6</v>
      </c>
      <c r="M6" s="69">
        <f>IF(AND(ISNUMBER(tblY11[[#This Row],[Mean Stanine]]),ISNUMBER(tblY11[[#This Row],[Avg KS2 Band]]),ISNUMBER(SlopeY11)),tblY11[[#This Row],[Mean Stanine]]-(InterceptY11+SlopeY11*tblY11[[#This Row],[Avg KS2 Band]]),"")</f>
        <v>1.04730158730159</v>
      </c>
      <c r="N6" s="66" t="n">
        <v>27</v>
      </c>
      <c r="O6" s="67">
        <f>IF(ISNUMBER(tblY11[[#This Row],[4B05 - Homeostasis
Raw Score]]),IFERROR(VLOOKUP(ROUND(STANDARDIZE(tblY11[[#This Row],[4B05 - Homeostasis
Raw Score]],AVERAGE(tblY11[[4B05 - Homeostasis
Raw Score]]),_xlfn.STDEV.P(tblY11[[4B05 - Homeostasis
Raw Score]])),9),_Stanine,2),5),"")</f>
        <v>6</v>
      </c>
      <c r="P6" s="66" t="inlineStr">
        <is>
          <t>A</t>
        </is>
      </c>
      <c r="Q6" s="67" t="str">
        <f>IF(ISNUMBER(tblY11[[#This Row],[4C09 - Organic Chemistry
Raw Score]]),IFERROR(VLOOKUP(ROUND(STANDARDIZE(tblY11[[#This Row],[4C09 - Organic Chemistry
Raw Score]],AVERAGE(tblY11[[4C09 - Organic Chemistry
Raw Score]]),_xlfn.STDEV.P(tblY11[[4C09 - Organic Chemistry
Raw Score]])),9),_Stanine,2),5),"")</f>
        <v/>
      </c>
      <c r="R6" s="66" t="n">
        <v>29</v>
      </c>
      <c r="S6" s="67">
        <f>IF(ISNUMBER(tblY11[[#This Row],[4P06 - Waves
Raw Score]]),IFERROR(VLOOKUP(ROUND(STANDARDIZE(tblY11[[#This Row],[4P06 - Waves
Raw Score]],AVERAGE(tblY11[[4P06 - Waves
Raw Score]]),_xlfn.STDEV.P(tblY11[[4P06 - Waves
Raw Score]])),9),_Stanine,2),5),"")</f>
        <v>7</v>
      </c>
      <c r="T6" s="66" t="n">
        <v>25</v>
      </c>
      <c r="U6" s="67">
        <f>IF(ISNUMBER(tblY11[[#This Row],[4B06 - Inheritance
Raw Score]]),IFERROR(VLOOKUP(ROUND(STANDARDIZE(tblY11[[#This Row],[4B06 - Inheritance
Raw Score]],AVERAGE(tblY11[[4B06 - Inheritance
Raw Score]]),_xlfn.STDEV.P(tblY11[[4B06 - Inheritance
Raw Score]])),9),_Stanine,2),5),"")</f>
        <v>6</v>
      </c>
      <c r="V6" s="66" t="n">
        <v>18</v>
      </c>
      <c r="W6" s="67">
        <f>IF(ISNUMBER(tblY11[[#This Row],[4C10 - Chemical Analysis
Raw Score]]),IFERROR(VLOOKUP(ROUND(STANDARDIZE(tblY11[[#This Row],[4C10 - Chemical Analysis
Raw Score]],AVERAGE(tblY11[[4C10 - Chemical Analysis
Raw Score]]),_xlfn.STDEV.P(tblY11[[4C10 - Chemical Analysis
Raw Score]])),9),_Stanine,2),5),"")</f>
        <v>6</v>
      </c>
      <c r="X6" s="66" t="n">
        <v>17</v>
      </c>
      <c r="Y6" s="67">
        <f>IF(ISNUMBER(tblY11[[#This Row],[4P07 - Magnetism
Raw Score]]),IFERROR(VLOOKUP(ROUND(STANDARDIZE(tblY11[[#This Row],[4P07 - Magnetism
Raw Score]],AVERAGE(tblY11[[4P07 - Magnetism
Raw Score]]),_xlfn.STDEV.P(tblY11[[4P07 - Magnetism
Raw Score]])),9),_Stanine,2),5),"")</f>
        <v>5</v>
      </c>
    </row>
    <row r="7">
      <c r="A7" s="65" t="inlineStr">
        <is>
          <t>X909997518665</t>
        </is>
      </c>
      <c r="B7" s="65" t="inlineStr">
        <is>
          <t>Cooper</t>
        </is>
      </c>
      <c r="C7" s="65" t="inlineStr">
        <is>
          <t>Lewis</t>
        </is>
      </c>
      <c r="D7" s="66" t="inlineStr">
        <is>
          <t>M</t>
        </is>
      </c>
      <c r="E7" s="66" t="inlineStr">
        <is>
          <t>N</t>
        </is>
      </c>
      <c r="F7" s="66" t="inlineStr">
        <is>
          <t>N</t>
        </is>
      </c>
      <c r="G7" s="34" t="n">
        <v>90.2</v>
      </c>
      <c r="H7" s="34" t="n">
        <v>105</v>
      </c>
      <c r="I7" s="67">
        <f>IF(ISNUMBER(tblY11[[#This Row],[Avg KS2]]),IFERROR(VLOOKUP(ROUND(STANDARDIZE(tblY11[[#This Row],[Avg KS2]],AVERAGE(tblY11[[Avg KS2]]),_xlfn.STDEV.P(tblY11[[Avg KS2]])),9),_Stanine,2),5),"")</f>
        <v>5</v>
      </c>
      <c r="J7" s="66" t="inlineStr">
        <is>
          <t>11S/Sc1</t>
        </is>
      </c>
      <c r="K7" s="67">
        <f>IF(tblY11[[#This Row],[Preferred Last name]]="","",COUNTIFS($N$1:$ZZ$1,"*"&amp;CHAR(10)&amp;"Stanine",$N7:$ZZ7,"&gt;=1"))</f>
        <v>5</v>
      </c>
      <c r="L7" s="68">
        <f>IFERROR(AVERAGEIF($N$1:$ZZ$1,"*"&amp;CHAR(10)&amp;"Stanine",$N7:$ZZ7),"")</f>
        <v>4.8</v>
      </c>
      <c r="M7" s="69">
        <f>IF(AND(ISNUMBER(tblY11[[#This Row],[Mean Stanine]]),ISNUMBER(tblY11[[#This Row],[Avg KS2 Band]]),ISNUMBER(SlopeY11)),tblY11[[#This Row],[Mean Stanine]]-(InterceptY11+SlopeY11*tblY11[[#This Row],[Avg KS2 Band]]),"")</f>
        <v>-0.152698412698412</v>
      </c>
      <c r="N7" s="66" t="inlineStr">
        <is>
          <t>A</t>
        </is>
      </c>
      <c r="O7" s="67" t="str">
        <f>IF(ISNUMBER(tblY11[[#This Row],[4B05 - Homeostasis
Raw Score]]),IFERROR(VLOOKUP(ROUND(STANDARDIZE(tblY11[[#This Row],[4B05 - Homeostasis
Raw Score]],AVERAGE(tblY11[[4B05 - Homeostasis
Raw Score]]),_xlfn.STDEV.P(tblY11[[4B05 - Homeostasis
Raw Score]])),9),_Stanine,2),5),"")</f>
        <v/>
      </c>
      <c r="P7" s="66" t="n">
        <v>16</v>
      </c>
      <c r="Q7" s="67">
        <f>IF(ISNUMBER(tblY11[[#This Row],[4C09 - Organic Chemistry
Raw Score]]),IFERROR(VLOOKUP(ROUND(STANDARDIZE(tblY11[[#This Row],[4C09 - Organic Chemistry
Raw Score]],AVERAGE(tblY11[[4C09 - Organic Chemistry
Raw Score]]),_xlfn.STDEV.P(tblY11[[4C09 - Organic Chemistry
Raw Score]])),9),_Stanine,2),5),"")</f>
        <v>5</v>
      </c>
      <c r="R7" s="66" t="n">
        <v>20</v>
      </c>
      <c r="S7" s="67">
        <f>IF(ISNUMBER(tblY11[[#This Row],[4P06 - Waves
Raw Score]]),IFERROR(VLOOKUP(ROUND(STANDARDIZE(tblY11[[#This Row],[4P06 - Waves
Raw Score]],AVERAGE(tblY11[[4P06 - Waves
Raw Score]]),_xlfn.STDEV.P(tblY11[[4P06 - Waves
Raw Score]])),9),_Stanine,2),5),"")</f>
        <v>5</v>
      </c>
      <c r="T7" s="66" t="n">
        <v>17</v>
      </c>
      <c r="U7" s="67">
        <f>IF(ISNUMBER(tblY11[[#This Row],[4B06 - Inheritance
Raw Score]]),IFERROR(VLOOKUP(ROUND(STANDARDIZE(tblY11[[#This Row],[4B06 - Inheritance
Raw Score]],AVERAGE(tblY11[[4B06 - Inheritance
Raw Score]]),_xlfn.STDEV.P(tblY11[[4B06 - Inheritance
Raw Score]])),9),_Stanine,2),5),"")</f>
        <v>5</v>
      </c>
      <c r="V7" s="66" t="n">
        <v>13</v>
      </c>
      <c r="W7" s="67">
        <f>IF(ISNUMBER(tblY11[[#This Row],[4C10 - Chemical Analysis
Raw Score]]),IFERROR(VLOOKUP(ROUND(STANDARDIZE(tblY11[[#This Row],[4C10 - Chemical Analysis
Raw Score]],AVERAGE(tblY11[[4C10 - Chemical Analysis
Raw Score]]),_xlfn.STDEV.P(tblY11[[4C10 - Chemical Analysis
Raw Score]])),9),_Stanine,2),5),"")</f>
        <v>5</v>
      </c>
      <c r="X7" s="66" t="n">
        <v>12</v>
      </c>
      <c r="Y7" s="67">
        <f>IF(ISNUMBER(tblY11[[#This Row],[4P07 - Magnetism
Raw Score]]),IFERROR(VLOOKUP(ROUND(STANDARDIZE(tblY11[[#This Row],[4P07 - Magnetism
Raw Score]],AVERAGE(tblY11[[4P07 - Magnetism
Raw Score]]),_xlfn.STDEV.P(tblY11[[4P07 - Magnetism
Raw Score]])),9),_Stanine,2),5),"")</f>
        <v>4</v>
      </c>
    </row>
    <row r="8">
      <c r="A8" s="65" t="inlineStr">
        <is>
          <t>X903259072589</t>
        </is>
      </c>
      <c r="B8" s="65" t="inlineStr">
        <is>
          <t>Evans</t>
        </is>
      </c>
      <c r="C8" s="65" t="inlineStr">
        <is>
          <t>Hannah</t>
        </is>
      </c>
      <c r="D8" s="66" t="inlineStr">
        <is>
          <t>M</t>
        </is>
      </c>
      <c r="E8" s="66" t="n"/>
      <c r="F8" s="66" t="inlineStr">
        <is>
          <t>N</t>
        </is>
      </c>
      <c r="G8" s="34" t="n">
        <v>94</v>
      </c>
      <c r="H8" s="34" t="n">
        <v>106.5</v>
      </c>
      <c r="I8" s="67">
        <f>IF(ISNUMBER(tblY11[[#This Row],[Avg KS2]]),IFERROR(VLOOKUP(ROUND(STANDARDIZE(tblY11[[#This Row],[Avg KS2]],AVERAGE(tblY11[[Avg KS2]]),_xlfn.STDEV.P(tblY11[[Avg KS2]])),9),_Stanine,2),5),"")</f>
        <v>6</v>
      </c>
      <c r="J8" s="66" t="inlineStr">
        <is>
          <t>11S/Sc1</t>
        </is>
      </c>
      <c r="K8" s="67">
        <f>IF(tblY11[[#This Row],[Preferred Last name]]="","",COUNTIFS($N$1:$ZZ$1,"*"&amp;CHAR(10)&amp;"Stanine",$N8:$ZZ8,"&gt;=1"))</f>
        <v>6</v>
      </c>
      <c r="L8" s="68">
        <f>IFERROR(AVERAGEIF($N$1:$ZZ$1,"*"&amp;CHAR(10)&amp;"Stanine",$N8:$ZZ8),"")</f>
        <v>6.16666666666667</v>
      </c>
      <c r="M8" s="69">
        <f>IF(AND(ISNUMBER(tblY11[[#This Row],[Mean Stanine]]),ISNUMBER(tblY11[[#This Row],[Avg KS2 Band]]),ISNUMBER(SlopeY11)),tblY11[[#This Row],[Mean Stanine]]-(InterceptY11+SlopeY11*tblY11[[#This Row],[Avg KS2 Band]]),"")</f>
        <v>0.465104617604618</v>
      </c>
      <c r="N8" s="66" t="n">
        <v>28</v>
      </c>
      <c r="O8" s="67">
        <f>IF(ISNUMBER(tblY11[[#This Row],[4B05 - Homeostasis
Raw Score]]),IFERROR(VLOOKUP(ROUND(STANDARDIZE(tblY11[[#This Row],[4B05 - Homeostasis
Raw Score]],AVERAGE(tblY11[[4B05 - Homeostasis
Raw Score]]),_xlfn.STDEV.P(tblY11[[4B05 - Homeostasis
Raw Score]])),9),_Stanine,2),5),"")</f>
        <v>7</v>
      </c>
      <c r="P8" s="66" t="n">
        <v>21</v>
      </c>
      <c r="Q8" s="67">
        <f>IF(ISNUMBER(tblY11[[#This Row],[4C09 - Organic Chemistry
Raw Score]]),IFERROR(VLOOKUP(ROUND(STANDARDIZE(tblY11[[#This Row],[4C09 - Organic Chemistry
Raw Score]],AVERAGE(tblY11[[4C09 - Organic Chemistry
Raw Score]]),_xlfn.STDEV.P(tblY11[[4C09 - Organic Chemistry
Raw Score]])),9),_Stanine,2),5),"")</f>
        <v>6</v>
      </c>
      <c r="R8" s="66" t="n">
        <v>28</v>
      </c>
      <c r="S8" s="67">
        <f>IF(ISNUMBER(tblY11[[#This Row],[4P06 - Waves
Raw Score]]),IFERROR(VLOOKUP(ROUND(STANDARDIZE(tblY11[[#This Row],[4P06 - Waves
Raw Score]],AVERAGE(tblY11[[4P06 - Waves
Raw Score]]),_xlfn.STDEV.P(tblY11[[4P06 - Waves
Raw Score]])),9),_Stanine,2),5),"")</f>
        <v>7</v>
      </c>
      <c r="T8" s="66" t="n">
        <v>20</v>
      </c>
      <c r="U8" s="67">
        <f>IF(ISNUMBER(tblY11[[#This Row],[4B06 - Inheritance
Raw Score]]),IFERROR(VLOOKUP(ROUND(STANDARDIZE(tblY11[[#This Row],[4B06 - Inheritance
Raw Score]],AVERAGE(tblY11[[4B06 - Inheritance
Raw Score]]),_xlfn.STDEV.P(tblY11[[4B06 - Inheritance
Raw Score]])),9),_Stanine,2),5),"")</f>
        <v>5</v>
      </c>
      <c r="V8" s="66" t="n">
        <v>15</v>
      </c>
      <c r="W8" s="67">
        <f>IF(ISNUMBER(tblY11[[#This Row],[4C10 - Chemical Analysis
Raw Score]]),IFERROR(VLOOKUP(ROUND(STANDARDIZE(tblY11[[#This Row],[4C10 - Chemical Analysis
Raw Score]],AVERAGE(tblY11[[4C10 - Chemical Analysis
Raw Score]]),_xlfn.STDEV.P(tblY11[[4C10 - Chemical Analysis
Raw Score]])),9),_Stanine,2),5),"")</f>
        <v>5</v>
      </c>
      <c r="X8" s="66" t="n">
        <v>23</v>
      </c>
      <c r="Y8" s="67">
        <f>IF(ISNUMBER(tblY11[[#This Row],[4P07 - Magnetism
Raw Score]]),IFERROR(VLOOKUP(ROUND(STANDARDIZE(tblY11[[#This Row],[4P07 - Magnetism
Raw Score]],AVERAGE(tblY11[[4P07 - Magnetism
Raw Score]]),_xlfn.STDEV.P(tblY11[[4P07 - Magnetism
Raw Score]])),9),_Stanine,2),5),"")</f>
        <v>7</v>
      </c>
    </row>
    <row r="9">
      <c r="A9" s="65" t="inlineStr">
        <is>
          <t>X909288970022</t>
        </is>
      </c>
      <c r="B9" s="65" t="inlineStr">
        <is>
          <t>Hall</t>
        </is>
      </c>
      <c r="C9" s="65" t="inlineStr">
        <is>
          <t>Amara</t>
        </is>
      </c>
      <c r="D9" s="66" t="inlineStr">
        <is>
          <t>M</t>
        </is>
      </c>
      <c r="E9" s="66" t="n"/>
      <c r="F9" s="66" t="inlineStr">
        <is>
          <t>Y</t>
        </is>
      </c>
      <c r="G9" s="34" t="n">
        <v>85.90000000000001</v>
      </c>
      <c r="H9" s="34" t="n">
        <v>107</v>
      </c>
      <c r="I9" s="67">
        <f>IF(ISNUMBER(tblY11[[#This Row],[Avg KS2]]),IFERROR(VLOOKUP(ROUND(STANDARDIZE(tblY11[[#This Row],[Avg KS2]],AVERAGE(tblY11[[Avg KS2]]),_xlfn.STDEV.P(tblY11[[Avg KS2]])),9),_Stanine,2),5),"")</f>
        <v>6</v>
      </c>
      <c r="J9" s="66" t="inlineStr">
        <is>
          <t>11S/Sc1</t>
        </is>
      </c>
      <c r="K9" s="67">
        <f>IF(tblY11[[#This Row],[Preferred Last name]]="","",COUNTIFS($N$1:$ZZ$1,"*"&amp;CHAR(10)&amp;"Stanine",$N9:$ZZ9,"&gt;=1"))</f>
        <v>5</v>
      </c>
      <c r="L9" s="68">
        <f>IFERROR(AVERAGEIF($N$1:$ZZ$1,"*"&amp;CHAR(10)&amp;"Stanine",$N9:$ZZ9),"")</f>
        <v>5.8</v>
      </c>
      <c r="M9" s="69">
        <f>IF(AND(ISNUMBER(tblY11[[#This Row],[Mean Stanine]]),ISNUMBER(tblY11[[#This Row],[Avg KS2 Band]]),ISNUMBER(SlopeY11)),tblY11[[#This Row],[Mean Stanine]]-(InterceptY11+SlopeY11*tblY11[[#This Row],[Avg KS2 Band]]),"")</f>
        <v>0.0984379509379512</v>
      </c>
      <c r="N9" s="66" t="n">
        <v>23</v>
      </c>
      <c r="O9" s="67">
        <f>IF(ISNUMBER(tblY11[[#This Row],[4B05 - Homeostasis
Raw Score]]),IFERROR(VLOOKUP(ROUND(STANDARDIZE(tblY11[[#This Row],[4B05 - Homeostasis
Raw Score]],AVERAGE(tblY11[[4B05 - Homeostasis
Raw Score]]),_xlfn.STDEV.P(tblY11[[4B05 - Homeostasis
Raw Score]])),9),_Stanine,2),5),"")</f>
        <v>6</v>
      </c>
      <c r="P9" s="66" t="n">
        <v>16</v>
      </c>
      <c r="Q9" s="67">
        <f>IF(ISNUMBER(tblY11[[#This Row],[4C09 - Organic Chemistry
Raw Score]]),IFERROR(VLOOKUP(ROUND(STANDARDIZE(tblY11[[#This Row],[4C09 - Organic Chemistry
Raw Score]],AVERAGE(tblY11[[4C09 - Organic Chemistry
Raw Score]]),_xlfn.STDEV.P(tblY11[[4C09 - Organic Chemistry
Raw Score]])),9),_Stanine,2),5),"")</f>
        <v>5</v>
      </c>
      <c r="R9" s="66" t="n">
        <v>26</v>
      </c>
      <c r="S9" s="67">
        <f>IF(ISNUMBER(tblY11[[#This Row],[4P06 - Waves
Raw Score]]),IFERROR(VLOOKUP(ROUND(STANDARDIZE(tblY11[[#This Row],[4P06 - Waves
Raw Score]],AVERAGE(tblY11[[4P06 - Waves
Raw Score]]),_xlfn.STDEV.P(tblY11[[4P06 - Waves
Raw Score]])),9),_Stanine,2),5),"")</f>
        <v>6</v>
      </c>
      <c r="T9" s="66" t="n">
        <v>25</v>
      </c>
      <c r="U9" s="67">
        <f>IF(ISNUMBER(tblY11[[#This Row],[4B06 - Inheritance
Raw Score]]),IFERROR(VLOOKUP(ROUND(STANDARDIZE(tblY11[[#This Row],[4B06 - Inheritance
Raw Score]],AVERAGE(tblY11[[4B06 - Inheritance
Raw Score]]),_xlfn.STDEV.P(tblY11[[4B06 - Inheritance
Raw Score]])),9),_Stanine,2),5),"")</f>
        <v>6</v>
      </c>
      <c r="V9" s="66" t="n">
        <v>17</v>
      </c>
      <c r="W9" s="67">
        <f>IF(ISNUMBER(tblY11[[#This Row],[4C10 - Chemical Analysis
Raw Score]]),IFERROR(VLOOKUP(ROUND(STANDARDIZE(tblY11[[#This Row],[4C10 - Chemical Analysis
Raw Score]],AVERAGE(tblY11[[4C10 - Chemical Analysis
Raw Score]]),_xlfn.STDEV.P(tblY11[[4C10 - Chemical Analysis
Raw Score]])),9),_Stanine,2),5),"")</f>
        <v>6</v>
      </c>
      <c r="X9" s="66" t="inlineStr">
        <is>
          <t>A</t>
        </is>
      </c>
      <c r="Y9" s="67" t="str">
        <f>IF(ISNUMBER(tblY11[[#This Row],[4P07 - Magnetism
Raw Score]]),IFERROR(VLOOKUP(ROUND(STANDARDIZE(tblY11[[#This Row],[4P07 - Magnetism
Raw Score]],AVERAGE(tblY11[[4P07 - Magnetism
Raw Score]]),_xlfn.STDEV.P(tblY11[[4P07 - Magnetism
Raw Score]])),9),_Stanine,2),5),"")</f>
        <v/>
      </c>
    </row>
    <row r="10">
      <c r="A10" s="65" t="inlineStr">
        <is>
          <t>X900498885225</t>
        </is>
      </c>
      <c r="B10" s="65" t="inlineStr">
        <is>
          <t>Harrison</t>
        </is>
      </c>
      <c r="C10" s="65" t="inlineStr">
        <is>
          <t>Ella</t>
        </is>
      </c>
      <c r="D10" s="66" t="inlineStr">
        <is>
          <t>M</t>
        </is>
      </c>
      <c r="E10" s="66" t="inlineStr">
        <is>
          <t>N</t>
        </is>
      </c>
      <c r="F10" s="66" t="inlineStr">
        <is>
          <t>N</t>
        </is>
      </c>
      <c r="G10" s="34" t="n">
        <v>97.40000000000001</v>
      </c>
      <c r="H10" s="34" t="n">
        <v>109</v>
      </c>
      <c r="I10" s="67">
        <f>IF(ISNUMBER(tblY11[[#This Row],[Avg KS2]]),IFERROR(VLOOKUP(ROUND(STANDARDIZE(tblY11[[#This Row],[Avg KS2]],AVERAGE(tblY11[[Avg KS2]]),_xlfn.STDEV.P(tblY11[[Avg KS2]])),9),_Stanine,2),5),"")</f>
        <v>6</v>
      </c>
      <c r="J10" s="66" t="inlineStr">
        <is>
          <t>11S/Sc1</t>
        </is>
      </c>
      <c r="K10" s="67">
        <f>IF(tblY11[[#This Row],[Preferred Last name]]="","",COUNTIFS($N$1:$ZZ$1,"*"&amp;CHAR(10)&amp;"Stanine",$N10:$ZZ10,"&gt;=1"))</f>
        <v>6</v>
      </c>
      <c r="L10" s="68">
        <f>IFERROR(AVERAGEIF($N$1:$ZZ$1,"*"&amp;CHAR(10)&amp;"Stanine",$N10:$ZZ10),"")</f>
        <v>6.5</v>
      </c>
      <c r="M10" s="69">
        <f>IF(AND(ISNUMBER(tblY11[[#This Row],[Mean Stanine]]),ISNUMBER(tblY11[[#This Row],[Avg KS2 Band]]),ISNUMBER(SlopeY11)),tblY11[[#This Row],[Mean Stanine]]-(InterceptY11+SlopeY11*tblY11[[#This Row],[Avg KS2 Band]]),"")</f>
        <v>0.798437950937951</v>
      </c>
      <c r="N10" s="66" t="n">
        <v>31</v>
      </c>
      <c r="O10" s="67">
        <f>IF(ISNUMBER(tblY11[[#This Row],[4B05 - Homeostasis
Raw Score]]),IFERROR(VLOOKUP(ROUND(STANDARDIZE(tblY11[[#This Row],[4B05 - Homeostasis
Raw Score]],AVERAGE(tblY11[[4B05 - Homeostasis
Raw Score]]),_xlfn.STDEV.P(tblY11[[4B05 - Homeostasis
Raw Score]])),9),_Stanine,2),5),"")</f>
        <v>7</v>
      </c>
      <c r="P10" s="66" t="n">
        <v>19</v>
      </c>
      <c r="Q10" s="67">
        <f>IF(ISNUMBER(tblY11[[#This Row],[4C09 - Organic Chemistry
Raw Score]]),IFERROR(VLOOKUP(ROUND(STANDARDIZE(tblY11[[#This Row],[4C09 - Organic Chemistry
Raw Score]],AVERAGE(tblY11[[4C09 - Organic Chemistry
Raw Score]]),_xlfn.STDEV.P(tblY11[[4C09 - Organic Chemistry
Raw Score]])),9),_Stanine,2),5),"")</f>
        <v>6</v>
      </c>
      <c r="R10" s="66" t="n">
        <v>28</v>
      </c>
      <c r="S10" s="67">
        <f>IF(ISNUMBER(tblY11[[#This Row],[4P06 - Waves
Raw Score]]),IFERROR(VLOOKUP(ROUND(STANDARDIZE(tblY11[[#This Row],[4P06 - Waves
Raw Score]],AVERAGE(tblY11[[4P06 - Waves
Raw Score]]),_xlfn.STDEV.P(tblY11[[4P06 - Waves
Raw Score]])),9),_Stanine,2),5),"")</f>
        <v>7</v>
      </c>
      <c r="T10" s="66" t="n">
        <v>23</v>
      </c>
      <c r="U10" s="67">
        <f>IF(ISNUMBER(tblY11[[#This Row],[4B06 - Inheritance
Raw Score]]),IFERROR(VLOOKUP(ROUND(STANDARDIZE(tblY11[[#This Row],[4B06 - Inheritance
Raw Score]],AVERAGE(tblY11[[4B06 - Inheritance
Raw Score]]),_xlfn.STDEV.P(tblY11[[4B06 - Inheritance
Raw Score]])),9),_Stanine,2),5),"")</f>
        <v>6</v>
      </c>
      <c r="V10" s="66" t="n">
        <v>22</v>
      </c>
      <c r="W10" s="67">
        <f>IF(ISNUMBER(tblY11[[#This Row],[4C10 - Chemical Analysis
Raw Score]]),IFERROR(VLOOKUP(ROUND(STANDARDIZE(tblY11[[#This Row],[4C10 - Chemical Analysis
Raw Score]],AVERAGE(tblY11[[4C10 - Chemical Analysis
Raw Score]]),_xlfn.STDEV.P(tblY11[[4C10 - Chemical Analysis
Raw Score]])),9),_Stanine,2),5),"")</f>
        <v>7</v>
      </c>
      <c r="X10" s="66" t="n">
        <v>21</v>
      </c>
      <c r="Y10" s="67">
        <f>IF(ISNUMBER(tblY11[[#This Row],[4P07 - Magnetism
Raw Score]]),IFERROR(VLOOKUP(ROUND(STANDARDIZE(tblY11[[#This Row],[4P07 - Magnetism
Raw Score]],AVERAGE(tblY11[[4P07 - Magnetism
Raw Score]]),_xlfn.STDEV.P(tblY11[[4P07 - Magnetism
Raw Score]])),9),_Stanine,2),5),"")</f>
        <v>6</v>
      </c>
    </row>
    <row r="11">
      <c r="A11" s="65" t="inlineStr">
        <is>
          <t>X909635200089</t>
        </is>
      </c>
      <c r="B11" s="65" t="inlineStr">
        <is>
          <t>Hussain</t>
        </is>
      </c>
      <c r="C11" s="65" t="inlineStr">
        <is>
          <t>Freya</t>
        </is>
      </c>
      <c r="D11" s="66" t="inlineStr">
        <is>
          <t>F</t>
        </is>
      </c>
      <c r="E11" s="66" t="inlineStr">
        <is>
          <t>N</t>
        </is>
      </c>
      <c r="F11" s="66" t="inlineStr">
        <is>
          <t>N</t>
        </is>
      </c>
      <c r="G11" s="34" t="n">
        <v>84.40000000000001</v>
      </c>
      <c r="H11" s="34" t="n">
        <v>115.5</v>
      </c>
      <c r="I11" s="67">
        <f>IF(ISNUMBER(tblY11[[#This Row],[Avg KS2]]),IFERROR(VLOOKUP(ROUND(STANDARDIZE(tblY11[[#This Row],[Avg KS2]],AVERAGE(tblY11[[Avg KS2]]),_xlfn.STDEV.P(tblY11[[Avg KS2]])),9),_Stanine,2),5),"")</f>
        <v>8</v>
      </c>
      <c r="J11" s="66" t="inlineStr">
        <is>
          <t>11S/Sc1</t>
        </is>
      </c>
      <c r="K11" s="67">
        <f>IF(tblY11[[#This Row],[Preferred Last name]]="","",COUNTIFS($N$1:$ZZ$1,"*"&amp;CHAR(10)&amp;"Stanine",$N11:$ZZ11,"&gt;=1"))</f>
        <v>6</v>
      </c>
      <c r="L11" s="68">
        <f>IFERROR(AVERAGEIF($N$1:$ZZ$1,"*"&amp;CHAR(10)&amp;"Stanine",$N11:$ZZ11),"")</f>
        <v>7.83333333333333</v>
      </c>
      <c r="M11" s="69">
        <f>IF(AND(ISNUMBER(tblY11[[#This Row],[Mean Stanine]]),ISNUMBER(tblY11[[#This Row],[Avg KS2 Band]]),ISNUMBER(SlopeY11)),tblY11[[#This Row],[Mean Stanine]]-(InterceptY11+SlopeY11*tblY11[[#This Row],[Avg KS2 Band]]),"")</f>
        <v>0.634044011544011</v>
      </c>
      <c r="N11" s="66" t="n">
        <v>34</v>
      </c>
      <c r="O11" s="67">
        <f>IF(ISNUMBER(tblY11[[#This Row],[4B05 - Homeostasis
Raw Score]]),IFERROR(VLOOKUP(ROUND(STANDARDIZE(tblY11[[#This Row],[4B05 - Homeostasis
Raw Score]],AVERAGE(tblY11[[4B05 - Homeostasis
Raw Score]]),_xlfn.STDEV.P(tblY11[[4B05 - Homeostasis
Raw Score]])),9),_Stanine,2),5),"")</f>
        <v>8</v>
      </c>
      <c r="P11" s="66" t="n">
        <v>26</v>
      </c>
      <c r="Q11" s="67">
        <f>IF(ISNUMBER(tblY11[[#This Row],[4C09 - Organic Chemistry
Raw Score]]),IFERROR(VLOOKUP(ROUND(STANDARDIZE(tblY11[[#This Row],[4C09 - Organic Chemistry
Raw Score]],AVERAGE(tblY11[[4C09 - Organic Chemistry
Raw Score]]),_xlfn.STDEV.P(tblY11[[4C09 - Organic Chemistry
Raw Score]])),9),_Stanine,2),5),"")</f>
        <v>8</v>
      </c>
      <c r="R11" s="66" t="n">
        <v>30</v>
      </c>
      <c r="S11" s="67">
        <f>IF(ISNUMBER(tblY11[[#This Row],[4P06 - Waves
Raw Score]]),IFERROR(VLOOKUP(ROUND(STANDARDIZE(tblY11[[#This Row],[4P06 - Waves
Raw Score]],AVERAGE(tblY11[[4P06 - Waves
Raw Score]]),_xlfn.STDEV.P(tblY11[[4P06 - Waves
Raw Score]])),9),_Stanine,2),5),"")</f>
        <v>7</v>
      </c>
      <c r="T11" s="66" t="n">
        <v>34</v>
      </c>
      <c r="U11" s="67">
        <f>IF(ISNUMBER(tblY11[[#This Row],[4B06 - Inheritance
Raw Score]]),IFERROR(VLOOKUP(ROUND(STANDARDIZE(tblY11[[#This Row],[4B06 - Inheritance
Raw Score]],AVERAGE(tblY11[[4B06 - Inheritance
Raw Score]]),_xlfn.STDEV.P(tblY11[[4B06 - Inheritance
Raw Score]])),9),_Stanine,2),5),"")</f>
        <v>8</v>
      </c>
      <c r="V11" s="66" t="n">
        <v>25</v>
      </c>
      <c r="W11" s="67">
        <f>IF(ISNUMBER(tblY11[[#This Row],[4C10 - Chemical Analysis
Raw Score]]),IFERROR(VLOOKUP(ROUND(STANDARDIZE(tblY11[[#This Row],[4C10 - Chemical Analysis
Raw Score]],AVERAGE(tblY11[[4C10 - Chemical Analysis
Raw Score]]),_xlfn.STDEV.P(tblY11[[4C10 - Chemical Analysis
Raw Score]])),9),_Stanine,2),5),"")</f>
        <v>8</v>
      </c>
      <c r="X11" s="66" t="n">
        <v>28</v>
      </c>
      <c r="Y11" s="67">
        <f>IF(ISNUMBER(tblY11[[#This Row],[4P07 - Magnetism
Raw Score]]),IFERROR(VLOOKUP(ROUND(STANDARDIZE(tblY11[[#This Row],[4P07 - Magnetism
Raw Score]],AVERAGE(tblY11[[4P07 - Magnetism
Raw Score]]),_xlfn.STDEV.P(tblY11[[4P07 - Magnetism
Raw Score]])),9),_Stanine,2),5),"")</f>
        <v>8</v>
      </c>
    </row>
    <row r="12">
      <c r="A12" s="65" t="inlineStr">
        <is>
          <t>X909497123663</t>
        </is>
      </c>
      <c r="B12" s="65" t="inlineStr">
        <is>
          <t>Hussain</t>
        </is>
      </c>
      <c r="C12" s="65" t="inlineStr">
        <is>
          <t>Hollie</t>
        </is>
      </c>
      <c r="D12" s="66" t="inlineStr">
        <is>
          <t>M</t>
        </is>
      </c>
      <c r="E12" s="66" t="inlineStr">
        <is>
          <t>K</t>
        </is>
      </c>
      <c r="F12" s="66" t="inlineStr">
        <is>
          <t>N</t>
        </is>
      </c>
      <c r="G12" s="34" t="n">
        <v>92.90000000000001</v>
      </c>
      <c r="H12" s="34" t="inlineStr">
        <is>
          <t>No Data</t>
        </is>
      </c>
      <c r="I12" s="67" t="str">
        <f>IF(ISNUMBER(tblY11[[#This Row],[Avg KS2]]),IFERROR(VLOOKUP(ROUND(STANDARDIZE(tblY11[[#This Row],[Avg KS2]],AVERAGE(tblY11[[Avg KS2]]),_xlfn.STDEV.P(tblY11[[Avg KS2]])),9),_Stanine,2),5),"")</f>
        <v/>
      </c>
      <c r="J12" s="66" t="inlineStr">
        <is>
          <t>11S/Sc1</t>
        </is>
      </c>
      <c r="K12" s="67">
        <f>IF(tblY11[[#This Row],[Preferred Last name]]="","",COUNTIFS($N$1:$ZZ$1,"*"&amp;CHAR(10)&amp;"Stanine",$N12:$ZZ12,"&gt;=1"))</f>
        <v>5</v>
      </c>
      <c r="L12" s="68">
        <f>IFERROR(AVERAGEIF($N$1:$ZZ$1,"*"&amp;CHAR(10)&amp;"Stanine",$N12:$ZZ12),"")</f>
        <v>7</v>
      </c>
      <c r="M12" s="69" t="str">
        <f>IF(AND(ISNUMBER(tblY11[[#This Row],[Mean Stanine]]),ISNUMBER(tblY11[[#This Row],[Avg KS2 Band]]),ISNUMBER(SlopeY11)),tblY11[[#This Row],[Mean Stanine]]-(InterceptY11+SlopeY11*tblY11[[#This Row],[Avg KS2 Band]]),"")</f>
        <v/>
      </c>
      <c r="N12" s="66" t="n">
        <v>28</v>
      </c>
      <c r="O12" s="67">
        <f>IF(ISNUMBER(tblY11[[#This Row],[4B05 - Homeostasis
Raw Score]]),IFERROR(VLOOKUP(ROUND(STANDARDIZE(tblY11[[#This Row],[4B05 - Homeostasis
Raw Score]],AVERAGE(tblY11[[4B05 - Homeostasis
Raw Score]]),_xlfn.STDEV.P(tblY11[[4B05 - Homeostasis
Raw Score]])),9),_Stanine,2),5),"")</f>
        <v>7</v>
      </c>
      <c r="P12" s="66" t="n">
        <v>22</v>
      </c>
      <c r="Q12" s="67">
        <f>IF(ISNUMBER(tblY11[[#This Row],[4C09 - Organic Chemistry
Raw Score]]),IFERROR(VLOOKUP(ROUND(STANDARDIZE(tblY11[[#This Row],[4C09 - Organic Chemistry
Raw Score]],AVERAGE(tblY11[[4C09 - Organic Chemistry
Raw Score]]),_xlfn.STDEV.P(tblY11[[4C09 - Organic Chemistry
Raw Score]])),9),_Stanine,2),5),"")</f>
        <v>7</v>
      </c>
      <c r="R12" s="66" t="n">
        <v>28</v>
      </c>
      <c r="S12" s="67">
        <f>IF(ISNUMBER(tblY11[[#This Row],[4P06 - Waves
Raw Score]]),IFERROR(VLOOKUP(ROUND(STANDARDIZE(tblY11[[#This Row],[4P06 - Waves
Raw Score]],AVERAGE(tblY11[[4P06 - Waves
Raw Score]]),_xlfn.STDEV.P(tblY11[[4P06 - Waves
Raw Score]])),9),_Stanine,2),5),"")</f>
        <v>7</v>
      </c>
      <c r="T12" s="66" t="inlineStr">
        <is>
          <t>A</t>
        </is>
      </c>
      <c r="U12" s="67" t="str">
        <f>IF(ISNUMBER(tblY11[[#This Row],[4B06 - Inheritance
Raw Score]]),IFERROR(VLOOKUP(ROUND(STANDARDIZE(tblY11[[#This Row],[4B06 - Inheritance
Raw Score]],AVERAGE(tblY11[[4B06 - Inheritance
Raw Score]]),_xlfn.STDEV.P(tblY11[[4B06 - Inheritance
Raw Score]])),9),_Stanine,2),5),"")</f>
        <v/>
      </c>
      <c r="V12" s="66" t="n">
        <v>22</v>
      </c>
      <c r="W12" s="67">
        <f>IF(ISNUMBER(tblY11[[#This Row],[4C10 - Chemical Analysis
Raw Score]]),IFERROR(VLOOKUP(ROUND(STANDARDIZE(tblY11[[#This Row],[4C10 - Chemical Analysis
Raw Score]],AVERAGE(tblY11[[4C10 - Chemical Analysis
Raw Score]]),_xlfn.STDEV.P(tblY11[[4C10 - Chemical Analysis
Raw Score]])),9),_Stanine,2),5),"")</f>
        <v>7</v>
      </c>
      <c r="X12" s="66" t="n">
        <v>22</v>
      </c>
      <c r="Y12" s="67">
        <f>IF(ISNUMBER(tblY11[[#This Row],[4P07 - Magnetism
Raw Score]]),IFERROR(VLOOKUP(ROUND(STANDARDIZE(tblY11[[#This Row],[4P07 - Magnetism
Raw Score]],AVERAGE(tblY11[[4P07 - Magnetism
Raw Score]]),_xlfn.STDEV.P(tblY11[[4P07 - Magnetism
Raw Score]])),9),_Stanine,2),5),"")</f>
        <v>7</v>
      </c>
    </row>
    <row r="13">
      <c r="A13" s="65" t="inlineStr">
        <is>
          <t>X907431289912</t>
        </is>
      </c>
      <c r="B13" s="65" t="inlineStr">
        <is>
          <t>Jones</t>
        </is>
      </c>
      <c r="C13" s="65" t="inlineStr">
        <is>
          <t>Nia</t>
        </is>
      </c>
      <c r="D13" s="66" t="inlineStr">
        <is>
          <t>F</t>
        </is>
      </c>
      <c r="E13" s="66" t="n"/>
      <c r="F13" s="66" t="inlineStr">
        <is>
          <t>N</t>
        </is>
      </c>
      <c r="G13" s="34" t="n">
        <v>100</v>
      </c>
      <c r="H13" s="34" t="n">
        <v>111.5</v>
      </c>
      <c r="I13" s="67">
        <f>IF(ISNUMBER(tblY11[[#This Row],[Avg KS2]]),IFERROR(VLOOKUP(ROUND(STANDARDIZE(tblY11[[#This Row],[Avg KS2]],AVERAGE(tblY11[[Avg KS2]]),_xlfn.STDEV.P(tblY11[[Avg KS2]])),9),_Stanine,2),5),"")</f>
        <v>7</v>
      </c>
      <c r="J13" s="66" t="inlineStr">
        <is>
          <t>11S/Sc1</t>
        </is>
      </c>
      <c r="K13" s="67">
        <f>IF(tblY11[[#This Row],[Preferred Last name]]="","",COUNTIFS($N$1:$ZZ$1,"*"&amp;CHAR(10)&amp;"Stanine",$N13:$ZZ13,"&gt;=1"))</f>
        <v>6</v>
      </c>
      <c r="L13" s="68">
        <f>IFERROR(AVERAGEIF($N$1:$ZZ$1,"*"&amp;CHAR(10)&amp;"Stanine",$N13:$ZZ13),"")</f>
        <v>7.33333333333333</v>
      </c>
      <c r="M13" s="69">
        <f>IF(AND(ISNUMBER(tblY11[[#This Row],[Mean Stanine]]),ISNUMBER(tblY11[[#This Row],[Avg KS2 Band]]),ISNUMBER(SlopeY11)),tblY11[[#This Row],[Mean Stanine]]-(InterceptY11+SlopeY11*tblY11[[#This Row],[Avg KS2 Band]]),"")</f>
        <v>0.882907647907648</v>
      </c>
      <c r="N13" s="66" t="n">
        <v>25</v>
      </c>
      <c r="O13" s="67">
        <f>IF(ISNUMBER(tblY11[[#This Row],[4B05 - Homeostasis
Raw Score]]),IFERROR(VLOOKUP(ROUND(STANDARDIZE(tblY11[[#This Row],[4B05 - Homeostasis
Raw Score]],AVERAGE(tblY11[[4B05 - Homeostasis
Raw Score]]),_xlfn.STDEV.P(tblY11[[4B05 - Homeostasis
Raw Score]])),9),_Stanine,2),5),"")</f>
        <v>6</v>
      </c>
      <c r="P13" s="66" t="n">
        <v>22</v>
      </c>
      <c r="Q13" s="67">
        <f>IF(ISNUMBER(tblY11[[#This Row],[4C09 - Organic Chemistry
Raw Score]]),IFERROR(VLOOKUP(ROUND(STANDARDIZE(tblY11[[#This Row],[4C09 - Organic Chemistry
Raw Score]],AVERAGE(tblY11[[4C09 - Organic Chemistry
Raw Score]]),_xlfn.STDEV.P(tblY11[[4C09 - Organic Chemistry
Raw Score]])),9),_Stanine,2),5),"")</f>
        <v>7</v>
      </c>
      <c r="R13" s="66" t="n">
        <v>33</v>
      </c>
      <c r="S13" s="67">
        <f>IF(ISNUMBER(tblY11[[#This Row],[4P06 - Waves
Raw Score]]),IFERROR(VLOOKUP(ROUND(STANDARDIZE(tblY11[[#This Row],[4P06 - Waves
Raw Score]],AVERAGE(tblY11[[4P06 - Waves
Raw Score]]),_xlfn.STDEV.P(tblY11[[4P06 - Waves
Raw Score]])),9),_Stanine,2),5),"")</f>
        <v>8</v>
      </c>
      <c r="T13" s="66" t="n">
        <v>32</v>
      </c>
      <c r="U13" s="67">
        <f>IF(ISNUMBER(tblY11[[#This Row],[4B06 - Inheritance
Raw Score]]),IFERROR(VLOOKUP(ROUND(STANDARDIZE(tblY11[[#This Row],[4B06 - Inheritance
Raw Score]],AVERAGE(tblY11[[4B06 - Inheritance
Raw Score]]),_xlfn.STDEV.P(tblY11[[4B06 - Inheritance
Raw Score]])),9),_Stanine,2),5),"")</f>
        <v>8</v>
      </c>
      <c r="V13" s="66" t="n">
        <v>20</v>
      </c>
      <c r="W13" s="67">
        <f>IF(ISNUMBER(tblY11[[#This Row],[4C10 - Chemical Analysis
Raw Score]]),IFERROR(VLOOKUP(ROUND(STANDARDIZE(tblY11[[#This Row],[4C10 - Chemical Analysis
Raw Score]],AVERAGE(tblY11[[4C10 - Chemical Analysis
Raw Score]]),_xlfn.STDEV.P(tblY11[[4C10 - Chemical Analysis
Raw Score]])),9),_Stanine,2),5),"")</f>
        <v>7</v>
      </c>
      <c r="X13" s="66" t="n">
        <v>25</v>
      </c>
      <c r="Y13" s="67">
        <f>IF(ISNUMBER(tblY11[[#This Row],[4P07 - Magnetism
Raw Score]]),IFERROR(VLOOKUP(ROUND(STANDARDIZE(tblY11[[#This Row],[4P07 - Magnetism
Raw Score]],AVERAGE(tblY11[[4P07 - Magnetism
Raw Score]]),_xlfn.STDEV.P(tblY11[[4P07 - Magnetism
Raw Score]])),9),_Stanine,2),5),"")</f>
        <v>8</v>
      </c>
    </row>
    <row r="14">
      <c r="A14" s="65" t="inlineStr">
        <is>
          <t>X902463891635</t>
        </is>
      </c>
      <c r="B14" s="65" t="inlineStr">
        <is>
          <t>Jones</t>
        </is>
      </c>
      <c r="C14" s="65" t="inlineStr">
        <is>
          <t>Poppy</t>
        </is>
      </c>
      <c r="D14" s="66" t="inlineStr">
        <is>
          <t>M</t>
        </is>
      </c>
      <c r="E14" s="66" t="inlineStr">
        <is>
          <t>N</t>
        </is>
      </c>
      <c r="F14" s="66" t="inlineStr">
        <is>
          <t>N</t>
        </is>
      </c>
      <c r="G14" s="34" t="n">
        <v>94.8</v>
      </c>
      <c r="H14" s="34" t="n">
        <v>116.5</v>
      </c>
      <c r="I14" s="67">
        <f>IF(ISNUMBER(tblY11[[#This Row],[Avg KS2]]),IFERROR(VLOOKUP(ROUND(STANDARDIZE(tblY11[[#This Row],[Avg KS2]],AVERAGE(tblY11[[Avg KS2]]),_xlfn.STDEV.P(tblY11[[Avg KS2]])),9),_Stanine,2),5),"")</f>
        <v>9</v>
      </c>
      <c r="J14" s="66" t="inlineStr">
        <is>
          <t>11S/Sc1</t>
        </is>
      </c>
      <c r="K14" s="67">
        <f>IF(tblY11[[#This Row],[Preferred Last name]]="","",COUNTIFS($N$1:$ZZ$1,"*"&amp;CHAR(10)&amp;"Stanine",$N14:$ZZ14,"&gt;=1"))</f>
        <v>6</v>
      </c>
      <c r="L14" s="68">
        <f>IFERROR(AVERAGEIF($N$1:$ZZ$1,"*"&amp;CHAR(10)&amp;"Stanine",$N14:$ZZ14),"")</f>
        <v>7</v>
      </c>
      <c r="M14" s="69">
        <f>IF(AND(ISNUMBER(tblY11[[#This Row],[Mean Stanine]]),ISNUMBER(tblY11[[#This Row],[Avg KS2 Band]]),ISNUMBER(SlopeY11)),tblY11[[#This Row],[Mean Stanine]]-(InterceptY11+SlopeY11*tblY11[[#This Row],[Avg KS2 Band]]),"")</f>
        <v>-0.948152958152958</v>
      </c>
      <c r="N14" s="66" t="n">
        <v>31</v>
      </c>
      <c r="O14" s="67">
        <f>IF(ISNUMBER(tblY11[[#This Row],[4B05 - Homeostasis
Raw Score]]),IFERROR(VLOOKUP(ROUND(STANDARDIZE(tblY11[[#This Row],[4B05 - Homeostasis
Raw Score]],AVERAGE(tblY11[[4B05 - Homeostasis
Raw Score]]),_xlfn.STDEV.P(tblY11[[4B05 - Homeostasis
Raw Score]])),9),_Stanine,2),5),"")</f>
        <v>7</v>
      </c>
      <c r="P14" s="66" t="n">
        <v>24</v>
      </c>
      <c r="Q14" s="67">
        <f>IF(ISNUMBER(tblY11[[#This Row],[4C09 - Organic Chemistry
Raw Score]]),IFERROR(VLOOKUP(ROUND(STANDARDIZE(tblY11[[#This Row],[4C09 - Organic Chemistry
Raw Score]],AVERAGE(tblY11[[4C09 - Organic Chemistry
Raw Score]]),_xlfn.STDEV.P(tblY11[[4C09 - Organic Chemistry
Raw Score]])),9),_Stanine,2),5),"")</f>
        <v>7</v>
      </c>
      <c r="R14" s="66" t="n">
        <v>28</v>
      </c>
      <c r="S14" s="67">
        <f>IF(ISNUMBER(tblY11[[#This Row],[4P06 - Waves
Raw Score]]),IFERROR(VLOOKUP(ROUND(STANDARDIZE(tblY11[[#This Row],[4P06 - Waves
Raw Score]],AVERAGE(tblY11[[4P06 - Waves
Raw Score]]),_xlfn.STDEV.P(tblY11[[4P06 - Waves
Raw Score]])),9),_Stanine,2),5),"")</f>
        <v>7</v>
      </c>
      <c r="T14" s="66" t="n">
        <v>31</v>
      </c>
      <c r="U14" s="67">
        <f>IF(ISNUMBER(tblY11[[#This Row],[4B06 - Inheritance
Raw Score]]),IFERROR(VLOOKUP(ROUND(STANDARDIZE(tblY11[[#This Row],[4B06 - Inheritance
Raw Score]],AVERAGE(tblY11[[4B06 - Inheritance
Raw Score]]),_xlfn.STDEV.P(tblY11[[4B06 - Inheritance
Raw Score]])),9),_Stanine,2),5),"")</f>
        <v>8</v>
      </c>
      <c r="V14" s="66" t="n">
        <v>22</v>
      </c>
      <c r="W14" s="67">
        <f>IF(ISNUMBER(tblY11[[#This Row],[4C10 - Chemical Analysis
Raw Score]]),IFERROR(VLOOKUP(ROUND(STANDARDIZE(tblY11[[#This Row],[4C10 - Chemical Analysis
Raw Score]],AVERAGE(tblY11[[4C10 - Chemical Analysis
Raw Score]]),_xlfn.STDEV.P(tblY11[[4C10 - Chemical Analysis
Raw Score]])),9),_Stanine,2),5),"")</f>
        <v>7</v>
      </c>
      <c r="X14" s="66" t="n">
        <v>19</v>
      </c>
      <c r="Y14" s="67">
        <f>IF(ISNUMBER(tblY11[[#This Row],[4P07 - Magnetism
Raw Score]]),IFERROR(VLOOKUP(ROUND(STANDARDIZE(tblY11[[#This Row],[4P07 - Magnetism
Raw Score]],AVERAGE(tblY11[[4P07 - Magnetism
Raw Score]]),_xlfn.STDEV.P(tblY11[[4P07 - Magnetism
Raw Score]])),9),_Stanine,2),5),"")</f>
        <v>6</v>
      </c>
    </row>
    <row r="15">
      <c r="A15" s="65" t="inlineStr">
        <is>
          <t>X908668621618</t>
        </is>
      </c>
      <c r="B15" s="65" t="inlineStr">
        <is>
          <t>Lewis</t>
        </is>
      </c>
      <c r="C15" s="65" t="inlineStr">
        <is>
          <t>Jacob</t>
        </is>
      </c>
      <c r="D15" s="66" t="inlineStr">
        <is>
          <t>M</t>
        </is>
      </c>
      <c r="E15" s="66" t="n"/>
      <c r="F15" s="66" t="inlineStr">
        <is>
          <t>Y</t>
        </is>
      </c>
      <c r="G15" s="34" t="n">
        <v>95.40000000000001</v>
      </c>
      <c r="H15" s="34" t="n">
        <v>112</v>
      </c>
      <c r="I15" s="67">
        <f>IF(ISNUMBER(tblY11[[#This Row],[Avg KS2]]),IFERROR(VLOOKUP(ROUND(STANDARDIZE(tblY11[[#This Row],[Avg KS2]],AVERAGE(tblY11[[Avg KS2]]),_xlfn.STDEV.P(tblY11[[Avg KS2]])),9),_Stanine,2),5),"")</f>
        <v>7</v>
      </c>
      <c r="J15" s="66" t="inlineStr">
        <is>
          <t>11S/Sc1</t>
        </is>
      </c>
      <c r="K15" s="67">
        <f>IF(tblY11[[#This Row],[Preferred Last name]]="","",COUNTIFS($N$1:$ZZ$1,"*"&amp;CHAR(10)&amp;"Stanine",$N15:$ZZ15,"&gt;=1"))</f>
        <v>6</v>
      </c>
      <c r="L15" s="68">
        <f>IFERROR(AVERAGEIF($N$1:$ZZ$1,"*"&amp;CHAR(10)&amp;"Stanine",$N15:$ZZ15),"")</f>
        <v>7</v>
      </c>
      <c r="M15" s="69">
        <f>IF(AND(ISNUMBER(tblY11[[#This Row],[Mean Stanine]]),ISNUMBER(tblY11[[#This Row],[Avg KS2 Band]]),ISNUMBER(SlopeY11)),tblY11[[#This Row],[Mean Stanine]]-(InterceptY11+SlopeY11*tblY11[[#This Row],[Avg KS2 Band]]),"")</f>
        <v>0.549574314574315</v>
      </c>
      <c r="N15" s="66" t="n">
        <v>24</v>
      </c>
      <c r="O15" s="67">
        <f>IF(ISNUMBER(tblY11[[#This Row],[4B05 - Homeostasis
Raw Score]]),IFERROR(VLOOKUP(ROUND(STANDARDIZE(tblY11[[#This Row],[4B05 - Homeostasis
Raw Score]],AVERAGE(tblY11[[4B05 - Homeostasis
Raw Score]]),_xlfn.STDEV.P(tblY11[[4B05 - Homeostasis
Raw Score]])),9),_Stanine,2),5),"")</f>
        <v>6</v>
      </c>
      <c r="P15" s="66" t="n">
        <v>22</v>
      </c>
      <c r="Q15" s="67">
        <f>IF(ISNUMBER(tblY11[[#This Row],[4C09 - Organic Chemistry
Raw Score]]),IFERROR(VLOOKUP(ROUND(STANDARDIZE(tblY11[[#This Row],[4C09 - Organic Chemistry
Raw Score]],AVERAGE(tblY11[[4C09 - Organic Chemistry
Raw Score]]),_xlfn.STDEV.P(tblY11[[4C09 - Organic Chemistry
Raw Score]])),9),_Stanine,2),5),"")</f>
        <v>7</v>
      </c>
      <c r="R15" s="66" t="n">
        <v>28</v>
      </c>
      <c r="S15" s="67">
        <f>IF(ISNUMBER(tblY11[[#This Row],[4P06 - Waves
Raw Score]]),IFERROR(VLOOKUP(ROUND(STANDARDIZE(tblY11[[#This Row],[4P06 - Waves
Raw Score]],AVERAGE(tblY11[[4P06 - Waves
Raw Score]]),_xlfn.STDEV.P(tblY11[[4P06 - Waves
Raw Score]])),9),_Stanine,2),5),"")</f>
        <v>7</v>
      </c>
      <c r="T15" s="66" t="n">
        <v>28</v>
      </c>
      <c r="U15" s="67">
        <f>IF(ISNUMBER(tblY11[[#This Row],[4B06 - Inheritance
Raw Score]]),IFERROR(VLOOKUP(ROUND(STANDARDIZE(tblY11[[#This Row],[4B06 - Inheritance
Raw Score]],AVERAGE(tblY11[[4B06 - Inheritance
Raw Score]]),_xlfn.STDEV.P(tblY11[[4B06 - Inheritance
Raw Score]])),9),_Stanine,2),5),"")</f>
        <v>7</v>
      </c>
      <c r="V15" s="66" t="n">
        <v>21</v>
      </c>
      <c r="W15" s="67">
        <f>IF(ISNUMBER(tblY11[[#This Row],[4C10 - Chemical Analysis
Raw Score]]),IFERROR(VLOOKUP(ROUND(STANDARDIZE(tblY11[[#This Row],[4C10 - Chemical Analysis
Raw Score]],AVERAGE(tblY11[[4C10 - Chemical Analysis
Raw Score]]),_xlfn.STDEV.P(tblY11[[4C10 - Chemical Analysis
Raw Score]])),9),_Stanine,2),5),"")</f>
        <v>7</v>
      </c>
      <c r="X15" s="66" t="n">
        <v>26</v>
      </c>
      <c r="Y15" s="67">
        <f>IF(ISNUMBER(tblY11[[#This Row],[4P07 - Magnetism
Raw Score]]),IFERROR(VLOOKUP(ROUND(STANDARDIZE(tblY11[[#This Row],[4P07 - Magnetism
Raw Score]],AVERAGE(tblY11[[4P07 - Magnetism
Raw Score]]),_xlfn.STDEV.P(tblY11[[4P07 - Magnetism
Raw Score]])),9),_Stanine,2),5),"")</f>
        <v>8</v>
      </c>
    </row>
    <row r="16">
      <c r="A16" s="65" t="inlineStr">
        <is>
          <t>X906862625921</t>
        </is>
      </c>
      <c r="B16" s="65" t="inlineStr">
        <is>
          <t>Morgan</t>
        </is>
      </c>
      <c r="C16" s="65" t="inlineStr">
        <is>
          <t>Arthur</t>
        </is>
      </c>
      <c r="D16" s="66" t="inlineStr">
        <is>
          <t>M</t>
        </is>
      </c>
      <c r="E16" s="66" t="n"/>
      <c r="F16" s="66" t="inlineStr">
        <is>
          <t>Y</t>
        </is>
      </c>
      <c r="G16" s="34" t="n">
        <v>100</v>
      </c>
      <c r="H16" s="34" t="n">
        <v>111.5</v>
      </c>
      <c r="I16" s="67">
        <f>IF(ISNUMBER(tblY11[[#This Row],[Avg KS2]]),IFERROR(VLOOKUP(ROUND(STANDARDIZE(tblY11[[#This Row],[Avg KS2]],AVERAGE(tblY11[[Avg KS2]]),_xlfn.STDEV.P(tblY11[[Avg KS2]])),9),_Stanine,2),5),"")</f>
        <v>7</v>
      </c>
      <c r="J16" s="66" t="inlineStr">
        <is>
          <t>11S/Sc1</t>
        </is>
      </c>
      <c r="K16" s="67">
        <f>IF(tblY11[[#This Row],[Preferred Last name]]="","",COUNTIFS($N$1:$ZZ$1,"*"&amp;CHAR(10)&amp;"Stanine",$N16:$ZZ16,"&gt;=1"))</f>
        <v>6</v>
      </c>
      <c r="L16" s="68">
        <f>IFERROR(AVERAGEIF($N$1:$ZZ$1,"*"&amp;CHAR(10)&amp;"Stanine",$N16:$ZZ16),"")</f>
        <v>6</v>
      </c>
      <c r="M16" s="69">
        <f>IF(AND(ISNUMBER(tblY11[[#This Row],[Mean Stanine]]),ISNUMBER(tblY11[[#This Row],[Avg KS2 Band]]),ISNUMBER(SlopeY11)),tblY11[[#This Row],[Mean Stanine]]-(InterceptY11+SlopeY11*tblY11[[#This Row],[Avg KS2 Band]]),"")</f>
        <v>-0.450425685425685</v>
      </c>
      <c r="N16" s="66" t="n">
        <v>26</v>
      </c>
      <c r="O16" s="67">
        <f>IF(ISNUMBER(tblY11[[#This Row],[4B05 - Homeostasis
Raw Score]]),IFERROR(VLOOKUP(ROUND(STANDARDIZE(tblY11[[#This Row],[4B05 - Homeostasis
Raw Score]],AVERAGE(tblY11[[4B05 - Homeostasis
Raw Score]]),_xlfn.STDEV.P(tblY11[[4B05 - Homeostasis
Raw Score]])),9),_Stanine,2),5),"")</f>
        <v>6</v>
      </c>
      <c r="P16" s="66" t="n">
        <v>18</v>
      </c>
      <c r="Q16" s="67">
        <f>IF(ISNUMBER(tblY11[[#This Row],[4C09 - Organic Chemistry
Raw Score]]),IFERROR(VLOOKUP(ROUND(STANDARDIZE(tblY11[[#This Row],[4C09 - Organic Chemistry
Raw Score]],AVERAGE(tblY11[[4C09 - Organic Chemistry
Raw Score]]),_xlfn.STDEV.P(tblY11[[4C09 - Organic Chemistry
Raw Score]])),9),_Stanine,2),5),"")</f>
        <v>5</v>
      </c>
      <c r="R16" s="66" t="n">
        <v>27</v>
      </c>
      <c r="S16" s="67">
        <f>IF(ISNUMBER(tblY11[[#This Row],[4P06 - Waves
Raw Score]]),IFERROR(VLOOKUP(ROUND(STANDARDIZE(tblY11[[#This Row],[4P06 - Waves
Raw Score]],AVERAGE(tblY11[[4P06 - Waves
Raw Score]]),_xlfn.STDEV.P(tblY11[[4P06 - Waves
Raw Score]])),9),_Stanine,2),5),"")</f>
        <v>6</v>
      </c>
      <c r="T16" s="66" t="n">
        <v>27</v>
      </c>
      <c r="U16" s="67">
        <f>IF(ISNUMBER(tblY11[[#This Row],[4B06 - Inheritance
Raw Score]]),IFERROR(VLOOKUP(ROUND(STANDARDIZE(tblY11[[#This Row],[4B06 - Inheritance
Raw Score]],AVERAGE(tblY11[[4B06 - Inheritance
Raw Score]]),_xlfn.STDEV.P(tblY11[[4B06 - Inheritance
Raw Score]])),9),_Stanine,2),5),"")</f>
        <v>7</v>
      </c>
      <c r="V16" s="66" t="n">
        <v>18</v>
      </c>
      <c r="W16" s="67">
        <f>IF(ISNUMBER(tblY11[[#This Row],[4C10 - Chemical Analysis
Raw Score]]),IFERROR(VLOOKUP(ROUND(STANDARDIZE(tblY11[[#This Row],[4C10 - Chemical Analysis
Raw Score]],AVERAGE(tblY11[[4C10 - Chemical Analysis
Raw Score]]),_xlfn.STDEV.P(tblY11[[4C10 - Chemical Analysis
Raw Score]])),9),_Stanine,2),5),"")</f>
        <v>6</v>
      </c>
      <c r="X16" s="66" t="n">
        <v>21</v>
      </c>
      <c r="Y16" s="67">
        <f>IF(ISNUMBER(tblY11[[#This Row],[4P07 - Magnetism
Raw Score]]),IFERROR(VLOOKUP(ROUND(STANDARDIZE(tblY11[[#This Row],[4P07 - Magnetism
Raw Score]],AVERAGE(tblY11[[4P07 - Magnetism
Raw Score]]),_xlfn.STDEV.P(tblY11[[4P07 - Magnetism
Raw Score]])),9),_Stanine,2),5),"")</f>
        <v>6</v>
      </c>
    </row>
    <row r="17">
      <c r="A17" s="65" t="inlineStr">
        <is>
          <t>X903537190065</t>
        </is>
      </c>
      <c r="B17" s="65" t="inlineStr">
        <is>
          <t>Morgan</t>
        </is>
      </c>
      <c r="C17" s="65" t="inlineStr">
        <is>
          <t>Megan</t>
        </is>
      </c>
      <c r="D17" s="66" t="inlineStr">
        <is>
          <t>F</t>
        </is>
      </c>
      <c r="E17" s="66" t="inlineStr">
        <is>
          <t>K</t>
        </is>
      </c>
      <c r="F17" s="66" t="inlineStr">
        <is>
          <t>N</t>
        </is>
      </c>
      <c r="G17" s="34" t="n">
        <v>100</v>
      </c>
      <c r="H17" s="34" t="n">
        <v>114</v>
      </c>
      <c r="I17" s="67">
        <f>IF(ISNUMBER(tblY11[[#This Row],[Avg KS2]]),IFERROR(VLOOKUP(ROUND(STANDARDIZE(tblY11[[#This Row],[Avg KS2]],AVERAGE(tblY11[[Avg KS2]]),_xlfn.STDEV.P(tblY11[[Avg KS2]])),9),_Stanine,2),5),"")</f>
        <v>8</v>
      </c>
      <c r="J17" s="66" t="inlineStr">
        <is>
          <t>11S/Sc1</t>
        </is>
      </c>
      <c r="K17" s="67">
        <f>IF(tblY11[[#This Row],[Preferred Last name]]="","",COUNTIFS($N$1:$ZZ$1,"*"&amp;CHAR(10)&amp;"Stanine",$N17:$ZZ17,"&gt;=1"))</f>
        <v>6</v>
      </c>
      <c r="L17" s="68">
        <f>IFERROR(AVERAGEIF($N$1:$ZZ$1,"*"&amp;CHAR(10)&amp;"Stanine",$N17:$ZZ17),"")</f>
        <v>5.83333333333333</v>
      </c>
      <c r="M17" s="69">
        <f>IF(AND(ISNUMBER(tblY11[[#This Row],[Mean Stanine]]),ISNUMBER(tblY11[[#This Row],[Avg KS2 Band]]),ISNUMBER(SlopeY11)),tblY11[[#This Row],[Mean Stanine]]-(InterceptY11+SlopeY11*tblY11[[#This Row],[Avg KS2 Band]]),"")</f>
        <v>-1.36595598845599</v>
      </c>
      <c r="N17" s="66" t="n">
        <v>26</v>
      </c>
      <c r="O17" s="67">
        <f>IF(ISNUMBER(tblY11[[#This Row],[4B05 - Homeostasis
Raw Score]]),IFERROR(VLOOKUP(ROUND(STANDARDIZE(tblY11[[#This Row],[4B05 - Homeostasis
Raw Score]],AVERAGE(tblY11[[4B05 - Homeostasis
Raw Score]]),_xlfn.STDEV.P(tblY11[[4B05 - Homeostasis
Raw Score]])),9),_Stanine,2),5),"")</f>
        <v>6</v>
      </c>
      <c r="P17" s="66" t="n">
        <v>23</v>
      </c>
      <c r="Q17" s="67">
        <f>IF(ISNUMBER(tblY11[[#This Row],[4C09 - Organic Chemistry
Raw Score]]),IFERROR(VLOOKUP(ROUND(STANDARDIZE(tblY11[[#This Row],[4C09 - Organic Chemistry
Raw Score]],AVERAGE(tblY11[[4C09 - Organic Chemistry
Raw Score]]),_xlfn.STDEV.P(tblY11[[4C09 - Organic Chemistry
Raw Score]])),9),_Stanine,2),5),"")</f>
        <v>7</v>
      </c>
      <c r="R17" s="66" t="n">
        <v>27</v>
      </c>
      <c r="S17" s="67">
        <f>IF(ISNUMBER(tblY11[[#This Row],[4P06 - Waves
Raw Score]]),IFERROR(VLOOKUP(ROUND(STANDARDIZE(tblY11[[#This Row],[4P06 - Waves
Raw Score]],AVERAGE(tblY11[[4P06 - Waves
Raw Score]]),_xlfn.STDEV.P(tblY11[[4P06 - Waves
Raw Score]])),9),_Stanine,2),5),"")</f>
        <v>6</v>
      </c>
      <c r="T17" s="66" t="n">
        <v>24</v>
      </c>
      <c r="U17" s="67">
        <f>IF(ISNUMBER(tblY11[[#This Row],[4B06 - Inheritance
Raw Score]]),IFERROR(VLOOKUP(ROUND(STANDARDIZE(tblY11[[#This Row],[4B06 - Inheritance
Raw Score]],AVERAGE(tblY11[[4B06 - Inheritance
Raw Score]]),_xlfn.STDEV.P(tblY11[[4B06 - Inheritance
Raw Score]])),9),_Stanine,2),5),"")</f>
        <v>6</v>
      </c>
      <c r="V17" s="66" t="n">
        <v>14</v>
      </c>
      <c r="W17" s="67">
        <f>IF(ISNUMBER(tblY11[[#This Row],[4C10 - Chemical Analysis
Raw Score]]),IFERROR(VLOOKUP(ROUND(STANDARDIZE(tblY11[[#This Row],[4C10 - Chemical Analysis
Raw Score]],AVERAGE(tblY11[[4C10 - Chemical Analysis
Raw Score]]),_xlfn.STDEV.P(tblY11[[4C10 - Chemical Analysis
Raw Score]])),9),_Stanine,2),5),"")</f>
        <v>5</v>
      </c>
      <c r="X17" s="66" t="n">
        <v>16</v>
      </c>
      <c r="Y17" s="67">
        <f>IF(ISNUMBER(tblY11[[#This Row],[4P07 - Magnetism
Raw Score]]),IFERROR(VLOOKUP(ROUND(STANDARDIZE(tblY11[[#This Row],[4P07 - Magnetism
Raw Score]],AVERAGE(tblY11[[4P07 - Magnetism
Raw Score]]),_xlfn.STDEV.P(tblY11[[4P07 - Magnetism
Raw Score]])),9),_Stanine,2),5),"")</f>
        <v>5</v>
      </c>
    </row>
    <row r="18">
      <c r="A18" s="65" t="inlineStr">
        <is>
          <t>X909163166491</t>
        </is>
      </c>
      <c r="B18" s="65" t="inlineStr">
        <is>
          <t>Murphy</t>
        </is>
      </c>
      <c r="C18" s="65" t="inlineStr">
        <is>
          <t>Mia</t>
        </is>
      </c>
      <c r="D18" s="66" t="inlineStr">
        <is>
          <t>F</t>
        </is>
      </c>
      <c r="E18" s="66" t="n"/>
      <c r="F18" s="66" t="inlineStr">
        <is>
          <t>N</t>
        </is>
      </c>
      <c r="G18" s="34" t="n">
        <v>91.59999999999999</v>
      </c>
      <c r="H18" s="34" t="n">
        <v>109.5</v>
      </c>
      <c r="I18" s="67">
        <f>IF(ISNUMBER(tblY11[[#This Row],[Avg KS2]]),IFERROR(VLOOKUP(ROUND(STANDARDIZE(tblY11[[#This Row],[Avg KS2]],AVERAGE(tblY11[[Avg KS2]]),_xlfn.STDEV.P(tblY11[[Avg KS2]])),9),_Stanine,2),5),"")</f>
        <v>7</v>
      </c>
      <c r="J18" s="66" t="inlineStr">
        <is>
          <t>11S/Sc1</t>
        </is>
      </c>
      <c r="K18" s="67">
        <f>IF(tblY11[[#This Row],[Preferred Last name]]="","",COUNTIFS($N$1:$ZZ$1,"*"&amp;CHAR(10)&amp;"Stanine",$N18:$ZZ18,"&gt;=1"))</f>
        <v>6</v>
      </c>
      <c r="L18" s="68">
        <f>IFERROR(AVERAGEIF($N$1:$ZZ$1,"*"&amp;CHAR(10)&amp;"Stanine",$N18:$ZZ18),"")</f>
        <v>6.16666666666667</v>
      </c>
      <c r="M18" s="69">
        <f>IF(AND(ISNUMBER(tblY11[[#This Row],[Mean Stanine]]),ISNUMBER(tblY11[[#This Row],[Avg KS2 Band]]),ISNUMBER(SlopeY11)),tblY11[[#This Row],[Mean Stanine]]-(InterceptY11+SlopeY11*tblY11[[#This Row],[Avg KS2 Band]]),"")</f>
        <v>-0.283759018759018</v>
      </c>
      <c r="N18" s="66" t="n">
        <v>22</v>
      </c>
      <c r="O18" s="67">
        <f>IF(ISNUMBER(tblY11[[#This Row],[4B05 - Homeostasis
Raw Score]]),IFERROR(VLOOKUP(ROUND(STANDARDIZE(tblY11[[#This Row],[4B05 - Homeostasis
Raw Score]],AVERAGE(tblY11[[4B05 - Homeostasis
Raw Score]]),_xlfn.STDEV.P(tblY11[[4B05 - Homeostasis
Raw Score]])),9),_Stanine,2),5),"")</f>
        <v>5</v>
      </c>
      <c r="P18" s="66" t="n">
        <v>16</v>
      </c>
      <c r="Q18" s="67">
        <f>IF(ISNUMBER(tblY11[[#This Row],[4C09 - Organic Chemistry
Raw Score]]),IFERROR(VLOOKUP(ROUND(STANDARDIZE(tblY11[[#This Row],[4C09 - Organic Chemistry
Raw Score]],AVERAGE(tblY11[[4C09 - Organic Chemistry
Raw Score]]),_xlfn.STDEV.P(tblY11[[4C09 - Organic Chemistry
Raw Score]])),9),_Stanine,2),5),"")</f>
        <v>5</v>
      </c>
      <c r="R18" s="66" t="n">
        <v>28</v>
      </c>
      <c r="S18" s="67">
        <f>IF(ISNUMBER(tblY11[[#This Row],[4P06 - Waves
Raw Score]]),IFERROR(VLOOKUP(ROUND(STANDARDIZE(tblY11[[#This Row],[4P06 - Waves
Raw Score]],AVERAGE(tblY11[[4P06 - Waves
Raw Score]]),_xlfn.STDEV.P(tblY11[[4P06 - Waves
Raw Score]])),9),_Stanine,2),5),"")</f>
        <v>7</v>
      </c>
      <c r="T18" s="66" t="n">
        <v>29</v>
      </c>
      <c r="U18" s="67">
        <f>IF(ISNUMBER(tblY11[[#This Row],[4B06 - Inheritance
Raw Score]]),IFERROR(VLOOKUP(ROUND(STANDARDIZE(tblY11[[#This Row],[4B06 - Inheritance
Raw Score]],AVERAGE(tblY11[[4B06 - Inheritance
Raw Score]]),_xlfn.STDEV.P(tblY11[[4B06 - Inheritance
Raw Score]])),9),_Stanine,2),5),"")</f>
        <v>7</v>
      </c>
      <c r="V18" s="66" t="n">
        <v>21</v>
      </c>
      <c r="W18" s="67">
        <f>IF(ISNUMBER(tblY11[[#This Row],[4C10 - Chemical Analysis
Raw Score]]),IFERROR(VLOOKUP(ROUND(STANDARDIZE(tblY11[[#This Row],[4C10 - Chemical Analysis
Raw Score]],AVERAGE(tblY11[[4C10 - Chemical Analysis
Raw Score]]),_xlfn.STDEV.P(tblY11[[4C10 - Chemical Analysis
Raw Score]])),9),_Stanine,2),5),"")</f>
        <v>7</v>
      </c>
      <c r="X18" s="66" t="n">
        <v>20</v>
      </c>
      <c r="Y18" s="67">
        <f>IF(ISNUMBER(tblY11[[#This Row],[4P07 - Magnetism
Raw Score]]),IFERROR(VLOOKUP(ROUND(STANDARDIZE(tblY11[[#This Row],[4P07 - Magnetism
Raw Score]],AVERAGE(tblY11[[4P07 - Magnetism
Raw Score]]),_xlfn.STDEV.P(tblY11[[4P07 - Magnetism
Raw Score]])),9),_Stanine,2),5),"")</f>
        <v>6</v>
      </c>
    </row>
    <row r="19">
      <c r="A19" s="65" t="inlineStr">
        <is>
          <t>X901888530749</t>
        </is>
      </c>
      <c r="B19" s="65" t="inlineStr">
        <is>
          <t>Nowak</t>
        </is>
      </c>
      <c r="C19" s="65" t="inlineStr">
        <is>
          <t>Freya</t>
        </is>
      </c>
      <c r="D19" s="66" t="inlineStr">
        <is>
          <t>F</t>
        </is>
      </c>
      <c r="E19" s="66" t="n"/>
      <c r="F19" s="66" t="inlineStr">
        <is>
          <t>N</t>
        </is>
      </c>
      <c r="G19" s="34" t="n">
        <v>88.8</v>
      </c>
      <c r="H19" s="34" t="n">
        <v>107</v>
      </c>
      <c r="I19" s="67">
        <f>IF(ISNUMBER(tblY11[[#This Row],[Avg KS2]]),IFERROR(VLOOKUP(ROUND(STANDARDIZE(tblY11[[#This Row],[Avg KS2]],AVERAGE(tblY11[[Avg KS2]]),_xlfn.STDEV.P(tblY11[[Avg KS2]])),9),_Stanine,2),5),"")</f>
        <v>6</v>
      </c>
      <c r="J19" s="66" t="inlineStr">
        <is>
          <t>11S/Sc1</t>
        </is>
      </c>
      <c r="K19" s="67">
        <f>IF(tblY11[[#This Row],[Preferred Last name]]="","",COUNTIFS($N$1:$ZZ$1,"*"&amp;CHAR(10)&amp;"Stanine",$N19:$ZZ19,"&gt;=1"))</f>
        <v>6</v>
      </c>
      <c r="L19" s="68">
        <f>IFERROR(AVERAGEIF($N$1:$ZZ$1,"*"&amp;CHAR(10)&amp;"Stanine",$N19:$ZZ19),"")</f>
        <v>7.16666666666667</v>
      </c>
      <c r="M19" s="69">
        <f>IF(AND(ISNUMBER(tblY11[[#This Row],[Mean Stanine]]),ISNUMBER(tblY11[[#This Row],[Avg KS2 Band]]),ISNUMBER(SlopeY11)),tblY11[[#This Row],[Mean Stanine]]-(InterceptY11+SlopeY11*tblY11[[#This Row],[Avg KS2 Band]]),"")</f>
        <v>1.46510461760462</v>
      </c>
      <c r="N19" s="66" t="n">
        <v>32</v>
      </c>
      <c r="O19" s="67">
        <f>IF(ISNUMBER(tblY11[[#This Row],[4B05 - Homeostasis
Raw Score]]),IFERROR(VLOOKUP(ROUND(STANDARDIZE(tblY11[[#This Row],[4B05 - Homeostasis
Raw Score]],AVERAGE(tblY11[[4B05 - Homeostasis
Raw Score]]),_xlfn.STDEV.P(tblY11[[4B05 - Homeostasis
Raw Score]])),9),_Stanine,2),5),"")</f>
        <v>8</v>
      </c>
      <c r="P19" s="66" t="n">
        <v>24</v>
      </c>
      <c r="Q19" s="67">
        <f>IF(ISNUMBER(tblY11[[#This Row],[4C09 - Organic Chemistry
Raw Score]]),IFERROR(VLOOKUP(ROUND(STANDARDIZE(tblY11[[#This Row],[4C09 - Organic Chemistry
Raw Score]],AVERAGE(tblY11[[4C09 - Organic Chemistry
Raw Score]]),_xlfn.STDEV.P(tblY11[[4C09 - Organic Chemistry
Raw Score]])),9),_Stanine,2),5),"")</f>
        <v>7</v>
      </c>
      <c r="R19" s="66" t="n">
        <v>29</v>
      </c>
      <c r="S19" s="67">
        <f>IF(ISNUMBER(tblY11[[#This Row],[4P06 - Waves
Raw Score]]),IFERROR(VLOOKUP(ROUND(STANDARDIZE(tblY11[[#This Row],[4P06 - Waves
Raw Score]],AVERAGE(tblY11[[4P06 - Waves
Raw Score]]),_xlfn.STDEV.P(tblY11[[4P06 - Waves
Raw Score]])),9),_Stanine,2),5),"")</f>
        <v>7</v>
      </c>
      <c r="T19" s="66" t="n">
        <v>27</v>
      </c>
      <c r="U19" s="67">
        <f>IF(ISNUMBER(tblY11[[#This Row],[4B06 - Inheritance
Raw Score]]),IFERROR(VLOOKUP(ROUND(STANDARDIZE(tblY11[[#This Row],[4B06 - Inheritance
Raw Score]],AVERAGE(tblY11[[4B06 - Inheritance
Raw Score]]),_xlfn.STDEV.P(tblY11[[4B06 - Inheritance
Raw Score]])),9),_Stanine,2),5),"")</f>
        <v>7</v>
      </c>
      <c r="V19" s="66" t="n">
        <v>19</v>
      </c>
      <c r="W19" s="67">
        <f>IF(ISNUMBER(tblY11[[#This Row],[4C10 - Chemical Analysis
Raw Score]]),IFERROR(VLOOKUP(ROUND(STANDARDIZE(tblY11[[#This Row],[4C10 - Chemical Analysis
Raw Score]],AVERAGE(tblY11[[4C10 - Chemical Analysis
Raw Score]]),_xlfn.STDEV.P(tblY11[[4C10 - Chemical Analysis
Raw Score]])),9),_Stanine,2),5),"")</f>
        <v>6</v>
      </c>
      <c r="X19" s="66" t="n">
        <v>26</v>
      </c>
      <c r="Y19" s="67">
        <f>IF(ISNUMBER(tblY11[[#This Row],[4P07 - Magnetism
Raw Score]]),IFERROR(VLOOKUP(ROUND(STANDARDIZE(tblY11[[#This Row],[4P07 - Magnetism
Raw Score]],AVERAGE(tblY11[[4P07 - Magnetism
Raw Score]]),_xlfn.STDEV.P(tblY11[[4P07 - Magnetism
Raw Score]])),9),_Stanine,2),5),"")</f>
        <v>8</v>
      </c>
    </row>
    <row r="20">
      <c r="A20" s="65" t="inlineStr">
        <is>
          <t>X904693150008</t>
        </is>
      </c>
      <c r="B20" s="65" t="inlineStr">
        <is>
          <t>Okafor</t>
        </is>
      </c>
      <c r="C20" s="65" t="inlineStr">
        <is>
          <t>Zara</t>
        </is>
      </c>
      <c r="D20" s="66" t="inlineStr">
        <is>
          <t>M</t>
        </is>
      </c>
      <c r="E20" s="66" t="inlineStr">
        <is>
          <t>N</t>
        </is>
      </c>
      <c r="F20" s="66" t="inlineStr">
        <is>
          <t>Y</t>
        </is>
      </c>
      <c r="G20" s="34" t="n">
        <v>97.09999999999999</v>
      </c>
      <c r="H20" s="34" t="n">
        <v>119.5</v>
      </c>
      <c r="I20" s="67">
        <f>IF(ISNUMBER(tblY11[[#This Row],[Avg KS2]]),IFERROR(VLOOKUP(ROUND(STANDARDIZE(tblY11[[#This Row],[Avg KS2]],AVERAGE(tblY11[[Avg KS2]]),_xlfn.STDEV.P(tblY11[[Avg KS2]])),9),_Stanine,2),5),"")</f>
        <v>9</v>
      </c>
      <c r="J20" s="66" t="inlineStr">
        <is>
          <t>11S/Sc1</t>
        </is>
      </c>
      <c r="K20" s="67">
        <f>IF(tblY11[[#This Row],[Preferred Last name]]="","",COUNTIFS($N$1:$ZZ$1,"*"&amp;CHAR(10)&amp;"Stanine",$N20:$ZZ20,"&gt;=1"))</f>
        <v>6</v>
      </c>
      <c r="L20" s="68">
        <f>IFERROR(AVERAGEIF($N$1:$ZZ$1,"*"&amp;CHAR(10)&amp;"Stanine",$N20:$ZZ20),"")</f>
        <v>9</v>
      </c>
      <c r="M20" s="69">
        <f>IF(AND(ISNUMBER(tblY11[[#This Row],[Mean Stanine]]),ISNUMBER(tblY11[[#This Row],[Avg KS2 Band]]),ISNUMBER(SlopeY11)),tblY11[[#This Row],[Mean Stanine]]-(InterceptY11+SlopeY11*tblY11[[#This Row],[Avg KS2 Band]]),"")</f>
        <v>1.05184704184704</v>
      </c>
      <c r="N20" s="66" t="n">
        <v>39</v>
      </c>
      <c r="O20" s="67">
        <f>IF(ISNUMBER(tblY11[[#This Row],[4B05 - Homeostasis
Raw Score]]),IFERROR(VLOOKUP(ROUND(STANDARDIZE(tblY11[[#This Row],[4B05 - Homeostasis
Raw Score]],AVERAGE(tblY11[[4B05 - Homeostasis
Raw Score]]),_xlfn.STDEV.P(tblY11[[4B05 - Homeostasis
Raw Score]])),9),_Stanine,2),5),"")</f>
        <v>9</v>
      </c>
      <c r="P20" s="66" t="n">
        <v>31</v>
      </c>
      <c r="Q20" s="67">
        <f>IF(ISNUMBER(tblY11[[#This Row],[4C09 - Organic Chemistry
Raw Score]]),IFERROR(VLOOKUP(ROUND(STANDARDIZE(tblY11[[#This Row],[4C09 - Organic Chemistry
Raw Score]],AVERAGE(tblY11[[4C09 - Organic Chemistry
Raw Score]]),_xlfn.STDEV.P(tblY11[[4C09 - Organic Chemistry
Raw Score]])),9),_Stanine,2),5),"")</f>
        <v>9</v>
      </c>
      <c r="R20" s="66" t="n">
        <v>37</v>
      </c>
      <c r="S20" s="67">
        <f>IF(ISNUMBER(tblY11[[#This Row],[4P06 - Waves
Raw Score]]),IFERROR(VLOOKUP(ROUND(STANDARDIZE(tblY11[[#This Row],[4P06 - Waves
Raw Score]],AVERAGE(tblY11[[4P06 - Waves
Raw Score]]),_xlfn.STDEV.P(tblY11[[4P06 - Waves
Raw Score]])),9),_Stanine,2),5),"")</f>
        <v>9</v>
      </c>
      <c r="T20" s="66" t="n">
        <v>37</v>
      </c>
      <c r="U20" s="67">
        <f>IF(ISNUMBER(tblY11[[#This Row],[4B06 - Inheritance
Raw Score]]),IFERROR(VLOOKUP(ROUND(STANDARDIZE(tblY11[[#This Row],[4B06 - Inheritance
Raw Score]],AVERAGE(tblY11[[4B06 - Inheritance
Raw Score]]),_xlfn.STDEV.P(tblY11[[4B06 - Inheritance
Raw Score]])),9),_Stanine,2),5),"")</f>
        <v>9</v>
      </c>
      <c r="V20" s="66" t="n">
        <v>29</v>
      </c>
      <c r="W20" s="67">
        <f>IF(ISNUMBER(tblY11[[#This Row],[4C10 - Chemical Analysis
Raw Score]]),IFERROR(VLOOKUP(ROUND(STANDARDIZE(tblY11[[#This Row],[4C10 - Chemical Analysis
Raw Score]],AVERAGE(tblY11[[4C10 - Chemical Analysis
Raw Score]]),_xlfn.STDEV.P(tblY11[[4C10 - Chemical Analysis
Raw Score]])),9),_Stanine,2),5),"")</f>
        <v>9</v>
      </c>
      <c r="X20" s="66" t="n">
        <v>31</v>
      </c>
      <c r="Y20" s="67">
        <f>IF(ISNUMBER(tblY11[[#This Row],[4P07 - Magnetism
Raw Score]]),IFERROR(VLOOKUP(ROUND(STANDARDIZE(tblY11[[#This Row],[4P07 - Magnetism
Raw Score]],AVERAGE(tblY11[[4P07 - Magnetism
Raw Score]]),_xlfn.STDEV.P(tblY11[[4P07 - Magnetism
Raw Score]])),9),_Stanine,2),5),"")</f>
        <v>9</v>
      </c>
    </row>
    <row r="21">
      <c r="A21" s="65" t="inlineStr">
        <is>
          <t>X901531381762</t>
        </is>
      </c>
      <c r="B21" s="65" t="inlineStr">
        <is>
          <t>Patel</t>
        </is>
      </c>
      <c r="C21" s="65" t="inlineStr">
        <is>
          <t>Maisie</t>
        </is>
      </c>
      <c r="D21" s="66" t="inlineStr">
        <is>
          <t>F</t>
        </is>
      </c>
      <c r="E21" s="66" t="n"/>
      <c r="F21" s="66" t="inlineStr">
        <is>
          <t>N</t>
        </is>
      </c>
      <c r="G21" s="34" t="n">
        <v>89.59999999999999</v>
      </c>
      <c r="H21" s="34" t="n">
        <v>116</v>
      </c>
      <c r="I21" s="67">
        <f>IF(ISNUMBER(tblY11[[#This Row],[Avg KS2]]),IFERROR(VLOOKUP(ROUND(STANDARDIZE(tblY11[[#This Row],[Avg KS2]],AVERAGE(tblY11[[Avg KS2]]),_xlfn.STDEV.P(tblY11[[Avg KS2]])),9),_Stanine,2),5),"")</f>
        <v>9</v>
      </c>
      <c r="J21" s="66" t="inlineStr">
        <is>
          <t>11S/Sc1</t>
        </is>
      </c>
      <c r="K21" s="67">
        <f>IF(tblY11[[#This Row],[Preferred Last name]]="","",COUNTIFS($N$1:$ZZ$1,"*"&amp;CHAR(10)&amp;"Stanine",$N21:$ZZ21,"&gt;=1"))</f>
        <v>5</v>
      </c>
      <c r="L21" s="68">
        <f>IFERROR(AVERAGEIF($N$1:$ZZ$1,"*"&amp;CHAR(10)&amp;"Stanine",$N21:$ZZ21),"")</f>
        <v>8</v>
      </c>
      <c r="M21" s="69">
        <f>IF(AND(ISNUMBER(tblY11[[#This Row],[Mean Stanine]]),ISNUMBER(tblY11[[#This Row],[Avg KS2 Band]]),ISNUMBER(SlopeY11)),tblY11[[#This Row],[Mean Stanine]]-(InterceptY11+SlopeY11*tblY11[[#This Row],[Avg KS2 Band]]),"")</f>
        <v>0.0518470418470418</v>
      </c>
      <c r="N21" s="66" t="n">
        <v>35</v>
      </c>
      <c r="O21" s="67">
        <f>IF(ISNUMBER(tblY11[[#This Row],[4B05 - Homeostasis
Raw Score]]),IFERROR(VLOOKUP(ROUND(STANDARDIZE(tblY11[[#This Row],[4B05 - Homeostasis
Raw Score]],AVERAGE(tblY11[[4B05 - Homeostasis
Raw Score]]),_xlfn.STDEV.P(tblY11[[4B05 - Homeostasis
Raw Score]])),9),_Stanine,2),5),"")</f>
        <v>8</v>
      </c>
      <c r="P21" s="66" t="inlineStr">
        <is>
          <t>A</t>
        </is>
      </c>
      <c r="Q21" s="67" t="str">
        <f>IF(ISNUMBER(tblY11[[#This Row],[4C09 - Organic Chemistry
Raw Score]]),IFERROR(VLOOKUP(ROUND(STANDARDIZE(tblY11[[#This Row],[4C09 - Organic Chemistry
Raw Score]],AVERAGE(tblY11[[4C09 - Organic Chemistry
Raw Score]]),_xlfn.STDEV.P(tblY11[[4C09 - Organic Chemistry
Raw Score]])),9),_Stanine,2),5),"")</f>
        <v/>
      </c>
      <c r="R21" s="66" t="n">
        <v>34</v>
      </c>
      <c r="S21" s="67">
        <f>IF(ISNUMBER(tblY11[[#This Row],[4P06 - Waves
Raw Score]]),IFERROR(VLOOKUP(ROUND(STANDARDIZE(tblY11[[#This Row],[4P06 - Waves
Raw Score]],AVERAGE(tblY11[[4P06 - Waves
Raw Score]]),_xlfn.STDEV.P(tblY11[[4P06 - Waves
Raw Score]])),9),_Stanine,2),5),"")</f>
        <v>8</v>
      </c>
      <c r="T21" s="66" t="n">
        <v>34</v>
      </c>
      <c r="U21" s="67">
        <f>IF(ISNUMBER(tblY11[[#This Row],[4B06 - Inheritance
Raw Score]]),IFERROR(VLOOKUP(ROUND(STANDARDIZE(tblY11[[#This Row],[4B06 - Inheritance
Raw Score]],AVERAGE(tblY11[[4B06 - Inheritance
Raw Score]]),_xlfn.STDEV.P(tblY11[[4B06 - Inheritance
Raw Score]])),9),_Stanine,2),5),"")</f>
        <v>8</v>
      </c>
      <c r="V21" s="66" t="n">
        <v>25</v>
      </c>
      <c r="W21" s="67">
        <f>IF(ISNUMBER(tblY11[[#This Row],[4C10 - Chemical Analysis
Raw Score]]),IFERROR(VLOOKUP(ROUND(STANDARDIZE(tblY11[[#This Row],[4C10 - Chemical Analysis
Raw Score]],AVERAGE(tblY11[[4C10 - Chemical Analysis
Raw Score]]),_xlfn.STDEV.P(tblY11[[4C10 - Chemical Analysis
Raw Score]])),9),_Stanine,2),5),"")</f>
        <v>8</v>
      </c>
      <c r="X21" s="66" t="n">
        <v>28</v>
      </c>
      <c r="Y21" s="67">
        <f>IF(ISNUMBER(tblY11[[#This Row],[4P07 - Magnetism
Raw Score]]),IFERROR(VLOOKUP(ROUND(STANDARDIZE(tblY11[[#This Row],[4P07 - Magnetism
Raw Score]],AVERAGE(tblY11[[4P07 - Magnetism
Raw Score]]),_xlfn.STDEV.P(tblY11[[4P07 - Magnetism
Raw Score]])),9),_Stanine,2),5),"")</f>
        <v>8</v>
      </c>
    </row>
    <row r="22">
      <c r="A22" s="65" t="inlineStr">
        <is>
          <t>X909292221719</t>
        </is>
      </c>
      <c r="B22" s="65" t="inlineStr">
        <is>
          <t>Robinson</t>
        </is>
      </c>
      <c r="C22" s="65" t="inlineStr">
        <is>
          <t>Jacob</t>
        </is>
      </c>
      <c r="D22" s="66" t="inlineStr">
        <is>
          <t>M</t>
        </is>
      </c>
      <c r="E22" s="66" t="inlineStr">
        <is>
          <t>N</t>
        </is>
      </c>
      <c r="F22" s="66" t="inlineStr">
        <is>
          <t>N</t>
        </is>
      </c>
      <c r="G22" s="34" t="n">
        <v>94.2</v>
      </c>
      <c r="H22" s="34" t="n">
        <v>108.5</v>
      </c>
      <c r="I22" s="67">
        <f>IF(ISNUMBER(tblY11[[#This Row],[Avg KS2]]),IFERROR(VLOOKUP(ROUND(STANDARDIZE(tblY11[[#This Row],[Avg KS2]],AVERAGE(tblY11[[Avg KS2]]),_xlfn.STDEV.P(tblY11[[Avg KS2]])),9),_Stanine,2),5),"")</f>
        <v>6</v>
      </c>
      <c r="J22" s="66" t="inlineStr">
        <is>
          <t>11S/Sc1</t>
        </is>
      </c>
      <c r="K22" s="67">
        <f>IF(tblY11[[#This Row],[Preferred Last name]]="","",COUNTIFS($N$1:$ZZ$1,"*"&amp;CHAR(10)&amp;"Stanine",$N22:$ZZ22,"&gt;=1"))</f>
        <v>6</v>
      </c>
      <c r="L22" s="68">
        <f>IFERROR(AVERAGEIF($N$1:$ZZ$1,"*"&amp;CHAR(10)&amp;"Stanine",$N22:$ZZ22),"")</f>
        <v>5.83333333333333</v>
      </c>
      <c r="M22" s="69">
        <f>IF(AND(ISNUMBER(tblY11[[#This Row],[Mean Stanine]]),ISNUMBER(tblY11[[#This Row],[Avg KS2 Band]]),ISNUMBER(SlopeY11)),tblY11[[#This Row],[Mean Stanine]]-(InterceptY11+SlopeY11*tblY11[[#This Row],[Avg KS2 Band]]),"")</f>
        <v>0.131771284271284</v>
      </c>
      <c r="N22" s="66" t="n">
        <v>29</v>
      </c>
      <c r="O22" s="67">
        <f>IF(ISNUMBER(tblY11[[#This Row],[4B05 - Homeostasis
Raw Score]]),IFERROR(VLOOKUP(ROUND(STANDARDIZE(tblY11[[#This Row],[4B05 - Homeostasis
Raw Score]],AVERAGE(tblY11[[4B05 - Homeostasis
Raw Score]]),_xlfn.STDEV.P(tblY11[[4B05 - Homeostasis
Raw Score]])),9),_Stanine,2),5),"")</f>
        <v>7</v>
      </c>
      <c r="P22" s="66" t="n">
        <v>18</v>
      </c>
      <c r="Q22" s="67">
        <f>IF(ISNUMBER(tblY11[[#This Row],[4C09 - Organic Chemistry
Raw Score]]),IFERROR(VLOOKUP(ROUND(STANDARDIZE(tblY11[[#This Row],[4C09 - Organic Chemistry
Raw Score]],AVERAGE(tblY11[[4C09 - Organic Chemistry
Raw Score]]),_xlfn.STDEV.P(tblY11[[4C09 - Organic Chemistry
Raw Score]])),9),_Stanine,2),5),"")</f>
        <v>5</v>
      </c>
      <c r="R22" s="66" t="n">
        <v>27</v>
      </c>
      <c r="S22" s="67">
        <f>IF(ISNUMBER(tblY11[[#This Row],[4P06 - Waves
Raw Score]]),IFERROR(VLOOKUP(ROUND(STANDARDIZE(tblY11[[#This Row],[4P06 - Waves
Raw Score]],AVERAGE(tblY11[[4P06 - Waves
Raw Score]]),_xlfn.STDEV.P(tblY11[[4P06 - Waves
Raw Score]])),9),_Stanine,2),5),"")</f>
        <v>6</v>
      </c>
      <c r="T22" s="66" t="n">
        <v>26</v>
      </c>
      <c r="U22" s="67">
        <f>IF(ISNUMBER(tblY11[[#This Row],[4B06 - Inheritance
Raw Score]]),IFERROR(VLOOKUP(ROUND(STANDARDIZE(tblY11[[#This Row],[4B06 - Inheritance
Raw Score]],AVERAGE(tblY11[[4B06 - Inheritance
Raw Score]]),_xlfn.STDEV.P(tblY11[[4B06 - Inheritance
Raw Score]])),9),_Stanine,2),5),"")</f>
        <v>7</v>
      </c>
      <c r="V22" s="66" t="n">
        <v>16</v>
      </c>
      <c r="W22" s="67">
        <f>IF(ISNUMBER(tblY11[[#This Row],[4C10 - Chemical Analysis
Raw Score]]),IFERROR(VLOOKUP(ROUND(STANDARDIZE(tblY11[[#This Row],[4C10 - Chemical Analysis
Raw Score]],AVERAGE(tblY11[[4C10 - Chemical Analysis
Raw Score]]),_xlfn.STDEV.P(tblY11[[4C10 - Chemical Analysis
Raw Score]])),9),_Stanine,2),5),"")</f>
        <v>6</v>
      </c>
      <c r="X22" s="66" t="n">
        <v>11</v>
      </c>
      <c r="Y22" s="67">
        <f>IF(ISNUMBER(tblY11[[#This Row],[4P07 - Magnetism
Raw Score]]),IFERROR(VLOOKUP(ROUND(STANDARDIZE(tblY11[[#This Row],[4P07 - Magnetism
Raw Score]],AVERAGE(tblY11[[4P07 - Magnetism
Raw Score]]),_xlfn.STDEV.P(tblY11[[4P07 - Magnetism
Raw Score]])),9),_Stanine,2),5),"")</f>
        <v>4</v>
      </c>
    </row>
    <row r="23">
      <c r="A23" s="65" t="inlineStr">
        <is>
          <t>X904526038918</t>
        </is>
      </c>
      <c r="B23" s="65" t="inlineStr">
        <is>
          <t>Shaw</t>
        </is>
      </c>
      <c r="C23" s="65" t="inlineStr">
        <is>
          <t>Grace</t>
        </is>
      </c>
      <c r="D23" s="66" t="inlineStr">
        <is>
          <t>M</t>
        </is>
      </c>
      <c r="E23" s="66" t="inlineStr">
        <is>
          <t>N</t>
        </is>
      </c>
      <c r="F23" s="66" t="inlineStr">
        <is>
          <t>N</t>
        </is>
      </c>
      <c r="G23" s="34" t="n">
        <v>96.3</v>
      </c>
      <c r="H23" s="34" t="n">
        <v>102</v>
      </c>
      <c r="I23" s="67">
        <f>IF(ISNUMBER(tblY11[[#This Row],[Avg KS2]]),IFERROR(VLOOKUP(ROUND(STANDARDIZE(tblY11[[#This Row],[Avg KS2]],AVERAGE(tblY11[[Avg KS2]]),_xlfn.STDEV.P(tblY11[[Avg KS2]])),9),_Stanine,2),5),"")</f>
        <v>4</v>
      </c>
      <c r="J23" s="66" t="inlineStr">
        <is>
          <t>11S/Sc1</t>
        </is>
      </c>
      <c r="K23" s="67">
        <f>IF(tblY11[[#This Row],[Preferred Last name]]="","",COUNTIFS($N$1:$ZZ$1,"*"&amp;CHAR(10)&amp;"Stanine",$N23:$ZZ23,"&gt;=1"))</f>
        <v>6</v>
      </c>
      <c r="L23" s="68">
        <f>IFERROR(AVERAGEIF($N$1:$ZZ$1,"*"&amp;CHAR(10)&amp;"Stanine",$N23:$ZZ23),"")</f>
        <v>7.33333333333333</v>
      </c>
      <c r="M23" s="69">
        <f>IF(AND(ISNUMBER(tblY11[[#This Row],[Mean Stanine]]),ISNUMBER(tblY11[[#This Row],[Avg KS2 Band]]),ISNUMBER(SlopeY11)),tblY11[[#This Row],[Mean Stanine]]-(InterceptY11+SlopeY11*tblY11[[#This Row],[Avg KS2 Band]]),"")</f>
        <v>3.12949855699856</v>
      </c>
      <c r="N23" s="66" t="n">
        <v>31</v>
      </c>
      <c r="O23" s="67">
        <f>IF(ISNUMBER(tblY11[[#This Row],[4B05 - Homeostasis
Raw Score]]),IFERROR(VLOOKUP(ROUND(STANDARDIZE(tblY11[[#This Row],[4B05 - Homeostasis
Raw Score]],AVERAGE(tblY11[[4B05 - Homeostasis
Raw Score]]),_xlfn.STDEV.P(tblY11[[4B05 - Homeostasis
Raw Score]])),9),_Stanine,2),5),"")</f>
        <v>7</v>
      </c>
      <c r="P23" s="66" t="n">
        <v>28</v>
      </c>
      <c r="Q23" s="67">
        <f>IF(ISNUMBER(tblY11[[#This Row],[4C09 - Organic Chemistry
Raw Score]]),IFERROR(VLOOKUP(ROUND(STANDARDIZE(tblY11[[#This Row],[4C09 - Organic Chemistry
Raw Score]],AVERAGE(tblY11[[4C09 - Organic Chemistry
Raw Score]]),_xlfn.STDEV.P(tblY11[[4C09 - Organic Chemistry
Raw Score]])),9),_Stanine,2),5),"")</f>
        <v>8</v>
      </c>
      <c r="R23" s="66" t="n">
        <v>33</v>
      </c>
      <c r="S23" s="67">
        <f>IF(ISNUMBER(tblY11[[#This Row],[4P06 - Waves
Raw Score]]),IFERROR(VLOOKUP(ROUND(STANDARDIZE(tblY11[[#This Row],[4P06 - Waves
Raw Score]],AVERAGE(tblY11[[4P06 - Waves
Raw Score]]),_xlfn.STDEV.P(tblY11[[4P06 - Waves
Raw Score]])),9),_Stanine,2),5),"")</f>
        <v>8</v>
      </c>
      <c r="T23" s="66" t="n">
        <v>30</v>
      </c>
      <c r="U23" s="67">
        <f>IF(ISNUMBER(tblY11[[#This Row],[4B06 - Inheritance
Raw Score]]),IFERROR(VLOOKUP(ROUND(STANDARDIZE(tblY11[[#This Row],[4B06 - Inheritance
Raw Score]],AVERAGE(tblY11[[4B06 - Inheritance
Raw Score]]),_xlfn.STDEV.P(tblY11[[4B06 - Inheritance
Raw Score]])),9),_Stanine,2),5),"")</f>
        <v>7</v>
      </c>
      <c r="V23" s="66" t="n">
        <v>21</v>
      </c>
      <c r="W23" s="67">
        <f>IF(ISNUMBER(tblY11[[#This Row],[4C10 - Chemical Analysis
Raw Score]]),IFERROR(VLOOKUP(ROUND(STANDARDIZE(tblY11[[#This Row],[4C10 - Chemical Analysis
Raw Score]],AVERAGE(tblY11[[4C10 - Chemical Analysis
Raw Score]]),_xlfn.STDEV.P(tblY11[[4C10 - Chemical Analysis
Raw Score]])),9),_Stanine,2),5),"")</f>
        <v>7</v>
      </c>
      <c r="X23" s="66" t="n">
        <v>22</v>
      </c>
      <c r="Y23" s="67">
        <f>IF(ISNUMBER(tblY11[[#This Row],[4P07 - Magnetism
Raw Score]]),IFERROR(VLOOKUP(ROUND(STANDARDIZE(tblY11[[#This Row],[4P07 - Magnetism
Raw Score]],AVERAGE(tblY11[[4P07 - Magnetism
Raw Score]]),_xlfn.STDEV.P(tblY11[[4P07 - Magnetism
Raw Score]])),9),_Stanine,2),5),"")</f>
        <v>7</v>
      </c>
    </row>
    <row r="24">
      <c r="A24" s="65" t="inlineStr">
        <is>
          <t>X902396198485</t>
        </is>
      </c>
      <c r="B24" s="65" t="inlineStr">
        <is>
          <t>Thompson</t>
        </is>
      </c>
      <c r="C24" s="65" t="inlineStr">
        <is>
          <t>Rosie</t>
        </is>
      </c>
      <c r="D24" s="66" t="inlineStr">
        <is>
          <t>F</t>
        </is>
      </c>
      <c r="E24" s="66" t="n"/>
      <c r="F24" s="66" t="inlineStr">
        <is>
          <t>N</t>
        </is>
      </c>
      <c r="G24" s="34" t="n">
        <v>100</v>
      </c>
      <c r="H24" s="34" t="n">
        <v>105</v>
      </c>
      <c r="I24" s="67">
        <f>IF(ISNUMBER(tblY11[[#This Row],[Avg KS2]]),IFERROR(VLOOKUP(ROUND(STANDARDIZE(tblY11[[#This Row],[Avg KS2]],AVERAGE(tblY11[[Avg KS2]]),_xlfn.STDEV.P(tblY11[[Avg KS2]])),9),_Stanine,2),5),"")</f>
        <v>5</v>
      </c>
      <c r="J24" s="66" t="inlineStr">
        <is>
          <t>11S/Sc1</t>
        </is>
      </c>
      <c r="K24" s="67">
        <f>IF(tblY11[[#This Row],[Preferred Last name]]="","",COUNTIFS($N$1:$ZZ$1,"*"&amp;CHAR(10)&amp;"Stanine",$N24:$ZZ24,"&gt;=1"))</f>
        <v>6</v>
      </c>
      <c r="L24" s="68">
        <f>IFERROR(AVERAGEIF($N$1:$ZZ$1,"*"&amp;CHAR(10)&amp;"Stanine",$N24:$ZZ24),"")</f>
        <v>8.33333333333333</v>
      </c>
      <c r="M24" s="69">
        <f>IF(AND(ISNUMBER(tblY11[[#This Row],[Mean Stanine]]),ISNUMBER(tblY11[[#This Row],[Avg KS2 Band]]),ISNUMBER(SlopeY11)),tblY11[[#This Row],[Mean Stanine]]-(InterceptY11+SlopeY11*tblY11[[#This Row],[Avg KS2 Band]]),"")</f>
        <v>3.38063492063492</v>
      </c>
      <c r="N24" s="66" t="n">
        <v>33</v>
      </c>
      <c r="O24" s="67">
        <f>IF(ISNUMBER(tblY11[[#This Row],[4B05 - Homeostasis
Raw Score]]),IFERROR(VLOOKUP(ROUND(STANDARDIZE(tblY11[[#This Row],[4B05 - Homeostasis
Raw Score]],AVERAGE(tblY11[[4B05 - Homeostasis
Raw Score]]),_xlfn.STDEV.P(tblY11[[4B05 - Homeostasis
Raw Score]])),9),_Stanine,2),5),"")</f>
        <v>8</v>
      </c>
      <c r="P24" s="66" t="n">
        <v>28</v>
      </c>
      <c r="Q24" s="67">
        <f>IF(ISNUMBER(tblY11[[#This Row],[4C09 - Organic Chemistry
Raw Score]]),IFERROR(VLOOKUP(ROUND(STANDARDIZE(tblY11[[#This Row],[4C09 - Organic Chemistry
Raw Score]],AVERAGE(tblY11[[4C09 - Organic Chemistry
Raw Score]]),_xlfn.STDEV.P(tblY11[[4C09 - Organic Chemistry
Raw Score]])),9),_Stanine,2),5),"")</f>
        <v>8</v>
      </c>
      <c r="R24" s="66" t="n">
        <v>34</v>
      </c>
      <c r="S24" s="67">
        <f>IF(ISNUMBER(tblY11[[#This Row],[4P06 - Waves
Raw Score]]),IFERROR(VLOOKUP(ROUND(STANDARDIZE(tblY11[[#This Row],[4P06 - Waves
Raw Score]],AVERAGE(tblY11[[4P06 - Waves
Raw Score]]),_xlfn.STDEV.P(tblY11[[4P06 - Waves
Raw Score]])),9),_Stanine,2),5),"")</f>
        <v>8</v>
      </c>
      <c r="T24" s="66" t="n">
        <v>37</v>
      </c>
      <c r="U24" s="67">
        <f>IF(ISNUMBER(tblY11[[#This Row],[4B06 - Inheritance
Raw Score]]),IFERROR(VLOOKUP(ROUND(STANDARDIZE(tblY11[[#This Row],[4B06 - Inheritance
Raw Score]],AVERAGE(tblY11[[4B06 - Inheritance
Raw Score]]),_xlfn.STDEV.P(tblY11[[4B06 - Inheritance
Raw Score]])),9),_Stanine,2),5),"")</f>
        <v>9</v>
      </c>
      <c r="V24" s="66" t="n">
        <v>24</v>
      </c>
      <c r="W24" s="67">
        <f>IF(ISNUMBER(tblY11[[#This Row],[4C10 - Chemical Analysis
Raw Score]]),IFERROR(VLOOKUP(ROUND(STANDARDIZE(tblY11[[#This Row],[4C10 - Chemical Analysis
Raw Score]],AVERAGE(tblY11[[4C10 - Chemical Analysis
Raw Score]]),_xlfn.STDEV.P(tblY11[[4C10 - Chemical Analysis
Raw Score]])),9),_Stanine,2),5),"")</f>
        <v>8</v>
      </c>
      <c r="X24" s="66" t="n">
        <v>31</v>
      </c>
      <c r="Y24" s="67">
        <f>IF(ISNUMBER(tblY11[[#This Row],[4P07 - Magnetism
Raw Score]]),IFERROR(VLOOKUP(ROUND(STANDARDIZE(tblY11[[#This Row],[4P07 - Magnetism
Raw Score]],AVERAGE(tblY11[[4P07 - Magnetism
Raw Score]]),_xlfn.STDEV.P(tblY11[[4P07 - Magnetism
Raw Score]])),9),_Stanine,2),5),"")</f>
        <v>9</v>
      </c>
    </row>
    <row r="25">
      <c r="A25" s="65" t="inlineStr">
        <is>
          <t>X902506721232</t>
        </is>
      </c>
      <c r="B25" s="65" t="inlineStr">
        <is>
          <t>Turner</t>
        </is>
      </c>
      <c r="C25" s="65" t="inlineStr">
        <is>
          <t>Isla</t>
        </is>
      </c>
      <c r="D25" s="66" t="inlineStr">
        <is>
          <t>M</t>
        </is>
      </c>
      <c r="E25" s="66" t="inlineStr">
        <is>
          <t>K</t>
        </is>
      </c>
      <c r="F25" s="66" t="inlineStr">
        <is>
          <t>N</t>
        </is>
      </c>
      <c r="G25" s="34" t="n">
        <v>100</v>
      </c>
      <c r="H25" s="34" t="n">
        <v>108.5</v>
      </c>
      <c r="I25" s="67">
        <f>IF(ISNUMBER(tblY11[[#This Row],[Avg KS2]]),IFERROR(VLOOKUP(ROUND(STANDARDIZE(tblY11[[#This Row],[Avg KS2]],AVERAGE(tblY11[[Avg KS2]]),_xlfn.STDEV.P(tblY11[[Avg KS2]])),9),_Stanine,2),5),"")</f>
        <v>6</v>
      </c>
      <c r="J25" s="66" t="inlineStr">
        <is>
          <t>11S/Sc1</t>
        </is>
      </c>
      <c r="K25" s="67">
        <f>IF(tblY11[[#This Row],[Preferred Last name]]="","",COUNTIFS($N$1:$ZZ$1,"*"&amp;CHAR(10)&amp;"Stanine",$N25:$ZZ25,"&gt;=1"))</f>
        <v>6</v>
      </c>
      <c r="L25" s="68">
        <f>IFERROR(AVERAGEIF($N$1:$ZZ$1,"*"&amp;CHAR(10)&amp;"Stanine",$N25:$ZZ25),"")</f>
        <v>7.83333333333333</v>
      </c>
      <c r="M25" s="69">
        <f>IF(AND(ISNUMBER(tblY11[[#This Row],[Mean Stanine]]),ISNUMBER(tblY11[[#This Row],[Avg KS2 Band]]),ISNUMBER(SlopeY11)),tblY11[[#This Row],[Mean Stanine]]-(InterceptY11+SlopeY11*tblY11[[#This Row],[Avg KS2 Band]]),"")</f>
        <v>2.13177128427128</v>
      </c>
      <c r="N25" s="66" t="n">
        <v>33</v>
      </c>
      <c r="O25" s="67">
        <f>IF(ISNUMBER(tblY11[[#This Row],[4B05 - Homeostasis
Raw Score]]),IFERROR(VLOOKUP(ROUND(STANDARDIZE(tblY11[[#This Row],[4B05 - Homeostasis
Raw Score]],AVERAGE(tblY11[[4B05 - Homeostasis
Raw Score]]),_xlfn.STDEV.P(tblY11[[4B05 - Homeostasis
Raw Score]])),9),_Stanine,2),5),"")</f>
        <v>8</v>
      </c>
      <c r="P25" s="66" t="n">
        <v>26</v>
      </c>
      <c r="Q25" s="67">
        <f>IF(ISNUMBER(tblY11[[#This Row],[4C09 - Organic Chemistry
Raw Score]]),IFERROR(VLOOKUP(ROUND(STANDARDIZE(tblY11[[#This Row],[4C09 - Organic Chemistry
Raw Score]],AVERAGE(tblY11[[4C09 - Organic Chemistry
Raw Score]]),_xlfn.STDEV.P(tblY11[[4C09 - Organic Chemistry
Raw Score]])),9),_Stanine,2),5),"")</f>
        <v>8</v>
      </c>
      <c r="R25" s="66" t="n">
        <v>33</v>
      </c>
      <c r="S25" s="67">
        <f>IF(ISNUMBER(tblY11[[#This Row],[4P06 - Waves
Raw Score]]),IFERROR(VLOOKUP(ROUND(STANDARDIZE(tblY11[[#This Row],[4P06 - Waves
Raw Score]],AVERAGE(tblY11[[4P06 - Waves
Raw Score]]),_xlfn.STDEV.P(tblY11[[4P06 - Waves
Raw Score]])),9),_Stanine,2),5),"")</f>
        <v>8</v>
      </c>
      <c r="T25" s="66" t="n">
        <v>28</v>
      </c>
      <c r="U25" s="67">
        <f>IF(ISNUMBER(tblY11[[#This Row],[4B06 - Inheritance
Raw Score]]),IFERROR(VLOOKUP(ROUND(STANDARDIZE(tblY11[[#This Row],[4B06 - Inheritance
Raw Score]],AVERAGE(tblY11[[4B06 - Inheritance
Raw Score]]),_xlfn.STDEV.P(tblY11[[4B06 - Inheritance
Raw Score]])),9),_Stanine,2),5),"")</f>
        <v>7</v>
      </c>
      <c r="V25" s="66" t="n">
        <v>23</v>
      </c>
      <c r="W25" s="67">
        <f>IF(ISNUMBER(tblY11[[#This Row],[4C10 - Chemical Analysis
Raw Score]]),IFERROR(VLOOKUP(ROUND(STANDARDIZE(tblY11[[#This Row],[4C10 - Chemical Analysis
Raw Score]],AVERAGE(tblY11[[4C10 - Chemical Analysis
Raw Score]]),_xlfn.STDEV.P(tblY11[[4C10 - Chemical Analysis
Raw Score]])),9),_Stanine,2),5),"")</f>
        <v>8</v>
      </c>
      <c r="X25" s="66" t="n">
        <v>26</v>
      </c>
      <c r="Y25" s="67">
        <f>IF(ISNUMBER(tblY11[[#This Row],[4P07 - Magnetism
Raw Score]]),IFERROR(VLOOKUP(ROUND(STANDARDIZE(tblY11[[#This Row],[4P07 - Magnetism
Raw Score]],AVERAGE(tblY11[[4P07 - Magnetism
Raw Score]]),_xlfn.STDEV.P(tblY11[[4P07 - Magnetism
Raw Score]])),9),_Stanine,2),5),"")</f>
        <v>8</v>
      </c>
    </row>
    <row r="26">
      <c r="A26" s="65" t="inlineStr">
        <is>
          <t>X900367955878</t>
        </is>
      </c>
      <c r="B26" s="65" t="inlineStr">
        <is>
          <t>Walker</t>
        </is>
      </c>
      <c r="C26" s="65" t="inlineStr">
        <is>
          <t>Oscar</t>
        </is>
      </c>
      <c r="D26" s="66" t="inlineStr">
        <is>
          <t>F</t>
        </is>
      </c>
      <c r="E26" s="66" t="n"/>
      <c r="F26" s="66" t="inlineStr">
        <is>
          <t>N</t>
        </is>
      </c>
      <c r="G26" s="34" t="n">
        <v>98.3</v>
      </c>
      <c r="H26" s="34" t="n">
        <v>107</v>
      </c>
      <c r="I26" s="67">
        <f>IF(ISNUMBER(tblY11[[#This Row],[Avg KS2]]),IFERROR(VLOOKUP(ROUND(STANDARDIZE(tblY11[[#This Row],[Avg KS2]],AVERAGE(tblY11[[Avg KS2]]),_xlfn.STDEV.P(tblY11[[Avg KS2]])),9),_Stanine,2),5),"")</f>
        <v>6</v>
      </c>
      <c r="J26" s="66" t="inlineStr">
        <is>
          <t>11S/Sc1</t>
        </is>
      </c>
      <c r="K26" s="67">
        <f>IF(tblY11[[#This Row],[Preferred Last name]]="","",COUNTIFS($N$1:$ZZ$1,"*"&amp;CHAR(10)&amp;"Stanine",$N26:$ZZ26,"&gt;=1"))</f>
        <v>6</v>
      </c>
      <c r="L26" s="68">
        <f>IFERROR(AVERAGEIF($N$1:$ZZ$1,"*"&amp;CHAR(10)&amp;"Stanine",$N26:$ZZ26),"")</f>
        <v>7.5</v>
      </c>
      <c r="M26" s="69">
        <f>IF(AND(ISNUMBER(tblY11[[#This Row],[Mean Stanine]]),ISNUMBER(tblY11[[#This Row],[Avg KS2 Band]]),ISNUMBER(SlopeY11)),tblY11[[#This Row],[Mean Stanine]]-(InterceptY11+SlopeY11*tblY11[[#This Row],[Avg KS2 Band]]),"")</f>
        <v>1.79843795093795</v>
      </c>
      <c r="N26" s="66" t="n">
        <v>35</v>
      </c>
      <c r="O26" s="67">
        <f>IF(ISNUMBER(tblY11[[#This Row],[4B05 - Homeostasis
Raw Score]]),IFERROR(VLOOKUP(ROUND(STANDARDIZE(tblY11[[#This Row],[4B05 - Homeostasis
Raw Score]],AVERAGE(tblY11[[4B05 - Homeostasis
Raw Score]]),_xlfn.STDEV.P(tblY11[[4B05 - Homeostasis
Raw Score]])),9),_Stanine,2),5),"")</f>
        <v>8</v>
      </c>
      <c r="P26" s="66" t="n">
        <v>25</v>
      </c>
      <c r="Q26" s="67">
        <f>IF(ISNUMBER(tblY11[[#This Row],[4C09 - Organic Chemistry
Raw Score]]),IFERROR(VLOOKUP(ROUND(STANDARDIZE(tblY11[[#This Row],[4C09 - Organic Chemistry
Raw Score]],AVERAGE(tblY11[[4C09 - Organic Chemistry
Raw Score]]),_xlfn.STDEV.P(tblY11[[4C09 - Organic Chemistry
Raw Score]])),9),_Stanine,2),5),"")</f>
        <v>7</v>
      </c>
      <c r="R26" s="66" t="n">
        <v>33</v>
      </c>
      <c r="S26" s="67">
        <f>IF(ISNUMBER(tblY11[[#This Row],[4P06 - Waves
Raw Score]]),IFERROR(VLOOKUP(ROUND(STANDARDIZE(tblY11[[#This Row],[4P06 - Waves
Raw Score]],AVERAGE(tblY11[[4P06 - Waves
Raw Score]]),_xlfn.STDEV.P(tblY11[[4P06 - Waves
Raw Score]])),9),_Stanine,2),5),"")</f>
        <v>8</v>
      </c>
      <c r="T26" s="66" t="n">
        <v>29</v>
      </c>
      <c r="U26" s="67">
        <f>IF(ISNUMBER(tblY11[[#This Row],[4B06 - Inheritance
Raw Score]]),IFERROR(VLOOKUP(ROUND(STANDARDIZE(tblY11[[#This Row],[4B06 - Inheritance
Raw Score]],AVERAGE(tblY11[[4B06 - Inheritance
Raw Score]]),_xlfn.STDEV.P(tblY11[[4B06 - Inheritance
Raw Score]])),9),_Stanine,2),5),"")</f>
        <v>7</v>
      </c>
      <c r="V26" s="66" t="n">
        <v>23</v>
      </c>
      <c r="W26" s="67">
        <f>IF(ISNUMBER(tblY11[[#This Row],[4C10 - Chemical Analysis
Raw Score]]),IFERROR(VLOOKUP(ROUND(STANDARDIZE(tblY11[[#This Row],[4C10 - Chemical Analysis
Raw Score]],AVERAGE(tblY11[[4C10 - Chemical Analysis
Raw Score]]),_xlfn.STDEV.P(tblY11[[4C10 - Chemical Analysis
Raw Score]])),9),_Stanine,2),5),"")</f>
        <v>8</v>
      </c>
      <c r="X26" s="66" t="n">
        <v>22</v>
      </c>
      <c r="Y26" s="67">
        <f>IF(ISNUMBER(tblY11[[#This Row],[4P07 - Magnetism
Raw Score]]),IFERROR(VLOOKUP(ROUND(STANDARDIZE(tblY11[[#This Row],[4P07 - Magnetism
Raw Score]],AVERAGE(tblY11[[4P07 - Magnetism
Raw Score]]),_xlfn.STDEV.P(tblY11[[4P07 - Magnetism
Raw Score]])),9),_Stanine,2),5),"")</f>
        <v>7</v>
      </c>
    </row>
    <row r="27">
      <c r="A27" s="65" t="inlineStr">
        <is>
          <t>X905562398261</t>
        </is>
      </c>
      <c r="B27" s="65" t="inlineStr">
        <is>
          <t>Ward</t>
        </is>
      </c>
      <c r="C27" s="65" t="inlineStr">
        <is>
          <t>Aisha</t>
        </is>
      </c>
      <c r="D27" s="66" t="inlineStr">
        <is>
          <t>F</t>
        </is>
      </c>
      <c r="E27" s="66" t="inlineStr">
        <is>
          <t>K</t>
        </is>
      </c>
      <c r="F27" s="66" t="inlineStr">
        <is>
          <t>N</t>
        </is>
      </c>
      <c r="G27" s="34" t="n">
        <v>95.59999999999999</v>
      </c>
      <c r="H27" s="34" t="n">
        <v>109</v>
      </c>
      <c r="I27" s="67">
        <f>IF(ISNUMBER(tblY11[[#This Row],[Avg KS2]]),IFERROR(VLOOKUP(ROUND(STANDARDIZE(tblY11[[#This Row],[Avg KS2]],AVERAGE(tblY11[[Avg KS2]]),_xlfn.STDEV.P(tblY11[[Avg KS2]])),9),_Stanine,2),5),"")</f>
        <v>6</v>
      </c>
      <c r="J27" s="66" t="inlineStr">
        <is>
          <t>11S/Sc1</t>
        </is>
      </c>
      <c r="K27" s="67">
        <f>IF(tblY11[[#This Row],[Preferred Last name]]="","",COUNTIFS($N$1:$ZZ$1,"*"&amp;CHAR(10)&amp;"Stanine",$N27:$ZZ27,"&gt;=1"))</f>
        <v>6</v>
      </c>
      <c r="L27" s="68">
        <f>IFERROR(AVERAGEIF($N$1:$ZZ$1,"*"&amp;CHAR(10)&amp;"Stanine",$N27:$ZZ27),"")</f>
        <v>7</v>
      </c>
      <c r="M27" s="69">
        <f>IF(AND(ISNUMBER(tblY11[[#This Row],[Mean Stanine]]),ISNUMBER(tblY11[[#This Row],[Avg KS2 Band]]),ISNUMBER(SlopeY11)),tblY11[[#This Row],[Mean Stanine]]-(InterceptY11+SlopeY11*tblY11[[#This Row],[Avg KS2 Band]]),"")</f>
        <v>1.29843795093795</v>
      </c>
      <c r="N27" s="66" t="n">
        <v>25</v>
      </c>
      <c r="O27" s="67">
        <f>IF(ISNUMBER(tblY11[[#This Row],[4B05 - Homeostasis
Raw Score]]),IFERROR(VLOOKUP(ROUND(STANDARDIZE(tblY11[[#This Row],[4B05 - Homeostasis
Raw Score]],AVERAGE(tblY11[[4B05 - Homeostasis
Raw Score]]),_xlfn.STDEV.P(tblY11[[4B05 - Homeostasis
Raw Score]])),9),_Stanine,2),5),"")</f>
        <v>6</v>
      </c>
      <c r="P27" s="66" t="n">
        <v>23</v>
      </c>
      <c r="Q27" s="67">
        <f>IF(ISNUMBER(tblY11[[#This Row],[4C09 - Organic Chemistry
Raw Score]]),IFERROR(VLOOKUP(ROUND(STANDARDIZE(tblY11[[#This Row],[4C09 - Organic Chemistry
Raw Score]],AVERAGE(tblY11[[4C09 - Organic Chemistry
Raw Score]]),_xlfn.STDEV.P(tblY11[[4C09 - Organic Chemistry
Raw Score]])),9),_Stanine,2),5),"")</f>
        <v>7</v>
      </c>
      <c r="R27" s="66" t="n">
        <v>29</v>
      </c>
      <c r="S27" s="67">
        <f>IF(ISNUMBER(tblY11[[#This Row],[4P06 - Waves
Raw Score]]),IFERROR(VLOOKUP(ROUND(STANDARDIZE(tblY11[[#This Row],[4P06 - Waves
Raw Score]],AVERAGE(tblY11[[4P06 - Waves
Raw Score]]),_xlfn.STDEV.P(tblY11[[4P06 - Waves
Raw Score]])),9),_Stanine,2),5),"")</f>
        <v>7</v>
      </c>
      <c r="T27" s="66" t="n">
        <v>32</v>
      </c>
      <c r="U27" s="67">
        <f>IF(ISNUMBER(tblY11[[#This Row],[4B06 - Inheritance
Raw Score]]),IFERROR(VLOOKUP(ROUND(STANDARDIZE(tblY11[[#This Row],[4B06 - Inheritance
Raw Score]],AVERAGE(tblY11[[4B06 - Inheritance
Raw Score]]),_xlfn.STDEV.P(tblY11[[4B06 - Inheritance
Raw Score]])),9),_Stanine,2),5),"")</f>
        <v>8</v>
      </c>
      <c r="V27" s="66" t="n">
        <v>17</v>
      </c>
      <c r="W27" s="67">
        <f>IF(ISNUMBER(tblY11[[#This Row],[4C10 - Chemical Analysis
Raw Score]]),IFERROR(VLOOKUP(ROUND(STANDARDIZE(tblY11[[#This Row],[4C10 - Chemical Analysis
Raw Score]],AVERAGE(tblY11[[4C10 - Chemical Analysis
Raw Score]]),_xlfn.STDEV.P(tblY11[[4C10 - Chemical Analysis
Raw Score]])),9),_Stanine,2),5),"")</f>
        <v>6</v>
      </c>
      <c r="X27" s="66" t="n">
        <v>25</v>
      </c>
      <c r="Y27" s="67">
        <f>IF(ISNUMBER(tblY11[[#This Row],[4P07 - Magnetism
Raw Score]]),IFERROR(VLOOKUP(ROUND(STANDARDIZE(tblY11[[#This Row],[4P07 - Magnetism
Raw Score]],AVERAGE(tblY11[[4P07 - Magnetism
Raw Score]]),_xlfn.STDEV.P(tblY11[[4P07 - Magnetism
Raw Score]])),9),_Stanine,2),5),"")</f>
        <v>8</v>
      </c>
    </row>
    <row r="28">
      <c r="A28" s="65" t="inlineStr">
        <is>
          <t>X902928527373</t>
        </is>
      </c>
      <c r="B28" s="65" t="inlineStr">
        <is>
          <t>Wright</t>
        </is>
      </c>
      <c r="C28" s="65" t="inlineStr">
        <is>
          <t>Amara</t>
        </is>
      </c>
      <c r="D28" s="66" t="inlineStr">
        <is>
          <t>M</t>
        </is>
      </c>
      <c r="E28" s="66" t="inlineStr">
        <is>
          <t>N</t>
        </is>
      </c>
      <c r="F28" s="66" t="inlineStr">
        <is>
          <t>N</t>
        </is>
      </c>
      <c r="G28" s="34" t="n">
        <v>96.3</v>
      </c>
      <c r="H28" s="34" t="n">
        <v>113.5</v>
      </c>
      <c r="I28" s="67">
        <f>IF(ISNUMBER(tblY11[[#This Row],[Avg KS2]]),IFERROR(VLOOKUP(ROUND(STANDARDIZE(tblY11[[#This Row],[Avg KS2]],AVERAGE(tblY11[[Avg KS2]]),_xlfn.STDEV.P(tblY11[[Avg KS2]])),9),_Stanine,2),5),"")</f>
        <v>8</v>
      </c>
      <c r="J28" s="66" t="inlineStr">
        <is>
          <t>11S/Sc1</t>
        </is>
      </c>
      <c r="K28" s="67">
        <f>IF(tblY11[[#This Row],[Preferred Last name]]="","",COUNTIFS($N$1:$ZZ$1,"*"&amp;CHAR(10)&amp;"Stanine",$N28:$ZZ28,"&gt;=1"))</f>
        <v>6</v>
      </c>
      <c r="L28" s="68">
        <f>IFERROR(AVERAGEIF($N$1:$ZZ$1,"*"&amp;CHAR(10)&amp;"Stanine",$N28:$ZZ28),"")</f>
        <v>7.83333333333333</v>
      </c>
      <c r="M28" s="69">
        <f>IF(AND(ISNUMBER(tblY11[[#This Row],[Mean Stanine]]),ISNUMBER(tblY11[[#This Row],[Avg KS2 Band]]),ISNUMBER(SlopeY11)),tblY11[[#This Row],[Mean Stanine]]-(InterceptY11+SlopeY11*tblY11[[#This Row],[Avg KS2 Band]]),"")</f>
        <v>0.634044011544011</v>
      </c>
      <c r="N28" s="66" t="n">
        <v>31</v>
      </c>
      <c r="O28" s="67">
        <f>IF(ISNUMBER(tblY11[[#This Row],[4B05 - Homeostasis
Raw Score]]),IFERROR(VLOOKUP(ROUND(STANDARDIZE(tblY11[[#This Row],[4B05 - Homeostasis
Raw Score]],AVERAGE(tblY11[[4B05 - Homeostasis
Raw Score]]),_xlfn.STDEV.P(tblY11[[4B05 - Homeostasis
Raw Score]])),9),_Stanine,2),5),"")</f>
        <v>7</v>
      </c>
      <c r="P28" s="66" t="n">
        <v>28</v>
      </c>
      <c r="Q28" s="67">
        <f>IF(ISNUMBER(tblY11[[#This Row],[4C09 - Organic Chemistry
Raw Score]]),IFERROR(VLOOKUP(ROUND(STANDARDIZE(tblY11[[#This Row],[4C09 - Organic Chemistry
Raw Score]],AVERAGE(tblY11[[4C09 - Organic Chemistry
Raw Score]]),_xlfn.STDEV.P(tblY11[[4C09 - Organic Chemistry
Raw Score]])),9),_Stanine,2),5),"")</f>
        <v>8</v>
      </c>
      <c r="R28" s="66" t="n">
        <v>30</v>
      </c>
      <c r="S28" s="67">
        <f>IF(ISNUMBER(tblY11[[#This Row],[4P06 - Waves
Raw Score]]),IFERROR(VLOOKUP(ROUND(STANDARDIZE(tblY11[[#This Row],[4P06 - Waves
Raw Score]],AVERAGE(tblY11[[4P06 - Waves
Raw Score]]),_xlfn.STDEV.P(tblY11[[4P06 - Waves
Raw Score]])),9),_Stanine,2),5),"")</f>
        <v>7</v>
      </c>
      <c r="T28" s="66" t="n">
        <v>32</v>
      </c>
      <c r="U28" s="67">
        <f>IF(ISNUMBER(tblY11[[#This Row],[4B06 - Inheritance
Raw Score]]),IFERROR(VLOOKUP(ROUND(STANDARDIZE(tblY11[[#This Row],[4B06 - Inheritance
Raw Score]],AVERAGE(tblY11[[4B06 - Inheritance
Raw Score]]),_xlfn.STDEV.P(tblY11[[4B06 - Inheritance
Raw Score]])),9),_Stanine,2),5),"")</f>
        <v>8</v>
      </c>
      <c r="V28" s="66" t="n">
        <v>23</v>
      </c>
      <c r="W28" s="67">
        <f>IF(ISNUMBER(tblY11[[#This Row],[4C10 - Chemical Analysis
Raw Score]]),IFERROR(VLOOKUP(ROUND(STANDARDIZE(tblY11[[#This Row],[4C10 - Chemical Analysis
Raw Score]],AVERAGE(tblY11[[4C10 - Chemical Analysis
Raw Score]]),_xlfn.STDEV.P(tblY11[[4C10 - Chemical Analysis
Raw Score]])),9),_Stanine,2),5),"")</f>
        <v>8</v>
      </c>
      <c r="X28" s="66" t="n">
        <v>30</v>
      </c>
      <c r="Y28" s="67">
        <f>IF(ISNUMBER(tblY11[[#This Row],[4P07 - Magnetism
Raw Score]]),IFERROR(VLOOKUP(ROUND(STANDARDIZE(tblY11[[#This Row],[4P07 - Magnetism
Raw Score]],AVERAGE(tblY11[[4P07 - Magnetism
Raw Score]]),_xlfn.STDEV.P(tblY11[[4P07 - Magnetism
Raw Score]])),9),_Stanine,2),5),"")</f>
        <v>9</v>
      </c>
    </row>
    <row r="29">
      <c r="A29" s="65" t="inlineStr">
        <is>
          <t>X907183905816</t>
        </is>
      </c>
      <c r="B29" s="65" t="inlineStr">
        <is>
          <t>Wright</t>
        </is>
      </c>
      <c r="C29" s="65" t="inlineStr">
        <is>
          <t>Hollie</t>
        </is>
      </c>
      <c r="D29" s="66" t="inlineStr">
        <is>
          <t>F</t>
        </is>
      </c>
      <c r="E29" s="66" t="inlineStr">
        <is>
          <t>N</t>
        </is>
      </c>
      <c r="F29" s="66" t="inlineStr">
        <is>
          <t>N</t>
        </is>
      </c>
      <c r="G29" s="34" t="n">
        <v>90.8</v>
      </c>
      <c r="H29" s="34" t="n">
        <v>112.5</v>
      </c>
      <c r="I29" s="67">
        <f>IF(ISNUMBER(tblY11[[#This Row],[Avg KS2]]),IFERROR(VLOOKUP(ROUND(STANDARDIZE(tblY11[[#This Row],[Avg KS2]],AVERAGE(tblY11[[Avg KS2]]),_xlfn.STDEV.P(tblY11[[Avg KS2]])),9),_Stanine,2),5),"")</f>
        <v>7</v>
      </c>
      <c r="J29" s="66" t="inlineStr">
        <is>
          <t>11S/Sc1</t>
        </is>
      </c>
      <c r="K29" s="67">
        <f>IF(tblY11[[#This Row],[Preferred Last name]]="","",COUNTIFS($N$1:$ZZ$1,"*"&amp;CHAR(10)&amp;"Stanine",$N29:$ZZ29,"&gt;=1"))</f>
        <v>6</v>
      </c>
      <c r="L29" s="68">
        <f>IFERROR(AVERAGEIF($N$1:$ZZ$1,"*"&amp;CHAR(10)&amp;"Stanine",$N29:$ZZ29),"")</f>
        <v>6.33333333333333</v>
      </c>
      <c r="M29" s="69">
        <f>IF(AND(ISNUMBER(tblY11[[#This Row],[Mean Stanine]]),ISNUMBER(tblY11[[#This Row],[Avg KS2 Band]]),ISNUMBER(SlopeY11)),tblY11[[#This Row],[Mean Stanine]]-(InterceptY11+SlopeY11*tblY11[[#This Row],[Avg KS2 Band]]),"")</f>
        <v>-0.117092352092352</v>
      </c>
      <c r="N29" s="66" t="n">
        <v>34</v>
      </c>
      <c r="O29" s="67">
        <f>IF(ISNUMBER(tblY11[[#This Row],[4B05 - Homeostasis
Raw Score]]),IFERROR(VLOOKUP(ROUND(STANDARDIZE(tblY11[[#This Row],[4B05 - Homeostasis
Raw Score]],AVERAGE(tblY11[[4B05 - Homeostasis
Raw Score]]),_xlfn.STDEV.P(tblY11[[4B05 - Homeostasis
Raw Score]])),9),_Stanine,2),5),"")</f>
        <v>8</v>
      </c>
      <c r="P29" s="66" t="n">
        <v>21</v>
      </c>
      <c r="Q29" s="67">
        <f>IF(ISNUMBER(tblY11[[#This Row],[4C09 - Organic Chemistry
Raw Score]]),IFERROR(VLOOKUP(ROUND(STANDARDIZE(tblY11[[#This Row],[4C09 - Organic Chemistry
Raw Score]],AVERAGE(tblY11[[4C09 - Organic Chemistry
Raw Score]]),_xlfn.STDEV.P(tblY11[[4C09 - Organic Chemistry
Raw Score]])),9),_Stanine,2),5),"")</f>
        <v>6</v>
      </c>
      <c r="R29" s="66" t="n">
        <v>25</v>
      </c>
      <c r="S29" s="67">
        <f>IF(ISNUMBER(tblY11[[#This Row],[4P06 - Waves
Raw Score]]),IFERROR(VLOOKUP(ROUND(STANDARDIZE(tblY11[[#This Row],[4P06 - Waves
Raw Score]],AVERAGE(tblY11[[4P06 - Waves
Raw Score]]),_xlfn.STDEV.P(tblY11[[4P06 - Waves
Raw Score]])),9),_Stanine,2),5),"")</f>
        <v>6</v>
      </c>
      <c r="T29" s="66" t="n">
        <v>25</v>
      </c>
      <c r="U29" s="67">
        <f>IF(ISNUMBER(tblY11[[#This Row],[4B06 - Inheritance
Raw Score]]),IFERROR(VLOOKUP(ROUND(STANDARDIZE(tblY11[[#This Row],[4B06 - Inheritance
Raw Score]],AVERAGE(tblY11[[4B06 - Inheritance
Raw Score]]),_xlfn.STDEV.P(tblY11[[4B06 - Inheritance
Raw Score]])),9),_Stanine,2),5),"")</f>
        <v>6</v>
      </c>
      <c r="V29" s="66" t="n">
        <v>17</v>
      </c>
      <c r="W29" s="67">
        <f>IF(ISNUMBER(tblY11[[#This Row],[4C10 - Chemical Analysis
Raw Score]]),IFERROR(VLOOKUP(ROUND(STANDARDIZE(tblY11[[#This Row],[4C10 - Chemical Analysis
Raw Score]],AVERAGE(tblY11[[4C10 - Chemical Analysis
Raw Score]]),_xlfn.STDEV.P(tblY11[[4C10 - Chemical Analysis
Raw Score]])),9),_Stanine,2),5),"")</f>
        <v>6</v>
      </c>
      <c r="X29" s="66" t="n">
        <v>20</v>
      </c>
      <c r="Y29" s="67">
        <f>IF(ISNUMBER(tblY11[[#This Row],[4P07 - Magnetism
Raw Score]]),IFERROR(VLOOKUP(ROUND(STANDARDIZE(tblY11[[#This Row],[4P07 - Magnetism
Raw Score]],AVERAGE(tblY11[[4P07 - Magnetism
Raw Score]]),_xlfn.STDEV.P(tblY11[[4P07 - Magnetism
Raw Score]])),9),_Stanine,2),5),"")</f>
        <v>6</v>
      </c>
    </row>
    <row r="30">
      <c r="A30" s="65" t="inlineStr">
        <is>
          <t>X902000020807</t>
        </is>
      </c>
      <c r="B30" s="65" t="inlineStr">
        <is>
          <t>Cooper</t>
        </is>
      </c>
      <c r="C30" s="65" t="inlineStr">
        <is>
          <t>Dylan</t>
        </is>
      </c>
      <c r="D30" s="66" t="inlineStr">
        <is>
          <t>F</t>
        </is>
      </c>
      <c r="E30" s="66" t="n"/>
      <c r="F30" s="66" t="inlineStr">
        <is>
          <t>N</t>
        </is>
      </c>
      <c r="G30" s="34" t="n">
        <v>98.7</v>
      </c>
      <c r="H30" s="34" t="n">
        <v>104.5</v>
      </c>
      <c r="I30" s="67">
        <f>IF(ISNUMBER(tblY11[[#This Row],[Avg KS2]]),IFERROR(VLOOKUP(ROUND(STANDARDIZE(tblY11[[#This Row],[Avg KS2]],AVERAGE(tblY11[[Avg KS2]]),_xlfn.STDEV.P(tblY11[[Avg KS2]])),9),_Stanine,2),5),"")</f>
        <v>5</v>
      </c>
      <c r="J30" s="66" t="inlineStr">
        <is>
          <t>11S/Sc2</t>
        </is>
      </c>
      <c r="K30" s="67">
        <f>IF(tblY11[[#This Row],[Preferred Last name]]="","",COUNTIFS($N$1:$ZZ$1,"*"&amp;CHAR(10)&amp;"Stanine",$N30:$ZZ30,"&gt;=1"))</f>
        <v>6</v>
      </c>
      <c r="L30" s="68">
        <f>IFERROR(AVERAGEIF($N$1:$ZZ$1,"*"&amp;CHAR(10)&amp;"Stanine",$N30:$ZZ30),"")</f>
        <v>5.33333333333333</v>
      </c>
      <c r="M30" s="69">
        <f>IF(AND(ISNUMBER(tblY11[[#This Row],[Mean Stanine]]),ISNUMBER(tblY11[[#This Row],[Avg KS2 Band]]),ISNUMBER(SlopeY11)),tblY11[[#This Row],[Mean Stanine]]-(InterceptY11+SlopeY11*tblY11[[#This Row],[Avg KS2 Band]]),"")</f>
        <v>0.380634920634921</v>
      </c>
      <c r="N30" s="66" t="n">
        <v>27</v>
      </c>
      <c r="O30" s="67">
        <f>IF(ISNUMBER(tblY11[[#This Row],[4B05 - Homeostasis
Raw Score]]),IFERROR(VLOOKUP(ROUND(STANDARDIZE(tblY11[[#This Row],[4B05 - Homeostasis
Raw Score]],AVERAGE(tblY11[[4B05 - Homeostasis
Raw Score]]),_xlfn.STDEV.P(tblY11[[4B05 - Homeostasis
Raw Score]])),9),_Stanine,2),5),"")</f>
        <v>6</v>
      </c>
      <c r="P30" s="66" t="n">
        <v>14</v>
      </c>
      <c r="Q30" s="67">
        <f>IF(ISNUMBER(tblY11[[#This Row],[4C09 - Organic Chemistry
Raw Score]]),IFERROR(VLOOKUP(ROUND(STANDARDIZE(tblY11[[#This Row],[4C09 - Organic Chemistry
Raw Score]],AVERAGE(tblY11[[4C09 - Organic Chemistry
Raw Score]]),_xlfn.STDEV.P(tblY11[[4C09 - Organic Chemistry
Raw Score]])),9),_Stanine,2),5),"")</f>
        <v>4</v>
      </c>
      <c r="R30" s="66" t="n">
        <v>25</v>
      </c>
      <c r="S30" s="67">
        <f>IF(ISNUMBER(tblY11[[#This Row],[4P06 - Waves
Raw Score]]),IFERROR(VLOOKUP(ROUND(STANDARDIZE(tblY11[[#This Row],[4P06 - Waves
Raw Score]],AVERAGE(tblY11[[4P06 - Waves
Raw Score]]),_xlfn.STDEV.P(tblY11[[4P06 - Waves
Raw Score]])),9),_Stanine,2),5),"")</f>
        <v>6</v>
      </c>
      <c r="T30" s="66" t="n">
        <v>20</v>
      </c>
      <c r="U30" s="67">
        <f>IF(ISNUMBER(tblY11[[#This Row],[4B06 - Inheritance
Raw Score]]),IFERROR(VLOOKUP(ROUND(STANDARDIZE(tblY11[[#This Row],[4B06 - Inheritance
Raw Score]],AVERAGE(tblY11[[4B06 - Inheritance
Raw Score]]),_xlfn.STDEV.P(tblY11[[4B06 - Inheritance
Raw Score]])),9),_Stanine,2),5),"")</f>
        <v>5</v>
      </c>
      <c r="V30" s="66" t="n">
        <v>17</v>
      </c>
      <c r="W30" s="67">
        <f>IF(ISNUMBER(tblY11[[#This Row],[4C10 - Chemical Analysis
Raw Score]]),IFERROR(VLOOKUP(ROUND(STANDARDIZE(tblY11[[#This Row],[4C10 - Chemical Analysis
Raw Score]],AVERAGE(tblY11[[4C10 - Chemical Analysis
Raw Score]]),_xlfn.STDEV.P(tblY11[[4C10 - Chemical Analysis
Raw Score]])),9),_Stanine,2),5),"")</f>
        <v>6</v>
      </c>
      <c r="X30" s="66" t="n">
        <v>17</v>
      </c>
      <c r="Y30" s="67">
        <f>IF(ISNUMBER(tblY11[[#This Row],[4P07 - Magnetism
Raw Score]]),IFERROR(VLOOKUP(ROUND(STANDARDIZE(tblY11[[#This Row],[4P07 - Magnetism
Raw Score]],AVERAGE(tblY11[[4P07 - Magnetism
Raw Score]]),_xlfn.STDEV.P(tblY11[[4P07 - Magnetism
Raw Score]])),9),_Stanine,2),5),"")</f>
        <v>5</v>
      </c>
    </row>
    <row r="31">
      <c r="A31" s="65" t="inlineStr">
        <is>
          <t>X907544749939</t>
        </is>
      </c>
      <c r="B31" s="65" t="inlineStr">
        <is>
          <t>Cooper</t>
        </is>
      </c>
      <c r="C31" s="65" t="inlineStr">
        <is>
          <t>Noah</t>
        </is>
      </c>
      <c r="D31" s="66" t="inlineStr">
        <is>
          <t>F</t>
        </is>
      </c>
      <c r="E31" s="66" t="inlineStr">
        <is>
          <t>N</t>
        </is>
      </c>
      <c r="F31" s="66" t="inlineStr">
        <is>
          <t>Y</t>
        </is>
      </c>
      <c r="G31" s="34" t="n">
        <v>86.59999999999999</v>
      </c>
      <c r="H31" s="34" t="n">
        <v>109</v>
      </c>
      <c r="I31" s="67">
        <f>IF(ISNUMBER(tblY11[[#This Row],[Avg KS2]]),IFERROR(VLOOKUP(ROUND(STANDARDIZE(tblY11[[#This Row],[Avg KS2]],AVERAGE(tblY11[[Avg KS2]]),_xlfn.STDEV.P(tblY11[[Avg KS2]])),9),_Stanine,2),5),"")</f>
        <v>6</v>
      </c>
      <c r="J31" s="66" t="inlineStr">
        <is>
          <t>11S/Sc2</t>
        </is>
      </c>
      <c r="K31" s="67">
        <f>IF(tblY11[[#This Row],[Preferred Last name]]="","",COUNTIFS($N$1:$ZZ$1,"*"&amp;CHAR(10)&amp;"Stanine",$N31:$ZZ31,"&gt;=1"))</f>
        <v>6</v>
      </c>
      <c r="L31" s="68">
        <f>IFERROR(AVERAGEIF($N$1:$ZZ$1,"*"&amp;CHAR(10)&amp;"Stanine",$N31:$ZZ31),"")</f>
        <v>6.16666666666667</v>
      </c>
      <c r="M31" s="69">
        <f>IF(AND(ISNUMBER(tblY11[[#This Row],[Mean Stanine]]),ISNUMBER(tblY11[[#This Row],[Avg KS2 Band]]),ISNUMBER(SlopeY11)),tblY11[[#This Row],[Mean Stanine]]-(InterceptY11+SlopeY11*tblY11[[#This Row],[Avg KS2 Band]]),"")</f>
        <v>0.465104617604618</v>
      </c>
      <c r="N31" s="66" t="n">
        <v>24</v>
      </c>
      <c r="O31" s="67">
        <f>IF(ISNUMBER(tblY11[[#This Row],[4B05 - Homeostasis
Raw Score]]),IFERROR(VLOOKUP(ROUND(STANDARDIZE(tblY11[[#This Row],[4B05 - Homeostasis
Raw Score]],AVERAGE(tblY11[[4B05 - Homeostasis
Raw Score]]),_xlfn.STDEV.P(tblY11[[4B05 - Homeostasis
Raw Score]])),9),_Stanine,2),5),"")</f>
        <v>6</v>
      </c>
      <c r="P31" s="66" t="n">
        <v>24</v>
      </c>
      <c r="Q31" s="67">
        <f>IF(ISNUMBER(tblY11[[#This Row],[4C09 - Organic Chemistry
Raw Score]]),IFERROR(VLOOKUP(ROUND(STANDARDIZE(tblY11[[#This Row],[4C09 - Organic Chemistry
Raw Score]],AVERAGE(tblY11[[4C09 - Organic Chemistry
Raw Score]]),_xlfn.STDEV.P(tblY11[[4C09 - Organic Chemistry
Raw Score]])),9),_Stanine,2),5),"")</f>
        <v>7</v>
      </c>
      <c r="R31" s="66" t="n">
        <v>32</v>
      </c>
      <c r="S31" s="67">
        <f>IF(ISNUMBER(tblY11[[#This Row],[4P06 - Waves
Raw Score]]),IFERROR(VLOOKUP(ROUND(STANDARDIZE(tblY11[[#This Row],[4P06 - Waves
Raw Score]],AVERAGE(tblY11[[4P06 - Waves
Raw Score]]),_xlfn.STDEV.P(tblY11[[4P06 - Waves
Raw Score]])),9),_Stanine,2),5),"")</f>
        <v>8</v>
      </c>
      <c r="T31" s="66" t="n">
        <v>21</v>
      </c>
      <c r="U31" s="67">
        <f>IF(ISNUMBER(tblY11[[#This Row],[4B06 - Inheritance
Raw Score]]),IFERROR(VLOOKUP(ROUND(STANDARDIZE(tblY11[[#This Row],[4B06 - Inheritance
Raw Score]],AVERAGE(tblY11[[4B06 - Inheritance
Raw Score]]),_xlfn.STDEV.P(tblY11[[4B06 - Inheritance
Raw Score]])),9),_Stanine,2),5),"")</f>
        <v>5</v>
      </c>
      <c r="V31" s="66" t="n">
        <v>14</v>
      </c>
      <c r="W31" s="67">
        <f>IF(ISNUMBER(tblY11[[#This Row],[4C10 - Chemical Analysis
Raw Score]]),IFERROR(VLOOKUP(ROUND(STANDARDIZE(tblY11[[#This Row],[4C10 - Chemical Analysis
Raw Score]],AVERAGE(tblY11[[4C10 - Chemical Analysis
Raw Score]]),_xlfn.STDEV.P(tblY11[[4C10 - Chemical Analysis
Raw Score]])),9),_Stanine,2),5),"")</f>
        <v>5</v>
      </c>
      <c r="X31" s="66" t="n">
        <v>20</v>
      </c>
      <c r="Y31" s="67">
        <f>IF(ISNUMBER(tblY11[[#This Row],[4P07 - Magnetism
Raw Score]]),IFERROR(VLOOKUP(ROUND(STANDARDIZE(tblY11[[#This Row],[4P07 - Magnetism
Raw Score]],AVERAGE(tblY11[[4P07 - Magnetism
Raw Score]]),_xlfn.STDEV.P(tblY11[[4P07 - Magnetism
Raw Score]])),9),_Stanine,2),5),"")</f>
        <v>6</v>
      </c>
    </row>
    <row r="32">
      <c r="A32" s="65" t="inlineStr">
        <is>
          <t>X905048833441</t>
        </is>
      </c>
      <c r="B32" s="65" t="inlineStr">
        <is>
          <t>Evans</t>
        </is>
      </c>
      <c r="C32" s="65" t="inlineStr">
        <is>
          <t>Arthur</t>
        </is>
      </c>
      <c r="D32" s="66" t="inlineStr">
        <is>
          <t>M</t>
        </is>
      </c>
      <c r="E32" s="66" t="n"/>
      <c r="F32" s="66" t="inlineStr">
        <is>
          <t>N</t>
        </is>
      </c>
      <c r="G32" s="34" t="n">
        <v>88</v>
      </c>
      <c r="H32" s="34" t="n">
        <v>99</v>
      </c>
      <c r="I32" s="67">
        <f>IF(ISNUMBER(tblY11[[#This Row],[Avg KS2]]),IFERROR(VLOOKUP(ROUND(STANDARDIZE(tblY11[[#This Row],[Avg KS2]],AVERAGE(tblY11[[Avg KS2]]),_xlfn.STDEV.P(tblY11[[Avg KS2]])),9),_Stanine,2),5),"")</f>
        <v>3</v>
      </c>
      <c r="J32" s="66" t="inlineStr">
        <is>
          <t>11S/Sc2</t>
        </is>
      </c>
      <c r="K32" s="67">
        <f>IF(tblY11[[#This Row],[Preferred Last name]]="","",COUNTIFS($N$1:$ZZ$1,"*"&amp;CHAR(10)&amp;"Stanine",$N32:$ZZ32,"&gt;=1"))</f>
        <v>6</v>
      </c>
      <c r="L32" s="68">
        <f>IFERROR(AVERAGEIF($N$1:$ZZ$1,"*"&amp;CHAR(10)&amp;"Stanine",$N32:$ZZ32),"")</f>
        <v>4</v>
      </c>
      <c r="M32" s="69">
        <f>IF(AND(ISNUMBER(tblY11[[#This Row],[Mean Stanine]]),ISNUMBER(tblY11[[#This Row],[Avg KS2 Band]]),ISNUMBER(SlopeY11)),tblY11[[#This Row],[Mean Stanine]]-(InterceptY11+SlopeY11*tblY11[[#This Row],[Avg KS2 Band]]),"")</f>
        <v>0.545028860028861</v>
      </c>
      <c r="N32" s="66" t="n">
        <v>19</v>
      </c>
      <c r="O32" s="67">
        <f>IF(ISNUMBER(tblY11[[#This Row],[4B05 - Homeostasis
Raw Score]]),IFERROR(VLOOKUP(ROUND(STANDARDIZE(tblY11[[#This Row],[4B05 - Homeostasis
Raw Score]],AVERAGE(tblY11[[4B05 - Homeostasis
Raw Score]]),_xlfn.STDEV.P(tblY11[[4B05 - Homeostasis
Raw Score]])),9),_Stanine,2),5),"")</f>
        <v>5</v>
      </c>
      <c r="P32" s="66" t="n">
        <v>10</v>
      </c>
      <c r="Q32" s="67">
        <f>IF(ISNUMBER(tblY11[[#This Row],[4C09 - Organic Chemistry
Raw Score]]),IFERROR(VLOOKUP(ROUND(STANDARDIZE(tblY11[[#This Row],[4C09 - Organic Chemistry
Raw Score]],AVERAGE(tblY11[[4C09 - Organic Chemistry
Raw Score]]),_xlfn.STDEV.P(tblY11[[4C09 - Organic Chemistry
Raw Score]])),9),_Stanine,2),5),"")</f>
        <v>3</v>
      </c>
      <c r="R32" s="66" t="n">
        <v>16</v>
      </c>
      <c r="S32" s="67">
        <f>IF(ISNUMBER(tblY11[[#This Row],[4P06 - Waves
Raw Score]]),IFERROR(VLOOKUP(ROUND(STANDARDIZE(tblY11[[#This Row],[4P06 - Waves
Raw Score]],AVERAGE(tblY11[[4P06 - Waves
Raw Score]]),_xlfn.STDEV.P(tblY11[[4P06 - Waves
Raw Score]])),9),_Stanine,2),5),"")</f>
        <v>4</v>
      </c>
      <c r="T32" s="66" t="n">
        <v>16</v>
      </c>
      <c r="U32" s="67">
        <f>IF(ISNUMBER(tblY11[[#This Row],[4B06 - Inheritance
Raw Score]]),IFERROR(VLOOKUP(ROUND(STANDARDIZE(tblY11[[#This Row],[4B06 - Inheritance
Raw Score]],AVERAGE(tblY11[[4B06 - Inheritance
Raw Score]]),_xlfn.STDEV.P(tblY11[[4B06 - Inheritance
Raw Score]])),9),_Stanine,2),5),"")</f>
        <v>4</v>
      </c>
      <c r="V32" s="66" t="n">
        <v>11</v>
      </c>
      <c r="W32" s="67">
        <f>IF(ISNUMBER(tblY11[[#This Row],[4C10 - Chemical Analysis
Raw Score]]),IFERROR(VLOOKUP(ROUND(STANDARDIZE(tblY11[[#This Row],[4C10 - Chemical Analysis
Raw Score]],AVERAGE(tblY11[[4C10 - Chemical Analysis
Raw Score]]),_xlfn.STDEV.P(tblY11[[4C10 - Chemical Analysis
Raw Score]])),9),_Stanine,2),5),"")</f>
        <v>4</v>
      </c>
      <c r="X32" s="66" t="n">
        <v>11</v>
      </c>
      <c r="Y32" s="67">
        <f>IF(ISNUMBER(tblY11[[#This Row],[4P07 - Magnetism
Raw Score]]),IFERROR(VLOOKUP(ROUND(STANDARDIZE(tblY11[[#This Row],[4P07 - Magnetism
Raw Score]],AVERAGE(tblY11[[4P07 - Magnetism
Raw Score]]),_xlfn.STDEV.P(tblY11[[4P07 - Magnetism
Raw Score]])),9),_Stanine,2),5),"")</f>
        <v>4</v>
      </c>
    </row>
    <row r="33">
      <c r="A33" s="65" t="inlineStr">
        <is>
          <t>X904005331541</t>
        </is>
      </c>
      <c r="B33" s="65" t="inlineStr">
        <is>
          <t>Harrison</t>
        </is>
      </c>
      <c r="C33" s="65" t="inlineStr">
        <is>
          <t>Arjun</t>
        </is>
      </c>
      <c r="D33" s="66" t="inlineStr">
        <is>
          <t>F</t>
        </is>
      </c>
      <c r="E33" s="66" t="n"/>
      <c r="F33" s="66" t="inlineStr">
        <is>
          <t>Y</t>
        </is>
      </c>
      <c r="G33" s="34" t="n">
        <v>82.8</v>
      </c>
      <c r="H33" s="34" t="n">
        <v>106</v>
      </c>
      <c r="I33" s="67">
        <f>IF(ISNUMBER(tblY11[[#This Row],[Avg KS2]]),IFERROR(VLOOKUP(ROUND(STANDARDIZE(tblY11[[#This Row],[Avg KS2]],AVERAGE(tblY11[[Avg KS2]]),_xlfn.STDEV.P(tblY11[[Avg KS2]])),9),_Stanine,2),5),"")</f>
        <v>5</v>
      </c>
      <c r="J33" s="66" t="inlineStr">
        <is>
          <t>11S/Sc2</t>
        </is>
      </c>
      <c r="K33" s="67">
        <f>IF(tblY11[[#This Row],[Preferred Last name]]="","",COUNTIFS($N$1:$ZZ$1,"*"&amp;CHAR(10)&amp;"Stanine",$N33:$ZZ33,"&gt;=1"))</f>
        <v>5</v>
      </c>
      <c r="L33" s="68">
        <f>IFERROR(AVERAGEIF($N$1:$ZZ$1,"*"&amp;CHAR(10)&amp;"Stanine",$N33:$ZZ33),"")</f>
        <v>4.4</v>
      </c>
      <c r="M33" s="69">
        <f>IF(AND(ISNUMBER(tblY11[[#This Row],[Mean Stanine]]),ISNUMBER(tblY11[[#This Row],[Avg KS2 Band]]),ISNUMBER(SlopeY11)),tblY11[[#This Row],[Mean Stanine]]-(InterceptY11+SlopeY11*tblY11[[#This Row],[Avg KS2 Band]]),"")</f>
        <v>-0.552698412698412</v>
      </c>
      <c r="N33" s="66" t="inlineStr">
        <is>
          <t>A</t>
        </is>
      </c>
      <c r="O33" s="67" t="str">
        <f>IF(ISNUMBER(tblY11[[#This Row],[4B05 - Homeostasis
Raw Score]]),IFERROR(VLOOKUP(ROUND(STANDARDIZE(tblY11[[#This Row],[4B05 - Homeostasis
Raw Score]],AVERAGE(tblY11[[4B05 - Homeostasis
Raw Score]]),_xlfn.STDEV.P(tblY11[[4B05 - Homeostasis
Raw Score]])),9),_Stanine,2),5),"")</f>
        <v/>
      </c>
      <c r="P33" s="66" t="n">
        <v>20</v>
      </c>
      <c r="Q33" s="67">
        <f>IF(ISNUMBER(tblY11[[#This Row],[4C09 - Organic Chemistry
Raw Score]]),IFERROR(VLOOKUP(ROUND(STANDARDIZE(tblY11[[#This Row],[4C09 - Organic Chemistry
Raw Score]],AVERAGE(tblY11[[4C09 - Organic Chemistry
Raw Score]]),_xlfn.STDEV.P(tblY11[[4C09 - Organic Chemistry
Raw Score]])),9),_Stanine,2),5),"")</f>
        <v>6</v>
      </c>
      <c r="R33" s="66" t="n">
        <v>16</v>
      </c>
      <c r="S33" s="67">
        <f>IF(ISNUMBER(tblY11[[#This Row],[4P06 - Waves
Raw Score]]),IFERROR(VLOOKUP(ROUND(STANDARDIZE(tblY11[[#This Row],[4P06 - Waves
Raw Score]],AVERAGE(tblY11[[4P06 - Waves
Raw Score]]),_xlfn.STDEV.P(tblY11[[4P06 - Waves
Raw Score]])),9),_Stanine,2),5),"")</f>
        <v>4</v>
      </c>
      <c r="T33" s="66" t="n">
        <v>12</v>
      </c>
      <c r="U33" s="67">
        <f>IF(ISNUMBER(tblY11[[#This Row],[4B06 - Inheritance
Raw Score]]),IFERROR(VLOOKUP(ROUND(STANDARDIZE(tblY11[[#This Row],[4B06 - Inheritance
Raw Score]],AVERAGE(tblY11[[4B06 - Inheritance
Raw Score]]),_xlfn.STDEV.P(tblY11[[4B06 - Inheritance
Raw Score]])),9),_Stanine,2),5),"")</f>
        <v>4</v>
      </c>
      <c r="V33" s="66" t="n">
        <v>11</v>
      </c>
      <c r="W33" s="67">
        <f>IF(ISNUMBER(tblY11[[#This Row],[4C10 - Chemical Analysis
Raw Score]]),IFERROR(VLOOKUP(ROUND(STANDARDIZE(tblY11[[#This Row],[4C10 - Chemical Analysis
Raw Score]],AVERAGE(tblY11[[4C10 - Chemical Analysis
Raw Score]]),_xlfn.STDEV.P(tblY11[[4C10 - Chemical Analysis
Raw Score]])),9),_Stanine,2),5),"")</f>
        <v>4</v>
      </c>
      <c r="X33" s="66" t="n">
        <v>12</v>
      </c>
      <c r="Y33" s="67">
        <f>IF(ISNUMBER(tblY11[[#This Row],[4P07 - Magnetism
Raw Score]]),IFERROR(VLOOKUP(ROUND(STANDARDIZE(tblY11[[#This Row],[4P07 - Magnetism
Raw Score]],AVERAGE(tblY11[[4P07 - Magnetism
Raw Score]]),_xlfn.STDEV.P(tblY11[[4P07 - Magnetism
Raw Score]])),9),_Stanine,2),5),"")</f>
        <v>4</v>
      </c>
    </row>
    <row r="34">
      <c r="A34" s="65" t="inlineStr">
        <is>
          <t>X904619825337</t>
        </is>
      </c>
      <c r="B34" s="65" t="inlineStr">
        <is>
          <t>Harrison</t>
        </is>
      </c>
      <c r="C34" s="65" t="inlineStr">
        <is>
          <t>Poppy</t>
        </is>
      </c>
      <c r="D34" s="66" t="inlineStr">
        <is>
          <t>F</t>
        </is>
      </c>
      <c r="E34" s="66" t="n"/>
      <c r="F34" s="66" t="inlineStr">
        <is>
          <t>N</t>
        </is>
      </c>
      <c r="G34" s="34" t="n">
        <v>99.7</v>
      </c>
      <c r="H34" s="34" t="n">
        <v>106</v>
      </c>
      <c r="I34" s="67">
        <f>IF(ISNUMBER(tblY11[[#This Row],[Avg KS2]]),IFERROR(VLOOKUP(ROUND(STANDARDIZE(tblY11[[#This Row],[Avg KS2]],AVERAGE(tblY11[[Avg KS2]]),_xlfn.STDEV.P(tblY11[[Avg KS2]])),9),_Stanine,2),5),"")</f>
        <v>5</v>
      </c>
      <c r="J34" s="66" t="inlineStr">
        <is>
          <t>11S/Sc2</t>
        </is>
      </c>
      <c r="K34" s="67">
        <f>IF(tblY11[[#This Row],[Preferred Last name]]="","",COUNTIFS($N$1:$ZZ$1,"*"&amp;CHAR(10)&amp;"Stanine",$N34:$ZZ34,"&gt;=1"))</f>
        <v>5</v>
      </c>
      <c r="L34" s="68">
        <f>IFERROR(AVERAGEIF($N$1:$ZZ$1,"*"&amp;CHAR(10)&amp;"Stanine",$N34:$ZZ34),"")</f>
        <v>5.8</v>
      </c>
      <c r="M34" s="69">
        <f>IF(AND(ISNUMBER(tblY11[[#This Row],[Mean Stanine]]),ISNUMBER(tblY11[[#This Row],[Avg KS2 Band]]),ISNUMBER(SlopeY11)),tblY11[[#This Row],[Mean Stanine]]-(InterceptY11+SlopeY11*tblY11[[#This Row],[Avg KS2 Band]]),"")</f>
        <v>0.847301587301588</v>
      </c>
      <c r="N34" s="66" t="n">
        <v>28</v>
      </c>
      <c r="O34" s="67">
        <f>IF(ISNUMBER(tblY11[[#This Row],[4B05 - Homeostasis
Raw Score]]),IFERROR(VLOOKUP(ROUND(STANDARDIZE(tblY11[[#This Row],[4B05 - Homeostasis
Raw Score]],AVERAGE(tblY11[[4B05 - Homeostasis
Raw Score]]),_xlfn.STDEV.P(tblY11[[4B05 - Homeostasis
Raw Score]])),9),_Stanine,2),5),"")</f>
        <v>7</v>
      </c>
      <c r="P34" s="66" t="n">
        <v>17</v>
      </c>
      <c r="Q34" s="67">
        <f>IF(ISNUMBER(tblY11[[#This Row],[4C09 - Organic Chemistry
Raw Score]]),IFERROR(VLOOKUP(ROUND(STANDARDIZE(tblY11[[#This Row],[4C09 - Organic Chemistry
Raw Score]],AVERAGE(tblY11[[4C09 - Organic Chemistry
Raw Score]]),_xlfn.STDEV.P(tblY11[[4C09 - Organic Chemistry
Raw Score]])),9),_Stanine,2),5),"")</f>
        <v>5</v>
      </c>
      <c r="R34" s="66" t="n">
        <v>25</v>
      </c>
      <c r="S34" s="67">
        <f>IF(ISNUMBER(tblY11[[#This Row],[4P06 - Waves
Raw Score]]),IFERROR(VLOOKUP(ROUND(STANDARDIZE(tblY11[[#This Row],[4P06 - Waves
Raw Score]],AVERAGE(tblY11[[4P06 - Waves
Raw Score]]),_xlfn.STDEV.P(tblY11[[4P06 - Waves
Raw Score]])),9),_Stanine,2),5),"")</f>
        <v>6</v>
      </c>
      <c r="T34" s="66" t="n">
        <v>16</v>
      </c>
      <c r="U34" s="67">
        <f>IF(ISNUMBER(tblY11[[#This Row],[4B06 - Inheritance
Raw Score]]),IFERROR(VLOOKUP(ROUND(STANDARDIZE(tblY11[[#This Row],[4B06 - Inheritance
Raw Score]],AVERAGE(tblY11[[4B06 - Inheritance
Raw Score]]),_xlfn.STDEV.P(tblY11[[4B06 - Inheritance
Raw Score]])),9),_Stanine,2),5),"")</f>
        <v>4</v>
      </c>
      <c r="V34" s="66" t="n">
        <v>21</v>
      </c>
      <c r="W34" s="67">
        <f>IF(ISNUMBER(tblY11[[#This Row],[4C10 - Chemical Analysis
Raw Score]]),IFERROR(VLOOKUP(ROUND(STANDARDIZE(tblY11[[#This Row],[4C10 - Chemical Analysis
Raw Score]],AVERAGE(tblY11[[4C10 - Chemical Analysis
Raw Score]]),_xlfn.STDEV.P(tblY11[[4C10 - Chemical Analysis
Raw Score]])),9),_Stanine,2),5),"")</f>
        <v>7</v>
      </c>
      <c r="X34" s="66" t="inlineStr">
        <is>
          <t>A</t>
        </is>
      </c>
      <c r="Y34" s="67" t="str">
        <f>IF(ISNUMBER(tblY11[[#This Row],[4P07 - Magnetism
Raw Score]]),IFERROR(VLOOKUP(ROUND(STANDARDIZE(tblY11[[#This Row],[4P07 - Magnetism
Raw Score]],AVERAGE(tblY11[[4P07 - Magnetism
Raw Score]]),_xlfn.STDEV.P(tblY11[[4P07 - Magnetism
Raw Score]])),9),_Stanine,2),5),"")</f>
        <v/>
      </c>
    </row>
    <row r="35">
      <c r="A35" s="65" t="inlineStr">
        <is>
          <t>X902773588099</t>
        </is>
      </c>
      <c r="B35" s="65" t="inlineStr">
        <is>
          <t>Jackson</t>
        </is>
      </c>
      <c r="C35" s="65" t="inlineStr">
        <is>
          <t>Priya</t>
        </is>
      </c>
      <c r="D35" s="66" t="inlineStr">
        <is>
          <t>M</t>
        </is>
      </c>
      <c r="E35" s="66" t="inlineStr">
        <is>
          <t>K</t>
        </is>
      </c>
      <c r="F35" s="66" t="inlineStr">
        <is>
          <t>N</t>
        </is>
      </c>
      <c r="G35" s="34" t="n">
        <v>87.90000000000001</v>
      </c>
      <c r="H35" s="34" t="n">
        <v>108</v>
      </c>
      <c r="I35" s="67">
        <f>IF(ISNUMBER(tblY11[[#This Row],[Avg KS2]]),IFERROR(VLOOKUP(ROUND(STANDARDIZE(tblY11[[#This Row],[Avg KS2]],AVERAGE(tblY11[[Avg KS2]]),_xlfn.STDEV.P(tblY11[[Avg KS2]])),9),_Stanine,2),5),"")</f>
        <v>6</v>
      </c>
      <c r="J35" s="66" t="inlineStr">
        <is>
          <t>11S/Sc2</t>
        </is>
      </c>
      <c r="K35" s="67">
        <f>IF(tblY11[[#This Row],[Preferred Last name]]="","",COUNTIFS($N$1:$ZZ$1,"*"&amp;CHAR(10)&amp;"Stanine",$N35:$ZZ35,"&gt;=1"))</f>
        <v>6</v>
      </c>
      <c r="L35" s="68">
        <f>IFERROR(AVERAGEIF($N$1:$ZZ$1,"*"&amp;CHAR(10)&amp;"Stanine",$N35:$ZZ35),"")</f>
        <v>5.33333333333333</v>
      </c>
      <c r="M35" s="69">
        <f>IF(AND(ISNUMBER(tblY11[[#This Row],[Mean Stanine]]),ISNUMBER(tblY11[[#This Row],[Avg KS2 Band]]),ISNUMBER(SlopeY11)),tblY11[[#This Row],[Mean Stanine]]-(InterceptY11+SlopeY11*tblY11[[#This Row],[Avg KS2 Band]]),"")</f>
        <v>-0.368228715728716</v>
      </c>
      <c r="N35" s="66" t="n">
        <v>20</v>
      </c>
      <c r="O35" s="67">
        <f>IF(ISNUMBER(tblY11[[#This Row],[4B05 - Homeostasis
Raw Score]]),IFERROR(VLOOKUP(ROUND(STANDARDIZE(tblY11[[#This Row],[4B05 - Homeostasis
Raw Score]],AVERAGE(tblY11[[4B05 - Homeostasis
Raw Score]]),_xlfn.STDEV.P(tblY11[[4B05 - Homeostasis
Raw Score]])),9),_Stanine,2),5),"")</f>
        <v>5</v>
      </c>
      <c r="P35" s="66" t="n">
        <v>17</v>
      </c>
      <c r="Q35" s="67">
        <f>IF(ISNUMBER(tblY11[[#This Row],[4C09 - Organic Chemistry
Raw Score]]),IFERROR(VLOOKUP(ROUND(STANDARDIZE(tblY11[[#This Row],[4C09 - Organic Chemistry
Raw Score]],AVERAGE(tblY11[[4C09 - Organic Chemistry
Raw Score]]),_xlfn.STDEV.P(tblY11[[4C09 - Organic Chemistry
Raw Score]])),9),_Stanine,2),5),"")</f>
        <v>5</v>
      </c>
      <c r="R35" s="66" t="n">
        <v>27</v>
      </c>
      <c r="S35" s="67">
        <f>IF(ISNUMBER(tblY11[[#This Row],[4P06 - Waves
Raw Score]]),IFERROR(VLOOKUP(ROUND(STANDARDIZE(tblY11[[#This Row],[4P06 - Waves
Raw Score]],AVERAGE(tblY11[[4P06 - Waves
Raw Score]]),_xlfn.STDEV.P(tblY11[[4P06 - Waves
Raw Score]])),9),_Stanine,2),5),"")</f>
        <v>6</v>
      </c>
      <c r="T35" s="66" t="n">
        <v>16</v>
      </c>
      <c r="U35" s="67">
        <f>IF(ISNUMBER(tblY11[[#This Row],[4B06 - Inheritance
Raw Score]]),IFERROR(VLOOKUP(ROUND(STANDARDIZE(tblY11[[#This Row],[4B06 - Inheritance
Raw Score]],AVERAGE(tblY11[[4B06 - Inheritance
Raw Score]]),_xlfn.STDEV.P(tblY11[[4B06 - Inheritance
Raw Score]])),9),_Stanine,2),5),"")</f>
        <v>4</v>
      </c>
      <c r="V35" s="66" t="n">
        <v>18</v>
      </c>
      <c r="W35" s="67">
        <f>IF(ISNUMBER(tblY11[[#This Row],[4C10 - Chemical Analysis
Raw Score]]),IFERROR(VLOOKUP(ROUND(STANDARDIZE(tblY11[[#This Row],[4C10 - Chemical Analysis
Raw Score]],AVERAGE(tblY11[[4C10 - Chemical Analysis
Raw Score]]),_xlfn.STDEV.P(tblY11[[4C10 - Chemical Analysis
Raw Score]])),9),_Stanine,2),5),"")</f>
        <v>6</v>
      </c>
      <c r="X35" s="66" t="n">
        <v>19</v>
      </c>
      <c r="Y35" s="67">
        <f>IF(ISNUMBER(tblY11[[#This Row],[4P07 - Magnetism
Raw Score]]),IFERROR(VLOOKUP(ROUND(STANDARDIZE(tblY11[[#This Row],[4P07 - Magnetism
Raw Score]],AVERAGE(tblY11[[4P07 - Magnetism
Raw Score]]),_xlfn.STDEV.P(tblY11[[4P07 - Magnetism
Raw Score]])),9),_Stanine,2),5),"")</f>
        <v>6</v>
      </c>
    </row>
    <row r="36">
      <c r="A36" s="65" t="inlineStr">
        <is>
          <t>X903343935139</t>
        </is>
      </c>
      <c r="B36" s="65" t="inlineStr">
        <is>
          <t>Jones</t>
        </is>
      </c>
      <c r="C36" s="65" t="inlineStr">
        <is>
          <t>Seren</t>
        </is>
      </c>
      <c r="D36" s="66" t="inlineStr">
        <is>
          <t>M</t>
        </is>
      </c>
      <c r="E36" s="66" t="inlineStr">
        <is>
          <t>N</t>
        </is>
      </c>
      <c r="F36" s="66" t="inlineStr">
        <is>
          <t>N</t>
        </is>
      </c>
      <c r="G36" s="34" t="n">
        <v>86.90000000000001</v>
      </c>
      <c r="H36" s="34" t="n">
        <v>108.5</v>
      </c>
      <c r="I36" s="67">
        <f>IF(ISNUMBER(tblY11[[#This Row],[Avg KS2]]),IFERROR(VLOOKUP(ROUND(STANDARDIZE(tblY11[[#This Row],[Avg KS2]],AVERAGE(tblY11[[Avg KS2]]),_xlfn.STDEV.P(tblY11[[Avg KS2]])),9),_Stanine,2),5),"")</f>
        <v>6</v>
      </c>
      <c r="J36" s="66" t="inlineStr">
        <is>
          <t>11S/Sc2</t>
        </is>
      </c>
      <c r="K36" s="67">
        <f>IF(tblY11[[#This Row],[Preferred Last name]]="","",COUNTIFS($N$1:$ZZ$1,"*"&amp;CHAR(10)&amp;"Stanine",$N36:$ZZ36,"&gt;=1"))</f>
        <v>6</v>
      </c>
      <c r="L36" s="68">
        <f>IFERROR(AVERAGEIF($N$1:$ZZ$1,"*"&amp;CHAR(10)&amp;"Stanine",$N36:$ZZ36),"")</f>
        <v>6.66666666666667</v>
      </c>
      <c r="M36" s="69">
        <f>IF(AND(ISNUMBER(tblY11[[#This Row],[Mean Stanine]]),ISNUMBER(tblY11[[#This Row],[Avg KS2 Band]]),ISNUMBER(SlopeY11)),tblY11[[#This Row],[Mean Stanine]]-(InterceptY11+SlopeY11*tblY11[[#This Row],[Avg KS2 Band]]),"")</f>
        <v>0.965104617604618</v>
      </c>
      <c r="N36" s="66" t="n">
        <v>30</v>
      </c>
      <c r="O36" s="67">
        <f>IF(ISNUMBER(tblY11[[#This Row],[4B05 - Homeostasis
Raw Score]]),IFERROR(VLOOKUP(ROUND(STANDARDIZE(tblY11[[#This Row],[4B05 - Homeostasis
Raw Score]],AVERAGE(tblY11[[4B05 - Homeostasis
Raw Score]]),_xlfn.STDEV.P(tblY11[[4B05 - Homeostasis
Raw Score]])),9),_Stanine,2),5),"")</f>
        <v>7</v>
      </c>
      <c r="P36" s="66" t="n">
        <v>22</v>
      </c>
      <c r="Q36" s="67">
        <f>IF(ISNUMBER(tblY11[[#This Row],[4C09 - Organic Chemistry
Raw Score]]),IFERROR(VLOOKUP(ROUND(STANDARDIZE(tblY11[[#This Row],[4C09 - Organic Chemistry
Raw Score]],AVERAGE(tblY11[[4C09 - Organic Chemistry
Raw Score]]),_xlfn.STDEV.P(tblY11[[4C09 - Organic Chemistry
Raw Score]])),9),_Stanine,2),5),"")</f>
        <v>7</v>
      </c>
      <c r="R36" s="66" t="n">
        <v>30</v>
      </c>
      <c r="S36" s="67">
        <f>IF(ISNUMBER(tblY11[[#This Row],[4P06 - Waves
Raw Score]]),IFERROR(VLOOKUP(ROUND(STANDARDIZE(tblY11[[#This Row],[4P06 - Waves
Raw Score]],AVERAGE(tblY11[[4P06 - Waves
Raw Score]]),_xlfn.STDEV.P(tblY11[[4P06 - Waves
Raw Score]])),9),_Stanine,2),5),"")</f>
        <v>7</v>
      </c>
      <c r="T36" s="66" t="n">
        <v>23</v>
      </c>
      <c r="U36" s="67">
        <f>IF(ISNUMBER(tblY11[[#This Row],[4B06 - Inheritance
Raw Score]]),IFERROR(VLOOKUP(ROUND(STANDARDIZE(tblY11[[#This Row],[4B06 - Inheritance
Raw Score]],AVERAGE(tblY11[[4B06 - Inheritance
Raw Score]]),_xlfn.STDEV.P(tblY11[[4B06 - Inheritance
Raw Score]])),9),_Stanine,2),5),"")</f>
        <v>6</v>
      </c>
      <c r="V36" s="66" t="n">
        <v>21</v>
      </c>
      <c r="W36" s="67">
        <f>IF(ISNUMBER(tblY11[[#This Row],[4C10 - Chemical Analysis
Raw Score]]),IFERROR(VLOOKUP(ROUND(STANDARDIZE(tblY11[[#This Row],[4C10 - Chemical Analysis
Raw Score]],AVERAGE(tblY11[[4C10 - Chemical Analysis
Raw Score]]),_xlfn.STDEV.P(tblY11[[4C10 - Chemical Analysis
Raw Score]])),9),_Stanine,2),5),"")</f>
        <v>7</v>
      </c>
      <c r="X36" s="66" t="n">
        <v>18</v>
      </c>
      <c r="Y36" s="67">
        <f>IF(ISNUMBER(tblY11[[#This Row],[4P07 - Magnetism
Raw Score]]),IFERROR(VLOOKUP(ROUND(STANDARDIZE(tblY11[[#This Row],[4P07 - Magnetism
Raw Score]],AVERAGE(tblY11[[4P07 - Magnetism
Raw Score]]),_xlfn.STDEV.P(tblY11[[4P07 - Magnetism
Raw Score]])),9),_Stanine,2),5),"")</f>
        <v>6</v>
      </c>
    </row>
    <row r="37">
      <c r="A37" s="65" t="inlineStr">
        <is>
          <t>X900103700329</t>
        </is>
      </c>
      <c r="B37" s="65" t="inlineStr">
        <is>
          <t>Kelly</t>
        </is>
      </c>
      <c r="C37" s="65" t="inlineStr">
        <is>
          <t>Amara</t>
        </is>
      </c>
      <c r="D37" s="66" t="inlineStr">
        <is>
          <t>F</t>
        </is>
      </c>
      <c r="E37" s="66" t="n"/>
      <c r="F37" s="66" t="inlineStr">
        <is>
          <t>N</t>
        </is>
      </c>
      <c r="G37" s="34" t="n">
        <v>92.7</v>
      </c>
      <c r="H37" s="34" t="n">
        <v>110</v>
      </c>
      <c r="I37" s="67">
        <f>IF(ISNUMBER(tblY11[[#This Row],[Avg KS2]]),IFERROR(VLOOKUP(ROUND(STANDARDIZE(tblY11[[#This Row],[Avg KS2]],AVERAGE(tblY11[[Avg KS2]]),_xlfn.STDEV.P(tblY11[[Avg KS2]])),9),_Stanine,2),5),"")</f>
        <v>7</v>
      </c>
      <c r="J37" s="66" t="inlineStr">
        <is>
          <t>11S/Sc2</t>
        </is>
      </c>
      <c r="K37" s="67">
        <f>IF(tblY11[[#This Row],[Preferred Last name]]="","",COUNTIFS($N$1:$ZZ$1,"*"&amp;CHAR(10)&amp;"Stanine",$N37:$ZZ37,"&gt;=1"))</f>
        <v>6</v>
      </c>
      <c r="L37" s="68">
        <f>IFERROR(AVERAGEIF($N$1:$ZZ$1,"*"&amp;CHAR(10)&amp;"Stanine",$N37:$ZZ37),"")</f>
        <v>7</v>
      </c>
      <c r="M37" s="69">
        <f>IF(AND(ISNUMBER(tblY11[[#This Row],[Mean Stanine]]),ISNUMBER(tblY11[[#This Row],[Avg KS2 Band]]),ISNUMBER(SlopeY11)),tblY11[[#This Row],[Mean Stanine]]-(InterceptY11+SlopeY11*tblY11[[#This Row],[Avg KS2 Band]]),"")</f>
        <v>0.549574314574315</v>
      </c>
      <c r="N37" s="66" t="n">
        <v>31</v>
      </c>
      <c r="O37" s="67">
        <f>IF(ISNUMBER(tblY11[[#This Row],[4B05 - Homeostasis
Raw Score]]),IFERROR(VLOOKUP(ROUND(STANDARDIZE(tblY11[[#This Row],[4B05 - Homeostasis
Raw Score]],AVERAGE(tblY11[[4B05 - Homeostasis
Raw Score]]),_xlfn.STDEV.P(tblY11[[4B05 - Homeostasis
Raw Score]])),9),_Stanine,2),5),"")</f>
        <v>7</v>
      </c>
      <c r="P37" s="66" t="n">
        <v>23</v>
      </c>
      <c r="Q37" s="67">
        <f>IF(ISNUMBER(tblY11[[#This Row],[4C09 - Organic Chemistry
Raw Score]]),IFERROR(VLOOKUP(ROUND(STANDARDIZE(tblY11[[#This Row],[4C09 - Organic Chemistry
Raw Score]],AVERAGE(tblY11[[4C09 - Organic Chemistry
Raw Score]]),_xlfn.STDEV.P(tblY11[[4C09 - Organic Chemistry
Raw Score]])),9),_Stanine,2),5),"")</f>
        <v>7</v>
      </c>
      <c r="R37" s="66" t="n">
        <v>30</v>
      </c>
      <c r="S37" s="67">
        <f>IF(ISNUMBER(tblY11[[#This Row],[4P06 - Waves
Raw Score]]),IFERROR(VLOOKUP(ROUND(STANDARDIZE(tblY11[[#This Row],[4P06 - Waves
Raw Score]],AVERAGE(tblY11[[4P06 - Waves
Raw Score]]),_xlfn.STDEV.P(tblY11[[4P06 - Waves
Raw Score]])),9),_Stanine,2),5),"")</f>
        <v>7</v>
      </c>
      <c r="T37" s="66" t="n">
        <v>30</v>
      </c>
      <c r="U37" s="67">
        <f>IF(ISNUMBER(tblY11[[#This Row],[4B06 - Inheritance
Raw Score]]),IFERROR(VLOOKUP(ROUND(STANDARDIZE(tblY11[[#This Row],[4B06 - Inheritance
Raw Score]],AVERAGE(tblY11[[4B06 - Inheritance
Raw Score]]),_xlfn.STDEV.P(tblY11[[4B06 - Inheritance
Raw Score]])),9),_Stanine,2),5),"")</f>
        <v>7</v>
      </c>
      <c r="V37" s="66" t="n">
        <v>20</v>
      </c>
      <c r="W37" s="67">
        <f>IF(ISNUMBER(tblY11[[#This Row],[4C10 - Chemical Analysis
Raw Score]]),IFERROR(VLOOKUP(ROUND(STANDARDIZE(tblY11[[#This Row],[4C10 - Chemical Analysis
Raw Score]],AVERAGE(tblY11[[4C10 - Chemical Analysis
Raw Score]]),_xlfn.STDEV.P(tblY11[[4C10 - Chemical Analysis
Raw Score]])),9),_Stanine,2),5),"")</f>
        <v>7</v>
      </c>
      <c r="X37" s="66" t="n">
        <v>24</v>
      </c>
      <c r="Y37" s="67">
        <f>IF(ISNUMBER(tblY11[[#This Row],[4P07 - Magnetism
Raw Score]]),IFERROR(VLOOKUP(ROUND(STANDARDIZE(tblY11[[#This Row],[4P07 - Magnetism
Raw Score]],AVERAGE(tblY11[[4P07 - Magnetism
Raw Score]]),_xlfn.STDEV.P(tblY11[[4P07 - Magnetism
Raw Score]])),9),_Stanine,2),5),"")</f>
        <v>7</v>
      </c>
    </row>
    <row r="38">
      <c r="A38" s="65" t="inlineStr">
        <is>
          <t>X903699254773</t>
        </is>
      </c>
      <c r="B38" s="65" t="inlineStr">
        <is>
          <t>Kelly</t>
        </is>
      </c>
      <c r="C38" s="65" t="inlineStr">
        <is>
          <t>Jacob</t>
        </is>
      </c>
      <c r="D38" s="66" t="inlineStr">
        <is>
          <t>M</t>
        </is>
      </c>
      <c r="E38" s="66" t="n"/>
      <c r="F38" s="66" t="inlineStr">
        <is>
          <t>N</t>
        </is>
      </c>
      <c r="G38" s="34" t="n">
        <v>92.7</v>
      </c>
      <c r="H38" s="34" t="n">
        <v>106.5</v>
      </c>
      <c r="I38" s="67">
        <f>IF(ISNUMBER(tblY11[[#This Row],[Avg KS2]]),IFERROR(VLOOKUP(ROUND(STANDARDIZE(tblY11[[#This Row],[Avg KS2]],AVERAGE(tblY11[[Avg KS2]]),_xlfn.STDEV.P(tblY11[[Avg KS2]])),9),_Stanine,2),5),"")</f>
        <v>6</v>
      </c>
      <c r="J38" s="66" t="inlineStr">
        <is>
          <t>11S/Sc2</t>
        </is>
      </c>
      <c r="K38" s="67">
        <f>IF(tblY11[[#This Row],[Preferred Last name]]="","",COUNTIFS($N$1:$ZZ$1,"*"&amp;CHAR(10)&amp;"Stanine",$N38:$ZZ38,"&gt;=1"))</f>
        <v>6</v>
      </c>
      <c r="L38" s="68">
        <f>IFERROR(AVERAGEIF($N$1:$ZZ$1,"*"&amp;CHAR(10)&amp;"Stanine",$N38:$ZZ38),"")</f>
        <v>4.16666666666667</v>
      </c>
      <c r="M38" s="69">
        <f>IF(AND(ISNUMBER(tblY11[[#This Row],[Mean Stanine]]),ISNUMBER(tblY11[[#This Row],[Avg KS2 Band]]),ISNUMBER(SlopeY11)),tblY11[[#This Row],[Mean Stanine]]-(InterceptY11+SlopeY11*tblY11[[#This Row],[Avg KS2 Band]]),"")</f>
        <v>-1.53489538239538</v>
      </c>
      <c r="N38" s="66" t="n">
        <v>16</v>
      </c>
      <c r="O38" s="67">
        <f>IF(ISNUMBER(tblY11[[#This Row],[4B05 - Homeostasis
Raw Score]]),IFERROR(VLOOKUP(ROUND(STANDARDIZE(tblY11[[#This Row],[4B05 - Homeostasis
Raw Score]],AVERAGE(tblY11[[4B05 - Homeostasis
Raw Score]]),_xlfn.STDEV.P(tblY11[[4B05 - Homeostasis
Raw Score]])),9),_Stanine,2),5),"")</f>
        <v>4</v>
      </c>
      <c r="P38" s="66" t="n">
        <v>14</v>
      </c>
      <c r="Q38" s="67">
        <f>IF(ISNUMBER(tblY11[[#This Row],[4C09 - Organic Chemistry
Raw Score]]),IFERROR(VLOOKUP(ROUND(STANDARDIZE(tblY11[[#This Row],[4C09 - Organic Chemistry
Raw Score]],AVERAGE(tblY11[[4C09 - Organic Chemistry
Raw Score]]),_xlfn.STDEV.P(tblY11[[4C09 - Organic Chemistry
Raw Score]])),9),_Stanine,2),5),"")</f>
        <v>4</v>
      </c>
      <c r="R38" s="66" t="n">
        <v>16</v>
      </c>
      <c r="S38" s="67">
        <f>IF(ISNUMBER(tblY11[[#This Row],[4P06 - Waves
Raw Score]]),IFERROR(VLOOKUP(ROUND(STANDARDIZE(tblY11[[#This Row],[4P06 - Waves
Raw Score]],AVERAGE(tblY11[[4P06 - Waves
Raw Score]]),_xlfn.STDEV.P(tblY11[[4P06 - Waves
Raw Score]])),9),_Stanine,2),5),"")</f>
        <v>4</v>
      </c>
      <c r="T38" s="66" t="n">
        <v>15</v>
      </c>
      <c r="U38" s="67">
        <f>IF(ISNUMBER(tblY11[[#This Row],[4B06 - Inheritance
Raw Score]]),IFERROR(VLOOKUP(ROUND(STANDARDIZE(tblY11[[#This Row],[4B06 - Inheritance
Raw Score]],AVERAGE(tblY11[[4B06 - Inheritance
Raw Score]]),_xlfn.STDEV.P(tblY11[[4B06 - Inheritance
Raw Score]])),9),_Stanine,2),5),"")</f>
        <v>4</v>
      </c>
      <c r="V38" s="66" t="n">
        <v>11</v>
      </c>
      <c r="W38" s="67">
        <f>IF(ISNUMBER(tblY11[[#This Row],[4C10 - Chemical Analysis
Raw Score]]),IFERROR(VLOOKUP(ROUND(STANDARDIZE(tblY11[[#This Row],[4C10 - Chemical Analysis
Raw Score]],AVERAGE(tblY11[[4C10 - Chemical Analysis
Raw Score]]),_xlfn.STDEV.P(tblY11[[4C10 - Chemical Analysis
Raw Score]])),9),_Stanine,2),5),"")</f>
        <v>4</v>
      </c>
      <c r="X38" s="66" t="n">
        <v>16</v>
      </c>
      <c r="Y38" s="67">
        <f>IF(ISNUMBER(tblY11[[#This Row],[4P07 - Magnetism
Raw Score]]),IFERROR(VLOOKUP(ROUND(STANDARDIZE(tblY11[[#This Row],[4P07 - Magnetism
Raw Score]],AVERAGE(tblY11[[4P07 - Magnetism
Raw Score]]),_xlfn.STDEV.P(tblY11[[4P07 - Magnetism
Raw Score]])),9),_Stanine,2),5),"")</f>
        <v>5</v>
      </c>
    </row>
    <row r="39">
      <c r="A39" s="65" t="inlineStr">
        <is>
          <t>X906207452548</t>
        </is>
      </c>
      <c r="B39" s="65" t="inlineStr">
        <is>
          <t>Kowalski</t>
        </is>
      </c>
      <c r="C39" s="65" t="inlineStr">
        <is>
          <t>Lewis</t>
        </is>
      </c>
      <c r="D39" s="66" t="inlineStr">
        <is>
          <t>M</t>
        </is>
      </c>
      <c r="E39" s="66" t="inlineStr">
        <is>
          <t>K</t>
        </is>
      </c>
      <c r="F39" s="66" t="inlineStr">
        <is>
          <t>Y</t>
        </is>
      </c>
      <c r="G39" s="34" t="n">
        <v>86.5</v>
      </c>
      <c r="H39" s="34" t="n">
        <v>103</v>
      </c>
      <c r="I39" s="67">
        <f>IF(ISNUMBER(tblY11[[#This Row],[Avg KS2]]),IFERROR(VLOOKUP(ROUND(STANDARDIZE(tblY11[[#This Row],[Avg KS2]],AVERAGE(tblY11[[Avg KS2]]),_xlfn.STDEV.P(tblY11[[Avg KS2]])),9),_Stanine,2),5),"")</f>
        <v>4</v>
      </c>
      <c r="J39" s="66" t="inlineStr">
        <is>
          <t>11S/Sc2</t>
        </is>
      </c>
      <c r="K39" s="67">
        <f>IF(tblY11[[#This Row],[Preferred Last name]]="","",COUNTIFS($N$1:$ZZ$1,"*"&amp;CHAR(10)&amp;"Stanine",$N39:$ZZ39,"&gt;=1"))</f>
        <v>6</v>
      </c>
      <c r="L39" s="68">
        <f>IFERROR(AVERAGEIF($N$1:$ZZ$1,"*"&amp;CHAR(10)&amp;"Stanine",$N39:$ZZ39),"")</f>
        <v>4</v>
      </c>
      <c r="M39" s="69">
        <f>IF(AND(ISNUMBER(tblY11[[#This Row],[Mean Stanine]]),ISNUMBER(tblY11[[#This Row],[Avg KS2 Band]]),ISNUMBER(SlopeY11)),tblY11[[#This Row],[Mean Stanine]]-(InterceptY11+SlopeY11*tblY11[[#This Row],[Avg KS2 Band]]),"")</f>
        <v>-0.203834776334776</v>
      </c>
      <c r="N39" s="66" t="n">
        <v>11</v>
      </c>
      <c r="O39" s="67">
        <f>IF(ISNUMBER(tblY11[[#This Row],[4B05 - Homeostasis
Raw Score]]),IFERROR(VLOOKUP(ROUND(STANDARDIZE(tblY11[[#This Row],[4B05 - Homeostasis
Raw Score]],AVERAGE(tblY11[[4B05 - Homeostasis
Raw Score]]),_xlfn.STDEV.P(tblY11[[4B05 - Homeostasis
Raw Score]])),9),_Stanine,2),5),"")</f>
        <v>3</v>
      </c>
      <c r="P39" s="66" t="n">
        <v>12</v>
      </c>
      <c r="Q39" s="67">
        <f>IF(ISNUMBER(tblY11[[#This Row],[4C09 - Organic Chemistry
Raw Score]]),IFERROR(VLOOKUP(ROUND(STANDARDIZE(tblY11[[#This Row],[4C09 - Organic Chemistry
Raw Score]],AVERAGE(tblY11[[4C09 - Organic Chemistry
Raw Score]]),_xlfn.STDEV.P(tblY11[[4C09 - Organic Chemistry
Raw Score]])),9),_Stanine,2),5),"")</f>
        <v>4</v>
      </c>
      <c r="R39" s="66" t="n">
        <v>18</v>
      </c>
      <c r="S39" s="67">
        <f>IF(ISNUMBER(tblY11[[#This Row],[4P06 - Waves
Raw Score]]),IFERROR(VLOOKUP(ROUND(STANDARDIZE(tblY11[[#This Row],[4P06 - Waves
Raw Score]],AVERAGE(tblY11[[4P06 - Waves
Raw Score]]),_xlfn.STDEV.P(tblY11[[4P06 - Waves
Raw Score]])),9),_Stanine,2),5),"")</f>
        <v>4</v>
      </c>
      <c r="T39" s="66" t="n">
        <v>11</v>
      </c>
      <c r="U39" s="67">
        <f>IF(ISNUMBER(tblY11[[#This Row],[4B06 - Inheritance
Raw Score]]),IFERROR(VLOOKUP(ROUND(STANDARDIZE(tblY11[[#This Row],[4B06 - Inheritance
Raw Score]],AVERAGE(tblY11[[4B06 - Inheritance
Raw Score]]),_xlfn.STDEV.P(tblY11[[4B06 - Inheritance
Raw Score]])),9),_Stanine,2),5),"")</f>
        <v>3</v>
      </c>
      <c r="V39" s="66" t="n">
        <v>13</v>
      </c>
      <c r="W39" s="67">
        <f>IF(ISNUMBER(tblY11[[#This Row],[4C10 - Chemical Analysis
Raw Score]]),IFERROR(VLOOKUP(ROUND(STANDARDIZE(tblY11[[#This Row],[4C10 - Chemical Analysis
Raw Score]],AVERAGE(tblY11[[4C10 - Chemical Analysis
Raw Score]]),_xlfn.STDEV.P(tblY11[[4C10 - Chemical Analysis
Raw Score]])),9),_Stanine,2),5),"")</f>
        <v>5</v>
      </c>
      <c r="X39" s="66" t="n">
        <v>14</v>
      </c>
      <c r="Y39" s="67">
        <f>IF(ISNUMBER(tblY11[[#This Row],[4P07 - Magnetism
Raw Score]]),IFERROR(VLOOKUP(ROUND(STANDARDIZE(tblY11[[#This Row],[4P07 - Magnetism
Raw Score]],AVERAGE(tblY11[[4P07 - Magnetism
Raw Score]]),_xlfn.STDEV.P(tblY11[[4P07 - Magnetism
Raw Score]])),9),_Stanine,2),5),"")</f>
        <v>5</v>
      </c>
    </row>
    <row r="40">
      <c r="A40" s="65" t="inlineStr">
        <is>
          <t>X906652881000</t>
        </is>
      </c>
      <c r="B40" s="65" t="inlineStr">
        <is>
          <t>Morgan</t>
        </is>
      </c>
      <c r="C40" s="65" t="inlineStr">
        <is>
          <t>George</t>
        </is>
      </c>
      <c r="D40" s="66" t="inlineStr">
        <is>
          <t>M</t>
        </is>
      </c>
      <c r="E40" s="66" t="n"/>
      <c r="F40" s="66" t="inlineStr">
        <is>
          <t>Y</t>
        </is>
      </c>
      <c r="G40" s="34" t="n">
        <v>89.09999999999999</v>
      </c>
      <c r="H40" s="34" t="n">
        <v>106.5</v>
      </c>
      <c r="I40" s="67">
        <f>IF(ISNUMBER(tblY11[[#This Row],[Avg KS2]]),IFERROR(VLOOKUP(ROUND(STANDARDIZE(tblY11[[#This Row],[Avg KS2]],AVERAGE(tblY11[[Avg KS2]]),_xlfn.STDEV.P(tblY11[[Avg KS2]])),9),_Stanine,2),5),"")</f>
        <v>6</v>
      </c>
      <c r="J40" s="66" t="inlineStr">
        <is>
          <t>11S/Sc2</t>
        </is>
      </c>
      <c r="K40" s="67">
        <f>IF(tblY11[[#This Row],[Preferred Last name]]="","",COUNTIFS($N$1:$ZZ$1,"*"&amp;CHAR(10)&amp;"Stanine",$N40:$ZZ40,"&gt;=1"))</f>
        <v>6</v>
      </c>
      <c r="L40" s="68">
        <f>IFERROR(AVERAGEIF($N$1:$ZZ$1,"*"&amp;CHAR(10)&amp;"Stanine",$N40:$ZZ40),"")</f>
        <v>5.33333333333333</v>
      </c>
      <c r="M40" s="69">
        <f>IF(AND(ISNUMBER(tblY11[[#This Row],[Mean Stanine]]),ISNUMBER(tblY11[[#This Row],[Avg KS2 Band]]),ISNUMBER(SlopeY11)),tblY11[[#This Row],[Mean Stanine]]-(InterceptY11+SlopeY11*tblY11[[#This Row],[Avg KS2 Band]]),"")</f>
        <v>-0.368228715728716</v>
      </c>
      <c r="N40" s="66" t="n">
        <v>25</v>
      </c>
      <c r="O40" s="67">
        <f>IF(ISNUMBER(tblY11[[#This Row],[4B05 - Homeostasis
Raw Score]]),IFERROR(VLOOKUP(ROUND(STANDARDIZE(tblY11[[#This Row],[4B05 - Homeostasis
Raw Score]],AVERAGE(tblY11[[4B05 - Homeostasis
Raw Score]]),_xlfn.STDEV.P(tblY11[[4B05 - Homeostasis
Raw Score]])),9),_Stanine,2),5),"")</f>
        <v>6</v>
      </c>
      <c r="P40" s="66" t="n">
        <v>17</v>
      </c>
      <c r="Q40" s="67">
        <f>IF(ISNUMBER(tblY11[[#This Row],[4C09 - Organic Chemistry
Raw Score]]),IFERROR(VLOOKUP(ROUND(STANDARDIZE(tblY11[[#This Row],[4C09 - Organic Chemistry
Raw Score]],AVERAGE(tblY11[[4C09 - Organic Chemistry
Raw Score]]),_xlfn.STDEV.P(tblY11[[4C09 - Organic Chemistry
Raw Score]])),9),_Stanine,2),5),"")</f>
        <v>5</v>
      </c>
      <c r="R40" s="66" t="n">
        <v>23</v>
      </c>
      <c r="S40" s="67">
        <f>IF(ISNUMBER(tblY11[[#This Row],[4P06 - Waves
Raw Score]]),IFERROR(VLOOKUP(ROUND(STANDARDIZE(tblY11[[#This Row],[4P06 - Waves
Raw Score]],AVERAGE(tblY11[[4P06 - Waves
Raw Score]]),_xlfn.STDEV.P(tblY11[[4P06 - Waves
Raw Score]])),9),_Stanine,2),5),"")</f>
        <v>5</v>
      </c>
      <c r="T40" s="66" t="n">
        <v>26</v>
      </c>
      <c r="U40" s="67">
        <f>IF(ISNUMBER(tblY11[[#This Row],[4B06 - Inheritance
Raw Score]]),IFERROR(VLOOKUP(ROUND(STANDARDIZE(tblY11[[#This Row],[4B06 - Inheritance
Raw Score]],AVERAGE(tblY11[[4B06 - Inheritance
Raw Score]]),_xlfn.STDEV.P(tblY11[[4B06 - Inheritance
Raw Score]])),9),_Stanine,2),5),"")</f>
        <v>7</v>
      </c>
      <c r="V40" s="66" t="n">
        <v>12</v>
      </c>
      <c r="W40" s="67">
        <f>IF(ISNUMBER(tblY11[[#This Row],[4C10 - Chemical Analysis
Raw Score]]),IFERROR(VLOOKUP(ROUND(STANDARDIZE(tblY11[[#This Row],[4C10 - Chemical Analysis
Raw Score]],AVERAGE(tblY11[[4C10 - Chemical Analysis
Raw Score]]),_xlfn.STDEV.P(tblY11[[4C10 - Chemical Analysis
Raw Score]])),9),_Stanine,2),5),"")</f>
        <v>4</v>
      </c>
      <c r="X40" s="66" t="n">
        <v>16</v>
      </c>
      <c r="Y40" s="67">
        <f>IF(ISNUMBER(tblY11[[#This Row],[4P07 - Magnetism
Raw Score]]),IFERROR(VLOOKUP(ROUND(STANDARDIZE(tblY11[[#This Row],[4P07 - Magnetism
Raw Score]],AVERAGE(tblY11[[4P07 - Magnetism
Raw Score]]),_xlfn.STDEV.P(tblY11[[4P07 - Magnetism
Raw Score]])),9),_Stanine,2),5),"")</f>
        <v>5</v>
      </c>
    </row>
    <row r="41">
      <c r="A41" s="65" t="inlineStr">
        <is>
          <t>X908923094331</t>
        </is>
      </c>
      <c r="B41" s="65" t="inlineStr">
        <is>
          <t>Morgan</t>
        </is>
      </c>
      <c r="C41" s="65" t="inlineStr">
        <is>
          <t>Noah</t>
        </is>
      </c>
      <c r="D41" s="66" t="inlineStr">
        <is>
          <t>M</t>
        </is>
      </c>
      <c r="E41" s="66" t="inlineStr">
        <is>
          <t>N</t>
        </is>
      </c>
      <c r="F41" s="66" t="inlineStr">
        <is>
          <t>Y</t>
        </is>
      </c>
      <c r="G41" s="34" t="n">
        <v>94.8</v>
      </c>
      <c r="H41" s="34" t="n">
        <v>102</v>
      </c>
      <c r="I41" s="67">
        <f>IF(ISNUMBER(tblY11[[#This Row],[Avg KS2]]),IFERROR(VLOOKUP(ROUND(STANDARDIZE(tblY11[[#This Row],[Avg KS2]],AVERAGE(tblY11[[Avg KS2]]),_xlfn.STDEV.P(tblY11[[Avg KS2]])),9),_Stanine,2),5),"")</f>
        <v>4</v>
      </c>
      <c r="J41" s="66" t="inlineStr">
        <is>
          <t>11S/Sc2</t>
        </is>
      </c>
      <c r="K41" s="67">
        <f>IF(tblY11[[#This Row],[Preferred Last name]]="","",COUNTIFS($N$1:$ZZ$1,"*"&amp;CHAR(10)&amp;"Stanine",$N41:$ZZ41,"&gt;=1"))</f>
        <v>6</v>
      </c>
      <c r="L41" s="68">
        <f>IFERROR(AVERAGEIF($N$1:$ZZ$1,"*"&amp;CHAR(10)&amp;"Stanine",$N41:$ZZ41),"")</f>
        <v>4.5</v>
      </c>
      <c r="M41" s="69">
        <f>IF(AND(ISNUMBER(tblY11[[#This Row],[Mean Stanine]]),ISNUMBER(tblY11[[#This Row],[Avg KS2 Band]]),ISNUMBER(SlopeY11)),tblY11[[#This Row],[Mean Stanine]]-(InterceptY11+SlopeY11*tblY11[[#This Row],[Avg KS2 Band]]),"")</f>
        <v>0.296165223665224</v>
      </c>
      <c r="N41" s="66" t="n">
        <v>20</v>
      </c>
      <c r="O41" s="67">
        <f>IF(ISNUMBER(tblY11[[#This Row],[4B05 - Homeostasis
Raw Score]]),IFERROR(VLOOKUP(ROUND(STANDARDIZE(tblY11[[#This Row],[4B05 - Homeostasis
Raw Score]],AVERAGE(tblY11[[4B05 - Homeostasis
Raw Score]]),_xlfn.STDEV.P(tblY11[[4B05 - Homeostasis
Raw Score]])),9),_Stanine,2),5),"")</f>
        <v>5</v>
      </c>
      <c r="P41" s="66" t="n">
        <v>13</v>
      </c>
      <c r="Q41" s="67">
        <f>IF(ISNUMBER(tblY11[[#This Row],[4C09 - Organic Chemistry
Raw Score]]),IFERROR(VLOOKUP(ROUND(STANDARDIZE(tblY11[[#This Row],[4C09 - Organic Chemistry
Raw Score]],AVERAGE(tblY11[[4C09 - Organic Chemistry
Raw Score]]),_xlfn.STDEV.P(tblY11[[4C09 - Organic Chemistry
Raw Score]])),9),_Stanine,2),5),"")</f>
        <v>4</v>
      </c>
      <c r="R41" s="66" t="n">
        <v>22</v>
      </c>
      <c r="S41" s="67">
        <f>IF(ISNUMBER(tblY11[[#This Row],[4P06 - Waves
Raw Score]]),IFERROR(VLOOKUP(ROUND(STANDARDIZE(tblY11[[#This Row],[4P06 - Waves
Raw Score]],AVERAGE(tblY11[[4P06 - Waves
Raw Score]]),_xlfn.STDEV.P(tblY11[[4P06 - Waves
Raw Score]])),9),_Stanine,2),5),"")</f>
        <v>5</v>
      </c>
      <c r="T41" s="66" t="n">
        <v>16</v>
      </c>
      <c r="U41" s="67">
        <f>IF(ISNUMBER(tblY11[[#This Row],[4B06 - Inheritance
Raw Score]]),IFERROR(VLOOKUP(ROUND(STANDARDIZE(tblY11[[#This Row],[4B06 - Inheritance
Raw Score]],AVERAGE(tblY11[[4B06 - Inheritance
Raw Score]]),_xlfn.STDEV.P(tblY11[[4B06 - Inheritance
Raw Score]])),9),_Stanine,2),5),"")</f>
        <v>4</v>
      </c>
      <c r="V41" s="66" t="n">
        <v>16</v>
      </c>
      <c r="W41" s="67">
        <f>IF(ISNUMBER(tblY11[[#This Row],[4C10 - Chemical Analysis
Raw Score]]),IFERROR(VLOOKUP(ROUND(STANDARDIZE(tblY11[[#This Row],[4C10 - Chemical Analysis
Raw Score]],AVERAGE(tblY11[[4C10 - Chemical Analysis
Raw Score]]),_xlfn.STDEV.P(tblY11[[4C10 - Chemical Analysis
Raw Score]])),9),_Stanine,2),5),"")</f>
        <v>6</v>
      </c>
      <c r="X41" s="66" t="n">
        <v>10</v>
      </c>
      <c r="Y41" s="67">
        <f>IF(ISNUMBER(tblY11[[#This Row],[4P07 - Magnetism
Raw Score]]),IFERROR(VLOOKUP(ROUND(STANDARDIZE(tblY11[[#This Row],[4P07 - Magnetism
Raw Score]],AVERAGE(tblY11[[4P07 - Magnetism
Raw Score]]),_xlfn.STDEV.P(tblY11[[4P07 - Magnetism
Raw Score]])),9),_Stanine,2),5),"")</f>
        <v>3</v>
      </c>
    </row>
    <row r="42">
      <c r="A42" s="65" t="inlineStr">
        <is>
          <t>X903099779773</t>
        </is>
      </c>
      <c r="B42" s="65" t="inlineStr">
        <is>
          <t>Murphy</t>
        </is>
      </c>
      <c r="C42" s="65" t="inlineStr">
        <is>
          <t>Ella</t>
        </is>
      </c>
      <c r="D42" s="66" t="inlineStr">
        <is>
          <t>F</t>
        </is>
      </c>
      <c r="E42" s="66" t="n"/>
      <c r="F42" s="66" t="inlineStr">
        <is>
          <t>N</t>
        </is>
      </c>
      <c r="G42" s="34" t="n">
        <v>92.5</v>
      </c>
      <c r="H42" s="34" t="n">
        <v>108</v>
      </c>
      <c r="I42" s="67">
        <f>IF(ISNUMBER(tblY11[[#This Row],[Avg KS2]]),IFERROR(VLOOKUP(ROUND(STANDARDIZE(tblY11[[#This Row],[Avg KS2]],AVERAGE(tblY11[[Avg KS2]]),_xlfn.STDEV.P(tblY11[[Avg KS2]])),9),_Stanine,2),5),"")</f>
        <v>6</v>
      </c>
      <c r="J42" s="66" t="inlineStr">
        <is>
          <t>11S/Sc2</t>
        </is>
      </c>
      <c r="K42" s="67">
        <f>IF(tblY11[[#This Row],[Preferred Last name]]="","",COUNTIFS($N$1:$ZZ$1,"*"&amp;CHAR(10)&amp;"Stanine",$N42:$ZZ42,"&gt;=1"))</f>
        <v>5</v>
      </c>
      <c r="L42" s="68">
        <f>IFERROR(AVERAGEIF($N$1:$ZZ$1,"*"&amp;CHAR(10)&amp;"Stanine",$N42:$ZZ42),"")</f>
        <v>4</v>
      </c>
      <c r="M42" s="69">
        <f>IF(AND(ISNUMBER(tblY11[[#This Row],[Mean Stanine]]),ISNUMBER(tblY11[[#This Row],[Avg KS2 Band]]),ISNUMBER(SlopeY11)),tblY11[[#This Row],[Mean Stanine]]-(InterceptY11+SlopeY11*tblY11[[#This Row],[Avg KS2 Band]]),"")</f>
        <v>-1.70156204906205</v>
      </c>
      <c r="N42" s="66" t="n">
        <v>16</v>
      </c>
      <c r="O42" s="67">
        <f>IF(ISNUMBER(tblY11[[#This Row],[4B05 - Homeostasis
Raw Score]]),IFERROR(VLOOKUP(ROUND(STANDARDIZE(tblY11[[#This Row],[4B05 - Homeostasis
Raw Score]],AVERAGE(tblY11[[4B05 - Homeostasis
Raw Score]]),_xlfn.STDEV.P(tblY11[[4B05 - Homeostasis
Raw Score]])),9),_Stanine,2),5),"")</f>
        <v>4</v>
      </c>
      <c r="P42" s="66" t="n">
        <v>12</v>
      </c>
      <c r="Q42" s="67">
        <f>IF(ISNUMBER(tblY11[[#This Row],[4C09 - Organic Chemistry
Raw Score]]),IFERROR(VLOOKUP(ROUND(STANDARDIZE(tblY11[[#This Row],[4C09 - Organic Chemistry
Raw Score]],AVERAGE(tblY11[[4C09 - Organic Chemistry
Raw Score]]),_xlfn.STDEV.P(tblY11[[4C09 - Organic Chemistry
Raw Score]])),9),_Stanine,2),5),"")</f>
        <v>4</v>
      </c>
      <c r="R42" s="66" t="n">
        <v>18</v>
      </c>
      <c r="S42" s="67">
        <f>IF(ISNUMBER(tblY11[[#This Row],[4P06 - Waves
Raw Score]]),IFERROR(VLOOKUP(ROUND(STANDARDIZE(tblY11[[#This Row],[4P06 - Waves
Raw Score]],AVERAGE(tblY11[[4P06 - Waves
Raw Score]]),_xlfn.STDEV.P(tblY11[[4P06 - Waves
Raw Score]])),9),_Stanine,2),5),"")</f>
        <v>4</v>
      </c>
      <c r="T42" s="66" t="inlineStr">
        <is>
          <t>A</t>
        </is>
      </c>
      <c r="U42" s="67" t="str">
        <f>IF(ISNUMBER(tblY11[[#This Row],[4B06 - Inheritance
Raw Score]]),IFERROR(VLOOKUP(ROUND(STANDARDIZE(tblY11[[#This Row],[4B06 - Inheritance
Raw Score]],AVERAGE(tblY11[[4B06 - Inheritance
Raw Score]]),_xlfn.STDEV.P(tblY11[[4B06 - Inheritance
Raw Score]])),9),_Stanine,2),5),"")</f>
        <v/>
      </c>
      <c r="V42" s="66" t="n">
        <v>12</v>
      </c>
      <c r="W42" s="67">
        <f>IF(ISNUMBER(tblY11[[#This Row],[4C10 - Chemical Analysis
Raw Score]]),IFERROR(VLOOKUP(ROUND(STANDARDIZE(tblY11[[#This Row],[4C10 - Chemical Analysis
Raw Score]],AVERAGE(tblY11[[4C10 - Chemical Analysis
Raw Score]]),_xlfn.STDEV.P(tblY11[[4C10 - Chemical Analysis
Raw Score]])),9),_Stanine,2),5),"")</f>
        <v>4</v>
      </c>
      <c r="X42" s="66" t="n">
        <v>13</v>
      </c>
      <c r="Y42" s="67">
        <f>IF(ISNUMBER(tblY11[[#This Row],[4P07 - Magnetism
Raw Score]]),IFERROR(VLOOKUP(ROUND(STANDARDIZE(tblY11[[#This Row],[4P07 - Magnetism
Raw Score]],AVERAGE(tblY11[[4P07 - Magnetism
Raw Score]]),_xlfn.STDEV.P(tblY11[[4P07 - Magnetism
Raw Score]])),9),_Stanine,2),5),"")</f>
        <v>4</v>
      </c>
    </row>
    <row r="43">
      <c r="A43" s="65" t="inlineStr">
        <is>
          <t>X902465404778</t>
        </is>
      </c>
      <c r="B43" s="65" t="inlineStr">
        <is>
          <t>Nowak</t>
        </is>
      </c>
      <c r="C43" s="65" t="inlineStr">
        <is>
          <t>Megan</t>
        </is>
      </c>
      <c r="D43" s="66" t="inlineStr">
        <is>
          <t>M</t>
        </is>
      </c>
      <c r="E43" s="66" t="inlineStr">
        <is>
          <t>N</t>
        </is>
      </c>
      <c r="F43" s="66" t="inlineStr">
        <is>
          <t>N</t>
        </is>
      </c>
      <c r="G43" s="34" t="n">
        <v>85.5</v>
      </c>
      <c r="H43" s="34" t="n">
        <v>111.5</v>
      </c>
      <c r="I43" s="67">
        <f>IF(ISNUMBER(tblY11[[#This Row],[Avg KS2]]),IFERROR(VLOOKUP(ROUND(STANDARDIZE(tblY11[[#This Row],[Avg KS2]],AVERAGE(tblY11[[Avg KS2]]),_xlfn.STDEV.P(tblY11[[Avg KS2]])),9),_Stanine,2),5),"")</f>
        <v>7</v>
      </c>
      <c r="J43" s="66" t="inlineStr">
        <is>
          <t>11S/Sc2</t>
        </is>
      </c>
      <c r="K43" s="67">
        <f>IF(tblY11[[#This Row],[Preferred Last name]]="","",COUNTIFS($N$1:$ZZ$1,"*"&amp;CHAR(10)&amp;"Stanine",$N43:$ZZ43,"&gt;=1"))</f>
        <v>5</v>
      </c>
      <c r="L43" s="68">
        <f>IFERROR(AVERAGEIF($N$1:$ZZ$1,"*"&amp;CHAR(10)&amp;"Stanine",$N43:$ZZ43),"")</f>
        <v>6.2</v>
      </c>
      <c r="M43" s="69">
        <f>IF(AND(ISNUMBER(tblY11[[#This Row],[Mean Stanine]]),ISNUMBER(tblY11[[#This Row],[Avg KS2 Band]]),ISNUMBER(SlopeY11)),tblY11[[#This Row],[Mean Stanine]]-(InterceptY11+SlopeY11*tblY11[[#This Row],[Avg KS2 Band]]),"")</f>
        <v>-0.250425685425685</v>
      </c>
      <c r="N43" s="66" t="n">
        <v>25</v>
      </c>
      <c r="O43" s="67">
        <f>IF(ISNUMBER(tblY11[[#This Row],[4B05 - Homeostasis
Raw Score]]),IFERROR(VLOOKUP(ROUND(STANDARDIZE(tblY11[[#This Row],[4B05 - Homeostasis
Raw Score]],AVERAGE(tblY11[[4B05 - Homeostasis
Raw Score]]),_xlfn.STDEV.P(tblY11[[4B05 - Homeostasis
Raw Score]])),9),_Stanine,2),5),"")</f>
        <v>6</v>
      </c>
      <c r="P43" s="66" t="n">
        <v>24</v>
      </c>
      <c r="Q43" s="67">
        <f>IF(ISNUMBER(tblY11[[#This Row],[4C09 - Organic Chemistry
Raw Score]]),IFERROR(VLOOKUP(ROUND(STANDARDIZE(tblY11[[#This Row],[4C09 - Organic Chemistry
Raw Score]],AVERAGE(tblY11[[4C09 - Organic Chemistry
Raw Score]]),_xlfn.STDEV.P(tblY11[[4C09 - Organic Chemistry
Raw Score]])),9),_Stanine,2),5),"")</f>
        <v>7</v>
      </c>
      <c r="R43" s="66" t="n">
        <v>27</v>
      </c>
      <c r="S43" s="67">
        <f>IF(ISNUMBER(tblY11[[#This Row],[4P06 - Waves
Raw Score]]),IFERROR(VLOOKUP(ROUND(STANDARDIZE(tblY11[[#This Row],[4P06 - Waves
Raw Score]],AVERAGE(tblY11[[4P06 - Waves
Raw Score]]),_xlfn.STDEV.P(tblY11[[4P06 - Waves
Raw Score]])),9),_Stanine,2),5),"")</f>
        <v>6</v>
      </c>
      <c r="T43" s="66" t="n">
        <v>25</v>
      </c>
      <c r="U43" s="67">
        <f>IF(ISNUMBER(tblY11[[#This Row],[4B06 - Inheritance
Raw Score]]),IFERROR(VLOOKUP(ROUND(STANDARDIZE(tblY11[[#This Row],[4B06 - Inheritance
Raw Score]],AVERAGE(tblY11[[4B06 - Inheritance
Raw Score]]),_xlfn.STDEV.P(tblY11[[4B06 - Inheritance
Raw Score]])),9),_Stanine,2),5),"")</f>
        <v>6</v>
      </c>
      <c r="V43" s="66" t="n">
        <v>18</v>
      </c>
      <c r="W43" s="67">
        <f>IF(ISNUMBER(tblY11[[#This Row],[4C10 - Chemical Analysis
Raw Score]]),IFERROR(VLOOKUP(ROUND(STANDARDIZE(tblY11[[#This Row],[4C10 - Chemical Analysis
Raw Score]],AVERAGE(tblY11[[4C10 - Chemical Analysis
Raw Score]]),_xlfn.STDEV.P(tblY11[[4C10 - Chemical Analysis
Raw Score]])),9),_Stanine,2),5),"")</f>
        <v>6</v>
      </c>
      <c r="X43" s="66" t="inlineStr">
        <is>
          <t>A</t>
        </is>
      </c>
      <c r="Y43" s="67" t="str">
        <f>IF(ISNUMBER(tblY11[[#This Row],[4P07 - Magnetism
Raw Score]]),IFERROR(VLOOKUP(ROUND(STANDARDIZE(tblY11[[#This Row],[4P07 - Magnetism
Raw Score]],AVERAGE(tblY11[[4P07 - Magnetism
Raw Score]]),_xlfn.STDEV.P(tblY11[[4P07 - Magnetism
Raw Score]])),9),_Stanine,2),5),"")</f>
        <v/>
      </c>
    </row>
    <row r="44">
      <c r="A44" s="65" t="inlineStr">
        <is>
          <t>X908598437930</t>
        </is>
      </c>
      <c r="B44" s="65" t="inlineStr">
        <is>
          <t>Parker</t>
        </is>
      </c>
      <c r="C44" s="65" t="inlineStr">
        <is>
          <t>Lily</t>
        </is>
      </c>
      <c r="D44" s="66" t="inlineStr">
        <is>
          <t>F</t>
        </is>
      </c>
      <c r="E44" s="66" t="inlineStr">
        <is>
          <t>N</t>
        </is>
      </c>
      <c r="F44" s="66" t="inlineStr">
        <is>
          <t>N</t>
        </is>
      </c>
      <c r="G44" s="34" t="n">
        <v>100</v>
      </c>
      <c r="H44" s="34" t="n">
        <v>110.5</v>
      </c>
      <c r="I44" s="67">
        <f>IF(ISNUMBER(tblY11[[#This Row],[Avg KS2]]),IFERROR(VLOOKUP(ROUND(STANDARDIZE(tblY11[[#This Row],[Avg KS2]],AVERAGE(tblY11[[Avg KS2]]),_xlfn.STDEV.P(tblY11[[Avg KS2]])),9),_Stanine,2),5),"")</f>
        <v>7</v>
      </c>
      <c r="J44" s="66" t="inlineStr">
        <is>
          <t>11S/Sc2</t>
        </is>
      </c>
      <c r="K44" s="67">
        <f>IF(tblY11[[#This Row],[Preferred Last name]]="","",COUNTIFS($N$1:$ZZ$1,"*"&amp;CHAR(10)&amp;"Stanine",$N44:$ZZ44,"&gt;=1"))</f>
        <v>6</v>
      </c>
      <c r="L44" s="68">
        <f>IFERROR(AVERAGEIF($N$1:$ZZ$1,"*"&amp;CHAR(10)&amp;"Stanine",$N44:$ZZ44),"")</f>
        <v>6.33333333333333</v>
      </c>
      <c r="M44" s="69">
        <f>IF(AND(ISNUMBER(tblY11[[#This Row],[Mean Stanine]]),ISNUMBER(tblY11[[#This Row],[Avg KS2 Band]]),ISNUMBER(SlopeY11)),tblY11[[#This Row],[Mean Stanine]]-(InterceptY11+SlopeY11*tblY11[[#This Row],[Avg KS2 Band]]),"")</f>
        <v>-0.117092352092352</v>
      </c>
      <c r="N44" s="66" t="n">
        <v>24</v>
      </c>
      <c r="O44" s="67">
        <f>IF(ISNUMBER(tblY11[[#This Row],[4B05 - Homeostasis
Raw Score]]),IFERROR(VLOOKUP(ROUND(STANDARDIZE(tblY11[[#This Row],[4B05 - Homeostasis
Raw Score]],AVERAGE(tblY11[[4B05 - Homeostasis
Raw Score]]),_xlfn.STDEV.P(tblY11[[4B05 - Homeostasis
Raw Score]])),9),_Stanine,2),5),"")</f>
        <v>6</v>
      </c>
      <c r="P44" s="66" t="n">
        <v>24</v>
      </c>
      <c r="Q44" s="67">
        <f>IF(ISNUMBER(tblY11[[#This Row],[4C09 - Organic Chemistry
Raw Score]]),IFERROR(VLOOKUP(ROUND(STANDARDIZE(tblY11[[#This Row],[4C09 - Organic Chemistry
Raw Score]],AVERAGE(tblY11[[4C09 - Organic Chemistry
Raw Score]]),_xlfn.STDEV.P(tblY11[[4C09 - Organic Chemistry
Raw Score]])),9),_Stanine,2),5),"")</f>
        <v>7</v>
      </c>
      <c r="R44" s="66" t="n">
        <v>27</v>
      </c>
      <c r="S44" s="67">
        <f>IF(ISNUMBER(tblY11[[#This Row],[4P06 - Waves
Raw Score]]),IFERROR(VLOOKUP(ROUND(STANDARDIZE(tblY11[[#This Row],[4P06 - Waves
Raw Score]],AVERAGE(tblY11[[4P06 - Waves
Raw Score]]),_xlfn.STDEV.P(tblY11[[4P06 - Waves
Raw Score]])),9),_Stanine,2),5),"")</f>
        <v>6</v>
      </c>
      <c r="T44" s="66" t="n">
        <v>29</v>
      </c>
      <c r="U44" s="67">
        <f>IF(ISNUMBER(tblY11[[#This Row],[4B06 - Inheritance
Raw Score]]),IFERROR(VLOOKUP(ROUND(STANDARDIZE(tblY11[[#This Row],[4B06 - Inheritance
Raw Score]],AVERAGE(tblY11[[4B06 - Inheritance
Raw Score]]),_xlfn.STDEV.P(tblY11[[4B06 - Inheritance
Raw Score]])),9),_Stanine,2),5),"")</f>
        <v>7</v>
      </c>
      <c r="V44" s="66" t="n">
        <v>20</v>
      </c>
      <c r="W44" s="67">
        <f>IF(ISNUMBER(tblY11[[#This Row],[4C10 - Chemical Analysis
Raw Score]]),IFERROR(VLOOKUP(ROUND(STANDARDIZE(tblY11[[#This Row],[4C10 - Chemical Analysis
Raw Score]],AVERAGE(tblY11[[4C10 - Chemical Analysis
Raw Score]]),_xlfn.STDEV.P(tblY11[[4C10 - Chemical Analysis
Raw Score]])),9),_Stanine,2),5),"")</f>
        <v>7</v>
      </c>
      <c r="X44" s="66" t="n">
        <v>17</v>
      </c>
      <c r="Y44" s="67">
        <f>IF(ISNUMBER(tblY11[[#This Row],[4P07 - Magnetism
Raw Score]]),IFERROR(VLOOKUP(ROUND(STANDARDIZE(tblY11[[#This Row],[4P07 - Magnetism
Raw Score]],AVERAGE(tblY11[[4P07 - Magnetism
Raw Score]]),_xlfn.STDEV.P(tblY11[[4P07 - Magnetism
Raw Score]])),9),_Stanine,2),5),"")</f>
        <v>5</v>
      </c>
    </row>
    <row r="45">
      <c r="A45" s="65" t="inlineStr">
        <is>
          <t>X902160577297</t>
        </is>
      </c>
      <c r="B45" s="65" t="inlineStr">
        <is>
          <t>Pearson</t>
        </is>
      </c>
      <c r="C45" s="65" t="inlineStr">
        <is>
          <t>Ivy</t>
        </is>
      </c>
      <c r="D45" s="66" t="inlineStr">
        <is>
          <t>F</t>
        </is>
      </c>
      <c r="E45" s="66" t="inlineStr">
        <is>
          <t>N</t>
        </is>
      </c>
      <c r="F45" s="66" t="inlineStr">
        <is>
          <t>Y</t>
        </is>
      </c>
      <c r="G45" s="34" t="n">
        <v>90.59999999999999</v>
      </c>
      <c r="H45" s="34" t="n">
        <v>99</v>
      </c>
      <c r="I45" s="67">
        <f>IF(ISNUMBER(tblY11[[#This Row],[Avg KS2]]),IFERROR(VLOOKUP(ROUND(STANDARDIZE(tblY11[[#This Row],[Avg KS2]],AVERAGE(tblY11[[Avg KS2]]),_xlfn.STDEV.P(tblY11[[Avg KS2]])),9),_Stanine,2),5),"")</f>
        <v>3</v>
      </c>
      <c r="J45" s="66" t="inlineStr">
        <is>
          <t>11S/Sc2</t>
        </is>
      </c>
      <c r="K45" s="67">
        <f>IF(tblY11[[#This Row],[Preferred Last name]]="","",COUNTIFS($N$1:$ZZ$1,"*"&amp;CHAR(10)&amp;"Stanine",$N45:$ZZ45,"&gt;=1"))</f>
        <v>6</v>
      </c>
      <c r="L45" s="68">
        <f>IFERROR(AVERAGEIF($N$1:$ZZ$1,"*"&amp;CHAR(10)&amp;"Stanine",$N45:$ZZ45),"")</f>
        <v>3.16666666666667</v>
      </c>
      <c r="M45" s="69">
        <f>IF(AND(ISNUMBER(tblY11[[#This Row],[Mean Stanine]]),ISNUMBER(tblY11[[#This Row],[Avg KS2 Band]]),ISNUMBER(SlopeY11)),tblY11[[#This Row],[Mean Stanine]]-(InterceptY11+SlopeY11*tblY11[[#This Row],[Avg KS2 Band]]),"")</f>
        <v>-0.288304473304473</v>
      </c>
      <c r="N45" s="66" t="n">
        <v>10</v>
      </c>
      <c r="O45" s="67">
        <f>IF(ISNUMBER(tblY11[[#This Row],[4B05 - Homeostasis
Raw Score]]),IFERROR(VLOOKUP(ROUND(STANDARDIZE(tblY11[[#This Row],[4B05 - Homeostasis
Raw Score]],AVERAGE(tblY11[[4B05 - Homeostasis
Raw Score]]),_xlfn.STDEV.P(tblY11[[4B05 - Homeostasis
Raw Score]])),9),_Stanine,2),5),"")</f>
        <v>2</v>
      </c>
      <c r="P45" s="66" t="n">
        <v>11</v>
      </c>
      <c r="Q45" s="67">
        <f>IF(ISNUMBER(tblY11[[#This Row],[4C09 - Organic Chemistry
Raw Score]]),IFERROR(VLOOKUP(ROUND(STANDARDIZE(tblY11[[#This Row],[4C09 - Organic Chemistry
Raw Score]],AVERAGE(tblY11[[4C09 - Organic Chemistry
Raw Score]]),_xlfn.STDEV.P(tblY11[[4C09 - Organic Chemistry
Raw Score]])),9),_Stanine,2),5),"")</f>
        <v>4</v>
      </c>
      <c r="R45" s="66" t="n">
        <v>12</v>
      </c>
      <c r="S45" s="67">
        <f>IF(ISNUMBER(tblY11[[#This Row],[4P06 - Waves
Raw Score]]),IFERROR(VLOOKUP(ROUND(STANDARDIZE(tblY11[[#This Row],[4P06 - Waves
Raw Score]],AVERAGE(tblY11[[4P06 - Waves
Raw Score]]),_xlfn.STDEV.P(tblY11[[4P06 - Waves
Raw Score]])),9),_Stanine,2),5),"")</f>
        <v>3</v>
      </c>
      <c r="T45" s="66" t="n">
        <v>12</v>
      </c>
      <c r="U45" s="67">
        <f>IF(ISNUMBER(tblY11[[#This Row],[4B06 - Inheritance
Raw Score]]),IFERROR(VLOOKUP(ROUND(STANDARDIZE(tblY11[[#This Row],[4B06 - Inheritance
Raw Score]],AVERAGE(tblY11[[4B06 - Inheritance
Raw Score]]),_xlfn.STDEV.P(tblY11[[4B06 - Inheritance
Raw Score]])),9),_Stanine,2),5),"")</f>
        <v>4</v>
      </c>
      <c r="V45" s="66" t="n">
        <v>7</v>
      </c>
      <c r="W45" s="67">
        <f>IF(ISNUMBER(tblY11[[#This Row],[4C10 - Chemical Analysis
Raw Score]]),IFERROR(VLOOKUP(ROUND(STANDARDIZE(tblY11[[#This Row],[4C10 - Chemical Analysis
Raw Score]],AVERAGE(tblY11[[4C10 - Chemical Analysis
Raw Score]]),_xlfn.STDEV.P(tblY11[[4C10 - Chemical Analysis
Raw Score]])),9),_Stanine,2),5),"")</f>
        <v>3</v>
      </c>
      <c r="X45" s="66" t="n">
        <v>9</v>
      </c>
      <c r="Y45" s="67">
        <f>IF(ISNUMBER(tblY11[[#This Row],[4P07 - Magnetism
Raw Score]]),IFERROR(VLOOKUP(ROUND(STANDARDIZE(tblY11[[#This Row],[4P07 - Magnetism
Raw Score]],AVERAGE(tblY11[[4P07 - Magnetism
Raw Score]]),_xlfn.STDEV.P(tblY11[[4P07 - Magnetism
Raw Score]])),9),_Stanine,2),5),"")</f>
        <v>3</v>
      </c>
    </row>
    <row r="46">
      <c r="A46" s="65" t="inlineStr">
        <is>
          <t>X903191439685</t>
        </is>
      </c>
      <c r="B46" s="65" t="inlineStr">
        <is>
          <t>Price</t>
        </is>
      </c>
      <c r="C46" s="65" t="inlineStr">
        <is>
          <t>Oliver</t>
        </is>
      </c>
      <c r="D46" s="66" t="inlineStr">
        <is>
          <t>M</t>
        </is>
      </c>
      <c r="E46" s="66" t="inlineStr">
        <is>
          <t>N</t>
        </is>
      </c>
      <c r="F46" s="66" t="inlineStr">
        <is>
          <t>Y</t>
        </is>
      </c>
      <c r="G46" s="34" t="n">
        <v>96.59999999999999</v>
      </c>
      <c r="H46" s="34" t="n">
        <v>113.5</v>
      </c>
      <c r="I46" s="67">
        <f>IF(ISNUMBER(tblY11[[#This Row],[Avg KS2]]),IFERROR(VLOOKUP(ROUND(STANDARDIZE(tblY11[[#This Row],[Avg KS2]],AVERAGE(tblY11[[Avg KS2]]),_xlfn.STDEV.P(tblY11[[Avg KS2]])),9),_Stanine,2),5),"")</f>
        <v>8</v>
      </c>
      <c r="J46" s="66" t="inlineStr">
        <is>
          <t>11S/Sc2</t>
        </is>
      </c>
      <c r="K46" s="67">
        <f>IF(tblY11[[#This Row],[Preferred Last name]]="","",COUNTIFS($N$1:$ZZ$1,"*"&amp;CHAR(10)&amp;"Stanine",$N46:$ZZ46,"&gt;=1"))</f>
        <v>6</v>
      </c>
      <c r="L46" s="68">
        <f>IFERROR(AVERAGEIF($N$1:$ZZ$1,"*"&amp;CHAR(10)&amp;"Stanine",$N46:$ZZ46),"")</f>
        <v>4.83333333333333</v>
      </c>
      <c r="M46" s="69">
        <f>IF(AND(ISNUMBER(tblY11[[#This Row],[Mean Stanine]]),ISNUMBER(tblY11[[#This Row],[Avg KS2 Band]]),ISNUMBER(SlopeY11)),tblY11[[#This Row],[Mean Stanine]]-(InterceptY11+SlopeY11*tblY11[[#This Row],[Avg KS2 Band]]),"")</f>
        <v>-2.36595598845599</v>
      </c>
      <c r="N46" s="66" t="n">
        <v>20</v>
      </c>
      <c r="O46" s="67">
        <f>IF(ISNUMBER(tblY11[[#This Row],[4B05 - Homeostasis
Raw Score]]),IFERROR(VLOOKUP(ROUND(STANDARDIZE(tblY11[[#This Row],[4B05 - Homeostasis
Raw Score]],AVERAGE(tblY11[[4B05 - Homeostasis
Raw Score]]),_xlfn.STDEV.P(tblY11[[4B05 - Homeostasis
Raw Score]])),9),_Stanine,2),5),"")</f>
        <v>5</v>
      </c>
      <c r="P46" s="66" t="n">
        <v>14</v>
      </c>
      <c r="Q46" s="67">
        <f>IF(ISNUMBER(tblY11[[#This Row],[4C09 - Organic Chemistry
Raw Score]]),IFERROR(VLOOKUP(ROUND(STANDARDIZE(tblY11[[#This Row],[4C09 - Organic Chemistry
Raw Score]],AVERAGE(tblY11[[4C09 - Organic Chemistry
Raw Score]]),_xlfn.STDEV.P(tblY11[[4C09 - Organic Chemistry
Raw Score]])),9),_Stanine,2),5),"")</f>
        <v>4</v>
      </c>
      <c r="R46" s="66" t="n">
        <v>17</v>
      </c>
      <c r="S46" s="67">
        <f>IF(ISNUMBER(tblY11[[#This Row],[4P06 - Waves
Raw Score]]),IFERROR(VLOOKUP(ROUND(STANDARDIZE(tblY11[[#This Row],[4P06 - Waves
Raw Score]],AVERAGE(tblY11[[4P06 - Waves
Raw Score]]),_xlfn.STDEV.P(tblY11[[4P06 - Waves
Raw Score]])),9),_Stanine,2),5),"")</f>
        <v>4</v>
      </c>
      <c r="T46" s="66" t="n">
        <v>20</v>
      </c>
      <c r="U46" s="67">
        <f>IF(ISNUMBER(tblY11[[#This Row],[4B06 - Inheritance
Raw Score]]),IFERROR(VLOOKUP(ROUND(STANDARDIZE(tblY11[[#This Row],[4B06 - Inheritance
Raw Score]],AVERAGE(tblY11[[4B06 - Inheritance
Raw Score]]),_xlfn.STDEV.P(tblY11[[4B06 - Inheritance
Raw Score]])),9),_Stanine,2),5),"")</f>
        <v>5</v>
      </c>
      <c r="V46" s="66" t="n">
        <v>14</v>
      </c>
      <c r="W46" s="67">
        <f>IF(ISNUMBER(tblY11[[#This Row],[4C10 - Chemical Analysis
Raw Score]]),IFERROR(VLOOKUP(ROUND(STANDARDIZE(tblY11[[#This Row],[4C10 - Chemical Analysis
Raw Score]],AVERAGE(tblY11[[4C10 - Chemical Analysis
Raw Score]]),_xlfn.STDEV.P(tblY11[[4C10 - Chemical Analysis
Raw Score]])),9),_Stanine,2),5),"")</f>
        <v>5</v>
      </c>
      <c r="X46" s="66" t="n">
        <v>18</v>
      </c>
      <c r="Y46" s="67">
        <f>IF(ISNUMBER(tblY11[[#This Row],[4P07 - Magnetism
Raw Score]]),IFERROR(VLOOKUP(ROUND(STANDARDIZE(tblY11[[#This Row],[4P07 - Magnetism
Raw Score]],AVERAGE(tblY11[[4P07 - Magnetism
Raw Score]]),_xlfn.STDEV.P(tblY11[[4P07 - Magnetism
Raw Score]])),9),_Stanine,2),5),"")</f>
        <v>6</v>
      </c>
    </row>
    <row r="47">
      <c r="A47" s="65" t="inlineStr">
        <is>
          <t>X903027915498</t>
        </is>
      </c>
      <c r="B47" s="65" t="inlineStr">
        <is>
          <t>Shaw</t>
        </is>
      </c>
      <c r="C47" s="65" t="inlineStr">
        <is>
          <t>Arjun</t>
        </is>
      </c>
      <c r="D47" s="66" t="inlineStr">
        <is>
          <t>F</t>
        </is>
      </c>
      <c r="E47" s="66" t="n"/>
      <c r="F47" s="66" t="inlineStr">
        <is>
          <t>N</t>
        </is>
      </c>
      <c r="G47" s="34" t="n">
        <v>91.59999999999999</v>
      </c>
      <c r="H47" s="34" t="n">
        <v>109</v>
      </c>
      <c r="I47" s="67">
        <f>IF(ISNUMBER(tblY11[[#This Row],[Avg KS2]]),IFERROR(VLOOKUP(ROUND(STANDARDIZE(tblY11[[#This Row],[Avg KS2]],AVERAGE(tblY11[[Avg KS2]]),_xlfn.STDEV.P(tblY11[[Avg KS2]])),9),_Stanine,2),5),"")</f>
        <v>6</v>
      </c>
      <c r="J47" s="66" t="inlineStr">
        <is>
          <t>11S/Sc2</t>
        </is>
      </c>
      <c r="K47" s="67">
        <f>IF(tblY11[[#This Row],[Preferred Last name]]="","",COUNTIFS($N$1:$ZZ$1,"*"&amp;CHAR(10)&amp;"Stanine",$N47:$ZZ47,"&gt;=1"))</f>
        <v>6</v>
      </c>
      <c r="L47" s="68">
        <f>IFERROR(AVERAGEIF($N$1:$ZZ$1,"*"&amp;CHAR(10)&amp;"Stanine",$N47:$ZZ47),"")</f>
        <v>5.83333333333333</v>
      </c>
      <c r="M47" s="69">
        <f>IF(AND(ISNUMBER(tblY11[[#This Row],[Mean Stanine]]),ISNUMBER(tblY11[[#This Row],[Avg KS2 Band]]),ISNUMBER(SlopeY11)),tblY11[[#This Row],[Mean Stanine]]-(InterceptY11+SlopeY11*tblY11[[#This Row],[Avg KS2 Band]]),"")</f>
        <v>0.131771284271284</v>
      </c>
      <c r="N47" s="66" t="n">
        <v>17</v>
      </c>
      <c r="O47" s="67">
        <f>IF(ISNUMBER(tblY11[[#This Row],[4B05 - Homeostasis
Raw Score]]),IFERROR(VLOOKUP(ROUND(STANDARDIZE(tblY11[[#This Row],[4B05 - Homeostasis
Raw Score]],AVERAGE(tblY11[[4B05 - Homeostasis
Raw Score]]),_xlfn.STDEV.P(tblY11[[4B05 - Homeostasis
Raw Score]])),9),_Stanine,2),5),"")</f>
        <v>4</v>
      </c>
      <c r="P47" s="66" t="n">
        <v>23</v>
      </c>
      <c r="Q47" s="67">
        <f>IF(ISNUMBER(tblY11[[#This Row],[4C09 - Organic Chemistry
Raw Score]]),IFERROR(VLOOKUP(ROUND(STANDARDIZE(tblY11[[#This Row],[4C09 - Organic Chemistry
Raw Score]],AVERAGE(tblY11[[4C09 - Organic Chemistry
Raw Score]]),_xlfn.STDEV.P(tblY11[[4C09 - Organic Chemistry
Raw Score]])),9),_Stanine,2),5),"")</f>
        <v>7</v>
      </c>
      <c r="R47" s="66" t="n">
        <v>20</v>
      </c>
      <c r="S47" s="67">
        <f>IF(ISNUMBER(tblY11[[#This Row],[4P06 - Waves
Raw Score]]),IFERROR(VLOOKUP(ROUND(STANDARDIZE(tblY11[[#This Row],[4P06 - Waves
Raw Score]],AVERAGE(tblY11[[4P06 - Waves
Raw Score]]),_xlfn.STDEV.P(tblY11[[4P06 - Waves
Raw Score]])),9),_Stanine,2),5),"")</f>
        <v>5</v>
      </c>
      <c r="T47" s="66" t="n">
        <v>25</v>
      </c>
      <c r="U47" s="67">
        <f>IF(ISNUMBER(tblY11[[#This Row],[4B06 - Inheritance
Raw Score]]),IFERROR(VLOOKUP(ROUND(STANDARDIZE(tblY11[[#This Row],[4B06 - Inheritance
Raw Score]],AVERAGE(tblY11[[4B06 - Inheritance
Raw Score]]),_xlfn.STDEV.P(tblY11[[4B06 - Inheritance
Raw Score]])),9),_Stanine,2),5),"")</f>
        <v>6</v>
      </c>
      <c r="V47" s="66" t="n">
        <v>23</v>
      </c>
      <c r="W47" s="67">
        <f>IF(ISNUMBER(tblY11[[#This Row],[4C10 - Chemical Analysis
Raw Score]]),IFERROR(VLOOKUP(ROUND(STANDARDIZE(tblY11[[#This Row],[4C10 - Chemical Analysis
Raw Score]],AVERAGE(tblY11[[4C10 - Chemical Analysis
Raw Score]]),_xlfn.STDEV.P(tblY11[[4C10 - Chemical Analysis
Raw Score]])),9),_Stanine,2),5),"")</f>
        <v>8</v>
      </c>
      <c r="X47" s="66" t="n">
        <v>15</v>
      </c>
      <c r="Y47" s="67">
        <f>IF(ISNUMBER(tblY11[[#This Row],[4P07 - Magnetism
Raw Score]]),IFERROR(VLOOKUP(ROUND(STANDARDIZE(tblY11[[#This Row],[4P07 - Magnetism
Raw Score]],AVERAGE(tblY11[[4P07 - Magnetism
Raw Score]]),_xlfn.STDEV.P(tblY11[[4P07 - Magnetism
Raw Score]])),9),_Stanine,2),5),"")</f>
        <v>5</v>
      </c>
    </row>
    <row r="48">
      <c r="A48" s="65" t="inlineStr">
        <is>
          <t>X905105901795</t>
        </is>
      </c>
      <c r="B48" s="65" t="inlineStr">
        <is>
          <t>Taylor</t>
        </is>
      </c>
      <c r="C48" s="65" t="inlineStr">
        <is>
          <t>Maya</t>
        </is>
      </c>
      <c r="D48" s="66" t="inlineStr">
        <is>
          <t>F</t>
        </is>
      </c>
      <c r="E48" s="66" t="n"/>
      <c r="F48" s="66" t="inlineStr">
        <is>
          <t>N</t>
        </is>
      </c>
      <c r="G48" s="34" t="n">
        <v>97.59999999999999</v>
      </c>
      <c r="H48" s="34" t="n">
        <v>113</v>
      </c>
      <c r="I48" s="67">
        <f>IF(ISNUMBER(tblY11[[#This Row],[Avg KS2]]),IFERROR(VLOOKUP(ROUND(STANDARDIZE(tblY11[[#This Row],[Avg KS2]],AVERAGE(tblY11[[Avg KS2]]),_xlfn.STDEV.P(tblY11[[Avg KS2]])),9),_Stanine,2),5),"")</f>
        <v>8</v>
      </c>
      <c r="J48" s="66" t="inlineStr">
        <is>
          <t>11S/Sc2</t>
        </is>
      </c>
      <c r="K48" s="67">
        <f>IF(tblY11[[#This Row],[Preferred Last name]]="","",COUNTIFS($N$1:$ZZ$1,"*"&amp;CHAR(10)&amp;"Stanine",$N48:$ZZ48,"&gt;=1"))</f>
        <v>6</v>
      </c>
      <c r="L48" s="68">
        <f>IFERROR(AVERAGEIF($N$1:$ZZ$1,"*"&amp;CHAR(10)&amp;"Stanine",$N48:$ZZ48),"")</f>
        <v>8.33333333333333</v>
      </c>
      <c r="M48" s="69">
        <f>IF(AND(ISNUMBER(tblY11[[#This Row],[Mean Stanine]]),ISNUMBER(tblY11[[#This Row],[Avg KS2 Band]]),ISNUMBER(SlopeY11)),tblY11[[#This Row],[Mean Stanine]]-(InterceptY11+SlopeY11*tblY11[[#This Row],[Avg KS2 Band]]),"")</f>
        <v>1.13404401154401</v>
      </c>
      <c r="N48" s="66" t="n">
        <v>34</v>
      </c>
      <c r="O48" s="67">
        <f>IF(ISNUMBER(tblY11[[#This Row],[4B05 - Homeostasis
Raw Score]]),IFERROR(VLOOKUP(ROUND(STANDARDIZE(tblY11[[#This Row],[4B05 - Homeostasis
Raw Score]],AVERAGE(tblY11[[4B05 - Homeostasis
Raw Score]]),_xlfn.STDEV.P(tblY11[[4B05 - Homeostasis
Raw Score]])),9),_Stanine,2),5),"")</f>
        <v>8</v>
      </c>
      <c r="P48" s="66" t="n">
        <v>29</v>
      </c>
      <c r="Q48" s="67">
        <f>IF(ISNUMBER(tblY11[[#This Row],[4C09 - Organic Chemistry
Raw Score]]),IFERROR(VLOOKUP(ROUND(STANDARDIZE(tblY11[[#This Row],[4C09 - Organic Chemistry
Raw Score]],AVERAGE(tblY11[[4C09 - Organic Chemistry
Raw Score]]),_xlfn.STDEV.P(tblY11[[4C09 - Organic Chemistry
Raw Score]])),9),_Stanine,2),5),"")</f>
        <v>8</v>
      </c>
      <c r="R48" s="66" t="n">
        <v>32</v>
      </c>
      <c r="S48" s="67">
        <f>IF(ISNUMBER(tblY11[[#This Row],[4P06 - Waves
Raw Score]]),IFERROR(VLOOKUP(ROUND(STANDARDIZE(tblY11[[#This Row],[4P06 - Waves
Raw Score]],AVERAGE(tblY11[[4P06 - Waves
Raw Score]]),_xlfn.STDEV.P(tblY11[[4P06 - Waves
Raw Score]])),9),_Stanine,2),5),"")</f>
        <v>8</v>
      </c>
      <c r="T48" s="66" t="n">
        <v>34</v>
      </c>
      <c r="U48" s="67">
        <f>IF(ISNUMBER(tblY11[[#This Row],[4B06 - Inheritance
Raw Score]]),IFERROR(VLOOKUP(ROUND(STANDARDIZE(tblY11[[#This Row],[4B06 - Inheritance
Raw Score]],AVERAGE(tblY11[[4B06 - Inheritance
Raw Score]]),_xlfn.STDEV.P(tblY11[[4B06 - Inheritance
Raw Score]])),9),_Stanine,2),5),"")</f>
        <v>8</v>
      </c>
      <c r="V48" s="66" t="n">
        <v>26</v>
      </c>
      <c r="W48" s="67">
        <f>IF(ISNUMBER(tblY11[[#This Row],[4C10 - Chemical Analysis
Raw Score]]),IFERROR(VLOOKUP(ROUND(STANDARDIZE(tblY11[[#This Row],[4C10 - Chemical Analysis
Raw Score]],AVERAGE(tblY11[[4C10 - Chemical Analysis
Raw Score]]),_xlfn.STDEV.P(tblY11[[4C10 - Chemical Analysis
Raw Score]])),9),_Stanine,2),5),"")</f>
        <v>9</v>
      </c>
      <c r="X48" s="66" t="n">
        <v>30</v>
      </c>
      <c r="Y48" s="67">
        <f>IF(ISNUMBER(tblY11[[#This Row],[4P07 - Magnetism
Raw Score]]),IFERROR(VLOOKUP(ROUND(STANDARDIZE(tblY11[[#This Row],[4P07 - Magnetism
Raw Score]],AVERAGE(tblY11[[4P07 - Magnetism
Raw Score]]),_xlfn.STDEV.P(tblY11[[4P07 - Magnetism
Raw Score]])),9),_Stanine,2),5),"")</f>
        <v>9</v>
      </c>
    </row>
    <row r="49">
      <c r="A49" s="65" t="inlineStr">
        <is>
          <t>X904342656965</t>
        </is>
      </c>
      <c r="B49" s="65" t="inlineStr">
        <is>
          <t>Thompson</t>
        </is>
      </c>
      <c r="C49" s="65" t="inlineStr">
        <is>
          <t>Kai</t>
        </is>
      </c>
      <c r="D49" s="66" t="inlineStr">
        <is>
          <t>M</t>
        </is>
      </c>
      <c r="E49" s="66" t="n"/>
      <c r="F49" s="66" t="inlineStr">
        <is>
          <t>N</t>
        </is>
      </c>
      <c r="G49" s="34" t="n">
        <v>86.3</v>
      </c>
      <c r="H49" s="34" t="n">
        <v>102</v>
      </c>
      <c r="I49" s="67">
        <f>IF(ISNUMBER(tblY11[[#This Row],[Avg KS2]]),IFERROR(VLOOKUP(ROUND(STANDARDIZE(tblY11[[#This Row],[Avg KS2]],AVERAGE(tblY11[[Avg KS2]]),_xlfn.STDEV.P(tblY11[[Avg KS2]])),9),_Stanine,2),5),"")</f>
        <v>4</v>
      </c>
      <c r="J49" s="66" t="inlineStr">
        <is>
          <t>11S/Sc2</t>
        </is>
      </c>
      <c r="K49" s="67">
        <f>IF(tblY11[[#This Row],[Preferred Last name]]="","",COUNTIFS($N$1:$ZZ$1,"*"&amp;CHAR(10)&amp;"Stanine",$N49:$ZZ49,"&gt;=1"))</f>
        <v>6</v>
      </c>
      <c r="L49" s="68">
        <f>IFERROR(AVERAGEIF($N$1:$ZZ$1,"*"&amp;CHAR(10)&amp;"Stanine",$N49:$ZZ49),"")</f>
        <v>5.66666666666667</v>
      </c>
      <c r="M49" s="69">
        <f>IF(AND(ISNUMBER(tblY11[[#This Row],[Mean Stanine]]),ISNUMBER(tblY11[[#This Row],[Avg KS2 Band]]),ISNUMBER(SlopeY11)),tblY11[[#This Row],[Mean Stanine]]-(InterceptY11+SlopeY11*tblY11[[#This Row],[Avg KS2 Band]]),"")</f>
        <v>1.46283189033189</v>
      </c>
      <c r="N49" s="66" t="n">
        <v>27</v>
      </c>
      <c r="O49" s="67">
        <f>IF(ISNUMBER(tblY11[[#This Row],[4B05 - Homeostasis
Raw Score]]),IFERROR(VLOOKUP(ROUND(STANDARDIZE(tblY11[[#This Row],[4B05 - Homeostasis
Raw Score]],AVERAGE(tblY11[[4B05 - Homeostasis
Raw Score]]),_xlfn.STDEV.P(tblY11[[4B05 - Homeostasis
Raw Score]])),9),_Stanine,2),5),"")</f>
        <v>6</v>
      </c>
      <c r="P49" s="66" t="n">
        <v>16</v>
      </c>
      <c r="Q49" s="67">
        <f>IF(ISNUMBER(tblY11[[#This Row],[4C09 - Organic Chemistry
Raw Score]]),IFERROR(VLOOKUP(ROUND(STANDARDIZE(tblY11[[#This Row],[4C09 - Organic Chemistry
Raw Score]],AVERAGE(tblY11[[4C09 - Organic Chemistry
Raw Score]]),_xlfn.STDEV.P(tblY11[[4C09 - Organic Chemistry
Raw Score]])),9),_Stanine,2),5),"")</f>
        <v>5</v>
      </c>
      <c r="R49" s="66" t="n">
        <v>24</v>
      </c>
      <c r="S49" s="67">
        <f>IF(ISNUMBER(tblY11[[#This Row],[4P06 - Waves
Raw Score]]),IFERROR(VLOOKUP(ROUND(STANDARDIZE(tblY11[[#This Row],[4P06 - Waves
Raw Score]],AVERAGE(tblY11[[4P06 - Waves
Raw Score]]),_xlfn.STDEV.P(tblY11[[4P06 - Waves
Raw Score]])),9),_Stanine,2),5),"")</f>
        <v>6</v>
      </c>
      <c r="T49" s="66" t="n">
        <v>19</v>
      </c>
      <c r="U49" s="67">
        <f>IF(ISNUMBER(tblY11[[#This Row],[4B06 - Inheritance
Raw Score]]),IFERROR(VLOOKUP(ROUND(STANDARDIZE(tblY11[[#This Row],[4B06 - Inheritance
Raw Score]],AVERAGE(tblY11[[4B06 - Inheritance
Raw Score]]),_xlfn.STDEV.P(tblY11[[4B06 - Inheritance
Raw Score]])),9),_Stanine,2),5),"")</f>
        <v>5</v>
      </c>
      <c r="V49" s="66" t="n">
        <v>16</v>
      </c>
      <c r="W49" s="67">
        <f>IF(ISNUMBER(tblY11[[#This Row],[4C10 - Chemical Analysis
Raw Score]]),IFERROR(VLOOKUP(ROUND(STANDARDIZE(tblY11[[#This Row],[4C10 - Chemical Analysis
Raw Score]],AVERAGE(tblY11[[4C10 - Chemical Analysis
Raw Score]]),_xlfn.STDEV.P(tblY11[[4C10 - Chemical Analysis
Raw Score]])),9),_Stanine,2),5),"")</f>
        <v>6</v>
      </c>
      <c r="X49" s="66" t="n">
        <v>19</v>
      </c>
      <c r="Y49" s="67">
        <f>IF(ISNUMBER(tblY11[[#This Row],[4P07 - Magnetism
Raw Score]]),IFERROR(VLOOKUP(ROUND(STANDARDIZE(tblY11[[#This Row],[4P07 - Magnetism
Raw Score]],AVERAGE(tblY11[[4P07 - Magnetism
Raw Score]]),_xlfn.STDEV.P(tblY11[[4P07 - Magnetism
Raw Score]])),9),_Stanine,2),5),"")</f>
        <v>6</v>
      </c>
    </row>
    <row r="50">
      <c r="A50" s="65" t="inlineStr">
        <is>
          <t>X909494582794</t>
        </is>
      </c>
      <c r="B50" s="65" t="inlineStr">
        <is>
          <t>Walker</t>
        </is>
      </c>
      <c r="C50" s="65" t="inlineStr">
        <is>
          <t>Finley</t>
        </is>
      </c>
      <c r="D50" s="66" t="inlineStr">
        <is>
          <t>M</t>
        </is>
      </c>
      <c r="E50" s="66" t="inlineStr">
        <is>
          <t>K</t>
        </is>
      </c>
      <c r="F50" s="66" t="inlineStr">
        <is>
          <t>N</t>
        </is>
      </c>
      <c r="G50" s="34" t="n">
        <v>100</v>
      </c>
      <c r="H50" s="34" t="n">
        <v>101</v>
      </c>
      <c r="I50" s="67">
        <f>IF(ISNUMBER(tblY11[[#This Row],[Avg KS2]]),IFERROR(VLOOKUP(ROUND(STANDARDIZE(tblY11[[#This Row],[Avg KS2]],AVERAGE(tblY11[[Avg KS2]]),_xlfn.STDEV.P(tblY11[[Avg KS2]])),9),_Stanine,2),5),"")</f>
        <v>4</v>
      </c>
      <c r="J50" s="66" t="inlineStr">
        <is>
          <t>11S/Sc2</t>
        </is>
      </c>
      <c r="K50" s="67">
        <f>IF(tblY11[[#This Row],[Preferred Last name]]="","",COUNTIFS($N$1:$ZZ$1,"*"&amp;CHAR(10)&amp;"Stanine",$N50:$ZZ50,"&gt;=1"))</f>
        <v>5</v>
      </c>
      <c r="L50" s="68">
        <f>IFERROR(AVERAGEIF($N$1:$ZZ$1,"*"&amp;CHAR(10)&amp;"Stanine",$N50:$ZZ50),"")</f>
        <v>3.4</v>
      </c>
      <c r="M50" s="69">
        <f>IF(AND(ISNUMBER(tblY11[[#This Row],[Mean Stanine]]),ISNUMBER(tblY11[[#This Row],[Avg KS2 Band]]),ISNUMBER(SlopeY11)),tblY11[[#This Row],[Mean Stanine]]-(InterceptY11+SlopeY11*tblY11[[#This Row],[Avg KS2 Band]]),"")</f>
        <v>-0.803834776334776</v>
      </c>
      <c r="N50" s="66" t="n">
        <v>13</v>
      </c>
      <c r="O50" s="67">
        <f>IF(ISNUMBER(tblY11[[#This Row],[4B05 - Homeostasis
Raw Score]]),IFERROR(VLOOKUP(ROUND(STANDARDIZE(tblY11[[#This Row],[4B05 - Homeostasis
Raw Score]],AVERAGE(tblY11[[4B05 - Homeostasis
Raw Score]]),_xlfn.STDEV.P(tblY11[[4B05 - Homeostasis
Raw Score]])),9),_Stanine,2),5),"")</f>
        <v>3</v>
      </c>
      <c r="P50" s="66" t="n">
        <v>9</v>
      </c>
      <c r="Q50" s="67">
        <f>IF(ISNUMBER(tblY11[[#This Row],[4C09 - Organic Chemistry
Raw Score]]),IFERROR(VLOOKUP(ROUND(STANDARDIZE(tblY11[[#This Row],[4C09 - Organic Chemistry
Raw Score]],AVERAGE(tblY11[[4C09 - Organic Chemistry
Raw Score]]),_xlfn.STDEV.P(tblY11[[4C09 - Organic Chemistry
Raw Score]])),9),_Stanine,2),5),"")</f>
        <v>3</v>
      </c>
      <c r="R50" s="66" t="n">
        <v>18</v>
      </c>
      <c r="S50" s="67">
        <f>IF(ISNUMBER(tblY11[[#This Row],[4P06 - Waves
Raw Score]]),IFERROR(VLOOKUP(ROUND(STANDARDIZE(tblY11[[#This Row],[4P06 - Waves
Raw Score]],AVERAGE(tblY11[[4P06 - Waves
Raw Score]]),_xlfn.STDEV.P(tblY11[[4P06 - Waves
Raw Score]])),9),_Stanine,2),5),"")</f>
        <v>4</v>
      </c>
      <c r="T50" s="66" t="inlineStr">
        <is>
          <t>A</t>
        </is>
      </c>
      <c r="U50" s="67" t="str">
        <f>IF(ISNUMBER(tblY11[[#This Row],[4B06 - Inheritance
Raw Score]]),IFERROR(VLOOKUP(ROUND(STANDARDIZE(tblY11[[#This Row],[4B06 - Inheritance
Raw Score]],AVERAGE(tblY11[[4B06 - Inheritance
Raw Score]]),_xlfn.STDEV.P(tblY11[[4B06 - Inheritance
Raw Score]])),9),_Stanine,2),5),"")</f>
        <v/>
      </c>
      <c r="V50" s="66" t="n">
        <v>9</v>
      </c>
      <c r="W50" s="67">
        <f>IF(ISNUMBER(tblY11[[#This Row],[4C10 - Chemical Analysis
Raw Score]]),IFERROR(VLOOKUP(ROUND(STANDARDIZE(tblY11[[#This Row],[4C10 - Chemical Analysis
Raw Score]],AVERAGE(tblY11[[4C10 - Chemical Analysis
Raw Score]]),_xlfn.STDEV.P(tblY11[[4C10 - Chemical Analysis
Raw Score]])),9),_Stanine,2),5),"")</f>
        <v>3</v>
      </c>
      <c r="X50" s="66" t="n">
        <v>11</v>
      </c>
      <c r="Y50" s="67">
        <f>IF(ISNUMBER(tblY11[[#This Row],[4P07 - Magnetism
Raw Score]]),IFERROR(VLOOKUP(ROUND(STANDARDIZE(tblY11[[#This Row],[4P07 - Magnetism
Raw Score]],AVERAGE(tblY11[[4P07 - Magnetism
Raw Score]]),_xlfn.STDEV.P(tblY11[[4P07 - Magnetism
Raw Score]])),9),_Stanine,2),5),"")</f>
        <v>4</v>
      </c>
    </row>
    <row r="51">
      <c r="A51" s="65" t="inlineStr">
        <is>
          <t>X903562445350</t>
        </is>
      </c>
      <c r="B51" s="65" t="inlineStr">
        <is>
          <t>Walker</t>
        </is>
      </c>
      <c r="C51" s="65" t="inlineStr">
        <is>
          <t>Leo</t>
        </is>
      </c>
      <c r="D51" s="66" t="inlineStr">
        <is>
          <t>F</t>
        </is>
      </c>
      <c r="E51" s="66" t="inlineStr">
        <is>
          <t>N</t>
        </is>
      </c>
      <c r="F51" s="66" t="inlineStr">
        <is>
          <t>N</t>
        </is>
      </c>
      <c r="G51" s="34" t="n">
        <v>95.2</v>
      </c>
      <c r="H51" s="34" t="n">
        <v>106.5</v>
      </c>
      <c r="I51" s="67">
        <f>IF(ISNUMBER(tblY11[[#This Row],[Avg KS2]]),IFERROR(VLOOKUP(ROUND(STANDARDIZE(tblY11[[#This Row],[Avg KS2]],AVERAGE(tblY11[[Avg KS2]]),_xlfn.STDEV.P(tblY11[[Avg KS2]])),9),_Stanine,2),5),"")</f>
        <v>6</v>
      </c>
      <c r="J51" s="66" t="inlineStr">
        <is>
          <t>11S/Sc2</t>
        </is>
      </c>
      <c r="K51" s="67">
        <f>IF(tblY11[[#This Row],[Preferred Last name]]="","",COUNTIFS($N$1:$ZZ$1,"*"&amp;CHAR(10)&amp;"Stanine",$N51:$ZZ51,"&gt;=1"))</f>
        <v>6</v>
      </c>
      <c r="L51" s="68">
        <f>IFERROR(AVERAGEIF($N$1:$ZZ$1,"*"&amp;CHAR(10)&amp;"Stanine",$N51:$ZZ51),"")</f>
        <v>4.83333333333333</v>
      </c>
      <c r="M51" s="69">
        <f>IF(AND(ISNUMBER(tblY11[[#This Row],[Mean Stanine]]),ISNUMBER(tblY11[[#This Row],[Avg KS2 Band]]),ISNUMBER(SlopeY11)),tblY11[[#This Row],[Mean Stanine]]-(InterceptY11+SlopeY11*tblY11[[#This Row],[Avg KS2 Band]]),"")</f>
        <v>-0.868228715728716</v>
      </c>
      <c r="N51" s="66" t="n">
        <v>16</v>
      </c>
      <c r="O51" s="67">
        <f>IF(ISNUMBER(tblY11[[#This Row],[4B05 - Homeostasis
Raw Score]]),IFERROR(VLOOKUP(ROUND(STANDARDIZE(tblY11[[#This Row],[4B05 - Homeostasis
Raw Score]],AVERAGE(tblY11[[4B05 - Homeostasis
Raw Score]]),_xlfn.STDEV.P(tblY11[[4B05 - Homeostasis
Raw Score]])),9),_Stanine,2),5),"")</f>
        <v>4</v>
      </c>
      <c r="P51" s="66" t="n">
        <v>21</v>
      </c>
      <c r="Q51" s="67">
        <f>IF(ISNUMBER(tblY11[[#This Row],[4C09 - Organic Chemistry
Raw Score]]),IFERROR(VLOOKUP(ROUND(STANDARDIZE(tblY11[[#This Row],[4C09 - Organic Chemistry
Raw Score]],AVERAGE(tblY11[[4C09 - Organic Chemistry
Raw Score]]),_xlfn.STDEV.P(tblY11[[4C09 - Organic Chemistry
Raw Score]])),9),_Stanine,2),5),"")</f>
        <v>6</v>
      </c>
      <c r="R51" s="66" t="n">
        <v>23</v>
      </c>
      <c r="S51" s="67">
        <f>IF(ISNUMBER(tblY11[[#This Row],[4P06 - Waves
Raw Score]]),IFERROR(VLOOKUP(ROUND(STANDARDIZE(tblY11[[#This Row],[4P06 - Waves
Raw Score]],AVERAGE(tblY11[[4P06 - Waves
Raw Score]]),_xlfn.STDEV.P(tblY11[[4P06 - Waves
Raw Score]])),9),_Stanine,2),5),"")</f>
        <v>5</v>
      </c>
      <c r="T51" s="66" t="n">
        <v>14</v>
      </c>
      <c r="U51" s="67">
        <f>IF(ISNUMBER(tblY11[[#This Row],[4B06 - Inheritance
Raw Score]]),IFERROR(VLOOKUP(ROUND(STANDARDIZE(tblY11[[#This Row],[4B06 - Inheritance
Raw Score]],AVERAGE(tblY11[[4B06 - Inheritance
Raw Score]]),_xlfn.STDEV.P(tblY11[[4B06 - Inheritance
Raw Score]])),9),_Stanine,2),5),"")</f>
        <v>4</v>
      </c>
      <c r="V51" s="66" t="n">
        <v>13</v>
      </c>
      <c r="W51" s="67">
        <f>IF(ISNUMBER(tblY11[[#This Row],[4C10 - Chemical Analysis
Raw Score]]),IFERROR(VLOOKUP(ROUND(STANDARDIZE(tblY11[[#This Row],[4C10 - Chemical Analysis
Raw Score]],AVERAGE(tblY11[[4C10 - Chemical Analysis
Raw Score]]),_xlfn.STDEV.P(tblY11[[4C10 - Chemical Analysis
Raw Score]])),9),_Stanine,2),5),"")</f>
        <v>5</v>
      </c>
      <c r="X51" s="66" t="n">
        <v>14</v>
      </c>
      <c r="Y51" s="67">
        <f>IF(ISNUMBER(tblY11[[#This Row],[4P07 - Magnetism
Raw Score]]),IFERROR(VLOOKUP(ROUND(STANDARDIZE(tblY11[[#This Row],[4P07 - Magnetism
Raw Score]],AVERAGE(tblY11[[4P07 - Magnetism
Raw Score]]),_xlfn.STDEV.P(tblY11[[4P07 - Magnetism
Raw Score]])),9),_Stanine,2),5),"")</f>
        <v>5</v>
      </c>
    </row>
    <row r="52">
      <c r="A52" s="65" t="inlineStr">
        <is>
          <t>X904917722451</t>
        </is>
      </c>
      <c r="B52" s="65" t="inlineStr">
        <is>
          <t>White</t>
        </is>
      </c>
      <c r="C52" s="65" t="inlineStr">
        <is>
          <t>George</t>
        </is>
      </c>
      <c r="D52" s="66" t="inlineStr">
        <is>
          <t>M</t>
        </is>
      </c>
      <c r="E52" s="66" t="n"/>
      <c r="F52" s="66" t="inlineStr">
        <is>
          <t>N</t>
        </is>
      </c>
      <c r="G52" s="34" t="n">
        <v>94.09999999999999</v>
      </c>
      <c r="H52" s="34" t="n">
        <v>106.5</v>
      </c>
      <c r="I52" s="67">
        <f>IF(ISNUMBER(tblY11[[#This Row],[Avg KS2]]),IFERROR(VLOOKUP(ROUND(STANDARDIZE(tblY11[[#This Row],[Avg KS2]],AVERAGE(tblY11[[Avg KS2]]),_xlfn.STDEV.P(tblY11[[Avg KS2]])),9),_Stanine,2),5),"")</f>
        <v>6</v>
      </c>
      <c r="J52" s="66" t="inlineStr">
        <is>
          <t>11S/Sc2</t>
        </is>
      </c>
      <c r="K52" s="67">
        <f>IF(tblY11[[#This Row],[Preferred Last name]]="","",COUNTIFS($N$1:$ZZ$1,"*"&amp;CHAR(10)&amp;"Stanine",$N52:$ZZ52,"&gt;=1"))</f>
        <v>6</v>
      </c>
      <c r="L52" s="68">
        <f>IFERROR(AVERAGEIF($N$1:$ZZ$1,"*"&amp;CHAR(10)&amp;"Stanine",$N52:$ZZ52),"")</f>
        <v>5.16666666666667</v>
      </c>
      <c r="M52" s="69">
        <f>IF(AND(ISNUMBER(tblY11[[#This Row],[Mean Stanine]]),ISNUMBER(tblY11[[#This Row],[Avg KS2 Band]]),ISNUMBER(SlopeY11)),tblY11[[#This Row],[Mean Stanine]]-(InterceptY11+SlopeY11*tblY11[[#This Row],[Avg KS2 Band]]),"")</f>
        <v>-0.534895382395382</v>
      </c>
      <c r="N52" s="66" t="n">
        <v>25</v>
      </c>
      <c r="O52" s="67">
        <f>IF(ISNUMBER(tblY11[[#This Row],[4B05 - Homeostasis
Raw Score]]),IFERROR(VLOOKUP(ROUND(STANDARDIZE(tblY11[[#This Row],[4B05 - Homeostasis
Raw Score]],AVERAGE(tblY11[[4B05 - Homeostasis
Raw Score]]),_xlfn.STDEV.P(tblY11[[4B05 - Homeostasis
Raw Score]])),9),_Stanine,2),5),"")</f>
        <v>6</v>
      </c>
      <c r="P52" s="66" t="n">
        <v>22</v>
      </c>
      <c r="Q52" s="67">
        <f>IF(ISNUMBER(tblY11[[#This Row],[4C09 - Organic Chemistry
Raw Score]]),IFERROR(VLOOKUP(ROUND(STANDARDIZE(tblY11[[#This Row],[4C09 - Organic Chemistry
Raw Score]],AVERAGE(tblY11[[4C09 - Organic Chemistry
Raw Score]]),_xlfn.STDEV.P(tblY11[[4C09 - Organic Chemistry
Raw Score]])),9),_Stanine,2),5),"")</f>
        <v>7</v>
      </c>
      <c r="R52" s="66" t="n">
        <v>21</v>
      </c>
      <c r="S52" s="67">
        <f>IF(ISNUMBER(tblY11[[#This Row],[4P06 - Waves
Raw Score]]),IFERROR(VLOOKUP(ROUND(STANDARDIZE(tblY11[[#This Row],[4P06 - Waves
Raw Score]],AVERAGE(tblY11[[4P06 - Waves
Raw Score]]),_xlfn.STDEV.P(tblY11[[4P06 - Waves
Raw Score]])),9),_Stanine,2),5),"")</f>
        <v>5</v>
      </c>
      <c r="T52" s="66" t="n">
        <v>16</v>
      </c>
      <c r="U52" s="67">
        <f>IF(ISNUMBER(tblY11[[#This Row],[4B06 - Inheritance
Raw Score]]),IFERROR(VLOOKUP(ROUND(STANDARDIZE(tblY11[[#This Row],[4B06 - Inheritance
Raw Score]],AVERAGE(tblY11[[4B06 - Inheritance
Raw Score]]),_xlfn.STDEV.P(tblY11[[4B06 - Inheritance
Raw Score]])),9),_Stanine,2),5),"")</f>
        <v>4</v>
      </c>
      <c r="V52" s="66" t="n">
        <v>12</v>
      </c>
      <c r="W52" s="67">
        <f>IF(ISNUMBER(tblY11[[#This Row],[4C10 - Chemical Analysis
Raw Score]]),IFERROR(VLOOKUP(ROUND(STANDARDIZE(tblY11[[#This Row],[4C10 - Chemical Analysis
Raw Score]],AVERAGE(tblY11[[4C10 - Chemical Analysis
Raw Score]]),_xlfn.STDEV.P(tblY11[[4C10 - Chemical Analysis
Raw Score]])),9),_Stanine,2),5),"")</f>
        <v>4</v>
      </c>
      <c r="X52" s="66" t="n">
        <v>16</v>
      </c>
      <c r="Y52" s="67">
        <f>IF(ISNUMBER(tblY11[[#This Row],[4P07 - Magnetism
Raw Score]]),IFERROR(VLOOKUP(ROUND(STANDARDIZE(tblY11[[#This Row],[4P07 - Magnetism
Raw Score]],AVERAGE(tblY11[[4P07 - Magnetism
Raw Score]]),_xlfn.STDEV.P(tblY11[[4P07 - Magnetism
Raw Score]])),9),_Stanine,2),5),"")</f>
        <v>5</v>
      </c>
    </row>
    <row r="53">
      <c r="A53" s="65" t="inlineStr">
        <is>
          <t>X900079890749</t>
        </is>
      </c>
      <c r="B53" s="65" t="inlineStr">
        <is>
          <t>White</t>
        </is>
      </c>
      <c r="C53" s="65" t="inlineStr">
        <is>
          <t>Nia</t>
        </is>
      </c>
      <c r="D53" s="66" t="inlineStr">
        <is>
          <t>M</t>
        </is>
      </c>
      <c r="E53" s="66" t="n"/>
      <c r="F53" s="66" t="inlineStr">
        <is>
          <t>N</t>
        </is>
      </c>
      <c r="G53" s="34" t="n">
        <v>95.59999999999999</v>
      </c>
      <c r="H53" s="34" t="n">
        <v>107</v>
      </c>
      <c r="I53" s="67">
        <f>IF(ISNUMBER(tblY11[[#This Row],[Avg KS2]]),IFERROR(VLOOKUP(ROUND(STANDARDIZE(tblY11[[#This Row],[Avg KS2]],AVERAGE(tblY11[[Avg KS2]]),_xlfn.STDEV.P(tblY11[[Avg KS2]])),9),_Stanine,2),5),"")</f>
        <v>6</v>
      </c>
      <c r="J53" s="66" t="inlineStr">
        <is>
          <t>11S/Sc2</t>
        </is>
      </c>
      <c r="K53" s="67">
        <f>IF(tblY11[[#This Row],[Preferred Last name]]="","",COUNTIFS($N$1:$ZZ$1,"*"&amp;CHAR(10)&amp;"Stanine",$N53:$ZZ53,"&gt;=1"))</f>
        <v>5</v>
      </c>
      <c r="L53" s="68">
        <f>IFERROR(AVERAGEIF($N$1:$ZZ$1,"*"&amp;CHAR(10)&amp;"Stanine",$N53:$ZZ53),"")</f>
        <v>5</v>
      </c>
      <c r="M53" s="69">
        <f>IF(AND(ISNUMBER(tblY11[[#This Row],[Mean Stanine]]),ISNUMBER(tblY11[[#This Row],[Avg KS2 Band]]),ISNUMBER(SlopeY11)),tblY11[[#This Row],[Mean Stanine]]-(InterceptY11+SlopeY11*tblY11[[#This Row],[Avg KS2 Band]]),"")</f>
        <v>-0.701562049062049</v>
      </c>
      <c r="N53" s="66" t="n">
        <v>23</v>
      </c>
      <c r="O53" s="67">
        <f>IF(ISNUMBER(tblY11[[#This Row],[4B05 - Homeostasis
Raw Score]]),IFERROR(VLOOKUP(ROUND(STANDARDIZE(tblY11[[#This Row],[4B05 - Homeostasis
Raw Score]],AVERAGE(tblY11[[4B05 - Homeostasis
Raw Score]]),_xlfn.STDEV.P(tblY11[[4B05 - Homeostasis
Raw Score]])),9),_Stanine,2),5),"")</f>
        <v>6</v>
      </c>
      <c r="P53" s="66" t="n">
        <v>11</v>
      </c>
      <c r="Q53" s="67">
        <f>IF(ISNUMBER(tblY11[[#This Row],[4C09 - Organic Chemistry
Raw Score]]),IFERROR(VLOOKUP(ROUND(STANDARDIZE(tblY11[[#This Row],[4C09 - Organic Chemistry
Raw Score]],AVERAGE(tblY11[[4C09 - Organic Chemistry
Raw Score]]),_xlfn.STDEV.P(tblY11[[4C09 - Organic Chemistry
Raw Score]])),9),_Stanine,2),5),"")</f>
        <v>4</v>
      </c>
      <c r="R53" s="66" t="n">
        <v>22</v>
      </c>
      <c r="S53" s="67">
        <f>IF(ISNUMBER(tblY11[[#This Row],[4P06 - Waves
Raw Score]]),IFERROR(VLOOKUP(ROUND(STANDARDIZE(tblY11[[#This Row],[4P06 - Waves
Raw Score]],AVERAGE(tblY11[[4P06 - Waves
Raw Score]]),_xlfn.STDEV.P(tblY11[[4P06 - Waves
Raw Score]])),9),_Stanine,2),5),"")</f>
        <v>5</v>
      </c>
      <c r="T53" s="66" t="inlineStr">
        <is>
          <t>A</t>
        </is>
      </c>
      <c r="U53" s="67" t="str">
        <f>IF(ISNUMBER(tblY11[[#This Row],[4B06 - Inheritance
Raw Score]]),IFERROR(VLOOKUP(ROUND(STANDARDIZE(tblY11[[#This Row],[4B06 - Inheritance
Raw Score]],AVERAGE(tblY11[[4B06 - Inheritance
Raw Score]]),_xlfn.STDEV.P(tblY11[[4B06 - Inheritance
Raw Score]])),9),_Stanine,2),5),"")</f>
        <v/>
      </c>
      <c r="V53" s="66" t="n">
        <v>14</v>
      </c>
      <c r="W53" s="67">
        <f>IF(ISNUMBER(tblY11[[#This Row],[4C10 - Chemical Analysis
Raw Score]]),IFERROR(VLOOKUP(ROUND(STANDARDIZE(tblY11[[#This Row],[4C10 - Chemical Analysis
Raw Score]],AVERAGE(tblY11[[4C10 - Chemical Analysis
Raw Score]]),_xlfn.STDEV.P(tblY11[[4C10 - Chemical Analysis
Raw Score]])),9),_Stanine,2),5),"")</f>
        <v>5</v>
      </c>
      <c r="X53" s="66" t="n">
        <v>14</v>
      </c>
      <c r="Y53" s="67">
        <f>IF(ISNUMBER(tblY11[[#This Row],[4P07 - Magnetism
Raw Score]]),IFERROR(VLOOKUP(ROUND(STANDARDIZE(tblY11[[#This Row],[4P07 - Magnetism
Raw Score]],AVERAGE(tblY11[[4P07 - Magnetism
Raw Score]]),_xlfn.STDEV.P(tblY11[[4P07 - Magnetism
Raw Score]])),9),_Stanine,2),5),"")</f>
        <v>5</v>
      </c>
    </row>
    <row r="54">
      <c r="A54" s="65" t="inlineStr">
        <is>
          <t>X909065304882</t>
        </is>
      </c>
      <c r="B54" s="65" t="inlineStr">
        <is>
          <t>Williams</t>
        </is>
      </c>
      <c r="C54" s="65" t="inlineStr">
        <is>
          <t>Sophie</t>
        </is>
      </c>
      <c r="D54" s="66" t="inlineStr">
        <is>
          <t>M</t>
        </is>
      </c>
      <c r="E54" s="66" t="n"/>
      <c r="F54" s="66" t="inlineStr">
        <is>
          <t>N</t>
        </is>
      </c>
      <c r="G54" s="34" t="n">
        <v>100</v>
      </c>
      <c r="H54" s="34" t="n">
        <v>113.5</v>
      </c>
      <c r="I54" s="67">
        <f>IF(ISNUMBER(tblY11[[#This Row],[Avg KS2]]),IFERROR(VLOOKUP(ROUND(STANDARDIZE(tblY11[[#This Row],[Avg KS2]],AVERAGE(tblY11[[Avg KS2]]),_xlfn.STDEV.P(tblY11[[Avg KS2]])),9),_Stanine,2),5),"")</f>
        <v>8</v>
      </c>
      <c r="J54" s="66" t="inlineStr">
        <is>
          <t>11S/Sc2</t>
        </is>
      </c>
      <c r="K54" s="67">
        <f>IF(tblY11[[#This Row],[Preferred Last name]]="","",COUNTIFS($N$1:$ZZ$1,"*"&amp;CHAR(10)&amp;"Stanine",$N54:$ZZ54,"&gt;=1"))</f>
        <v>6</v>
      </c>
      <c r="L54" s="68">
        <f>IFERROR(AVERAGEIF($N$1:$ZZ$1,"*"&amp;CHAR(10)&amp;"Stanine",$N54:$ZZ54),"")</f>
        <v>5.66666666666667</v>
      </c>
      <c r="M54" s="69">
        <f>IF(AND(ISNUMBER(tblY11[[#This Row],[Mean Stanine]]),ISNUMBER(tblY11[[#This Row],[Avg KS2 Band]]),ISNUMBER(SlopeY11)),tblY11[[#This Row],[Mean Stanine]]-(InterceptY11+SlopeY11*tblY11[[#This Row],[Avg KS2 Band]]),"")</f>
        <v>-1.53262265512265</v>
      </c>
      <c r="N54" s="66" t="n">
        <v>26</v>
      </c>
      <c r="O54" s="67">
        <f>IF(ISNUMBER(tblY11[[#This Row],[4B05 - Homeostasis
Raw Score]]),IFERROR(VLOOKUP(ROUND(STANDARDIZE(tblY11[[#This Row],[4B05 - Homeostasis
Raw Score]],AVERAGE(tblY11[[4B05 - Homeostasis
Raw Score]]),_xlfn.STDEV.P(tblY11[[4B05 - Homeostasis
Raw Score]])),9),_Stanine,2),5),"")</f>
        <v>6</v>
      </c>
      <c r="P54" s="66" t="n">
        <v>22</v>
      </c>
      <c r="Q54" s="67">
        <f>IF(ISNUMBER(tblY11[[#This Row],[4C09 - Organic Chemistry
Raw Score]]),IFERROR(VLOOKUP(ROUND(STANDARDIZE(tblY11[[#This Row],[4C09 - Organic Chemistry
Raw Score]],AVERAGE(tblY11[[4C09 - Organic Chemistry
Raw Score]]),_xlfn.STDEV.P(tblY11[[4C09 - Organic Chemistry
Raw Score]])),9),_Stanine,2),5),"")</f>
        <v>7</v>
      </c>
      <c r="R54" s="66" t="n">
        <v>24</v>
      </c>
      <c r="S54" s="67">
        <f>IF(ISNUMBER(tblY11[[#This Row],[4P06 - Waves
Raw Score]]),IFERROR(VLOOKUP(ROUND(STANDARDIZE(tblY11[[#This Row],[4P06 - Waves
Raw Score]],AVERAGE(tblY11[[4P06 - Waves
Raw Score]]),_xlfn.STDEV.P(tblY11[[4P06 - Waves
Raw Score]])),9),_Stanine,2),5),"")</f>
        <v>6</v>
      </c>
      <c r="T54" s="66" t="n">
        <v>21</v>
      </c>
      <c r="U54" s="67">
        <f>IF(ISNUMBER(tblY11[[#This Row],[4B06 - Inheritance
Raw Score]]),IFERROR(VLOOKUP(ROUND(STANDARDIZE(tblY11[[#This Row],[4B06 - Inheritance
Raw Score]],AVERAGE(tblY11[[4B06 - Inheritance
Raw Score]]),_xlfn.STDEV.P(tblY11[[4B06 - Inheritance
Raw Score]])),9),_Stanine,2),5),"")</f>
        <v>5</v>
      </c>
      <c r="V54" s="66" t="n">
        <v>18</v>
      </c>
      <c r="W54" s="67">
        <f>IF(ISNUMBER(tblY11[[#This Row],[4C10 - Chemical Analysis
Raw Score]]),IFERROR(VLOOKUP(ROUND(STANDARDIZE(tblY11[[#This Row],[4C10 - Chemical Analysis
Raw Score]],AVERAGE(tblY11[[4C10 - Chemical Analysis
Raw Score]]),_xlfn.STDEV.P(tblY11[[4C10 - Chemical Analysis
Raw Score]])),9),_Stanine,2),5),"")</f>
        <v>6</v>
      </c>
      <c r="X54" s="66" t="n">
        <v>13</v>
      </c>
      <c r="Y54" s="67">
        <f>IF(ISNUMBER(tblY11[[#This Row],[4P07 - Magnetism
Raw Score]]),IFERROR(VLOOKUP(ROUND(STANDARDIZE(tblY11[[#This Row],[4P07 - Magnetism
Raw Score]],AVERAGE(tblY11[[4P07 - Magnetism
Raw Score]]),_xlfn.STDEV.P(tblY11[[4P07 - Magnetism
Raw Score]])),9),_Stanine,2),5),"")</f>
        <v>4</v>
      </c>
    </row>
    <row r="55">
      <c r="A55" s="65" t="inlineStr">
        <is>
          <t>X909771516637</t>
        </is>
      </c>
      <c r="B55" s="65" t="inlineStr">
        <is>
          <t>Wright</t>
        </is>
      </c>
      <c r="C55" s="65" t="inlineStr">
        <is>
          <t>Chidi</t>
        </is>
      </c>
      <c r="D55" s="66" t="inlineStr">
        <is>
          <t>M</t>
        </is>
      </c>
      <c r="E55" s="66" t="inlineStr">
        <is>
          <t>N</t>
        </is>
      </c>
      <c r="F55" s="66" t="inlineStr">
        <is>
          <t>N</t>
        </is>
      </c>
      <c r="G55" s="34" t="n">
        <v>100</v>
      </c>
      <c r="H55" s="34" t="n">
        <v>113.5</v>
      </c>
      <c r="I55" s="67">
        <f>IF(ISNUMBER(tblY11[[#This Row],[Avg KS2]]),IFERROR(VLOOKUP(ROUND(STANDARDIZE(tblY11[[#This Row],[Avg KS2]],AVERAGE(tblY11[[Avg KS2]]),_xlfn.STDEV.P(tblY11[[Avg KS2]])),9),_Stanine,2),5),"")</f>
        <v>8</v>
      </c>
      <c r="J55" s="66" t="inlineStr">
        <is>
          <t>11S/Sc2</t>
        </is>
      </c>
      <c r="K55" s="67">
        <f>IF(tblY11[[#This Row],[Preferred Last name]]="","",COUNTIFS($N$1:$ZZ$1,"*"&amp;CHAR(10)&amp;"Stanine",$N55:$ZZ55,"&gt;=1"))</f>
        <v>6</v>
      </c>
      <c r="L55" s="68">
        <f>IFERROR(AVERAGEIF($N$1:$ZZ$1,"*"&amp;CHAR(10)&amp;"Stanine",$N55:$ZZ55),"")</f>
        <v>6.83333333333333</v>
      </c>
      <c r="M55" s="69">
        <f>IF(AND(ISNUMBER(tblY11[[#This Row],[Mean Stanine]]),ISNUMBER(tblY11[[#This Row],[Avg KS2 Band]]),ISNUMBER(SlopeY11)),tblY11[[#This Row],[Mean Stanine]]-(InterceptY11+SlopeY11*tblY11[[#This Row],[Avg KS2 Band]]),"")</f>
        <v>-0.365955988455989</v>
      </c>
      <c r="N55" s="66" t="n">
        <v>27</v>
      </c>
      <c r="O55" s="67">
        <f>IF(ISNUMBER(tblY11[[#This Row],[4B05 - Homeostasis
Raw Score]]),IFERROR(VLOOKUP(ROUND(STANDARDIZE(tblY11[[#This Row],[4B05 - Homeostasis
Raw Score]],AVERAGE(tblY11[[4B05 - Homeostasis
Raw Score]]),_xlfn.STDEV.P(tblY11[[4B05 - Homeostasis
Raw Score]])),9),_Stanine,2),5),"")</f>
        <v>6</v>
      </c>
      <c r="P55" s="66" t="n">
        <v>24</v>
      </c>
      <c r="Q55" s="67">
        <f>IF(ISNUMBER(tblY11[[#This Row],[4C09 - Organic Chemistry
Raw Score]]),IFERROR(VLOOKUP(ROUND(STANDARDIZE(tblY11[[#This Row],[4C09 - Organic Chemistry
Raw Score]],AVERAGE(tblY11[[4C09 - Organic Chemistry
Raw Score]]),_xlfn.STDEV.P(tblY11[[4C09 - Organic Chemistry
Raw Score]])),9),_Stanine,2),5),"")</f>
        <v>7</v>
      </c>
      <c r="R55" s="66" t="n">
        <v>31</v>
      </c>
      <c r="S55" s="67">
        <f>IF(ISNUMBER(tblY11[[#This Row],[4P06 - Waves
Raw Score]]),IFERROR(VLOOKUP(ROUND(STANDARDIZE(tblY11[[#This Row],[4P06 - Waves
Raw Score]],AVERAGE(tblY11[[4P06 - Waves
Raw Score]]),_xlfn.STDEV.P(tblY11[[4P06 - Waves
Raw Score]])),9),_Stanine,2),5),"")</f>
        <v>7</v>
      </c>
      <c r="T55" s="66" t="n">
        <v>29</v>
      </c>
      <c r="U55" s="67">
        <f>IF(ISNUMBER(tblY11[[#This Row],[4B06 - Inheritance
Raw Score]]),IFERROR(VLOOKUP(ROUND(STANDARDIZE(tblY11[[#This Row],[4B06 - Inheritance
Raw Score]],AVERAGE(tblY11[[4B06 - Inheritance
Raw Score]]),_xlfn.STDEV.P(tblY11[[4B06 - Inheritance
Raw Score]])),9),_Stanine,2),5),"")</f>
        <v>7</v>
      </c>
      <c r="V55" s="66" t="n">
        <v>24</v>
      </c>
      <c r="W55" s="67">
        <f>IF(ISNUMBER(tblY11[[#This Row],[4C10 - Chemical Analysis
Raw Score]]),IFERROR(VLOOKUP(ROUND(STANDARDIZE(tblY11[[#This Row],[4C10 - Chemical Analysis
Raw Score]],AVERAGE(tblY11[[4C10 - Chemical Analysis
Raw Score]]),_xlfn.STDEV.P(tblY11[[4C10 - Chemical Analysis
Raw Score]])),9),_Stanine,2),5),"")</f>
        <v>8</v>
      </c>
      <c r="X55" s="66" t="n">
        <v>20</v>
      </c>
      <c r="Y55" s="67">
        <f>IF(ISNUMBER(tblY11[[#This Row],[4P07 - Magnetism
Raw Score]]),IFERROR(VLOOKUP(ROUND(STANDARDIZE(tblY11[[#This Row],[4P07 - Magnetism
Raw Score]],AVERAGE(tblY11[[4P07 - Magnetism
Raw Score]]),_xlfn.STDEV.P(tblY11[[4P07 - Magnetism
Raw Score]])),9),_Stanine,2),5),"")</f>
        <v>6</v>
      </c>
    </row>
    <row r="56">
      <c r="A56" s="65" t="inlineStr">
        <is>
          <t>X900358671002</t>
        </is>
      </c>
      <c r="B56" s="65" t="inlineStr">
        <is>
          <t>Cooper</t>
        </is>
      </c>
      <c r="C56" s="65" t="inlineStr">
        <is>
          <t>Sophie</t>
        </is>
      </c>
      <c r="D56" s="66" t="inlineStr">
        <is>
          <t>F</t>
        </is>
      </c>
      <c r="E56" s="66" t="inlineStr">
        <is>
          <t>N</t>
        </is>
      </c>
      <c r="F56" s="66" t="inlineStr">
        <is>
          <t>N</t>
        </is>
      </c>
      <c r="G56" s="34" t="n">
        <v>95.40000000000001</v>
      </c>
      <c r="H56" s="34" t="n">
        <v>92</v>
      </c>
      <c r="I56" s="67">
        <f>IF(ISNUMBER(tblY11[[#This Row],[Avg KS2]]),IFERROR(VLOOKUP(ROUND(STANDARDIZE(tblY11[[#This Row],[Avg KS2]],AVERAGE(tblY11[[Avg KS2]]),_xlfn.STDEV.P(tblY11[[Avg KS2]])),9),_Stanine,2),5),"")</f>
        <v>1</v>
      </c>
      <c r="J56" s="66" t="inlineStr">
        <is>
          <t>11S/Sc3</t>
        </is>
      </c>
      <c r="K56" s="67">
        <f>IF(tblY11[[#This Row],[Preferred Last name]]="","",COUNTIFS($N$1:$ZZ$1,"*"&amp;CHAR(10)&amp;"Stanine",$N56:$ZZ56,"&gt;=1"))</f>
        <v>5</v>
      </c>
      <c r="L56" s="68">
        <f>IFERROR(AVERAGEIF($N$1:$ZZ$1,"*"&amp;CHAR(10)&amp;"Stanine",$N56:$ZZ56),"")</f>
        <v>1.4</v>
      </c>
      <c r="M56" s="69">
        <f>IF(AND(ISNUMBER(tblY11[[#This Row],[Mean Stanine]]),ISNUMBER(tblY11[[#This Row],[Avg KS2 Band]]),ISNUMBER(SlopeY11)),tblY11[[#This Row],[Mean Stanine]]-(InterceptY11+SlopeY11*tblY11[[#This Row],[Avg KS2 Band]]),"")</f>
        <v>-0.557243867243867</v>
      </c>
      <c r="N56" s="66" t="n">
        <v>6</v>
      </c>
      <c r="O56" s="67">
        <f>IF(ISNUMBER(tblY11[[#This Row],[4B05 - Homeostasis
Raw Score]]),IFERROR(VLOOKUP(ROUND(STANDARDIZE(tblY11[[#This Row],[4B05 - Homeostasis
Raw Score]],AVERAGE(tblY11[[4B05 - Homeostasis
Raw Score]]),_xlfn.STDEV.P(tblY11[[4B05 - Homeostasis
Raw Score]])),9),_Stanine,2),5),"")</f>
        <v>2</v>
      </c>
      <c r="P56" s="66" t="n">
        <v>3</v>
      </c>
      <c r="Q56" s="67">
        <f>IF(ISNUMBER(tblY11[[#This Row],[4C09 - Organic Chemistry
Raw Score]]),IFERROR(VLOOKUP(ROUND(STANDARDIZE(tblY11[[#This Row],[4C09 - Organic Chemistry
Raw Score]],AVERAGE(tblY11[[4C09 - Organic Chemistry
Raw Score]]),_xlfn.STDEV.P(tblY11[[4C09 - Organic Chemistry
Raw Score]])),9),_Stanine,2),5),"")</f>
        <v>1</v>
      </c>
      <c r="R56" s="66" t="n">
        <v>6</v>
      </c>
      <c r="S56" s="67">
        <f>IF(ISNUMBER(tblY11[[#This Row],[4P06 - Waves
Raw Score]]),IFERROR(VLOOKUP(ROUND(STANDARDIZE(tblY11[[#This Row],[4P06 - Waves
Raw Score]],AVERAGE(tblY11[[4P06 - Waves
Raw Score]]),_xlfn.STDEV.P(tblY11[[4P06 - Waves
Raw Score]])),9),_Stanine,2),5),"")</f>
        <v>1</v>
      </c>
      <c r="T56" s="66" t="n">
        <v>5</v>
      </c>
      <c r="U56" s="67">
        <f>IF(ISNUMBER(tblY11[[#This Row],[4B06 - Inheritance
Raw Score]]),IFERROR(VLOOKUP(ROUND(STANDARDIZE(tblY11[[#This Row],[4B06 - Inheritance
Raw Score]],AVERAGE(tblY11[[4B06 - Inheritance
Raw Score]]),_xlfn.STDEV.P(tblY11[[4B06 - Inheritance
Raw Score]])),9),_Stanine,2),5),"")</f>
        <v>2</v>
      </c>
      <c r="V56" s="66" t="inlineStr">
        <is>
          <t>A</t>
        </is>
      </c>
      <c r="W56" s="67" t="str">
        <f>IF(ISNUMBER(tblY11[[#This Row],[4C10 - Chemical Analysis
Raw Score]]),IFERROR(VLOOKUP(ROUND(STANDARDIZE(tblY11[[#This Row],[4C10 - Chemical Analysis
Raw Score]],AVERAGE(tblY11[[4C10 - Chemical Analysis
Raw Score]]),_xlfn.STDEV.P(tblY11[[4C10 - Chemical Analysis
Raw Score]])),9),_Stanine,2),5),"")</f>
        <v/>
      </c>
      <c r="X56" s="66" t="n">
        <v>2</v>
      </c>
      <c r="Y56" s="67">
        <f>IF(ISNUMBER(tblY11[[#This Row],[4P07 - Magnetism
Raw Score]]),IFERROR(VLOOKUP(ROUND(STANDARDIZE(tblY11[[#This Row],[4P07 - Magnetism
Raw Score]],AVERAGE(tblY11[[4P07 - Magnetism
Raw Score]]),_xlfn.STDEV.P(tblY11[[4P07 - Magnetism
Raw Score]])),9),_Stanine,2),5),"")</f>
        <v>1</v>
      </c>
    </row>
    <row r="57">
      <c r="A57" s="65" t="inlineStr">
        <is>
          <t>X900827868774</t>
        </is>
      </c>
      <c r="B57" s="65" t="inlineStr">
        <is>
          <t>Edwards</t>
        </is>
      </c>
      <c r="C57" s="65" t="inlineStr">
        <is>
          <t>Oscar</t>
        </is>
      </c>
      <c r="D57" s="66" t="inlineStr">
        <is>
          <t>M</t>
        </is>
      </c>
      <c r="E57" s="66" t="inlineStr">
        <is>
          <t>N</t>
        </is>
      </c>
      <c r="F57" s="66" t="inlineStr">
        <is>
          <t>N</t>
        </is>
      </c>
      <c r="G57" s="34" t="n">
        <v>91.40000000000001</v>
      </c>
      <c r="H57" s="34" t="n">
        <v>99</v>
      </c>
      <c r="I57" s="67">
        <f>IF(ISNUMBER(tblY11[[#This Row],[Avg KS2]]),IFERROR(VLOOKUP(ROUND(STANDARDIZE(tblY11[[#This Row],[Avg KS2]],AVERAGE(tblY11[[Avg KS2]]),_xlfn.STDEV.P(tblY11[[Avg KS2]])),9),_Stanine,2),5),"")</f>
        <v>3</v>
      </c>
      <c r="J57" s="66" t="inlineStr">
        <is>
          <t>11S/Sc3</t>
        </is>
      </c>
      <c r="K57" s="67">
        <f>IF(tblY11[[#This Row],[Preferred Last name]]="","",COUNTIFS($N$1:$ZZ$1,"*"&amp;CHAR(10)&amp;"Stanine",$N57:$ZZ57,"&gt;=1"))</f>
        <v>6</v>
      </c>
      <c r="L57" s="68">
        <f>IFERROR(AVERAGEIF($N$1:$ZZ$1,"*"&amp;CHAR(10)&amp;"Stanine",$N57:$ZZ57),"")</f>
        <v>2.66666666666667</v>
      </c>
      <c r="M57" s="69">
        <f>IF(AND(ISNUMBER(tblY11[[#This Row],[Mean Stanine]]),ISNUMBER(tblY11[[#This Row],[Avg KS2 Band]]),ISNUMBER(SlopeY11)),tblY11[[#This Row],[Mean Stanine]]-(InterceptY11+SlopeY11*tblY11[[#This Row],[Avg KS2 Band]]),"")</f>
        <v>-0.788304473304473</v>
      </c>
      <c r="N57" s="66" t="n">
        <v>10</v>
      </c>
      <c r="O57" s="67">
        <f>IF(ISNUMBER(tblY11[[#This Row],[4B05 - Homeostasis
Raw Score]]),IFERROR(VLOOKUP(ROUND(STANDARDIZE(tblY11[[#This Row],[4B05 - Homeostasis
Raw Score]],AVERAGE(tblY11[[4B05 - Homeostasis
Raw Score]]),_xlfn.STDEV.P(tblY11[[4B05 - Homeostasis
Raw Score]])),9),_Stanine,2),5),"")</f>
        <v>2</v>
      </c>
      <c r="P57" s="66" t="n">
        <v>7</v>
      </c>
      <c r="Q57" s="67">
        <f>IF(ISNUMBER(tblY11[[#This Row],[4C09 - Organic Chemistry
Raw Score]]),IFERROR(VLOOKUP(ROUND(STANDARDIZE(tblY11[[#This Row],[4C09 - Organic Chemistry
Raw Score]],AVERAGE(tblY11[[4C09 - Organic Chemistry
Raw Score]]),_xlfn.STDEV.P(tblY11[[4C09 - Organic Chemistry
Raw Score]])),9),_Stanine,2),5),"")</f>
        <v>3</v>
      </c>
      <c r="R57" s="66" t="n">
        <v>12</v>
      </c>
      <c r="S57" s="67">
        <f>IF(ISNUMBER(tblY11[[#This Row],[4P06 - Waves
Raw Score]]),IFERROR(VLOOKUP(ROUND(STANDARDIZE(tblY11[[#This Row],[4P06 - Waves
Raw Score]],AVERAGE(tblY11[[4P06 - Waves
Raw Score]]),_xlfn.STDEV.P(tblY11[[4P06 - Waves
Raw Score]])),9),_Stanine,2),5),"")</f>
        <v>3</v>
      </c>
      <c r="T57" s="66" t="n">
        <v>6</v>
      </c>
      <c r="U57" s="67">
        <f>IF(ISNUMBER(tblY11[[#This Row],[4B06 - Inheritance
Raw Score]]),IFERROR(VLOOKUP(ROUND(STANDARDIZE(tblY11[[#This Row],[4B06 - Inheritance
Raw Score]],AVERAGE(tblY11[[4B06 - Inheritance
Raw Score]]),_xlfn.STDEV.P(tblY11[[4B06 - Inheritance
Raw Score]])),9),_Stanine,2),5),"")</f>
        <v>2</v>
      </c>
      <c r="V57" s="66" t="n">
        <v>7</v>
      </c>
      <c r="W57" s="67">
        <f>IF(ISNUMBER(tblY11[[#This Row],[4C10 - Chemical Analysis
Raw Score]]),IFERROR(VLOOKUP(ROUND(STANDARDIZE(tblY11[[#This Row],[4C10 - Chemical Analysis
Raw Score]],AVERAGE(tblY11[[4C10 - Chemical Analysis
Raw Score]]),_xlfn.STDEV.P(tblY11[[4C10 - Chemical Analysis
Raw Score]])),9),_Stanine,2),5),"")</f>
        <v>3</v>
      </c>
      <c r="X57" s="66" t="n">
        <v>7</v>
      </c>
      <c r="Y57" s="67">
        <f>IF(ISNUMBER(tblY11[[#This Row],[4P07 - Magnetism
Raw Score]]),IFERROR(VLOOKUP(ROUND(STANDARDIZE(tblY11[[#This Row],[4P07 - Magnetism
Raw Score]],AVERAGE(tblY11[[4P07 - Magnetism
Raw Score]]),_xlfn.STDEV.P(tblY11[[4P07 - Magnetism
Raw Score]])),9),_Stanine,2),5),"")</f>
        <v>3</v>
      </c>
    </row>
    <row r="58">
      <c r="A58" s="65" t="inlineStr">
        <is>
          <t>X907662594333</t>
        </is>
      </c>
      <c r="B58" s="65" t="inlineStr">
        <is>
          <t>Hall</t>
        </is>
      </c>
      <c r="C58" s="65" t="inlineStr">
        <is>
          <t>Chidi</t>
        </is>
      </c>
      <c r="D58" s="66" t="inlineStr">
        <is>
          <t>F</t>
        </is>
      </c>
      <c r="E58" s="66" t="inlineStr">
        <is>
          <t>N</t>
        </is>
      </c>
      <c r="F58" s="66" t="inlineStr">
        <is>
          <t>N</t>
        </is>
      </c>
      <c r="G58" s="34" t="n">
        <v>93.2</v>
      </c>
      <c r="H58" s="34" t="n">
        <v>107.5</v>
      </c>
      <c r="I58" s="67">
        <f>IF(ISNUMBER(tblY11[[#This Row],[Avg KS2]]),IFERROR(VLOOKUP(ROUND(STANDARDIZE(tblY11[[#This Row],[Avg KS2]],AVERAGE(tblY11[[Avg KS2]]),_xlfn.STDEV.P(tblY11[[Avg KS2]])),9),_Stanine,2),5),"")</f>
        <v>6</v>
      </c>
      <c r="J58" s="66" t="inlineStr">
        <is>
          <t>11S/Sc3</t>
        </is>
      </c>
      <c r="K58" s="67">
        <f>IF(tblY11[[#This Row],[Preferred Last name]]="","",COUNTIFS($N$1:$ZZ$1,"*"&amp;CHAR(10)&amp;"Stanine",$N58:$ZZ58,"&gt;=1"))</f>
        <v>6</v>
      </c>
      <c r="L58" s="68">
        <f>IFERROR(AVERAGEIF($N$1:$ZZ$1,"*"&amp;CHAR(10)&amp;"Stanine",$N58:$ZZ58),"")</f>
        <v>5.16666666666667</v>
      </c>
      <c r="M58" s="69">
        <f>IF(AND(ISNUMBER(tblY11[[#This Row],[Mean Stanine]]),ISNUMBER(tblY11[[#This Row],[Avg KS2 Band]]),ISNUMBER(SlopeY11)),tblY11[[#This Row],[Mean Stanine]]-(InterceptY11+SlopeY11*tblY11[[#This Row],[Avg KS2 Band]]),"")</f>
        <v>-0.534895382395382</v>
      </c>
      <c r="N58" s="66" t="n">
        <v>22</v>
      </c>
      <c r="O58" s="67">
        <f>IF(ISNUMBER(tblY11[[#This Row],[4B05 - Homeostasis
Raw Score]]),IFERROR(VLOOKUP(ROUND(STANDARDIZE(tblY11[[#This Row],[4B05 - Homeostasis
Raw Score]],AVERAGE(tblY11[[4B05 - Homeostasis
Raw Score]]),_xlfn.STDEV.P(tblY11[[4B05 - Homeostasis
Raw Score]])),9),_Stanine,2),5),"")</f>
        <v>5</v>
      </c>
      <c r="P58" s="66" t="n">
        <v>17</v>
      </c>
      <c r="Q58" s="67">
        <f>IF(ISNUMBER(tblY11[[#This Row],[4C09 - Organic Chemistry
Raw Score]]),IFERROR(VLOOKUP(ROUND(STANDARDIZE(tblY11[[#This Row],[4C09 - Organic Chemistry
Raw Score]],AVERAGE(tblY11[[4C09 - Organic Chemistry
Raw Score]]),_xlfn.STDEV.P(tblY11[[4C09 - Organic Chemistry
Raw Score]])),9),_Stanine,2),5),"")</f>
        <v>5</v>
      </c>
      <c r="R58" s="66" t="n">
        <v>23</v>
      </c>
      <c r="S58" s="67">
        <f>IF(ISNUMBER(tblY11[[#This Row],[4P06 - Waves
Raw Score]]),IFERROR(VLOOKUP(ROUND(STANDARDIZE(tblY11[[#This Row],[4P06 - Waves
Raw Score]],AVERAGE(tblY11[[4P06 - Waves
Raw Score]]),_xlfn.STDEV.P(tblY11[[4P06 - Waves
Raw Score]])),9),_Stanine,2),5),"")</f>
        <v>5</v>
      </c>
      <c r="T58" s="66" t="n">
        <v>17</v>
      </c>
      <c r="U58" s="67">
        <f>IF(ISNUMBER(tblY11[[#This Row],[4B06 - Inheritance
Raw Score]]),IFERROR(VLOOKUP(ROUND(STANDARDIZE(tblY11[[#This Row],[4B06 - Inheritance
Raw Score]],AVERAGE(tblY11[[4B06 - Inheritance
Raw Score]]),_xlfn.STDEV.P(tblY11[[4B06 - Inheritance
Raw Score]])),9),_Stanine,2),5),"")</f>
        <v>5</v>
      </c>
      <c r="V58" s="66" t="n">
        <v>19</v>
      </c>
      <c r="W58" s="67">
        <f>IF(ISNUMBER(tblY11[[#This Row],[4C10 - Chemical Analysis
Raw Score]]),IFERROR(VLOOKUP(ROUND(STANDARDIZE(tblY11[[#This Row],[4C10 - Chemical Analysis
Raw Score]],AVERAGE(tblY11[[4C10 - Chemical Analysis
Raw Score]]),_xlfn.STDEV.P(tblY11[[4C10 - Chemical Analysis
Raw Score]])),9),_Stanine,2),5),"")</f>
        <v>6</v>
      </c>
      <c r="X58" s="66" t="n">
        <v>14</v>
      </c>
      <c r="Y58" s="67">
        <f>IF(ISNUMBER(tblY11[[#This Row],[4P07 - Magnetism
Raw Score]]),IFERROR(VLOOKUP(ROUND(STANDARDIZE(tblY11[[#This Row],[4P07 - Magnetism
Raw Score]],AVERAGE(tblY11[[4P07 - Magnetism
Raw Score]]),_xlfn.STDEV.P(tblY11[[4P07 - Magnetism
Raw Score]])),9),_Stanine,2),5),"")</f>
        <v>5</v>
      </c>
    </row>
    <row r="59">
      <c r="A59" s="65" t="inlineStr">
        <is>
          <t>X906923019762</t>
        </is>
      </c>
      <c r="B59" s="65" t="inlineStr">
        <is>
          <t>Hall</t>
        </is>
      </c>
      <c r="C59" s="65" t="inlineStr">
        <is>
          <t>George</t>
        </is>
      </c>
      <c r="D59" s="66" t="inlineStr">
        <is>
          <t>M</t>
        </is>
      </c>
      <c r="E59" s="66" t="n"/>
      <c r="F59" s="66" t="inlineStr">
        <is>
          <t>N</t>
        </is>
      </c>
      <c r="G59" s="34" t="n">
        <v>74.59999999999999</v>
      </c>
      <c r="H59" s="34" t="n">
        <v>110.5</v>
      </c>
      <c r="I59" s="67">
        <f>IF(ISNUMBER(tblY11[[#This Row],[Avg KS2]]),IFERROR(VLOOKUP(ROUND(STANDARDIZE(tblY11[[#This Row],[Avg KS2]],AVERAGE(tblY11[[Avg KS2]]),_xlfn.STDEV.P(tblY11[[Avg KS2]])),9),_Stanine,2),5),"")</f>
        <v>7</v>
      </c>
      <c r="J59" s="66" t="inlineStr">
        <is>
          <t>11S/Sc3</t>
        </is>
      </c>
      <c r="K59" s="67">
        <f>IF(tblY11[[#This Row],[Preferred Last name]]="","",COUNTIFS($N$1:$ZZ$1,"*"&amp;CHAR(10)&amp;"Stanine",$N59:$ZZ59,"&gt;=1"))</f>
        <v>6</v>
      </c>
      <c r="L59" s="68">
        <f>IFERROR(AVERAGEIF($N$1:$ZZ$1,"*"&amp;CHAR(10)&amp;"Stanine",$N59:$ZZ59),"")</f>
        <v>6.16666666666667</v>
      </c>
      <c r="M59" s="69">
        <f>IF(AND(ISNUMBER(tblY11[[#This Row],[Mean Stanine]]),ISNUMBER(tblY11[[#This Row],[Avg KS2 Band]]),ISNUMBER(SlopeY11)),tblY11[[#This Row],[Mean Stanine]]-(InterceptY11+SlopeY11*tblY11[[#This Row],[Avg KS2 Band]]),"")</f>
        <v>-0.283759018759018</v>
      </c>
      <c r="N59" s="66" t="n">
        <v>29</v>
      </c>
      <c r="O59" s="67">
        <f>IF(ISNUMBER(tblY11[[#This Row],[4B05 - Homeostasis
Raw Score]]),IFERROR(VLOOKUP(ROUND(STANDARDIZE(tblY11[[#This Row],[4B05 - Homeostasis
Raw Score]],AVERAGE(tblY11[[4B05 - Homeostasis
Raw Score]]),_xlfn.STDEV.P(tblY11[[4B05 - Homeostasis
Raw Score]])),9),_Stanine,2),5),"")</f>
        <v>7</v>
      </c>
      <c r="P59" s="66" t="n">
        <v>16</v>
      </c>
      <c r="Q59" s="67">
        <f>IF(ISNUMBER(tblY11[[#This Row],[4C09 - Organic Chemistry
Raw Score]]),IFERROR(VLOOKUP(ROUND(STANDARDIZE(tblY11[[#This Row],[4C09 - Organic Chemistry
Raw Score]],AVERAGE(tblY11[[4C09 - Organic Chemistry
Raw Score]]),_xlfn.STDEV.P(tblY11[[4C09 - Organic Chemistry
Raw Score]])),9),_Stanine,2),5),"")</f>
        <v>5</v>
      </c>
      <c r="R59" s="66" t="n">
        <v>29</v>
      </c>
      <c r="S59" s="67">
        <f>IF(ISNUMBER(tblY11[[#This Row],[4P06 - Waves
Raw Score]]),IFERROR(VLOOKUP(ROUND(STANDARDIZE(tblY11[[#This Row],[4P06 - Waves
Raw Score]],AVERAGE(tblY11[[4P06 - Waves
Raw Score]]),_xlfn.STDEV.P(tblY11[[4P06 - Waves
Raw Score]])),9),_Stanine,2),5),"")</f>
        <v>7</v>
      </c>
      <c r="T59" s="66" t="n">
        <v>20</v>
      </c>
      <c r="U59" s="67">
        <f>IF(ISNUMBER(tblY11[[#This Row],[4B06 - Inheritance
Raw Score]]),IFERROR(VLOOKUP(ROUND(STANDARDIZE(tblY11[[#This Row],[4B06 - Inheritance
Raw Score]],AVERAGE(tblY11[[4B06 - Inheritance
Raw Score]]),_xlfn.STDEV.P(tblY11[[4B06 - Inheritance
Raw Score]])),9),_Stanine,2),5),"")</f>
        <v>5</v>
      </c>
      <c r="V59" s="66" t="n">
        <v>17</v>
      </c>
      <c r="W59" s="67">
        <f>IF(ISNUMBER(tblY11[[#This Row],[4C10 - Chemical Analysis
Raw Score]]),IFERROR(VLOOKUP(ROUND(STANDARDIZE(tblY11[[#This Row],[4C10 - Chemical Analysis
Raw Score]],AVERAGE(tblY11[[4C10 - Chemical Analysis
Raw Score]]),_xlfn.STDEV.P(tblY11[[4C10 - Chemical Analysis
Raw Score]])),9),_Stanine,2),5),"")</f>
        <v>6</v>
      </c>
      <c r="X59" s="66" t="n">
        <v>22</v>
      </c>
      <c r="Y59" s="67">
        <f>IF(ISNUMBER(tblY11[[#This Row],[4P07 - Magnetism
Raw Score]]),IFERROR(VLOOKUP(ROUND(STANDARDIZE(tblY11[[#This Row],[4P07 - Magnetism
Raw Score]],AVERAGE(tblY11[[4P07 - Magnetism
Raw Score]]),_xlfn.STDEV.P(tblY11[[4P07 - Magnetism
Raw Score]])),9),_Stanine,2),5),"")</f>
        <v>7</v>
      </c>
    </row>
    <row r="60">
      <c r="A60" s="65" t="inlineStr">
        <is>
          <t>X903457819127</t>
        </is>
      </c>
      <c r="B60" s="65" t="inlineStr">
        <is>
          <t>Jackson</t>
        </is>
      </c>
      <c r="C60" s="65" t="inlineStr">
        <is>
          <t>Ella</t>
        </is>
      </c>
      <c r="D60" s="66" t="inlineStr">
        <is>
          <t>F</t>
        </is>
      </c>
      <c r="E60" s="66" t="inlineStr">
        <is>
          <t>N</t>
        </is>
      </c>
      <c r="F60" s="66" t="inlineStr">
        <is>
          <t>Y</t>
        </is>
      </c>
      <c r="G60" s="34" t="n">
        <v>96.2</v>
      </c>
      <c r="H60" s="34" t="n">
        <v>113</v>
      </c>
      <c r="I60" s="67">
        <f>IF(ISNUMBER(tblY11[[#This Row],[Avg KS2]]),IFERROR(VLOOKUP(ROUND(STANDARDIZE(tblY11[[#This Row],[Avg KS2]],AVERAGE(tblY11[[Avg KS2]]),_xlfn.STDEV.P(tblY11[[Avg KS2]])),9),_Stanine,2),5),"")</f>
        <v>8</v>
      </c>
      <c r="J60" s="66" t="inlineStr">
        <is>
          <t>11S/Sc3</t>
        </is>
      </c>
      <c r="K60" s="67">
        <f>IF(tblY11[[#This Row],[Preferred Last name]]="","",COUNTIFS($N$1:$ZZ$1,"*"&amp;CHAR(10)&amp;"Stanine",$N60:$ZZ60,"&gt;=1"))</f>
        <v>6</v>
      </c>
      <c r="L60" s="68">
        <f>IFERROR(AVERAGEIF($N$1:$ZZ$1,"*"&amp;CHAR(10)&amp;"Stanine",$N60:$ZZ60),"")</f>
        <v>7.33333333333333</v>
      </c>
      <c r="M60" s="69">
        <f>IF(AND(ISNUMBER(tblY11[[#This Row],[Mean Stanine]]),ISNUMBER(tblY11[[#This Row],[Avg KS2 Band]]),ISNUMBER(SlopeY11)),tblY11[[#This Row],[Mean Stanine]]-(InterceptY11+SlopeY11*tblY11[[#This Row],[Avg KS2 Band]]),"")</f>
        <v>0.134044011544011</v>
      </c>
      <c r="N60" s="66" t="n">
        <v>29</v>
      </c>
      <c r="O60" s="67">
        <f>IF(ISNUMBER(tblY11[[#This Row],[4B05 - Homeostasis
Raw Score]]),IFERROR(VLOOKUP(ROUND(STANDARDIZE(tblY11[[#This Row],[4B05 - Homeostasis
Raw Score]],AVERAGE(tblY11[[4B05 - Homeostasis
Raw Score]]),_xlfn.STDEV.P(tblY11[[4B05 - Homeostasis
Raw Score]])),9),_Stanine,2),5),"")</f>
        <v>7</v>
      </c>
      <c r="P60" s="66" t="n">
        <v>25</v>
      </c>
      <c r="Q60" s="67">
        <f>IF(ISNUMBER(tblY11[[#This Row],[4C09 - Organic Chemistry
Raw Score]]),IFERROR(VLOOKUP(ROUND(STANDARDIZE(tblY11[[#This Row],[4C09 - Organic Chemistry
Raw Score]],AVERAGE(tblY11[[4C09 - Organic Chemistry
Raw Score]]),_xlfn.STDEV.P(tblY11[[4C09 - Organic Chemistry
Raw Score]])),9),_Stanine,2),5),"")</f>
        <v>7</v>
      </c>
      <c r="R60" s="66" t="n">
        <v>32</v>
      </c>
      <c r="S60" s="67">
        <f>IF(ISNUMBER(tblY11[[#This Row],[4P06 - Waves
Raw Score]]),IFERROR(VLOOKUP(ROUND(STANDARDIZE(tblY11[[#This Row],[4P06 - Waves
Raw Score]],AVERAGE(tblY11[[4P06 - Waves
Raw Score]]),_xlfn.STDEV.P(tblY11[[4P06 - Waves
Raw Score]])),9),_Stanine,2),5),"")</f>
        <v>8</v>
      </c>
      <c r="T60" s="66" t="n">
        <v>34</v>
      </c>
      <c r="U60" s="67">
        <f>IF(ISNUMBER(tblY11[[#This Row],[4B06 - Inheritance
Raw Score]]),IFERROR(VLOOKUP(ROUND(STANDARDIZE(tblY11[[#This Row],[4B06 - Inheritance
Raw Score]],AVERAGE(tblY11[[4B06 - Inheritance
Raw Score]]),_xlfn.STDEV.P(tblY11[[4B06 - Inheritance
Raw Score]])),9),_Stanine,2),5),"")</f>
        <v>8</v>
      </c>
      <c r="V60" s="66" t="n">
        <v>19</v>
      </c>
      <c r="W60" s="67">
        <f>IF(ISNUMBER(tblY11[[#This Row],[4C10 - Chemical Analysis
Raw Score]]),IFERROR(VLOOKUP(ROUND(STANDARDIZE(tblY11[[#This Row],[4C10 - Chemical Analysis
Raw Score]],AVERAGE(tblY11[[4C10 - Chemical Analysis
Raw Score]]),_xlfn.STDEV.P(tblY11[[4C10 - Chemical Analysis
Raw Score]])),9),_Stanine,2),5),"")</f>
        <v>6</v>
      </c>
      <c r="X60" s="66" t="n">
        <v>26</v>
      </c>
      <c r="Y60" s="67">
        <f>IF(ISNUMBER(tblY11[[#This Row],[4P07 - Magnetism
Raw Score]]),IFERROR(VLOOKUP(ROUND(STANDARDIZE(tblY11[[#This Row],[4P07 - Magnetism
Raw Score]],AVERAGE(tblY11[[4P07 - Magnetism
Raw Score]]),_xlfn.STDEV.P(tblY11[[4P07 - Magnetism
Raw Score]])),9),_Stanine,2),5),"")</f>
        <v>8</v>
      </c>
    </row>
    <row r="61">
      <c r="A61" s="65" t="inlineStr">
        <is>
          <t>X904618064567</t>
        </is>
      </c>
      <c r="B61" s="65" t="inlineStr">
        <is>
          <t>Jackson</t>
        </is>
      </c>
      <c r="C61" s="65" t="inlineStr">
        <is>
          <t>Theo</t>
        </is>
      </c>
      <c r="D61" s="66" t="inlineStr">
        <is>
          <t>M</t>
        </is>
      </c>
      <c r="E61" s="66" t="inlineStr">
        <is>
          <t>N</t>
        </is>
      </c>
      <c r="F61" s="66" t="inlineStr">
        <is>
          <t>Y</t>
        </is>
      </c>
      <c r="G61" s="34" t="n">
        <v>85.90000000000001</v>
      </c>
      <c r="H61" s="34" t="n">
        <v>108.5</v>
      </c>
      <c r="I61" s="67">
        <f>IF(ISNUMBER(tblY11[[#This Row],[Avg KS2]]),IFERROR(VLOOKUP(ROUND(STANDARDIZE(tblY11[[#This Row],[Avg KS2]],AVERAGE(tblY11[[Avg KS2]]),_xlfn.STDEV.P(tblY11[[Avg KS2]])),9),_Stanine,2),5),"")</f>
        <v>6</v>
      </c>
      <c r="J61" s="66" t="inlineStr">
        <is>
          <t>11S/Sc3</t>
        </is>
      </c>
      <c r="K61" s="67">
        <f>IF(tblY11[[#This Row],[Preferred Last name]]="","",COUNTIFS($N$1:$ZZ$1,"*"&amp;CHAR(10)&amp;"Stanine",$N61:$ZZ61,"&gt;=1"))</f>
        <v>6</v>
      </c>
      <c r="L61" s="68">
        <f>IFERROR(AVERAGEIF($N$1:$ZZ$1,"*"&amp;CHAR(10)&amp;"Stanine",$N61:$ZZ61),"")</f>
        <v>5.33333333333333</v>
      </c>
      <c r="M61" s="69">
        <f>IF(AND(ISNUMBER(tblY11[[#This Row],[Mean Stanine]]),ISNUMBER(tblY11[[#This Row],[Avg KS2 Band]]),ISNUMBER(SlopeY11)),tblY11[[#This Row],[Mean Stanine]]-(InterceptY11+SlopeY11*tblY11[[#This Row],[Avg KS2 Band]]),"")</f>
        <v>-0.368228715728716</v>
      </c>
      <c r="N61" s="66" t="n">
        <v>24</v>
      </c>
      <c r="O61" s="67">
        <f>IF(ISNUMBER(tblY11[[#This Row],[4B05 - Homeostasis
Raw Score]]),IFERROR(VLOOKUP(ROUND(STANDARDIZE(tblY11[[#This Row],[4B05 - Homeostasis
Raw Score]],AVERAGE(tblY11[[4B05 - Homeostasis
Raw Score]]),_xlfn.STDEV.P(tblY11[[4B05 - Homeostasis
Raw Score]])),9),_Stanine,2),5),"")</f>
        <v>6</v>
      </c>
      <c r="P61" s="66" t="n">
        <v>17</v>
      </c>
      <c r="Q61" s="67">
        <f>IF(ISNUMBER(tblY11[[#This Row],[4C09 - Organic Chemistry
Raw Score]]),IFERROR(VLOOKUP(ROUND(STANDARDIZE(tblY11[[#This Row],[4C09 - Organic Chemistry
Raw Score]],AVERAGE(tblY11[[4C09 - Organic Chemistry
Raw Score]]),_xlfn.STDEV.P(tblY11[[4C09 - Organic Chemistry
Raw Score]])),9),_Stanine,2),5),"")</f>
        <v>5</v>
      </c>
      <c r="R61" s="66" t="n">
        <v>22</v>
      </c>
      <c r="S61" s="67">
        <f>IF(ISNUMBER(tblY11[[#This Row],[4P06 - Waves
Raw Score]]),IFERROR(VLOOKUP(ROUND(STANDARDIZE(tblY11[[#This Row],[4P06 - Waves
Raw Score]],AVERAGE(tblY11[[4P06 - Waves
Raw Score]]),_xlfn.STDEV.P(tblY11[[4P06 - Waves
Raw Score]])),9),_Stanine,2),5),"")</f>
        <v>5</v>
      </c>
      <c r="T61" s="66" t="n">
        <v>22</v>
      </c>
      <c r="U61" s="67">
        <f>IF(ISNUMBER(tblY11[[#This Row],[4B06 - Inheritance
Raw Score]]),IFERROR(VLOOKUP(ROUND(STANDARDIZE(tblY11[[#This Row],[4B06 - Inheritance
Raw Score]],AVERAGE(tblY11[[4B06 - Inheritance
Raw Score]]),_xlfn.STDEV.P(tblY11[[4B06 - Inheritance
Raw Score]])),9),_Stanine,2),5),"")</f>
        <v>6</v>
      </c>
      <c r="V61" s="66" t="n">
        <v>15</v>
      </c>
      <c r="W61" s="67">
        <f>IF(ISNUMBER(tblY11[[#This Row],[4C10 - Chemical Analysis
Raw Score]]),IFERROR(VLOOKUP(ROUND(STANDARDIZE(tblY11[[#This Row],[4C10 - Chemical Analysis
Raw Score]],AVERAGE(tblY11[[4C10 - Chemical Analysis
Raw Score]]),_xlfn.STDEV.P(tblY11[[4C10 - Chemical Analysis
Raw Score]])),9),_Stanine,2),5),"")</f>
        <v>5</v>
      </c>
      <c r="X61" s="66" t="n">
        <v>14</v>
      </c>
      <c r="Y61" s="67">
        <f>IF(ISNUMBER(tblY11[[#This Row],[4P07 - Magnetism
Raw Score]]),IFERROR(VLOOKUP(ROUND(STANDARDIZE(tblY11[[#This Row],[4P07 - Magnetism
Raw Score]],AVERAGE(tblY11[[4P07 - Magnetism
Raw Score]]),_xlfn.STDEV.P(tblY11[[4P07 - Magnetism
Raw Score]])),9),_Stanine,2),5),"")</f>
        <v>5</v>
      </c>
    </row>
    <row r="62">
      <c r="A62" s="65" t="inlineStr">
        <is>
          <t>X905215869591</t>
        </is>
      </c>
      <c r="B62" s="65" t="inlineStr">
        <is>
          <t>Johnson</t>
        </is>
      </c>
      <c r="C62" s="65" t="inlineStr">
        <is>
          <t>Kai</t>
        </is>
      </c>
      <c r="D62" s="66" t="inlineStr">
        <is>
          <t>M</t>
        </is>
      </c>
      <c r="E62" s="66" t="n"/>
      <c r="F62" s="66" t="inlineStr">
        <is>
          <t>N</t>
        </is>
      </c>
      <c r="G62" s="34" t="n">
        <v>100</v>
      </c>
      <c r="H62" s="34" t="n">
        <v>106</v>
      </c>
      <c r="I62" s="67">
        <f>IF(ISNUMBER(tblY11[[#This Row],[Avg KS2]]),IFERROR(VLOOKUP(ROUND(STANDARDIZE(tblY11[[#This Row],[Avg KS2]],AVERAGE(tblY11[[Avg KS2]]),_xlfn.STDEV.P(tblY11[[Avg KS2]])),9),_Stanine,2),5),"")</f>
        <v>5</v>
      </c>
      <c r="J62" s="66" t="inlineStr">
        <is>
          <t>11S/Sc3</t>
        </is>
      </c>
      <c r="K62" s="67">
        <f>IF(tblY11[[#This Row],[Preferred Last name]]="","",COUNTIFS($N$1:$ZZ$1,"*"&amp;CHAR(10)&amp;"Stanine",$N62:$ZZ62,"&gt;=1"))</f>
        <v>6</v>
      </c>
      <c r="L62" s="68">
        <f>IFERROR(AVERAGEIF($N$1:$ZZ$1,"*"&amp;CHAR(10)&amp;"Stanine",$N62:$ZZ62),"")</f>
        <v>4.5</v>
      </c>
      <c r="M62" s="69">
        <f>IF(AND(ISNUMBER(tblY11[[#This Row],[Mean Stanine]]),ISNUMBER(tblY11[[#This Row],[Avg KS2 Band]]),ISNUMBER(SlopeY11)),tblY11[[#This Row],[Mean Stanine]]-(InterceptY11+SlopeY11*tblY11[[#This Row],[Avg KS2 Band]]),"")</f>
        <v>-0.452698412698412</v>
      </c>
      <c r="N62" s="66" t="n">
        <v>20</v>
      </c>
      <c r="O62" s="67">
        <f>IF(ISNUMBER(tblY11[[#This Row],[4B05 - Homeostasis
Raw Score]]),IFERROR(VLOOKUP(ROUND(STANDARDIZE(tblY11[[#This Row],[4B05 - Homeostasis
Raw Score]],AVERAGE(tblY11[[4B05 - Homeostasis
Raw Score]]),_xlfn.STDEV.P(tblY11[[4B05 - Homeostasis
Raw Score]])),9),_Stanine,2),5),"")</f>
        <v>5</v>
      </c>
      <c r="P62" s="66" t="n">
        <v>17</v>
      </c>
      <c r="Q62" s="67">
        <f>IF(ISNUMBER(tblY11[[#This Row],[4C09 - Organic Chemistry
Raw Score]]),IFERROR(VLOOKUP(ROUND(STANDARDIZE(tblY11[[#This Row],[4C09 - Organic Chemistry
Raw Score]],AVERAGE(tblY11[[4C09 - Organic Chemistry
Raw Score]]),_xlfn.STDEV.P(tblY11[[4C09 - Organic Chemistry
Raw Score]])),9),_Stanine,2),5),"")</f>
        <v>5</v>
      </c>
      <c r="R62" s="66" t="n">
        <v>21</v>
      </c>
      <c r="S62" s="67">
        <f>IF(ISNUMBER(tblY11[[#This Row],[4P06 - Waves
Raw Score]]),IFERROR(VLOOKUP(ROUND(STANDARDIZE(tblY11[[#This Row],[4P06 - Waves
Raw Score]],AVERAGE(tblY11[[4P06 - Waves
Raw Score]]),_xlfn.STDEV.P(tblY11[[4P06 - Waves
Raw Score]])),9),_Stanine,2),5),"")</f>
        <v>5</v>
      </c>
      <c r="T62" s="66" t="n">
        <v>14</v>
      </c>
      <c r="U62" s="67">
        <f>IF(ISNUMBER(tblY11[[#This Row],[4B06 - Inheritance
Raw Score]]),IFERROR(VLOOKUP(ROUND(STANDARDIZE(tblY11[[#This Row],[4B06 - Inheritance
Raw Score]],AVERAGE(tblY11[[4B06 - Inheritance
Raw Score]]),_xlfn.STDEV.P(tblY11[[4B06 - Inheritance
Raw Score]])),9),_Stanine,2),5),"")</f>
        <v>4</v>
      </c>
      <c r="V62" s="66" t="n">
        <v>9</v>
      </c>
      <c r="W62" s="67">
        <f>IF(ISNUMBER(tblY11[[#This Row],[4C10 - Chemical Analysis
Raw Score]]),IFERROR(VLOOKUP(ROUND(STANDARDIZE(tblY11[[#This Row],[4C10 - Chemical Analysis
Raw Score]],AVERAGE(tblY11[[4C10 - Chemical Analysis
Raw Score]]),_xlfn.STDEV.P(tblY11[[4C10 - Chemical Analysis
Raw Score]])),9),_Stanine,2),5),"")</f>
        <v>3</v>
      </c>
      <c r="X62" s="66" t="n">
        <v>16</v>
      </c>
      <c r="Y62" s="67">
        <f>IF(ISNUMBER(tblY11[[#This Row],[4P07 - Magnetism
Raw Score]]),IFERROR(VLOOKUP(ROUND(STANDARDIZE(tblY11[[#This Row],[4P07 - Magnetism
Raw Score]],AVERAGE(tblY11[[4P07 - Magnetism
Raw Score]]),_xlfn.STDEV.P(tblY11[[4P07 - Magnetism
Raw Score]])),9),_Stanine,2),5),"")</f>
        <v>5</v>
      </c>
    </row>
    <row r="63">
      <c r="A63" s="65" t="inlineStr">
        <is>
          <t>X907152404851</t>
        </is>
      </c>
      <c r="B63" s="65" t="inlineStr">
        <is>
          <t>Johnson</t>
        </is>
      </c>
      <c r="C63" s="65" t="inlineStr">
        <is>
          <t>Oscar</t>
        </is>
      </c>
      <c r="D63" s="66" t="inlineStr">
        <is>
          <t>M</t>
        </is>
      </c>
      <c r="E63" s="66" t="inlineStr">
        <is>
          <t>N</t>
        </is>
      </c>
      <c r="F63" s="66" t="inlineStr">
        <is>
          <t>N</t>
        </is>
      </c>
      <c r="G63" s="34" t="n">
        <v>99</v>
      </c>
      <c r="H63" s="34" t="n">
        <v>106</v>
      </c>
      <c r="I63" s="67">
        <f>IF(ISNUMBER(tblY11[[#This Row],[Avg KS2]]),IFERROR(VLOOKUP(ROUND(STANDARDIZE(tblY11[[#This Row],[Avg KS2]],AVERAGE(tblY11[[Avg KS2]]),_xlfn.STDEV.P(tblY11[[Avg KS2]])),9),_Stanine,2),5),"")</f>
        <v>5</v>
      </c>
      <c r="J63" s="66" t="inlineStr">
        <is>
          <t>11S/Sc3</t>
        </is>
      </c>
      <c r="K63" s="67">
        <f>IF(tblY11[[#This Row],[Preferred Last name]]="","",COUNTIFS($N$1:$ZZ$1,"*"&amp;CHAR(10)&amp;"Stanine",$N63:$ZZ63,"&gt;=1"))</f>
        <v>6</v>
      </c>
      <c r="L63" s="68">
        <f>IFERROR(AVERAGEIF($N$1:$ZZ$1,"*"&amp;CHAR(10)&amp;"Stanine",$N63:$ZZ63),"")</f>
        <v>4.66666666666667</v>
      </c>
      <c r="M63" s="69">
        <f>IF(AND(ISNUMBER(tblY11[[#This Row],[Mean Stanine]]),ISNUMBER(tblY11[[#This Row],[Avg KS2 Band]]),ISNUMBER(SlopeY11)),tblY11[[#This Row],[Mean Stanine]]-(InterceptY11+SlopeY11*tblY11[[#This Row],[Avg KS2 Band]]),"")</f>
        <v>-0.286031746031745</v>
      </c>
      <c r="N63" s="66" t="n">
        <v>21</v>
      </c>
      <c r="O63" s="67">
        <f>IF(ISNUMBER(tblY11[[#This Row],[4B05 - Homeostasis
Raw Score]]),IFERROR(VLOOKUP(ROUND(STANDARDIZE(tblY11[[#This Row],[4B05 - Homeostasis
Raw Score]],AVERAGE(tblY11[[4B05 - Homeostasis
Raw Score]]),_xlfn.STDEV.P(tblY11[[4B05 - Homeostasis
Raw Score]])),9),_Stanine,2),5),"")</f>
        <v>5</v>
      </c>
      <c r="P63" s="66" t="n">
        <v>17</v>
      </c>
      <c r="Q63" s="67">
        <f>IF(ISNUMBER(tblY11[[#This Row],[4C09 - Organic Chemistry
Raw Score]]),IFERROR(VLOOKUP(ROUND(STANDARDIZE(tblY11[[#This Row],[4C09 - Organic Chemistry
Raw Score]],AVERAGE(tblY11[[4C09 - Organic Chemistry
Raw Score]]),_xlfn.STDEV.P(tblY11[[4C09 - Organic Chemistry
Raw Score]])),9),_Stanine,2),5),"")</f>
        <v>5</v>
      </c>
      <c r="R63" s="66" t="n">
        <v>22</v>
      </c>
      <c r="S63" s="67">
        <f>IF(ISNUMBER(tblY11[[#This Row],[4P06 - Waves
Raw Score]]),IFERROR(VLOOKUP(ROUND(STANDARDIZE(tblY11[[#This Row],[4P06 - Waves
Raw Score]],AVERAGE(tblY11[[4P06 - Waves
Raw Score]]),_xlfn.STDEV.P(tblY11[[4P06 - Waves
Raw Score]])),9),_Stanine,2),5),"")</f>
        <v>5</v>
      </c>
      <c r="T63" s="66" t="n">
        <v>17</v>
      </c>
      <c r="U63" s="67">
        <f>IF(ISNUMBER(tblY11[[#This Row],[4B06 - Inheritance
Raw Score]]),IFERROR(VLOOKUP(ROUND(STANDARDIZE(tblY11[[#This Row],[4B06 - Inheritance
Raw Score]],AVERAGE(tblY11[[4B06 - Inheritance
Raw Score]]),_xlfn.STDEV.P(tblY11[[4B06 - Inheritance
Raw Score]])),9),_Stanine,2),5),"")</f>
        <v>5</v>
      </c>
      <c r="V63" s="66" t="n">
        <v>13</v>
      </c>
      <c r="W63" s="67">
        <f>IF(ISNUMBER(tblY11[[#This Row],[4C10 - Chemical Analysis
Raw Score]]),IFERROR(VLOOKUP(ROUND(STANDARDIZE(tblY11[[#This Row],[4C10 - Chemical Analysis
Raw Score]],AVERAGE(tblY11[[4C10 - Chemical Analysis
Raw Score]]),_xlfn.STDEV.P(tblY11[[4C10 - Chemical Analysis
Raw Score]])),9),_Stanine,2),5),"")</f>
        <v>5</v>
      </c>
      <c r="X63" s="66" t="n">
        <v>10</v>
      </c>
      <c r="Y63" s="67">
        <f>IF(ISNUMBER(tblY11[[#This Row],[4P07 - Magnetism
Raw Score]]),IFERROR(VLOOKUP(ROUND(STANDARDIZE(tblY11[[#This Row],[4P07 - Magnetism
Raw Score]],AVERAGE(tblY11[[4P07 - Magnetism
Raw Score]]),_xlfn.STDEV.P(tblY11[[4P07 - Magnetism
Raw Score]])),9),_Stanine,2),5),"")</f>
        <v>3</v>
      </c>
    </row>
    <row r="64">
      <c r="A64" s="65" t="inlineStr">
        <is>
          <t>X902311754431</t>
        </is>
      </c>
      <c r="B64" s="65" t="inlineStr">
        <is>
          <t>Kelly</t>
        </is>
      </c>
      <c r="C64" s="65" t="inlineStr">
        <is>
          <t>Niamh</t>
        </is>
      </c>
      <c r="D64" s="66" t="inlineStr">
        <is>
          <t>F</t>
        </is>
      </c>
      <c r="E64" s="66" t="inlineStr">
        <is>
          <t>E</t>
        </is>
      </c>
      <c r="F64" s="66" t="inlineStr">
        <is>
          <t>N</t>
        </is>
      </c>
      <c r="G64" s="34" t="n">
        <v>89.09999999999999</v>
      </c>
      <c r="H64" s="34" t="n">
        <v>113</v>
      </c>
      <c r="I64" s="67">
        <f>IF(ISNUMBER(tblY11[[#This Row],[Avg KS2]]),IFERROR(VLOOKUP(ROUND(STANDARDIZE(tblY11[[#This Row],[Avg KS2]],AVERAGE(tblY11[[Avg KS2]]),_xlfn.STDEV.P(tblY11[[Avg KS2]])),9),_Stanine,2),5),"")</f>
        <v>8</v>
      </c>
      <c r="J64" s="66" t="inlineStr">
        <is>
          <t>11S/Sc3</t>
        </is>
      </c>
      <c r="K64" s="67">
        <f>IF(tblY11[[#This Row],[Preferred Last name]]="","",COUNTIFS($N$1:$ZZ$1,"*"&amp;CHAR(10)&amp;"Stanine",$N64:$ZZ64,"&gt;=1"))</f>
        <v>5</v>
      </c>
      <c r="L64" s="68">
        <f>IFERROR(AVERAGEIF($N$1:$ZZ$1,"*"&amp;CHAR(10)&amp;"Stanine",$N64:$ZZ64),"")</f>
        <v>5.6</v>
      </c>
      <c r="M64" s="69">
        <f>IF(AND(ISNUMBER(tblY11[[#This Row],[Mean Stanine]]),ISNUMBER(tblY11[[#This Row],[Avg KS2 Band]]),ISNUMBER(SlopeY11)),tblY11[[#This Row],[Mean Stanine]]-(InterceptY11+SlopeY11*tblY11[[#This Row],[Avg KS2 Band]]),"")</f>
        <v>-1.59928932178932</v>
      </c>
      <c r="N64" s="66" t="n">
        <v>23</v>
      </c>
      <c r="O64" s="67">
        <f>IF(ISNUMBER(tblY11[[#This Row],[4B05 - Homeostasis
Raw Score]]),IFERROR(VLOOKUP(ROUND(STANDARDIZE(tblY11[[#This Row],[4B05 - Homeostasis
Raw Score]],AVERAGE(tblY11[[4B05 - Homeostasis
Raw Score]]),_xlfn.STDEV.P(tblY11[[4B05 - Homeostasis
Raw Score]])),9),_Stanine,2),5),"")</f>
        <v>6</v>
      </c>
      <c r="P64" s="66" t="n">
        <v>18</v>
      </c>
      <c r="Q64" s="67">
        <f>IF(ISNUMBER(tblY11[[#This Row],[4C09 - Organic Chemistry
Raw Score]]),IFERROR(VLOOKUP(ROUND(STANDARDIZE(tblY11[[#This Row],[4C09 - Organic Chemistry
Raw Score]],AVERAGE(tblY11[[4C09 - Organic Chemistry
Raw Score]]),_xlfn.STDEV.P(tblY11[[4C09 - Organic Chemistry
Raw Score]])),9),_Stanine,2),5),"")</f>
        <v>5</v>
      </c>
      <c r="R64" s="66" t="n">
        <v>23</v>
      </c>
      <c r="S64" s="67">
        <f>IF(ISNUMBER(tblY11[[#This Row],[4P06 - Waves
Raw Score]]),IFERROR(VLOOKUP(ROUND(STANDARDIZE(tblY11[[#This Row],[4P06 - Waves
Raw Score]],AVERAGE(tblY11[[4P06 - Waves
Raw Score]]),_xlfn.STDEV.P(tblY11[[4P06 - Waves
Raw Score]])),9),_Stanine,2),5),"")</f>
        <v>5</v>
      </c>
      <c r="T64" s="66" t="n">
        <v>21</v>
      </c>
      <c r="U64" s="67">
        <f>IF(ISNUMBER(tblY11[[#This Row],[4B06 - Inheritance
Raw Score]]),IFERROR(VLOOKUP(ROUND(STANDARDIZE(tblY11[[#This Row],[4B06 - Inheritance
Raw Score]],AVERAGE(tblY11[[4B06 - Inheritance
Raw Score]]),_xlfn.STDEV.P(tblY11[[4B06 - Inheritance
Raw Score]])),9),_Stanine,2),5),"")</f>
        <v>5</v>
      </c>
      <c r="V64" s="66" t="n">
        <v>20</v>
      </c>
      <c r="W64" s="67">
        <f>IF(ISNUMBER(tblY11[[#This Row],[4C10 - Chemical Analysis
Raw Score]]),IFERROR(VLOOKUP(ROUND(STANDARDIZE(tblY11[[#This Row],[4C10 - Chemical Analysis
Raw Score]],AVERAGE(tblY11[[4C10 - Chemical Analysis
Raw Score]]),_xlfn.STDEV.P(tblY11[[4C10 - Chemical Analysis
Raw Score]])),9),_Stanine,2),5),"")</f>
        <v>7</v>
      </c>
      <c r="X64" s="66" t="inlineStr">
        <is>
          <t>A</t>
        </is>
      </c>
      <c r="Y64" s="67" t="str">
        <f>IF(ISNUMBER(tblY11[[#This Row],[4P07 - Magnetism
Raw Score]]),IFERROR(VLOOKUP(ROUND(STANDARDIZE(tblY11[[#This Row],[4P07 - Magnetism
Raw Score]],AVERAGE(tblY11[[4P07 - Magnetism
Raw Score]]),_xlfn.STDEV.P(tblY11[[4P07 - Magnetism
Raw Score]])),9),_Stanine,2),5),"")</f>
        <v/>
      </c>
    </row>
    <row r="65">
      <c r="A65" s="65" t="inlineStr">
        <is>
          <t>X905004835111</t>
        </is>
      </c>
      <c r="B65" s="65" t="inlineStr">
        <is>
          <t>Khan</t>
        </is>
      </c>
      <c r="C65" s="65" t="inlineStr">
        <is>
          <t>Megan</t>
        </is>
      </c>
      <c r="D65" s="66" t="inlineStr">
        <is>
          <t>F</t>
        </is>
      </c>
      <c r="E65" s="66" t="inlineStr">
        <is>
          <t>N</t>
        </is>
      </c>
      <c r="F65" s="66" t="inlineStr">
        <is>
          <t>Y</t>
        </is>
      </c>
      <c r="G65" s="34" t="n">
        <v>100</v>
      </c>
      <c r="H65" s="34" t="n">
        <v>115</v>
      </c>
      <c r="I65" s="67">
        <f>IF(ISNUMBER(tblY11[[#This Row],[Avg KS2]]),IFERROR(VLOOKUP(ROUND(STANDARDIZE(tblY11[[#This Row],[Avg KS2]],AVERAGE(tblY11[[Avg KS2]]),_xlfn.STDEV.P(tblY11[[Avg KS2]])),9),_Stanine,2),5),"")</f>
        <v>8</v>
      </c>
      <c r="J65" s="66" t="inlineStr">
        <is>
          <t>11S/Sc3</t>
        </is>
      </c>
      <c r="K65" s="67">
        <f>IF(tblY11[[#This Row],[Preferred Last name]]="","",COUNTIFS($N$1:$ZZ$1,"*"&amp;CHAR(10)&amp;"Stanine",$N65:$ZZ65,"&gt;=1"))</f>
        <v>6</v>
      </c>
      <c r="L65" s="68">
        <f>IFERROR(AVERAGEIF($N$1:$ZZ$1,"*"&amp;CHAR(10)&amp;"Stanine",$N65:$ZZ65),"")</f>
        <v>7.83333333333333</v>
      </c>
      <c r="M65" s="69">
        <f>IF(AND(ISNUMBER(tblY11[[#This Row],[Mean Stanine]]),ISNUMBER(tblY11[[#This Row],[Avg KS2 Band]]),ISNUMBER(SlopeY11)),tblY11[[#This Row],[Mean Stanine]]-(InterceptY11+SlopeY11*tblY11[[#This Row],[Avg KS2 Band]]),"")</f>
        <v>0.634044011544011</v>
      </c>
      <c r="N65" s="66" t="n">
        <v>29</v>
      </c>
      <c r="O65" s="67">
        <f>IF(ISNUMBER(tblY11[[#This Row],[4B05 - Homeostasis
Raw Score]]),IFERROR(VLOOKUP(ROUND(STANDARDIZE(tblY11[[#This Row],[4B05 - Homeostasis
Raw Score]],AVERAGE(tblY11[[4B05 - Homeostasis
Raw Score]]),_xlfn.STDEV.P(tblY11[[4B05 - Homeostasis
Raw Score]])),9),_Stanine,2),5),"")</f>
        <v>7</v>
      </c>
      <c r="P65" s="66" t="n">
        <v>29</v>
      </c>
      <c r="Q65" s="67">
        <f>IF(ISNUMBER(tblY11[[#This Row],[4C09 - Organic Chemistry
Raw Score]]),IFERROR(VLOOKUP(ROUND(STANDARDIZE(tblY11[[#This Row],[4C09 - Organic Chemistry
Raw Score]],AVERAGE(tblY11[[4C09 - Organic Chemistry
Raw Score]]),_xlfn.STDEV.P(tblY11[[4C09 - Organic Chemistry
Raw Score]])),9),_Stanine,2),5),"")</f>
        <v>8</v>
      </c>
      <c r="R65" s="66" t="n">
        <v>36</v>
      </c>
      <c r="S65" s="67">
        <f>IF(ISNUMBER(tblY11[[#This Row],[4P06 - Waves
Raw Score]]),IFERROR(VLOOKUP(ROUND(STANDARDIZE(tblY11[[#This Row],[4P06 - Waves
Raw Score]],AVERAGE(tblY11[[4P06 - Waves
Raw Score]]),_xlfn.STDEV.P(tblY11[[4P06 - Waves
Raw Score]])),9),_Stanine,2),5),"")</f>
        <v>9</v>
      </c>
      <c r="T65" s="66" t="n">
        <v>31</v>
      </c>
      <c r="U65" s="67">
        <f>IF(ISNUMBER(tblY11[[#This Row],[4B06 - Inheritance
Raw Score]]),IFERROR(VLOOKUP(ROUND(STANDARDIZE(tblY11[[#This Row],[4B06 - Inheritance
Raw Score]],AVERAGE(tblY11[[4B06 - Inheritance
Raw Score]]),_xlfn.STDEV.P(tblY11[[4B06 - Inheritance
Raw Score]])),9),_Stanine,2),5),"")</f>
        <v>8</v>
      </c>
      <c r="V65" s="66" t="n">
        <v>23</v>
      </c>
      <c r="W65" s="67">
        <f>IF(ISNUMBER(tblY11[[#This Row],[4C10 - Chemical Analysis
Raw Score]]),IFERROR(VLOOKUP(ROUND(STANDARDIZE(tblY11[[#This Row],[4C10 - Chemical Analysis
Raw Score]],AVERAGE(tblY11[[4C10 - Chemical Analysis
Raw Score]]),_xlfn.STDEV.P(tblY11[[4C10 - Chemical Analysis
Raw Score]])),9),_Stanine,2),5),"")</f>
        <v>8</v>
      </c>
      <c r="X65" s="66" t="n">
        <v>24</v>
      </c>
      <c r="Y65" s="67">
        <f>IF(ISNUMBER(tblY11[[#This Row],[4P07 - Magnetism
Raw Score]]),IFERROR(VLOOKUP(ROUND(STANDARDIZE(tblY11[[#This Row],[4P07 - Magnetism
Raw Score]],AVERAGE(tblY11[[4P07 - Magnetism
Raw Score]]),_xlfn.STDEV.P(tblY11[[4P07 - Magnetism
Raw Score]])),9),_Stanine,2),5),"")</f>
        <v>7</v>
      </c>
    </row>
    <row r="66">
      <c r="A66" s="65" t="inlineStr">
        <is>
          <t>X902318940368</t>
        </is>
      </c>
      <c r="B66" s="65" t="inlineStr">
        <is>
          <t>Mistry</t>
        </is>
      </c>
      <c r="C66" s="65" t="inlineStr">
        <is>
          <t>Jacob</t>
        </is>
      </c>
      <c r="D66" s="66" t="inlineStr">
        <is>
          <t>M</t>
        </is>
      </c>
      <c r="E66" s="66" t="inlineStr">
        <is>
          <t>N</t>
        </is>
      </c>
      <c r="F66" s="66" t="inlineStr">
        <is>
          <t>N</t>
        </is>
      </c>
      <c r="G66" s="34" t="n">
        <v>100</v>
      </c>
      <c r="H66" s="34" t="n">
        <v>95</v>
      </c>
      <c r="I66" s="67">
        <f>IF(ISNUMBER(tblY11[[#This Row],[Avg KS2]]),IFERROR(VLOOKUP(ROUND(STANDARDIZE(tblY11[[#This Row],[Avg KS2]],AVERAGE(tblY11[[Avg KS2]]),_xlfn.STDEV.P(tblY11[[Avg KS2]])),9),_Stanine,2),5),"")</f>
        <v>2</v>
      </c>
      <c r="J66" s="66" t="inlineStr">
        <is>
          <t>11S/Sc3</t>
        </is>
      </c>
      <c r="K66" s="67">
        <f>IF(tblY11[[#This Row],[Preferred Last name]]="","",COUNTIFS($N$1:$ZZ$1,"*"&amp;CHAR(10)&amp;"Stanine",$N66:$ZZ66,"&gt;=1"))</f>
        <v>5</v>
      </c>
      <c r="L66" s="68">
        <f>IFERROR(AVERAGEIF($N$1:$ZZ$1,"*"&amp;CHAR(10)&amp;"Stanine",$N66:$ZZ66),"")</f>
        <v>4.2</v>
      </c>
      <c r="M66" s="69">
        <f>IF(AND(ISNUMBER(tblY11[[#This Row],[Mean Stanine]]),ISNUMBER(tblY11[[#This Row],[Avg KS2 Band]]),ISNUMBER(SlopeY11)),tblY11[[#This Row],[Mean Stanine]]-(InterceptY11+SlopeY11*tblY11[[#This Row],[Avg KS2 Band]]),"")</f>
        <v>1.4938924963925</v>
      </c>
      <c r="N66" s="66" t="n">
        <v>16</v>
      </c>
      <c r="O66" s="67">
        <f>IF(ISNUMBER(tblY11[[#This Row],[4B05 - Homeostasis
Raw Score]]),IFERROR(VLOOKUP(ROUND(STANDARDIZE(tblY11[[#This Row],[4B05 - Homeostasis
Raw Score]],AVERAGE(tblY11[[4B05 - Homeostasis
Raw Score]]),_xlfn.STDEV.P(tblY11[[4B05 - Homeostasis
Raw Score]])),9),_Stanine,2),5),"")</f>
        <v>4</v>
      </c>
      <c r="P66" s="66" t="inlineStr">
        <is>
          <t>A</t>
        </is>
      </c>
      <c r="Q66" s="67" t="str">
        <f>IF(ISNUMBER(tblY11[[#This Row],[4C09 - Organic Chemistry
Raw Score]]),IFERROR(VLOOKUP(ROUND(STANDARDIZE(tblY11[[#This Row],[4C09 - Organic Chemistry
Raw Score]],AVERAGE(tblY11[[4C09 - Organic Chemistry
Raw Score]]),_xlfn.STDEV.P(tblY11[[4C09 - Organic Chemistry
Raw Score]])),9),_Stanine,2),5),"")</f>
        <v/>
      </c>
      <c r="R66" s="66" t="n">
        <v>16</v>
      </c>
      <c r="S66" s="67">
        <f>IF(ISNUMBER(tblY11[[#This Row],[4P06 - Waves
Raw Score]]),IFERROR(VLOOKUP(ROUND(STANDARDIZE(tblY11[[#This Row],[4P06 - Waves
Raw Score]],AVERAGE(tblY11[[4P06 - Waves
Raw Score]]),_xlfn.STDEV.P(tblY11[[4P06 - Waves
Raw Score]])),9),_Stanine,2),5),"")</f>
        <v>4</v>
      </c>
      <c r="T66" s="66" t="n">
        <v>15</v>
      </c>
      <c r="U66" s="67">
        <f>IF(ISNUMBER(tblY11[[#This Row],[4B06 - Inheritance
Raw Score]]),IFERROR(VLOOKUP(ROUND(STANDARDIZE(tblY11[[#This Row],[4B06 - Inheritance
Raw Score]],AVERAGE(tblY11[[4B06 - Inheritance
Raw Score]]),_xlfn.STDEV.P(tblY11[[4B06 - Inheritance
Raw Score]])),9),_Stanine,2),5),"")</f>
        <v>4</v>
      </c>
      <c r="V66" s="66" t="n">
        <v>14</v>
      </c>
      <c r="W66" s="67">
        <f>IF(ISNUMBER(tblY11[[#This Row],[4C10 - Chemical Analysis
Raw Score]]),IFERROR(VLOOKUP(ROUND(STANDARDIZE(tblY11[[#This Row],[4C10 - Chemical Analysis
Raw Score]],AVERAGE(tblY11[[4C10 - Chemical Analysis
Raw Score]]),_xlfn.STDEV.P(tblY11[[4C10 - Chemical Analysis
Raw Score]])),9),_Stanine,2),5),"")</f>
        <v>5</v>
      </c>
      <c r="X66" s="66" t="n">
        <v>12</v>
      </c>
      <c r="Y66" s="67">
        <f>IF(ISNUMBER(tblY11[[#This Row],[4P07 - Magnetism
Raw Score]]),IFERROR(VLOOKUP(ROUND(STANDARDIZE(tblY11[[#This Row],[4P07 - Magnetism
Raw Score]],AVERAGE(tblY11[[4P07 - Magnetism
Raw Score]]),_xlfn.STDEV.P(tblY11[[4P07 - Magnetism
Raw Score]])),9),_Stanine,2),5),"")</f>
        <v>4</v>
      </c>
    </row>
    <row r="67">
      <c r="A67" s="65" t="inlineStr">
        <is>
          <t>X900407591009</t>
        </is>
      </c>
      <c r="B67" s="65" t="inlineStr">
        <is>
          <t>Mistry</t>
        </is>
      </c>
      <c r="C67" s="65" t="inlineStr">
        <is>
          <t>Lewis</t>
        </is>
      </c>
      <c r="D67" s="66" t="inlineStr">
        <is>
          <t>M</t>
        </is>
      </c>
      <c r="E67" s="66" t="inlineStr">
        <is>
          <t>K</t>
        </is>
      </c>
      <c r="F67" s="66" t="inlineStr">
        <is>
          <t>N</t>
        </is>
      </c>
      <c r="G67" s="34" t="n">
        <v>93.90000000000001</v>
      </c>
      <c r="H67" s="34" t="n">
        <v>93</v>
      </c>
      <c r="I67" s="67">
        <f>IF(ISNUMBER(tblY11[[#This Row],[Avg KS2]]),IFERROR(VLOOKUP(ROUND(STANDARDIZE(tblY11[[#This Row],[Avg KS2]],AVERAGE(tblY11[[Avg KS2]]),_xlfn.STDEV.P(tblY11[[Avg KS2]])),9),_Stanine,2),5),"")</f>
        <v>1</v>
      </c>
      <c r="J67" s="66" t="inlineStr">
        <is>
          <t>11S/Sc3</t>
        </is>
      </c>
      <c r="K67" s="67">
        <f>IF(tblY11[[#This Row],[Preferred Last name]]="","",COUNTIFS($N$1:$ZZ$1,"*"&amp;CHAR(10)&amp;"Stanine",$N67:$ZZ67,"&gt;=1"))</f>
        <v>6</v>
      </c>
      <c r="L67" s="68">
        <f>IFERROR(AVERAGEIF($N$1:$ZZ$1,"*"&amp;CHAR(10)&amp;"Stanine",$N67:$ZZ67),"")</f>
        <v>1.33333333333333</v>
      </c>
      <c r="M67" s="69">
        <f>IF(AND(ISNUMBER(tblY11[[#This Row],[Mean Stanine]]),ISNUMBER(tblY11[[#This Row],[Avg KS2 Band]]),ISNUMBER(SlopeY11)),tblY11[[#This Row],[Mean Stanine]]-(InterceptY11+SlopeY11*tblY11[[#This Row],[Avg KS2 Band]]),"")</f>
        <v>-0.623910533910533</v>
      </c>
      <c r="N67" s="66" t="n">
        <v>8</v>
      </c>
      <c r="O67" s="67">
        <f>IF(ISNUMBER(tblY11[[#This Row],[4B05 - Homeostasis
Raw Score]]),IFERROR(VLOOKUP(ROUND(STANDARDIZE(tblY11[[#This Row],[4B05 - Homeostasis
Raw Score]],AVERAGE(tblY11[[4B05 - Homeostasis
Raw Score]]),_xlfn.STDEV.P(tblY11[[4B05 - Homeostasis
Raw Score]])),9),_Stanine,2),5),"")</f>
        <v>2</v>
      </c>
      <c r="P67" s="66" t="n">
        <v>3</v>
      </c>
      <c r="Q67" s="67">
        <f>IF(ISNUMBER(tblY11[[#This Row],[4C09 - Organic Chemistry
Raw Score]]),IFERROR(VLOOKUP(ROUND(STANDARDIZE(tblY11[[#This Row],[4C09 - Organic Chemistry
Raw Score]],AVERAGE(tblY11[[4C09 - Organic Chemistry
Raw Score]]),_xlfn.STDEV.P(tblY11[[4C09 - Organic Chemistry
Raw Score]])),9),_Stanine,2),5),"")</f>
        <v>1</v>
      </c>
      <c r="R67" s="66" t="n">
        <v>6</v>
      </c>
      <c r="S67" s="67">
        <f>IF(ISNUMBER(tblY11[[#This Row],[4P06 - Waves
Raw Score]]),IFERROR(VLOOKUP(ROUND(STANDARDIZE(tblY11[[#This Row],[4P06 - Waves
Raw Score]],AVERAGE(tblY11[[4P06 - Waves
Raw Score]]),_xlfn.STDEV.P(tblY11[[4P06 - Waves
Raw Score]])),9),_Stanine,2),5),"")</f>
        <v>1</v>
      </c>
      <c r="T67" s="66" t="n">
        <v>2</v>
      </c>
      <c r="U67" s="67">
        <f>IF(ISNUMBER(tblY11[[#This Row],[4B06 - Inheritance
Raw Score]]),IFERROR(VLOOKUP(ROUND(STANDARDIZE(tblY11[[#This Row],[4B06 - Inheritance
Raw Score]],AVERAGE(tblY11[[4B06 - Inheritance
Raw Score]]),_xlfn.STDEV.P(tblY11[[4B06 - Inheritance
Raw Score]])),9),_Stanine,2),5),"")</f>
        <v>1</v>
      </c>
      <c r="V67" s="66" t="n">
        <v>3</v>
      </c>
      <c r="W67" s="67">
        <f>IF(ISNUMBER(tblY11[[#This Row],[4C10 - Chemical Analysis
Raw Score]]),IFERROR(VLOOKUP(ROUND(STANDARDIZE(tblY11[[#This Row],[4C10 - Chemical Analysis
Raw Score]],AVERAGE(tblY11[[4C10 - Chemical Analysis
Raw Score]]),_xlfn.STDEV.P(tblY11[[4C10 - Chemical Analysis
Raw Score]])),9),_Stanine,2),5),"")</f>
        <v>1</v>
      </c>
      <c r="X67" s="66" t="n">
        <v>5</v>
      </c>
      <c r="Y67" s="67">
        <f>IF(ISNUMBER(tblY11[[#This Row],[4P07 - Magnetism
Raw Score]]),IFERROR(VLOOKUP(ROUND(STANDARDIZE(tblY11[[#This Row],[4P07 - Magnetism
Raw Score]],AVERAGE(tblY11[[4P07 - Magnetism
Raw Score]]),_xlfn.STDEV.P(tblY11[[4P07 - Magnetism
Raw Score]])),9),_Stanine,2),5),"")</f>
        <v>2</v>
      </c>
    </row>
    <row r="68">
      <c r="A68" s="65" t="inlineStr">
        <is>
          <t>X909149640537</t>
        </is>
      </c>
      <c r="B68" s="65" t="inlineStr">
        <is>
          <t>Murphy</t>
        </is>
      </c>
      <c r="C68" s="65" t="inlineStr">
        <is>
          <t>Muhammad</t>
        </is>
      </c>
      <c r="D68" s="66" t="inlineStr">
        <is>
          <t>M</t>
        </is>
      </c>
      <c r="E68" s="66" t="inlineStr">
        <is>
          <t>K</t>
        </is>
      </c>
      <c r="F68" s="66" t="inlineStr">
        <is>
          <t>Y</t>
        </is>
      </c>
      <c r="G68" s="34" t="n">
        <v>88.09999999999999</v>
      </c>
      <c r="H68" s="34" t="n">
        <v>94.5</v>
      </c>
      <c r="I68" s="67">
        <f>IF(ISNUMBER(tblY11[[#This Row],[Avg KS2]]),IFERROR(VLOOKUP(ROUND(STANDARDIZE(tblY11[[#This Row],[Avg KS2]],AVERAGE(tblY11[[Avg KS2]]),_xlfn.STDEV.P(tblY11[[Avg KS2]])),9),_Stanine,2),5),"")</f>
        <v>2</v>
      </c>
      <c r="J68" s="66" t="inlineStr">
        <is>
          <t>11S/Sc3</t>
        </is>
      </c>
      <c r="K68" s="67">
        <f>IF(tblY11[[#This Row],[Preferred Last name]]="","",COUNTIFS($N$1:$ZZ$1,"*"&amp;CHAR(10)&amp;"Stanine",$N68:$ZZ68,"&gt;=1"))</f>
        <v>6</v>
      </c>
      <c r="L68" s="68">
        <f>IFERROR(AVERAGEIF($N$1:$ZZ$1,"*"&amp;CHAR(10)&amp;"Stanine",$N68:$ZZ68),"")</f>
        <v>1.66666666666667</v>
      </c>
      <c r="M68" s="69">
        <f>IF(AND(ISNUMBER(tblY11[[#This Row],[Mean Stanine]]),ISNUMBER(tblY11[[#This Row],[Avg KS2 Band]]),ISNUMBER(SlopeY11)),tblY11[[#This Row],[Mean Stanine]]-(InterceptY11+SlopeY11*tblY11[[#This Row],[Avg KS2 Band]]),"")</f>
        <v>-1.03944083694084</v>
      </c>
      <c r="N68" s="66" t="n">
        <v>8</v>
      </c>
      <c r="O68" s="67">
        <f>IF(ISNUMBER(tblY11[[#This Row],[4B05 - Homeostasis
Raw Score]]),IFERROR(VLOOKUP(ROUND(STANDARDIZE(tblY11[[#This Row],[4B05 - Homeostasis
Raw Score]],AVERAGE(tblY11[[4B05 - Homeostasis
Raw Score]]),_xlfn.STDEV.P(tblY11[[4B05 - Homeostasis
Raw Score]])),9),_Stanine,2),5),"")</f>
        <v>2</v>
      </c>
      <c r="P68" s="66" t="n">
        <v>3</v>
      </c>
      <c r="Q68" s="67">
        <f>IF(ISNUMBER(tblY11[[#This Row],[4C09 - Organic Chemistry
Raw Score]]),IFERROR(VLOOKUP(ROUND(STANDARDIZE(tblY11[[#This Row],[4C09 - Organic Chemistry
Raw Score]],AVERAGE(tblY11[[4C09 - Organic Chemistry
Raw Score]]),_xlfn.STDEV.P(tblY11[[4C09 - Organic Chemistry
Raw Score]])),9),_Stanine,2),5),"")</f>
        <v>1</v>
      </c>
      <c r="R68" s="66" t="n">
        <v>6</v>
      </c>
      <c r="S68" s="67">
        <f>IF(ISNUMBER(tblY11[[#This Row],[4P06 - Waves
Raw Score]]),IFERROR(VLOOKUP(ROUND(STANDARDIZE(tblY11[[#This Row],[4P06 - Waves
Raw Score]],AVERAGE(tblY11[[4P06 - Waves
Raw Score]]),_xlfn.STDEV.P(tblY11[[4P06 - Waves
Raw Score]])),9),_Stanine,2),5),"")</f>
        <v>1</v>
      </c>
      <c r="T68" s="66" t="n">
        <v>5</v>
      </c>
      <c r="U68" s="67">
        <f>IF(ISNUMBER(tblY11[[#This Row],[4B06 - Inheritance
Raw Score]]),IFERROR(VLOOKUP(ROUND(STANDARDIZE(tblY11[[#This Row],[4B06 - Inheritance
Raw Score]],AVERAGE(tblY11[[4B06 - Inheritance
Raw Score]]),_xlfn.STDEV.P(tblY11[[4B06 - Inheritance
Raw Score]])),9),_Stanine,2),5),"")</f>
        <v>2</v>
      </c>
      <c r="V68" s="66" t="n">
        <v>5</v>
      </c>
      <c r="W68" s="67">
        <f>IF(ISNUMBER(tblY11[[#This Row],[4C10 - Chemical Analysis
Raw Score]]),IFERROR(VLOOKUP(ROUND(STANDARDIZE(tblY11[[#This Row],[4C10 - Chemical Analysis
Raw Score]],AVERAGE(tblY11[[4C10 - Chemical Analysis
Raw Score]]),_xlfn.STDEV.P(tblY11[[4C10 - Chemical Analysis
Raw Score]])),9),_Stanine,2),5),"")</f>
        <v>2</v>
      </c>
      <c r="X68" s="66" t="n">
        <v>3</v>
      </c>
      <c r="Y68" s="67">
        <f>IF(ISNUMBER(tblY11[[#This Row],[4P07 - Magnetism
Raw Score]]),IFERROR(VLOOKUP(ROUND(STANDARDIZE(tblY11[[#This Row],[4P07 - Magnetism
Raw Score]],AVERAGE(tblY11[[4P07 - Magnetism
Raw Score]]),_xlfn.STDEV.P(tblY11[[4P07 - Magnetism
Raw Score]])),9),_Stanine,2),5),"")</f>
        <v>2</v>
      </c>
    </row>
    <row r="69">
      <c r="A69" s="65" t="inlineStr">
        <is>
          <t>X906305801551</t>
        </is>
      </c>
      <c r="B69" s="65" t="inlineStr">
        <is>
          <t>Okafor</t>
        </is>
      </c>
      <c r="C69" s="65" t="inlineStr">
        <is>
          <t>Zofia</t>
        </is>
      </c>
      <c r="D69" s="66" t="inlineStr">
        <is>
          <t>F</t>
        </is>
      </c>
      <c r="E69" s="66" t="inlineStr">
        <is>
          <t>K</t>
        </is>
      </c>
      <c r="F69" s="66" t="inlineStr">
        <is>
          <t>N</t>
        </is>
      </c>
      <c r="G69" s="34" t="n">
        <v>100</v>
      </c>
      <c r="H69" s="34" t="n">
        <v>103.5</v>
      </c>
      <c r="I69" s="67">
        <f>IF(ISNUMBER(tblY11[[#This Row],[Avg KS2]]),IFERROR(VLOOKUP(ROUND(STANDARDIZE(tblY11[[#This Row],[Avg KS2]],AVERAGE(tblY11[[Avg KS2]]),_xlfn.STDEV.P(tblY11[[Avg KS2]])),9),_Stanine,2),5),"")</f>
        <v>5</v>
      </c>
      <c r="J69" s="66" t="inlineStr">
        <is>
          <t>11S/Sc3</t>
        </is>
      </c>
      <c r="K69" s="67">
        <f>IF(tblY11[[#This Row],[Preferred Last name]]="","",COUNTIFS($N$1:$ZZ$1,"*"&amp;CHAR(10)&amp;"Stanine",$N69:$ZZ69,"&gt;=1"))</f>
        <v>6</v>
      </c>
      <c r="L69" s="68">
        <f>IFERROR(AVERAGEIF($N$1:$ZZ$1,"*"&amp;CHAR(10)&amp;"Stanine",$N69:$ZZ69),"")</f>
        <v>4.5</v>
      </c>
      <c r="M69" s="69">
        <f>IF(AND(ISNUMBER(tblY11[[#This Row],[Mean Stanine]]),ISNUMBER(tblY11[[#This Row],[Avg KS2 Band]]),ISNUMBER(SlopeY11)),tblY11[[#This Row],[Mean Stanine]]-(InterceptY11+SlopeY11*tblY11[[#This Row],[Avg KS2 Band]]),"")</f>
        <v>-0.452698412698412</v>
      </c>
      <c r="N69" s="66" t="n">
        <v>15</v>
      </c>
      <c r="O69" s="67">
        <f>IF(ISNUMBER(tblY11[[#This Row],[4B05 - Homeostasis
Raw Score]]),IFERROR(VLOOKUP(ROUND(STANDARDIZE(tblY11[[#This Row],[4B05 - Homeostasis
Raw Score]],AVERAGE(tblY11[[4B05 - Homeostasis
Raw Score]]),_xlfn.STDEV.P(tblY11[[4B05 - Homeostasis
Raw Score]])),9),_Stanine,2),5),"")</f>
        <v>4</v>
      </c>
      <c r="P69" s="66" t="n">
        <v>14</v>
      </c>
      <c r="Q69" s="67">
        <f>IF(ISNUMBER(tblY11[[#This Row],[4C09 - Organic Chemistry
Raw Score]]),IFERROR(VLOOKUP(ROUND(STANDARDIZE(tblY11[[#This Row],[4C09 - Organic Chemistry
Raw Score]],AVERAGE(tblY11[[4C09 - Organic Chemistry
Raw Score]]),_xlfn.STDEV.P(tblY11[[4C09 - Organic Chemistry
Raw Score]])),9),_Stanine,2),5),"")</f>
        <v>4</v>
      </c>
      <c r="R69" s="66" t="n">
        <v>15</v>
      </c>
      <c r="S69" s="67">
        <f>IF(ISNUMBER(tblY11[[#This Row],[4P06 - Waves
Raw Score]]),IFERROR(VLOOKUP(ROUND(STANDARDIZE(tblY11[[#This Row],[4P06 - Waves
Raw Score]],AVERAGE(tblY11[[4P06 - Waves
Raw Score]]),_xlfn.STDEV.P(tblY11[[4P06 - Waves
Raw Score]])),9),_Stanine,2),5),"")</f>
        <v>4</v>
      </c>
      <c r="T69" s="66" t="n">
        <v>12</v>
      </c>
      <c r="U69" s="67">
        <f>IF(ISNUMBER(tblY11[[#This Row],[4B06 - Inheritance
Raw Score]]),IFERROR(VLOOKUP(ROUND(STANDARDIZE(tblY11[[#This Row],[4B06 - Inheritance
Raw Score]],AVERAGE(tblY11[[4B06 - Inheritance
Raw Score]]),_xlfn.STDEV.P(tblY11[[4B06 - Inheritance
Raw Score]])),9),_Stanine,2),5),"")</f>
        <v>4</v>
      </c>
      <c r="V69" s="66" t="n">
        <v>13</v>
      </c>
      <c r="W69" s="67">
        <f>IF(ISNUMBER(tblY11[[#This Row],[4C10 - Chemical Analysis
Raw Score]]),IFERROR(VLOOKUP(ROUND(STANDARDIZE(tblY11[[#This Row],[4C10 - Chemical Analysis
Raw Score]],AVERAGE(tblY11[[4C10 - Chemical Analysis
Raw Score]]),_xlfn.STDEV.P(tblY11[[4C10 - Chemical Analysis
Raw Score]])),9),_Stanine,2),5),"")</f>
        <v>5</v>
      </c>
      <c r="X69" s="66" t="n">
        <v>18</v>
      </c>
      <c r="Y69" s="67">
        <f>IF(ISNUMBER(tblY11[[#This Row],[4P07 - Magnetism
Raw Score]]),IFERROR(VLOOKUP(ROUND(STANDARDIZE(tblY11[[#This Row],[4P07 - Magnetism
Raw Score]],AVERAGE(tblY11[[4P07 - Magnetism
Raw Score]]),_xlfn.STDEV.P(tblY11[[4P07 - Magnetism
Raw Score]])),9),_Stanine,2),5),"")</f>
        <v>6</v>
      </c>
    </row>
    <row r="70">
      <c r="A70" s="65" t="inlineStr">
        <is>
          <t>X908060840274</t>
        </is>
      </c>
      <c r="B70" s="65" t="inlineStr">
        <is>
          <t>Patel</t>
        </is>
      </c>
      <c r="C70" s="65" t="inlineStr">
        <is>
          <t>Layla</t>
        </is>
      </c>
      <c r="D70" s="66" t="inlineStr">
        <is>
          <t>M</t>
        </is>
      </c>
      <c r="E70" s="66" t="n"/>
      <c r="F70" s="66" t="inlineStr">
        <is>
          <t>Y</t>
        </is>
      </c>
      <c r="G70" s="34" t="n">
        <v>98.3</v>
      </c>
      <c r="H70" s="34" t="n">
        <v>92</v>
      </c>
      <c r="I70" s="67">
        <f>IF(ISNUMBER(tblY11[[#This Row],[Avg KS2]]),IFERROR(VLOOKUP(ROUND(STANDARDIZE(tblY11[[#This Row],[Avg KS2]],AVERAGE(tblY11[[Avg KS2]]),_xlfn.STDEV.P(tblY11[[Avg KS2]])),9),_Stanine,2),5),"")</f>
        <v>1</v>
      </c>
      <c r="J70" s="66" t="inlineStr">
        <is>
          <t>11S/Sc3</t>
        </is>
      </c>
      <c r="K70" s="67">
        <f>IF(tblY11[[#This Row],[Preferred Last name]]="","",COUNTIFS($N$1:$ZZ$1,"*"&amp;CHAR(10)&amp;"Stanine",$N70:$ZZ70,"&gt;=1"))</f>
        <v>6</v>
      </c>
      <c r="L70" s="68">
        <f>IFERROR(AVERAGEIF($N$1:$ZZ$1,"*"&amp;CHAR(10)&amp;"Stanine",$N70:$ZZ70),"")</f>
        <v>4.5</v>
      </c>
      <c r="M70" s="69">
        <f>IF(AND(ISNUMBER(tblY11[[#This Row],[Mean Stanine]]),ISNUMBER(tblY11[[#This Row],[Avg KS2 Band]]),ISNUMBER(SlopeY11)),tblY11[[#This Row],[Mean Stanine]]-(InterceptY11+SlopeY11*tblY11[[#This Row],[Avg KS2 Band]]),"")</f>
        <v>2.54275613275613</v>
      </c>
      <c r="N70" s="66" t="n">
        <v>23</v>
      </c>
      <c r="O70" s="67">
        <f>IF(ISNUMBER(tblY11[[#This Row],[4B05 - Homeostasis
Raw Score]]),IFERROR(VLOOKUP(ROUND(STANDARDIZE(tblY11[[#This Row],[4B05 - Homeostasis
Raw Score]],AVERAGE(tblY11[[4B05 - Homeostasis
Raw Score]]),_xlfn.STDEV.P(tblY11[[4B05 - Homeostasis
Raw Score]])),9),_Stanine,2),5),"")</f>
        <v>6</v>
      </c>
      <c r="P70" s="66" t="n">
        <v>12</v>
      </c>
      <c r="Q70" s="67">
        <f>IF(ISNUMBER(tblY11[[#This Row],[4C09 - Organic Chemistry
Raw Score]]),IFERROR(VLOOKUP(ROUND(STANDARDIZE(tblY11[[#This Row],[4C09 - Organic Chemistry
Raw Score]],AVERAGE(tblY11[[4C09 - Organic Chemistry
Raw Score]]),_xlfn.STDEV.P(tblY11[[4C09 - Organic Chemistry
Raw Score]])),9),_Stanine,2),5),"")</f>
        <v>4</v>
      </c>
      <c r="R70" s="66" t="n">
        <v>19</v>
      </c>
      <c r="S70" s="67">
        <f>IF(ISNUMBER(tblY11[[#This Row],[4P06 - Waves
Raw Score]]),IFERROR(VLOOKUP(ROUND(STANDARDIZE(tblY11[[#This Row],[4P06 - Waves
Raw Score]],AVERAGE(tblY11[[4P06 - Waves
Raw Score]]),_xlfn.STDEV.P(tblY11[[4P06 - Waves
Raw Score]])),9),_Stanine,2),5),"")</f>
        <v>5</v>
      </c>
      <c r="T70" s="66" t="n">
        <v>18</v>
      </c>
      <c r="U70" s="67">
        <f>IF(ISNUMBER(tblY11[[#This Row],[4B06 - Inheritance
Raw Score]]),IFERROR(VLOOKUP(ROUND(STANDARDIZE(tblY11[[#This Row],[4B06 - Inheritance
Raw Score]],AVERAGE(tblY11[[4B06 - Inheritance
Raw Score]]),_xlfn.STDEV.P(tblY11[[4B06 - Inheritance
Raw Score]])),9),_Stanine,2),5),"")</f>
        <v>5</v>
      </c>
      <c r="V70" s="66" t="n">
        <v>12</v>
      </c>
      <c r="W70" s="67">
        <f>IF(ISNUMBER(tblY11[[#This Row],[4C10 - Chemical Analysis
Raw Score]]),IFERROR(VLOOKUP(ROUND(STANDARDIZE(tblY11[[#This Row],[4C10 - Chemical Analysis
Raw Score]],AVERAGE(tblY11[[4C10 - Chemical Analysis
Raw Score]]),_xlfn.STDEV.P(tblY11[[4C10 - Chemical Analysis
Raw Score]])),9),_Stanine,2),5),"")</f>
        <v>4</v>
      </c>
      <c r="X70" s="66" t="n">
        <v>10</v>
      </c>
      <c r="Y70" s="67">
        <f>IF(ISNUMBER(tblY11[[#This Row],[4P07 - Magnetism
Raw Score]]),IFERROR(VLOOKUP(ROUND(STANDARDIZE(tblY11[[#This Row],[4P07 - Magnetism
Raw Score]],AVERAGE(tblY11[[4P07 - Magnetism
Raw Score]]),_xlfn.STDEV.P(tblY11[[4P07 - Magnetism
Raw Score]])),9),_Stanine,2),5),"")</f>
        <v>3</v>
      </c>
    </row>
    <row r="71">
      <c r="A71" s="65" t="inlineStr">
        <is>
          <t>X901769394551</t>
        </is>
      </c>
      <c r="B71" s="65" t="inlineStr">
        <is>
          <t>Patel</t>
        </is>
      </c>
      <c r="C71" s="65" t="inlineStr">
        <is>
          <t>Priya</t>
        </is>
      </c>
      <c r="D71" s="66" t="inlineStr">
        <is>
          <t>M</t>
        </is>
      </c>
      <c r="E71" s="66" t="inlineStr">
        <is>
          <t>K</t>
        </is>
      </c>
      <c r="F71" s="66" t="inlineStr">
        <is>
          <t>N</t>
        </is>
      </c>
      <c r="G71" s="34" t="n">
        <v>97.7</v>
      </c>
      <c r="H71" s="34" t="n">
        <v>100</v>
      </c>
      <c r="I71" s="67">
        <f>IF(ISNUMBER(tblY11[[#This Row],[Avg KS2]]),IFERROR(VLOOKUP(ROUND(STANDARDIZE(tblY11[[#This Row],[Avg KS2]],AVERAGE(tblY11[[Avg KS2]]),_xlfn.STDEV.P(tblY11[[Avg KS2]])),9),_Stanine,2),5),"")</f>
        <v>4</v>
      </c>
      <c r="J71" s="66" t="inlineStr">
        <is>
          <t>11S/Sc3</t>
        </is>
      </c>
      <c r="K71" s="67">
        <f>IF(tblY11[[#This Row],[Preferred Last name]]="","",COUNTIFS($N$1:$ZZ$1,"*"&amp;CHAR(10)&amp;"Stanine",$N71:$ZZ71,"&gt;=1"))</f>
        <v>6</v>
      </c>
      <c r="L71" s="68">
        <f>IFERROR(AVERAGEIF($N$1:$ZZ$1,"*"&amp;CHAR(10)&amp;"Stanine",$N71:$ZZ71),"")</f>
        <v>4.5</v>
      </c>
      <c r="M71" s="69">
        <f>IF(AND(ISNUMBER(tblY11[[#This Row],[Mean Stanine]]),ISNUMBER(tblY11[[#This Row],[Avg KS2 Band]]),ISNUMBER(SlopeY11)),tblY11[[#This Row],[Mean Stanine]]-(InterceptY11+SlopeY11*tblY11[[#This Row],[Avg KS2 Band]]),"")</f>
        <v>0.296165223665224</v>
      </c>
      <c r="N71" s="66" t="n">
        <v>20</v>
      </c>
      <c r="O71" s="67">
        <f>IF(ISNUMBER(tblY11[[#This Row],[4B05 - Homeostasis
Raw Score]]),IFERROR(VLOOKUP(ROUND(STANDARDIZE(tblY11[[#This Row],[4B05 - Homeostasis
Raw Score]],AVERAGE(tblY11[[4B05 - Homeostasis
Raw Score]]),_xlfn.STDEV.P(tblY11[[4B05 - Homeostasis
Raw Score]])),9),_Stanine,2),5),"")</f>
        <v>5</v>
      </c>
      <c r="P71" s="66" t="n">
        <v>19</v>
      </c>
      <c r="Q71" s="67">
        <f>IF(ISNUMBER(tblY11[[#This Row],[4C09 - Organic Chemistry
Raw Score]]),IFERROR(VLOOKUP(ROUND(STANDARDIZE(tblY11[[#This Row],[4C09 - Organic Chemistry
Raw Score]],AVERAGE(tblY11[[4C09 - Organic Chemistry
Raw Score]]),_xlfn.STDEV.P(tblY11[[4C09 - Organic Chemistry
Raw Score]])),9),_Stanine,2),5),"")</f>
        <v>6</v>
      </c>
      <c r="R71" s="66" t="n">
        <v>13</v>
      </c>
      <c r="S71" s="67">
        <f>IF(ISNUMBER(tblY11[[#This Row],[4P06 - Waves
Raw Score]]),IFERROR(VLOOKUP(ROUND(STANDARDIZE(tblY11[[#This Row],[4P06 - Waves
Raw Score]],AVERAGE(tblY11[[4P06 - Waves
Raw Score]]),_xlfn.STDEV.P(tblY11[[4P06 - Waves
Raw Score]])),9),_Stanine,2),5),"")</f>
        <v>3</v>
      </c>
      <c r="T71" s="66" t="n">
        <v>15</v>
      </c>
      <c r="U71" s="67">
        <f>IF(ISNUMBER(tblY11[[#This Row],[4B06 - Inheritance
Raw Score]]),IFERROR(VLOOKUP(ROUND(STANDARDIZE(tblY11[[#This Row],[4B06 - Inheritance
Raw Score]],AVERAGE(tblY11[[4B06 - Inheritance
Raw Score]]),_xlfn.STDEV.P(tblY11[[4B06 - Inheritance
Raw Score]])),9),_Stanine,2),5),"")</f>
        <v>4</v>
      </c>
      <c r="V71" s="66" t="n">
        <v>11</v>
      </c>
      <c r="W71" s="67">
        <f>IF(ISNUMBER(tblY11[[#This Row],[4C10 - Chemical Analysis
Raw Score]]),IFERROR(VLOOKUP(ROUND(STANDARDIZE(tblY11[[#This Row],[4C10 - Chemical Analysis
Raw Score]],AVERAGE(tblY11[[4C10 - Chemical Analysis
Raw Score]]),_xlfn.STDEV.P(tblY11[[4C10 - Chemical Analysis
Raw Score]])),9),_Stanine,2),5),"")</f>
        <v>4</v>
      </c>
      <c r="X71" s="66" t="n">
        <v>14</v>
      </c>
      <c r="Y71" s="67">
        <f>IF(ISNUMBER(tblY11[[#This Row],[4P07 - Magnetism
Raw Score]]),IFERROR(VLOOKUP(ROUND(STANDARDIZE(tblY11[[#This Row],[4P07 - Magnetism
Raw Score]],AVERAGE(tblY11[[4P07 - Magnetism
Raw Score]]),_xlfn.STDEV.P(tblY11[[4P07 - Magnetism
Raw Score]])),9),_Stanine,2),5),"")</f>
        <v>5</v>
      </c>
    </row>
    <row r="72">
      <c r="A72" s="65" t="inlineStr">
        <is>
          <t>X904826435296</t>
        </is>
      </c>
      <c r="B72" s="65" t="inlineStr">
        <is>
          <t>Patel</t>
        </is>
      </c>
      <c r="C72" s="65" t="inlineStr">
        <is>
          <t>Sami</t>
        </is>
      </c>
      <c r="D72" s="66" t="inlineStr">
        <is>
          <t>F</t>
        </is>
      </c>
      <c r="E72" s="66" t="n"/>
      <c r="F72" s="66" t="inlineStr">
        <is>
          <t>N</t>
        </is>
      </c>
      <c r="G72" s="34" t="n">
        <v>90.40000000000001</v>
      </c>
      <c r="H72" s="34" t="n">
        <v>110</v>
      </c>
      <c r="I72" s="67">
        <f>IF(ISNUMBER(tblY11[[#This Row],[Avg KS2]]),IFERROR(VLOOKUP(ROUND(STANDARDIZE(tblY11[[#This Row],[Avg KS2]],AVERAGE(tblY11[[Avg KS2]]),_xlfn.STDEV.P(tblY11[[Avg KS2]])),9),_Stanine,2),5),"")</f>
        <v>7</v>
      </c>
      <c r="J72" s="66" t="inlineStr">
        <is>
          <t>11S/Sc3</t>
        </is>
      </c>
      <c r="K72" s="67">
        <f>IF(tblY11[[#This Row],[Preferred Last name]]="","",COUNTIFS($N$1:$ZZ$1,"*"&amp;CHAR(10)&amp;"Stanine",$N72:$ZZ72,"&gt;=1"))</f>
        <v>6</v>
      </c>
      <c r="L72" s="68">
        <f>IFERROR(AVERAGEIF($N$1:$ZZ$1,"*"&amp;CHAR(10)&amp;"Stanine",$N72:$ZZ72),"")</f>
        <v>7.33333333333333</v>
      </c>
      <c r="M72" s="69">
        <f>IF(AND(ISNUMBER(tblY11[[#This Row],[Mean Stanine]]),ISNUMBER(tblY11[[#This Row],[Avg KS2 Band]]),ISNUMBER(SlopeY11)),tblY11[[#This Row],[Mean Stanine]]-(InterceptY11+SlopeY11*tblY11[[#This Row],[Avg KS2 Band]]),"")</f>
        <v>0.882907647907648</v>
      </c>
      <c r="N72" s="66" t="n">
        <v>33</v>
      </c>
      <c r="O72" s="67">
        <f>IF(ISNUMBER(tblY11[[#This Row],[4B05 - Homeostasis
Raw Score]]),IFERROR(VLOOKUP(ROUND(STANDARDIZE(tblY11[[#This Row],[4B05 - Homeostasis
Raw Score]],AVERAGE(tblY11[[4B05 - Homeostasis
Raw Score]]),_xlfn.STDEV.P(tblY11[[4B05 - Homeostasis
Raw Score]])),9),_Stanine,2),5),"")</f>
        <v>8</v>
      </c>
      <c r="P72" s="66" t="n">
        <v>25</v>
      </c>
      <c r="Q72" s="67">
        <f>IF(ISNUMBER(tblY11[[#This Row],[4C09 - Organic Chemistry
Raw Score]]),IFERROR(VLOOKUP(ROUND(STANDARDIZE(tblY11[[#This Row],[4C09 - Organic Chemistry
Raw Score]],AVERAGE(tblY11[[4C09 - Organic Chemistry
Raw Score]]),_xlfn.STDEV.P(tblY11[[4C09 - Organic Chemistry
Raw Score]])),9),_Stanine,2),5),"")</f>
        <v>7</v>
      </c>
      <c r="R72" s="66" t="n">
        <v>31</v>
      </c>
      <c r="S72" s="67">
        <f>IF(ISNUMBER(tblY11[[#This Row],[4P06 - Waves
Raw Score]]),IFERROR(VLOOKUP(ROUND(STANDARDIZE(tblY11[[#This Row],[4P06 - Waves
Raw Score]],AVERAGE(tblY11[[4P06 - Waves
Raw Score]]),_xlfn.STDEV.P(tblY11[[4P06 - Waves
Raw Score]])),9),_Stanine,2),5),"")</f>
        <v>7</v>
      </c>
      <c r="T72" s="66" t="n">
        <v>27</v>
      </c>
      <c r="U72" s="67">
        <f>IF(ISNUMBER(tblY11[[#This Row],[4B06 - Inheritance
Raw Score]]),IFERROR(VLOOKUP(ROUND(STANDARDIZE(tblY11[[#This Row],[4B06 - Inheritance
Raw Score]],AVERAGE(tblY11[[4B06 - Inheritance
Raw Score]]),_xlfn.STDEV.P(tblY11[[4B06 - Inheritance
Raw Score]])),9),_Stanine,2),5),"")</f>
        <v>7</v>
      </c>
      <c r="V72" s="66" t="n">
        <v>22</v>
      </c>
      <c r="W72" s="67">
        <f>IF(ISNUMBER(tblY11[[#This Row],[4C10 - Chemical Analysis
Raw Score]]),IFERROR(VLOOKUP(ROUND(STANDARDIZE(tblY11[[#This Row],[4C10 - Chemical Analysis
Raw Score]],AVERAGE(tblY11[[4C10 - Chemical Analysis
Raw Score]]),_xlfn.STDEV.P(tblY11[[4C10 - Chemical Analysis
Raw Score]])),9),_Stanine,2),5),"")</f>
        <v>7</v>
      </c>
      <c r="X72" s="66" t="n">
        <v>26</v>
      </c>
      <c r="Y72" s="67">
        <f>IF(ISNUMBER(tblY11[[#This Row],[4P07 - Magnetism
Raw Score]]),IFERROR(VLOOKUP(ROUND(STANDARDIZE(tblY11[[#This Row],[4P07 - Magnetism
Raw Score]],AVERAGE(tblY11[[4P07 - Magnetism
Raw Score]]),_xlfn.STDEV.P(tblY11[[4P07 - Magnetism
Raw Score]])),9),_Stanine,2),5),"")</f>
        <v>8</v>
      </c>
    </row>
    <row r="73">
      <c r="A73" s="65" t="inlineStr">
        <is>
          <t>X901983215521</t>
        </is>
      </c>
      <c r="B73" s="65" t="inlineStr">
        <is>
          <t>Roberts</t>
        </is>
      </c>
      <c r="C73" s="65" t="inlineStr">
        <is>
          <t>Oscar</t>
        </is>
      </c>
      <c r="D73" s="66" t="inlineStr">
        <is>
          <t>M</t>
        </is>
      </c>
      <c r="E73" s="66" t="n"/>
      <c r="F73" s="66" t="inlineStr">
        <is>
          <t>Y</t>
        </is>
      </c>
      <c r="G73" s="34" t="n">
        <v>97.8</v>
      </c>
      <c r="H73" s="34" t="n">
        <v>101</v>
      </c>
      <c r="I73" s="67">
        <f>IF(ISNUMBER(tblY11[[#This Row],[Avg KS2]]),IFERROR(VLOOKUP(ROUND(STANDARDIZE(tblY11[[#This Row],[Avg KS2]],AVERAGE(tblY11[[Avg KS2]]),_xlfn.STDEV.P(tblY11[[Avg KS2]])),9),_Stanine,2),5),"")</f>
        <v>4</v>
      </c>
      <c r="J73" s="66" t="inlineStr">
        <is>
          <t>11S/Sc3</t>
        </is>
      </c>
      <c r="K73" s="67">
        <f>IF(tblY11[[#This Row],[Preferred Last name]]="","",COUNTIFS($N$1:$ZZ$1,"*"&amp;CHAR(10)&amp;"Stanine",$N73:$ZZ73,"&gt;=1"))</f>
        <v>6</v>
      </c>
      <c r="L73" s="68">
        <f>IFERROR(AVERAGEIF($N$1:$ZZ$1,"*"&amp;CHAR(10)&amp;"Stanine",$N73:$ZZ73),"")</f>
        <v>3.66666666666667</v>
      </c>
      <c r="M73" s="69">
        <f>IF(AND(ISNUMBER(tblY11[[#This Row],[Mean Stanine]]),ISNUMBER(tblY11[[#This Row],[Avg KS2 Band]]),ISNUMBER(SlopeY11)),tblY11[[#This Row],[Mean Stanine]]-(InterceptY11+SlopeY11*tblY11[[#This Row],[Avg KS2 Band]]),"")</f>
        <v>-0.537168109668109</v>
      </c>
      <c r="N73" s="66" t="n">
        <v>10</v>
      </c>
      <c r="O73" s="67">
        <f>IF(ISNUMBER(tblY11[[#This Row],[4B05 - Homeostasis
Raw Score]]),IFERROR(VLOOKUP(ROUND(STANDARDIZE(tblY11[[#This Row],[4B05 - Homeostasis
Raw Score]],AVERAGE(tblY11[[4B05 - Homeostasis
Raw Score]]),_xlfn.STDEV.P(tblY11[[4B05 - Homeostasis
Raw Score]])),9),_Stanine,2),5),"")</f>
        <v>2</v>
      </c>
      <c r="P73" s="66" t="n">
        <v>13</v>
      </c>
      <c r="Q73" s="67">
        <f>IF(ISNUMBER(tblY11[[#This Row],[4C09 - Organic Chemistry
Raw Score]]),IFERROR(VLOOKUP(ROUND(STANDARDIZE(tblY11[[#This Row],[4C09 - Organic Chemistry
Raw Score]],AVERAGE(tblY11[[4C09 - Organic Chemistry
Raw Score]]),_xlfn.STDEV.P(tblY11[[4C09 - Organic Chemistry
Raw Score]])),9),_Stanine,2),5),"")</f>
        <v>4</v>
      </c>
      <c r="R73" s="66" t="n">
        <v>14</v>
      </c>
      <c r="S73" s="67">
        <f>IF(ISNUMBER(tblY11[[#This Row],[4P06 - Waves
Raw Score]]),IFERROR(VLOOKUP(ROUND(STANDARDIZE(tblY11[[#This Row],[4P06 - Waves
Raw Score]],AVERAGE(tblY11[[4P06 - Waves
Raw Score]]),_xlfn.STDEV.P(tblY11[[4P06 - Waves
Raw Score]])),9),_Stanine,2),5),"")</f>
        <v>3</v>
      </c>
      <c r="T73" s="66" t="n">
        <v>14</v>
      </c>
      <c r="U73" s="67">
        <f>IF(ISNUMBER(tblY11[[#This Row],[4B06 - Inheritance
Raw Score]]),IFERROR(VLOOKUP(ROUND(STANDARDIZE(tblY11[[#This Row],[4B06 - Inheritance
Raw Score]],AVERAGE(tblY11[[4B06 - Inheritance
Raw Score]]),_xlfn.STDEV.P(tblY11[[4B06 - Inheritance
Raw Score]])),9),_Stanine,2),5),"")</f>
        <v>4</v>
      </c>
      <c r="V73" s="66" t="n">
        <v>12</v>
      </c>
      <c r="W73" s="67">
        <f>IF(ISNUMBER(tblY11[[#This Row],[4C10 - Chemical Analysis
Raw Score]]),IFERROR(VLOOKUP(ROUND(STANDARDIZE(tblY11[[#This Row],[4C10 - Chemical Analysis
Raw Score]],AVERAGE(tblY11[[4C10 - Chemical Analysis
Raw Score]]),_xlfn.STDEV.P(tblY11[[4C10 - Chemical Analysis
Raw Score]])),9),_Stanine,2),5),"")</f>
        <v>4</v>
      </c>
      <c r="X73" s="66" t="n">
        <v>16</v>
      </c>
      <c r="Y73" s="67">
        <f>IF(ISNUMBER(tblY11[[#This Row],[4P07 - Magnetism
Raw Score]]),IFERROR(VLOOKUP(ROUND(STANDARDIZE(tblY11[[#This Row],[4P07 - Magnetism
Raw Score]],AVERAGE(tblY11[[4P07 - Magnetism
Raw Score]]),_xlfn.STDEV.P(tblY11[[4P07 - Magnetism
Raw Score]])),9),_Stanine,2),5),"")</f>
        <v>5</v>
      </c>
    </row>
    <row r="74">
      <c r="A74" s="65" t="inlineStr">
        <is>
          <t>X900004421283</t>
        </is>
      </c>
      <c r="B74" s="65" t="inlineStr">
        <is>
          <t>Shaw</t>
        </is>
      </c>
      <c r="C74" s="65" t="inlineStr">
        <is>
          <t>Ethan</t>
        </is>
      </c>
      <c r="D74" s="66" t="inlineStr">
        <is>
          <t>F</t>
        </is>
      </c>
      <c r="E74" s="66" t="inlineStr">
        <is>
          <t>N</t>
        </is>
      </c>
      <c r="F74" s="66" t="inlineStr">
        <is>
          <t>N</t>
        </is>
      </c>
      <c r="G74" s="34" t="n">
        <v>97.2</v>
      </c>
      <c r="H74" s="34" t="n">
        <v>102.5</v>
      </c>
      <c r="I74" s="67">
        <f>IF(ISNUMBER(tblY11[[#This Row],[Avg KS2]]),IFERROR(VLOOKUP(ROUND(STANDARDIZE(tblY11[[#This Row],[Avg KS2]],AVERAGE(tblY11[[Avg KS2]]),_xlfn.STDEV.P(tblY11[[Avg KS2]])),9),_Stanine,2),5),"")</f>
        <v>4</v>
      </c>
      <c r="J74" s="66" t="inlineStr">
        <is>
          <t>11S/Sc3</t>
        </is>
      </c>
      <c r="K74" s="67">
        <f>IF(tblY11[[#This Row],[Preferred Last name]]="","",COUNTIFS($N$1:$ZZ$1,"*"&amp;CHAR(10)&amp;"Stanine",$N74:$ZZ74,"&gt;=1"))</f>
        <v>5</v>
      </c>
      <c r="L74" s="68">
        <f>IFERROR(AVERAGEIF($N$1:$ZZ$1,"*"&amp;CHAR(10)&amp;"Stanine",$N74:$ZZ74),"")</f>
        <v>5</v>
      </c>
      <c r="M74" s="69">
        <f>IF(AND(ISNUMBER(tblY11[[#This Row],[Mean Stanine]]),ISNUMBER(tblY11[[#This Row],[Avg KS2 Band]]),ISNUMBER(SlopeY11)),tblY11[[#This Row],[Mean Stanine]]-(InterceptY11+SlopeY11*tblY11[[#This Row],[Avg KS2 Band]]),"")</f>
        <v>0.796165223665224</v>
      </c>
      <c r="N74" s="66" t="n">
        <v>17</v>
      </c>
      <c r="O74" s="67">
        <f>IF(ISNUMBER(tblY11[[#This Row],[4B05 - Homeostasis
Raw Score]]),IFERROR(VLOOKUP(ROUND(STANDARDIZE(tblY11[[#This Row],[4B05 - Homeostasis
Raw Score]],AVERAGE(tblY11[[4B05 - Homeostasis
Raw Score]]),_xlfn.STDEV.P(tblY11[[4B05 - Homeostasis
Raw Score]])),9),_Stanine,2),5),"")</f>
        <v>4</v>
      </c>
      <c r="P74" s="66" t="inlineStr">
        <is>
          <t>A</t>
        </is>
      </c>
      <c r="Q74" s="67" t="str">
        <f>IF(ISNUMBER(tblY11[[#This Row],[4C09 - Organic Chemistry
Raw Score]]),IFERROR(VLOOKUP(ROUND(STANDARDIZE(tblY11[[#This Row],[4C09 - Organic Chemistry
Raw Score]],AVERAGE(tblY11[[4C09 - Organic Chemistry
Raw Score]]),_xlfn.STDEV.P(tblY11[[4C09 - Organic Chemistry
Raw Score]])),9),_Stanine,2),5),"")</f>
        <v/>
      </c>
      <c r="R74" s="66" t="n">
        <v>22</v>
      </c>
      <c r="S74" s="67">
        <f>IF(ISNUMBER(tblY11[[#This Row],[4P06 - Waves
Raw Score]]),IFERROR(VLOOKUP(ROUND(STANDARDIZE(tblY11[[#This Row],[4P06 - Waves
Raw Score]],AVERAGE(tblY11[[4P06 - Waves
Raw Score]]),_xlfn.STDEV.P(tblY11[[4P06 - Waves
Raw Score]])),9),_Stanine,2),5),"")</f>
        <v>5</v>
      </c>
      <c r="T74" s="66" t="n">
        <v>17</v>
      </c>
      <c r="U74" s="67">
        <f>IF(ISNUMBER(tblY11[[#This Row],[4B06 - Inheritance
Raw Score]]),IFERROR(VLOOKUP(ROUND(STANDARDIZE(tblY11[[#This Row],[4B06 - Inheritance
Raw Score]],AVERAGE(tblY11[[4B06 - Inheritance
Raw Score]]),_xlfn.STDEV.P(tblY11[[4B06 - Inheritance
Raw Score]])),9),_Stanine,2),5),"")</f>
        <v>5</v>
      </c>
      <c r="V74" s="66" t="n">
        <v>15</v>
      </c>
      <c r="W74" s="67">
        <f>IF(ISNUMBER(tblY11[[#This Row],[4C10 - Chemical Analysis
Raw Score]]),IFERROR(VLOOKUP(ROUND(STANDARDIZE(tblY11[[#This Row],[4C10 - Chemical Analysis
Raw Score]],AVERAGE(tblY11[[4C10 - Chemical Analysis
Raw Score]]),_xlfn.STDEV.P(tblY11[[4C10 - Chemical Analysis
Raw Score]])),9),_Stanine,2),5),"")</f>
        <v>5</v>
      </c>
      <c r="X74" s="66" t="n">
        <v>19</v>
      </c>
      <c r="Y74" s="67">
        <f>IF(ISNUMBER(tblY11[[#This Row],[4P07 - Magnetism
Raw Score]]),IFERROR(VLOOKUP(ROUND(STANDARDIZE(tblY11[[#This Row],[4P07 - Magnetism
Raw Score]],AVERAGE(tblY11[[4P07 - Magnetism
Raw Score]]),_xlfn.STDEV.P(tblY11[[4P07 - Magnetism
Raw Score]])),9),_Stanine,2),5),"")</f>
        <v>6</v>
      </c>
    </row>
    <row r="75">
      <c r="A75" s="65" t="inlineStr">
        <is>
          <t>X906202768174</t>
        </is>
      </c>
      <c r="B75" s="65" t="inlineStr">
        <is>
          <t>Taylor</t>
        </is>
      </c>
      <c r="C75" s="65" t="inlineStr">
        <is>
          <t>Nia</t>
        </is>
      </c>
      <c r="D75" s="66" t="inlineStr">
        <is>
          <t>F</t>
        </is>
      </c>
      <c r="E75" s="66" t="inlineStr">
        <is>
          <t>N</t>
        </is>
      </c>
      <c r="F75" s="66" t="inlineStr">
        <is>
          <t>Y</t>
        </is>
      </c>
      <c r="G75" s="34" t="n">
        <v>97.59999999999999</v>
      </c>
      <c r="H75" s="34" t="n">
        <v>105</v>
      </c>
      <c r="I75" s="67">
        <f>IF(ISNUMBER(tblY11[[#This Row],[Avg KS2]]),IFERROR(VLOOKUP(ROUND(STANDARDIZE(tblY11[[#This Row],[Avg KS2]],AVERAGE(tblY11[[Avg KS2]]),_xlfn.STDEV.P(tblY11[[Avg KS2]])),9),_Stanine,2),5),"")</f>
        <v>5</v>
      </c>
      <c r="J75" s="66" t="inlineStr">
        <is>
          <t>11S/Sc3</t>
        </is>
      </c>
      <c r="K75" s="67">
        <f>IF(tblY11[[#This Row],[Preferred Last name]]="","",COUNTIFS($N$1:$ZZ$1,"*"&amp;CHAR(10)&amp;"Stanine",$N75:$ZZ75,"&gt;=1"))</f>
        <v>6</v>
      </c>
      <c r="L75" s="68">
        <f>IFERROR(AVERAGEIF($N$1:$ZZ$1,"*"&amp;CHAR(10)&amp;"Stanine",$N75:$ZZ75),"")</f>
        <v>4.66666666666667</v>
      </c>
      <c r="M75" s="69">
        <f>IF(AND(ISNUMBER(tblY11[[#This Row],[Mean Stanine]]),ISNUMBER(tblY11[[#This Row],[Avg KS2 Band]]),ISNUMBER(SlopeY11)),tblY11[[#This Row],[Mean Stanine]]-(InterceptY11+SlopeY11*tblY11[[#This Row],[Avg KS2 Band]]),"")</f>
        <v>-0.286031746031745</v>
      </c>
      <c r="N75" s="66" t="n">
        <v>17</v>
      </c>
      <c r="O75" s="67">
        <f>IF(ISNUMBER(tblY11[[#This Row],[4B05 - Homeostasis
Raw Score]]),IFERROR(VLOOKUP(ROUND(STANDARDIZE(tblY11[[#This Row],[4B05 - Homeostasis
Raw Score]],AVERAGE(tblY11[[4B05 - Homeostasis
Raw Score]]),_xlfn.STDEV.P(tblY11[[4B05 - Homeostasis
Raw Score]])),9),_Stanine,2),5),"")</f>
        <v>4</v>
      </c>
      <c r="P75" s="66" t="n">
        <v>16</v>
      </c>
      <c r="Q75" s="67">
        <f>IF(ISNUMBER(tblY11[[#This Row],[4C09 - Organic Chemistry
Raw Score]]),IFERROR(VLOOKUP(ROUND(STANDARDIZE(tblY11[[#This Row],[4C09 - Organic Chemistry
Raw Score]],AVERAGE(tblY11[[4C09 - Organic Chemistry
Raw Score]]),_xlfn.STDEV.P(tblY11[[4C09 - Organic Chemistry
Raw Score]])),9),_Stanine,2),5),"")</f>
        <v>5</v>
      </c>
      <c r="R75" s="66" t="n">
        <v>21</v>
      </c>
      <c r="S75" s="67">
        <f>IF(ISNUMBER(tblY11[[#This Row],[4P06 - Waves
Raw Score]]),IFERROR(VLOOKUP(ROUND(STANDARDIZE(tblY11[[#This Row],[4P06 - Waves
Raw Score]],AVERAGE(tblY11[[4P06 - Waves
Raw Score]]),_xlfn.STDEV.P(tblY11[[4P06 - Waves
Raw Score]])),9),_Stanine,2),5),"")</f>
        <v>5</v>
      </c>
      <c r="T75" s="66" t="n">
        <v>18</v>
      </c>
      <c r="U75" s="67">
        <f>IF(ISNUMBER(tblY11[[#This Row],[4B06 - Inheritance
Raw Score]]),IFERROR(VLOOKUP(ROUND(STANDARDIZE(tblY11[[#This Row],[4B06 - Inheritance
Raw Score]],AVERAGE(tblY11[[4B06 - Inheritance
Raw Score]]),_xlfn.STDEV.P(tblY11[[4B06 - Inheritance
Raw Score]])),9),_Stanine,2),5),"")</f>
        <v>5</v>
      </c>
      <c r="V75" s="66" t="n">
        <v>11</v>
      </c>
      <c r="W75" s="67">
        <f>IF(ISNUMBER(tblY11[[#This Row],[4C10 - Chemical Analysis
Raw Score]]),IFERROR(VLOOKUP(ROUND(STANDARDIZE(tblY11[[#This Row],[4C10 - Chemical Analysis
Raw Score]],AVERAGE(tblY11[[4C10 - Chemical Analysis
Raw Score]]),_xlfn.STDEV.P(tblY11[[4C10 - Chemical Analysis
Raw Score]])),9),_Stanine,2),5),"")</f>
        <v>4</v>
      </c>
      <c r="X75" s="66" t="n">
        <v>16</v>
      </c>
      <c r="Y75" s="67">
        <f>IF(ISNUMBER(tblY11[[#This Row],[4P07 - Magnetism
Raw Score]]),IFERROR(VLOOKUP(ROUND(STANDARDIZE(tblY11[[#This Row],[4P07 - Magnetism
Raw Score]],AVERAGE(tblY11[[4P07 - Magnetism
Raw Score]]),_xlfn.STDEV.P(tblY11[[4P07 - Magnetism
Raw Score]])),9),_Stanine,2),5),"")</f>
        <v>5</v>
      </c>
    </row>
    <row r="76">
      <c r="A76" s="65" t="inlineStr">
        <is>
          <t>X905700888686</t>
        </is>
      </c>
      <c r="B76" s="65" t="inlineStr">
        <is>
          <t>White</t>
        </is>
      </c>
      <c r="C76" s="65" t="inlineStr">
        <is>
          <t>Lily</t>
        </is>
      </c>
      <c r="D76" s="66" t="inlineStr">
        <is>
          <t>F</t>
        </is>
      </c>
      <c r="E76" s="66" t="n"/>
      <c r="F76" s="66" t="inlineStr">
        <is>
          <t>N</t>
        </is>
      </c>
      <c r="G76" s="34" t="n">
        <v>97</v>
      </c>
      <c r="H76" s="34" t="n">
        <v>110.5</v>
      </c>
      <c r="I76" s="67">
        <f>IF(ISNUMBER(tblY11[[#This Row],[Avg KS2]]),IFERROR(VLOOKUP(ROUND(STANDARDIZE(tblY11[[#This Row],[Avg KS2]],AVERAGE(tblY11[[Avg KS2]]),_xlfn.STDEV.P(tblY11[[Avg KS2]])),9),_Stanine,2),5),"")</f>
        <v>7</v>
      </c>
      <c r="J76" s="66" t="inlineStr">
        <is>
          <t>11S/Sc3</t>
        </is>
      </c>
      <c r="K76" s="67">
        <f>IF(tblY11[[#This Row],[Preferred Last name]]="","",COUNTIFS($N$1:$ZZ$1,"*"&amp;CHAR(10)&amp;"Stanine",$N76:$ZZ76,"&gt;=1"))</f>
        <v>6</v>
      </c>
      <c r="L76" s="68">
        <f>IFERROR(AVERAGEIF($N$1:$ZZ$1,"*"&amp;CHAR(10)&amp;"Stanine",$N76:$ZZ76),"")</f>
        <v>7.16666666666667</v>
      </c>
      <c r="M76" s="69">
        <f>IF(AND(ISNUMBER(tblY11[[#This Row],[Mean Stanine]]),ISNUMBER(tblY11[[#This Row],[Avg KS2 Band]]),ISNUMBER(SlopeY11)),tblY11[[#This Row],[Mean Stanine]]-(InterceptY11+SlopeY11*tblY11[[#This Row],[Avg KS2 Band]]),"")</f>
        <v>0.716240981240982</v>
      </c>
      <c r="N76" s="66" t="n">
        <v>30</v>
      </c>
      <c r="O76" s="67">
        <f>IF(ISNUMBER(tblY11[[#This Row],[4B05 - Homeostasis
Raw Score]]),IFERROR(VLOOKUP(ROUND(STANDARDIZE(tblY11[[#This Row],[4B05 - Homeostasis
Raw Score]],AVERAGE(tblY11[[4B05 - Homeostasis
Raw Score]]),_xlfn.STDEV.P(tblY11[[4B05 - Homeostasis
Raw Score]])),9),_Stanine,2),5),"")</f>
        <v>7</v>
      </c>
      <c r="P76" s="66" t="n">
        <v>26</v>
      </c>
      <c r="Q76" s="67">
        <f>IF(ISNUMBER(tblY11[[#This Row],[4C09 - Organic Chemistry
Raw Score]]),IFERROR(VLOOKUP(ROUND(STANDARDIZE(tblY11[[#This Row],[4C09 - Organic Chemistry
Raw Score]],AVERAGE(tblY11[[4C09 - Organic Chemistry
Raw Score]]),_xlfn.STDEV.P(tblY11[[4C09 - Organic Chemistry
Raw Score]])),9),_Stanine,2),5),"")</f>
        <v>8</v>
      </c>
      <c r="R76" s="66" t="n">
        <v>31</v>
      </c>
      <c r="S76" s="67">
        <f>IF(ISNUMBER(tblY11[[#This Row],[4P06 - Waves
Raw Score]]),IFERROR(VLOOKUP(ROUND(STANDARDIZE(tblY11[[#This Row],[4P06 - Waves
Raw Score]],AVERAGE(tblY11[[4P06 - Waves
Raw Score]]),_xlfn.STDEV.P(tblY11[[4P06 - Waves
Raw Score]])),9),_Stanine,2),5),"")</f>
        <v>7</v>
      </c>
      <c r="T76" s="66" t="n">
        <v>32</v>
      </c>
      <c r="U76" s="67">
        <f>IF(ISNUMBER(tblY11[[#This Row],[4B06 - Inheritance
Raw Score]]),IFERROR(VLOOKUP(ROUND(STANDARDIZE(tblY11[[#This Row],[4B06 - Inheritance
Raw Score]],AVERAGE(tblY11[[4B06 - Inheritance
Raw Score]]),_xlfn.STDEV.P(tblY11[[4B06 - Inheritance
Raw Score]])),9),_Stanine,2),5),"")</f>
        <v>8</v>
      </c>
      <c r="V76" s="66" t="n">
        <v>17</v>
      </c>
      <c r="W76" s="67">
        <f>IF(ISNUMBER(tblY11[[#This Row],[4C10 - Chemical Analysis
Raw Score]]),IFERROR(VLOOKUP(ROUND(STANDARDIZE(tblY11[[#This Row],[4C10 - Chemical Analysis
Raw Score]],AVERAGE(tblY11[[4C10 - Chemical Analysis
Raw Score]]),_xlfn.STDEV.P(tblY11[[4C10 - Chemical Analysis
Raw Score]])),9),_Stanine,2),5),"")</f>
        <v>6</v>
      </c>
      <c r="X76" s="66" t="n">
        <v>23</v>
      </c>
      <c r="Y76" s="67">
        <f>IF(ISNUMBER(tblY11[[#This Row],[4P07 - Magnetism
Raw Score]]),IFERROR(VLOOKUP(ROUND(STANDARDIZE(tblY11[[#This Row],[4P07 - Magnetism
Raw Score]],AVERAGE(tblY11[[4P07 - Magnetism
Raw Score]]),_xlfn.STDEV.P(tblY11[[4P07 - Magnetism
Raw Score]])),9),_Stanine,2),5),"")</f>
        <v>7</v>
      </c>
    </row>
    <row r="77">
      <c r="A77" s="65" t="inlineStr">
        <is>
          <t>X908398747452</t>
        </is>
      </c>
      <c r="B77" s="65" t="inlineStr">
        <is>
          <t>Adeyemi</t>
        </is>
      </c>
      <c r="C77" s="65" t="inlineStr">
        <is>
          <t>Isla</t>
        </is>
      </c>
      <c r="D77" s="66" t="inlineStr">
        <is>
          <t>F</t>
        </is>
      </c>
      <c r="E77" s="66" t="inlineStr">
        <is>
          <t>N</t>
        </is>
      </c>
      <c r="F77" s="66" t="inlineStr">
        <is>
          <t>N</t>
        </is>
      </c>
      <c r="G77" s="34" t="n">
        <v>91.8</v>
      </c>
      <c r="H77" s="34" t="n">
        <v>100</v>
      </c>
      <c r="I77" s="67">
        <f>IF(ISNUMBER(tblY11[[#This Row],[Avg KS2]]),IFERROR(VLOOKUP(ROUND(STANDARDIZE(tblY11[[#This Row],[Avg KS2]],AVERAGE(tblY11[[Avg KS2]]),_xlfn.STDEV.P(tblY11[[Avg KS2]])),9),_Stanine,2),5),"")</f>
        <v>4</v>
      </c>
      <c r="J77" s="66" t="inlineStr">
        <is>
          <t>11S/Sc4</t>
        </is>
      </c>
      <c r="K77" s="67">
        <f>IF(tblY11[[#This Row],[Preferred Last name]]="","",COUNTIFS($N$1:$ZZ$1,"*"&amp;CHAR(10)&amp;"Stanine",$N77:$ZZ77,"&gt;=1"))</f>
        <v>6</v>
      </c>
      <c r="L77" s="68">
        <f>IFERROR(AVERAGEIF($N$1:$ZZ$1,"*"&amp;CHAR(10)&amp;"Stanine",$N77:$ZZ77),"")</f>
        <v>3.66666666666667</v>
      </c>
      <c r="M77" s="69">
        <f>IF(AND(ISNUMBER(tblY11[[#This Row],[Mean Stanine]]),ISNUMBER(tblY11[[#This Row],[Avg KS2 Band]]),ISNUMBER(SlopeY11)),tblY11[[#This Row],[Mean Stanine]]-(InterceptY11+SlopeY11*tblY11[[#This Row],[Avg KS2 Band]]),"")</f>
        <v>-0.537168109668109</v>
      </c>
      <c r="N77" s="66" t="n">
        <v>11</v>
      </c>
      <c r="O77" s="67">
        <f>IF(ISNUMBER(tblY11[[#This Row],[4B05 - Homeostasis
Raw Score]]),IFERROR(VLOOKUP(ROUND(STANDARDIZE(tblY11[[#This Row],[4B05 - Homeostasis
Raw Score]],AVERAGE(tblY11[[4B05 - Homeostasis
Raw Score]]),_xlfn.STDEV.P(tblY11[[4B05 - Homeostasis
Raw Score]])),9),_Stanine,2),5),"")</f>
        <v>3</v>
      </c>
      <c r="P77" s="66" t="n">
        <v>9</v>
      </c>
      <c r="Q77" s="67">
        <f>IF(ISNUMBER(tblY11[[#This Row],[4C09 - Organic Chemistry
Raw Score]]),IFERROR(VLOOKUP(ROUND(STANDARDIZE(tblY11[[#This Row],[4C09 - Organic Chemistry
Raw Score]],AVERAGE(tblY11[[4C09 - Organic Chemistry
Raw Score]]),_xlfn.STDEV.P(tblY11[[4C09 - Organic Chemistry
Raw Score]])),9),_Stanine,2),5),"")</f>
        <v>3</v>
      </c>
      <c r="R77" s="66" t="n">
        <v>13</v>
      </c>
      <c r="S77" s="67">
        <f>IF(ISNUMBER(tblY11[[#This Row],[4P06 - Waves
Raw Score]]),IFERROR(VLOOKUP(ROUND(STANDARDIZE(tblY11[[#This Row],[4P06 - Waves
Raw Score]],AVERAGE(tblY11[[4P06 - Waves
Raw Score]]),_xlfn.STDEV.P(tblY11[[4P06 - Waves
Raw Score]])),9),_Stanine,2),5),"")</f>
        <v>3</v>
      </c>
      <c r="T77" s="66" t="n">
        <v>12</v>
      </c>
      <c r="U77" s="67">
        <f>IF(ISNUMBER(tblY11[[#This Row],[4B06 - Inheritance
Raw Score]]),IFERROR(VLOOKUP(ROUND(STANDARDIZE(tblY11[[#This Row],[4B06 - Inheritance
Raw Score]],AVERAGE(tblY11[[4B06 - Inheritance
Raw Score]]),_xlfn.STDEV.P(tblY11[[4B06 - Inheritance
Raw Score]])),9),_Stanine,2),5),"")</f>
        <v>4</v>
      </c>
      <c r="V77" s="66" t="n">
        <v>11</v>
      </c>
      <c r="W77" s="67">
        <f>IF(ISNUMBER(tblY11[[#This Row],[4C10 - Chemical Analysis
Raw Score]]),IFERROR(VLOOKUP(ROUND(STANDARDIZE(tblY11[[#This Row],[4C10 - Chemical Analysis
Raw Score]],AVERAGE(tblY11[[4C10 - Chemical Analysis
Raw Score]]),_xlfn.STDEV.P(tblY11[[4C10 - Chemical Analysis
Raw Score]])),9),_Stanine,2),5),"")</f>
        <v>4</v>
      </c>
      <c r="X77" s="66" t="n">
        <v>15</v>
      </c>
      <c r="Y77" s="67">
        <f>IF(ISNUMBER(tblY11[[#This Row],[4P07 - Magnetism
Raw Score]]),IFERROR(VLOOKUP(ROUND(STANDARDIZE(tblY11[[#This Row],[4P07 - Magnetism
Raw Score]],AVERAGE(tblY11[[4P07 - Magnetism
Raw Score]]),_xlfn.STDEV.P(tblY11[[4P07 - Magnetism
Raw Score]])),9),_Stanine,2),5),"")</f>
        <v>5</v>
      </c>
    </row>
    <row r="78">
      <c r="A78" s="65" t="inlineStr">
        <is>
          <t>X909045378163</t>
        </is>
      </c>
      <c r="B78" s="65" t="inlineStr">
        <is>
          <t>Ahmed</t>
        </is>
      </c>
      <c r="C78" s="65" t="inlineStr">
        <is>
          <t>Maisie</t>
        </is>
      </c>
      <c r="D78" s="66" t="inlineStr">
        <is>
          <t>F</t>
        </is>
      </c>
      <c r="E78" s="66" t="inlineStr">
        <is>
          <t>K</t>
        </is>
      </c>
      <c r="F78" s="66" t="inlineStr">
        <is>
          <t>Y</t>
        </is>
      </c>
      <c r="G78" s="34" t="n">
        <v>100</v>
      </c>
      <c r="H78" s="34" t="n">
        <v>97</v>
      </c>
      <c r="I78" s="67">
        <f>IF(ISNUMBER(tblY11[[#This Row],[Avg KS2]]),IFERROR(VLOOKUP(ROUND(STANDARDIZE(tblY11[[#This Row],[Avg KS2]],AVERAGE(tblY11[[Avg KS2]]),_xlfn.STDEV.P(tblY11[[Avg KS2]])),9),_Stanine,2),5),"")</f>
        <v>3</v>
      </c>
      <c r="J78" s="66" t="inlineStr">
        <is>
          <t>11S/Sc4</t>
        </is>
      </c>
      <c r="K78" s="67">
        <f>IF(tblY11[[#This Row],[Preferred Last name]]="","",COUNTIFS($N$1:$ZZ$1,"*"&amp;CHAR(10)&amp;"Stanine",$N78:$ZZ78,"&gt;=1"))</f>
        <v>6</v>
      </c>
      <c r="L78" s="68">
        <f>IFERROR(AVERAGEIF($N$1:$ZZ$1,"*"&amp;CHAR(10)&amp;"Stanine",$N78:$ZZ78),"")</f>
        <v>2.16666666666667</v>
      </c>
      <c r="M78" s="69">
        <f>IF(AND(ISNUMBER(tblY11[[#This Row],[Mean Stanine]]),ISNUMBER(tblY11[[#This Row],[Avg KS2 Band]]),ISNUMBER(SlopeY11)),tblY11[[#This Row],[Mean Stanine]]-(InterceptY11+SlopeY11*tblY11[[#This Row],[Avg KS2 Band]]),"")</f>
        <v>-1.28830447330447</v>
      </c>
      <c r="N78" s="66" t="n">
        <v>11</v>
      </c>
      <c r="O78" s="67">
        <f>IF(ISNUMBER(tblY11[[#This Row],[4B05 - Homeostasis
Raw Score]]),IFERROR(VLOOKUP(ROUND(STANDARDIZE(tblY11[[#This Row],[4B05 - Homeostasis
Raw Score]],AVERAGE(tblY11[[4B05 - Homeostasis
Raw Score]]),_xlfn.STDEV.P(tblY11[[4B05 - Homeostasis
Raw Score]])),9),_Stanine,2),5),"")</f>
        <v>3</v>
      </c>
      <c r="P78" s="66" t="n">
        <v>6</v>
      </c>
      <c r="Q78" s="67">
        <f>IF(ISNUMBER(tblY11[[#This Row],[4C09 - Organic Chemistry
Raw Score]]),IFERROR(VLOOKUP(ROUND(STANDARDIZE(tblY11[[#This Row],[4C09 - Organic Chemistry
Raw Score]],AVERAGE(tblY11[[4C09 - Organic Chemistry
Raw Score]]),_xlfn.STDEV.P(tblY11[[4C09 - Organic Chemistry
Raw Score]])),9),_Stanine,2),5),"")</f>
        <v>2</v>
      </c>
      <c r="R78" s="66" t="n">
        <v>7</v>
      </c>
      <c r="S78" s="67">
        <f>IF(ISNUMBER(tblY11[[#This Row],[4P06 - Waves
Raw Score]]),IFERROR(VLOOKUP(ROUND(STANDARDIZE(tblY11[[#This Row],[4P06 - Waves
Raw Score]],AVERAGE(tblY11[[4P06 - Waves
Raw Score]]),_xlfn.STDEV.P(tblY11[[4P06 - Waves
Raw Score]])),9),_Stanine,2),5),"")</f>
        <v>2</v>
      </c>
      <c r="T78" s="66" t="n">
        <v>4</v>
      </c>
      <c r="U78" s="67">
        <f>IF(ISNUMBER(tblY11[[#This Row],[4B06 - Inheritance
Raw Score]]),IFERROR(VLOOKUP(ROUND(STANDARDIZE(tblY11[[#This Row],[4B06 - Inheritance
Raw Score]],AVERAGE(tblY11[[4B06 - Inheritance
Raw Score]]),_xlfn.STDEV.P(tblY11[[4B06 - Inheritance
Raw Score]])),9),_Stanine,2),5),"")</f>
        <v>2</v>
      </c>
      <c r="V78" s="66" t="n">
        <v>4</v>
      </c>
      <c r="W78" s="67">
        <f>IF(ISNUMBER(tblY11[[#This Row],[4C10 - Chemical Analysis
Raw Score]]),IFERROR(VLOOKUP(ROUND(STANDARDIZE(tblY11[[#This Row],[4C10 - Chemical Analysis
Raw Score]],AVERAGE(tblY11[[4C10 - Chemical Analysis
Raw Score]]),_xlfn.STDEV.P(tblY11[[4C10 - Chemical Analysis
Raw Score]])),9),_Stanine,2),5),"")</f>
        <v>2</v>
      </c>
      <c r="X78" s="66" t="n">
        <v>4</v>
      </c>
      <c r="Y78" s="67">
        <f>IF(ISNUMBER(tblY11[[#This Row],[4P07 - Magnetism
Raw Score]]),IFERROR(VLOOKUP(ROUND(STANDARDIZE(tblY11[[#This Row],[4P07 - Magnetism
Raw Score]],AVERAGE(tblY11[[4P07 - Magnetism
Raw Score]]),_xlfn.STDEV.P(tblY11[[4P07 - Magnetism
Raw Score]])),9),_Stanine,2),5),"")</f>
        <v>2</v>
      </c>
    </row>
    <row r="79">
      <c r="A79" s="65" t="inlineStr">
        <is>
          <t>X908334606435</t>
        </is>
      </c>
      <c r="B79" s="65" t="inlineStr">
        <is>
          <t>Cooper</t>
        </is>
      </c>
      <c r="C79" s="65" t="inlineStr">
        <is>
          <t>Amelia</t>
        </is>
      </c>
      <c r="D79" s="66" t="inlineStr">
        <is>
          <t>F</t>
        </is>
      </c>
      <c r="E79" s="66" t="inlineStr">
        <is>
          <t>N</t>
        </is>
      </c>
      <c r="F79" s="66" t="inlineStr">
        <is>
          <t>N</t>
        </is>
      </c>
      <c r="G79" s="34" t="n">
        <v>86.3</v>
      </c>
      <c r="H79" s="34" t="n">
        <v>105.5</v>
      </c>
      <c r="I79" s="67">
        <f>IF(ISNUMBER(tblY11[[#This Row],[Avg KS2]]),IFERROR(VLOOKUP(ROUND(STANDARDIZE(tblY11[[#This Row],[Avg KS2]],AVERAGE(tblY11[[Avg KS2]]),_xlfn.STDEV.P(tblY11[[Avg KS2]])),9),_Stanine,2),5),"")</f>
        <v>5</v>
      </c>
      <c r="J79" s="66" t="inlineStr">
        <is>
          <t>11S/Sc4</t>
        </is>
      </c>
      <c r="K79" s="67">
        <f>IF(tblY11[[#This Row],[Preferred Last name]]="","",COUNTIFS($N$1:$ZZ$1,"*"&amp;CHAR(10)&amp;"Stanine",$N79:$ZZ79,"&gt;=1"))</f>
        <v>6</v>
      </c>
      <c r="L79" s="68">
        <f>IFERROR(AVERAGEIF($N$1:$ZZ$1,"*"&amp;CHAR(10)&amp;"Stanine",$N79:$ZZ79),"")</f>
        <v>4.66666666666667</v>
      </c>
      <c r="M79" s="69">
        <f>IF(AND(ISNUMBER(tblY11[[#This Row],[Mean Stanine]]),ISNUMBER(tblY11[[#This Row],[Avg KS2 Band]]),ISNUMBER(SlopeY11)),tblY11[[#This Row],[Mean Stanine]]-(InterceptY11+SlopeY11*tblY11[[#This Row],[Avg KS2 Band]]),"")</f>
        <v>-0.286031746031745</v>
      </c>
      <c r="N79" s="66" t="n">
        <v>15</v>
      </c>
      <c r="O79" s="67">
        <f>IF(ISNUMBER(tblY11[[#This Row],[4B05 - Homeostasis
Raw Score]]),IFERROR(VLOOKUP(ROUND(STANDARDIZE(tblY11[[#This Row],[4B05 - Homeostasis
Raw Score]],AVERAGE(tblY11[[4B05 - Homeostasis
Raw Score]]),_xlfn.STDEV.P(tblY11[[4B05 - Homeostasis
Raw Score]])),9),_Stanine,2),5),"")</f>
        <v>4</v>
      </c>
      <c r="P79" s="66" t="n">
        <v>12</v>
      </c>
      <c r="Q79" s="67">
        <f>IF(ISNUMBER(tblY11[[#This Row],[4C09 - Organic Chemistry
Raw Score]]),IFERROR(VLOOKUP(ROUND(STANDARDIZE(tblY11[[#This Row],[4C09 - Organic Chemistry
Raw Score]],AVERAGE(tblY11[[4C09 - Organic Chemistry
Raw Score]]),_xlfn.STDEV.P(tblY11[[4C09 - Organic Chemistry
Raw Score]])),9),_Stanine,2),5),"")</f>
        <v>4</v>
      </c>
      <c r="R79" s="66" t="n">
        <v>19</v>
      </c>
      <c r="S79" s="67">
        <f>IF(ISNUMBER(tblY11[[#This Row],[4P06 - Waves
Raw Score]]),IFERROR(VLOOKUP(ROUND(STANDARDIZE(tblY11[[#This Row],[4P06 - Waves
Raw Score]],AVERAGE(tblY11[[4P06 - Waves
Raw Score]]),_xlfn.STDEV.P(tblY11[[4P06 - Waves
Raw Score]])),9),_Stanine,2),5),"")</f>
        <v>5</v>
      </c>
      <c r="T79" s="66" t="n">
        <v>18</v>
      </c>
      <c r="U79" s="67">
        <f>IF(ISNUMBER(tblY11[[#This Row],[4B06 - Inheritance
Raw Score]]),IFERROR(VLOOKUP(ROUND(STANDARDIZE(tblY11[[#This Row],[4B06 - Inheritance
Raw Score]],AVERAGE(tblY11[[4B06 - Inheritance
Raw Score]]),_xlfn.STDEV.P(tblY11[[4B06 - Inheritance
Raw Score]])),9),_Stanine,2),5),"")</f>
        <v>5</v>
      </c>
      <c r="V79" s="66" t="n">
        <v>11</v>
      </c>
      <c r="W79" s="67">
        <f>IF(ISNUMBER(tblY11[[#This Row],[4C10 - Chemical Analysis
Raw Score]]),IFERROR(VLOOKUP(ROUND(STANDARDIZE(tblY11[[#This Row],[4C10 - Chemical Analysis
Raw Score]],AVERAGE(tblY11[[4C10 - Chemical Analysis
Raw Score]]),_xlfn.STDEV.P(tblY11[[4C10 - Chemical Analysis
Raw Score]])),9),_Stanine,2),5),"")</f>
        <v>4</v>
      </c>
      <c r="X79" s="66" t="n">
        <v>18</v>
      </c>
      <c r="Y79" s="67">
        <f>IF(ISNUMBER(tblY11[[#This Row],[4P07 - Magnetism
Raw Score]]),IFERROR(VLOOKUP(ROUND(STANDARDIZE(tblY11[[#This Row],[4P07 - Magnetism
Raw Score]],AVERAGE(tblY11[[4P07 - Magnetism
Raw Score]]),_xlfn.STDEV.P(tblY11[[4P07 - Magnetism
Raw Score]])),9),_Stanine,2),5),"")</f>
        <v>6</v>
      </c>
    </row>
    <row r="80">
      <c r="A80" s="65" t="inlineStr">
        <is>
          <t>X903896864651</t>
        </is>
      </c>
      <c r="B80" s="65" t="inlineStr">
        <is>
          <t>Khan</t>
        </is>
      </c>
      <c r="C80" s="65" t="inlineStr">
        <is>
          <t>Zofia</t>
        </is>
      </c>
      <c r="D80" s="66" t="inlineStr">
        <is>
          <t>F</t>
        </is>
      </c>
      <c r="E80" s="66" t="inlineStr">
        <is>
          <t>N</t>
        </is>
      </c>
      <c r="F80" s="66" t="inlineStr">
        <is>
          <t>Y</t>
        </is>
      </c>
      <c r="G80" s="34" t="n">
        <v>89.3</v>
      </c>
      <c r="H80" s="34" t="n">
        <v>102</v>
      </c>
      <c r="I80" s="67">
        <f>IF(ISNUMBER(tblY11[[#This Row],[Avg KS2]]),IFERROR(VLOOKUP(ROUND(STANDARDIZE(tblY11[[#This Row],[Avg KS2]],AVERAGE(tblY11[[Avg KS2]]),_xlfn.STDEV.P(tblY11[[Avg KS2]])),9),_Stanine,2),5),"")</f>
        <v>4</v>
      </c>
      <c r="J80" s="66" t="inlineStr">
        <is>
          <t>11S/Sc4</t>
        </is>
      </c>
      <c r="K80" s="67">
        <f>IF(tblY11[[#This Row],[Preferred Last name]]="","",COUNTIFS($N$1:$ZZ$1,"*"&amp;CHAR(10)&amp;"Stanine",$N80:$ZZ80,"&gt;=1"))</f>
        <v>6</v>
      </c>
      <c r="L80" s="68">
        <f>IFERROR(AVERAGEIF($N$1:$ZZ$1,"*"&amp;CHAR(10)&amp;"Stanine",$N80:$ZZ80),"")</f>
        <v>3.33333333333333</v>
      </c>
      <c r="M80" s="69">
        <f>IF(AND(ISNUMBER(tblY11[[#This Row],[Mean Stanine]]),ISNUMBER(tblY11[[#This Row],[Avg KS2 Band]]),ISNUMBER(SlopeY11)),tblY11[[#This Row],[Mean Stanine]]-(InterceptY11+SlopeY11*tblY11[[#This Row],[Avg KS2 Band]]),"")</f>
        <v>-0.870501443001442</v>
      </c>
      <c r="N80" s="66" t="n">
        <v>14</v>
      </c>
      <c r="O80" s="67">
        <f>IF(ISNUMBER(tblY11[[#This Row],[4B05 - Homeostasis
Raw Score]]),IFERROR(VLOOKUP(ROUND(STANDARDIZE(tblY11[[#This Row],[4B05 - Homeostasis
Raw Score]],AVERAGE(tblY11[[4B05 - Homeostasis
Raw Score]]),_xlfn.STDEV.P(tblY11[[4B05 - Homeostasis
Raw Score]])),9),_Stanine,2),5),"")</f>
        <v>3</v>
      </c>
      <c r="P80" s="66" t="n">
        <v>9</v>
      </c>
      <c r="Q80" s="67">
        <f>IF(ISNUMBER(tblY11[[#This Row],[4C09 - Organic Chemistry
Raw Score]]),IFERROR(VLOOKUP(ROUND(STANDARDIZE(tblY11[[#This Row],[4C09 - Organic Chemistry
Raw Score]],AVERAGE(tblY11[[4C09 - Organic Chemistry
Raw Score]]),_xlfn.STDEV.P(tblY11[[4C09 - Organic Chemistry
Raw Score]])),9),_Stanine,2),5),"")</f>
        <v>3</v>
      </c>
      <c r="R80" s="66" t="n">
        <v>14</v>
      </c>
      <c r="S80" s="67">
        <f>IF(ISNUMBER(tblY11[[#This Row],[4P06 - Waves
Raw Score]]),IFERROR(VLOOKUP(ROUND(STANDARDIZE(tblY11[[#This Row],[4P06 - Waves
Raw Score]],AVERAGE(tblY11[[4P06 - Waves
Raw Score]]),_xlfn.STDEV.P(tblY11[[4P06 - Waves
Raw Score]])),9),_Stanine,2),5),"")</f>
        <v>3</v>
      </c>
      <c r="T80" s="66" t="n">
        <v>15</v>
      </c>
      <c r="U80" s="67">
        <f>IF(ISNUMBER(tblY11[[#This Row],[4B06 - Inheritance
Raw Score]]),IFERROR(VLOOKUP(ROUND(STANDARDIZE(tblY11[[#This Row],[4B06 - Inheritance
Raw Score]],AVERAGE(tblY11[[4B06 - Inheritance
Raw Score]]),_xlfn.STDEV.P(tblY11[[4B06 - Inheritance
Raw Score]])),9),_Stanine,2),5),"")</f>
        <v>4</v>
      </c>
      <c r="V80" s="66" t="n">
        <v>8</v>
      </c>
      <c r="W80" s="67">
        <f>IF(ISNUMBER(tblY11[[#This Row],[4C10 - Chemical Analysis
Raw Score]]),IFERROR(VLOOKUP(ROUND(STANDARDIZE(tblY11[[#This Row],[4C10 - Chemical Analysis
Raw Score]],AVERAGE(tblY11[[4C10 - Chemical Analysis
Raw Score]]),_xlfn.STDEV.P(tblY11[[4C10 - Chemical Analysis
Raw Score]])),9),_Stanine,2),5),"")</f>
        <v>3</v>
      </c>
      <c r="X80" s="66" t="n">
        <v>13</v>
      </c>
      <c r="Y80" s="67">
        <f>IF(ISNUMBER(tblY11[[#This Row],[4P07 - Magnetism
Raw Score]]),IFERROR(VLOOKUP(ROUND(STANDARDIZE(tblY11[[#This Row],[4P07 - Magnetism
Raw Score]],AVERAGE(tblY11[[4P07 - Magnetism
Raw Score]]),_xlfn.STDEV.P(tblY11[[4P07 - Magnetism
Raw Score]])),9),_Stanine,2),5),"")</f>
        <v>4</v>
      </c>
    </row>
    <row r="81">
      <c r="A81" s="65" t="inlineStr">
        <is>
          <t>X902993474538</t>
        </is>
      </c>
      <c r="B81" s="65" t="inlineStr">
        <is>
          <t>Kowalski</t>
        </is>
      </c>
      <c r="C81" s="65" t="inlineStr">
        <is>
          <t>Layla</t>
        </is>
      </c>
      <c r="D81" s="66" t="inlineStr">
        <is>
          <t>F</t>
        </is>
      </c>
      <c r="E81" s="66" t="n"/>
      <c r="F81" s="66" t="inlineStr">
        <is>
          <t>N</t>
        </is>
      </c>
      <c r="G81" s="34" t="n">
        <v>93</v>
      </c>
      <c r="H81" s="34" t="n">
        <v>96</v>
      </c>
      <c r="I81" s="67">
        <f>IF(ISNUMBER(tblY11[[#This Row],[Avg KS2]]),IFERROR(VLOOKUP(ROUND(STANDARDIZE(tblY11[[#This Row],[Avg KS2]],AVERAGE(tblY11[[Avg KS2]]),_xlfn.STDEV.P(tblY11[[Avg KS2]])),9),_Stanine,2),5),"")</f>
        <v>2</v>
      </c>
      <c r="J81" s="66" t="inlineStr">
        <is>
          <t>11S/Sc4</t>
        </is>
      </c>
      <c r="K81" s="67">
        <f>IF(tblY11[[#This Row],[Preferred Last name]]="","",COUNTIFS($N$1:$ZZ$1,"*"&amp;CHAR(10)&amp;"Stanine",$N81:$ZZ81,"&gt;=1"))</f>
        <v>6</v>
      </c>
      <c r="L81" s="68">
        <f>IFERROR(AVERAGEIF($N$1:$ZZ$1,"*"&amp;CHAR(10)&amp;"Stanine",$N81:$ZZ81),"")</f>
        <v>2.66666666666667</v>
      </c>
      <c r="M81" s="69">
        <f>IF(AND(ISNUMBER(tblY11[[#This Row],[Mean Stanine]]),ISNUMBER(tblY11[[#This Row],[Avg KS2 Band]]),ISNUMBER(SlopeY11)),tblY11[[#This Row],[Mean Stanine]]-(InterceptY11+SlopeY11*tblY11[[#This Row],[Avg KS2 Band]]),"")</f>
        <v>-0.0394408369408366</v>
      </c>
      <c r="N81" s="66" t="n">
        <v>11</v>
      </c>
      <c r="O81" s="67">
        <f>IF(ISNUMBER(tblY11[[#This Row],[4B05 - Homeostasis
Raw Score]]),IFERROR(VLOOKUP(ROUND(STANDARDIZE(tblY11[[#This Row],[4B05 - Homeostasis
Raw Score]],AVERAGE(tblY11[[4B05 - Homeostasis
Raw Score]]),_xlfn.STDEV.P(tblY11[[4B05 - Homeostasis
Raw Score]])),9),_Stanine,2),5),"")</f>
        <v>3</v>
      </c>
      <c r="P81" s="66" t="n">
        <v>5</v>
      </c>
      <c r="Q81" s="67">
        <f>IF(ISNUMBER(tblY11[[#This Row],[4C09 - Organic Chemistry
Raw Score]]),IFERROR(VLOOKUP(ROUND(STANDARDIZE(tblY11[[#This Row],[4C09 - Organic Chemistry
Raw Score]],AVERAGE(tblY11[[4C09 - Organic Chemistry
Raw Score]]),_xlfn.STDEV.P(tblY11[[4C09 - Organic Chemistry
Raw Score]])),9),_Stanine,2),5),"")</f>
        <v>2</v>
      </c>
      <c r="R81" s="66" t="n">
        <v>11</v>
      </c>
      <c r="S81" s="67">
        <f>IF(ISNUMBER(tblY11[[#This Row],[4P06 - Waves
Raw Score]]),IFERROR(VLOOKUP(ROUND(STANDARDIZE(tblY11[[#This Row],[4P06 - Waves
Raw Score]],AVERAGE(tblY11[[4P06 - Waves
Raw Score]]),_xlfn.STDEV.P(tblY11[[4P06 - Waves
Raw Score]])),9),_Stanine,2),5),"")</f>
        <v>3</v>
      </c>
      <c r="T81" s="66" t="n">
        <v>9</v>
      </c>
      <c r="U81" s="67">
        <f>IF(ISNUMBER(tblY11[[#This Row],[4B06 - Inheritance
Raw Score]]),IFERROR(VLOOKUP(ROUND(STANDARDIZE(tblY11[[#This Row],[4B06 - Inheritance
Raw Score]],AVERAGE(tblY11[[4B06 - Inheritance
Raw Score]]),_xlfn.STDEV.P(tblY11[[4B06 - Inheritance
Raw Score]])),9),_Stanine,2),5),"")</f>
        <v>3</v>
      </c>
      <c r="V81" s="66" t="n">
        <v>7</v>
      </c>
      <c r="W81" s="67">
        <f>IF(ISNUMBER(tblY11[[#This Row],[4C10 - Chemical Analysis
Raw Score]]),IFERROR(VLOOKUP(ROUND(STANDARDIZE(tblY11[[#This Row],[4C10 - Chemical Analysis
Raw Score]],AVERAGE(tblY11[[4C10 - Chemical Analysis
Raw Score]]),_xlfn.STDEV.P(tblY11[[4C10 - Chemical Analysis
Raw Score]])),9),_Stanine,2),5),"")</f>
        <v>3</v>
      </c>
      <c r="X81" s="66" t="n">
        <v>6</v>
      </c>
      <c r="Y81" s="67">
        <f>IF(ISNUMBER(tblY11[[#This Row],[4P07 - Magnetism
Raw Score]]),IFERROR(VLOOKUP(ROUND(STANDARDIZE(tblY11[[#This Row],[4P07 - Magnetism
Raw Score]],AVERAGE(tblY11[[4P07 - Magnetism
Raw Score]]),_xlfn.STDEV.P(tblY11[[4P07 - Magnetism
Raw Score]])),9),_Stanine,2),5),"")</f>
        <v>2</v>
      </c>
    </row>
    <row r="82">
      <c r="A82" s="65" t="inlineStr">
        <is>
          <t>X903135016943</t>
        </is>
      </c>
      <c r="B82" s="65" t="inlineStr">
        <is>
          <t>Lewis</t>
        </is>
      </c>
      <c r="C82" s="65" t="inlineStr">
        <is>
          <t>Amara</t>
        </is>
      </c>
      <c r="D82" s="66" t="inlineStr">
        <is>
          <t>F</t>
        </is>
      </c>
      <c r="E82" s="66" t="n"/>
      <c r="F82" s="66" t="inlineStr">
        <is>
          <t>N</t>
        </is>
      </c>
      <c r="G82" s="34" t="n">
        <v>100</v>
      </c>
      <c r="H82" s="34" t="n">
        <v>105</v>
      </c>
      <c r="I82" s="67">
        <f>IF(ISNUMBER(tblY11[[#This Row],[Avg KS2]]),IFERROR(VLOOKUP(ROUND(STANDARDIZE(tblY11[[#This Row],[Avg KS2]],AVERAGE(tblY11[[Avg KS2]]),_xlfn.STDEV.P(tblY11[[Avg KS2]])),9),_Stanine,2),5),"")</f>
        <v>5</v>
      </c>
      <c r="J82" s="66" t="inlineStr">
        <is>
          <t>11S/Sc4</t>
        </is>
      </c>
      <c r="K82" s="67">
        <f>IF(tblY11[[#This Row],[Preferred Last name]]="","",COUNTIFS($N$1:$ZZ$1,"*"&amp;CHAR(10)&amp;"Stanine",$N82:$ZZ82,"&gt;=1"))</f>
        <v>6</v>
      </c>
      <c r="L82" s="68">
        <f>IFERROR(AVERAGEIF($N$1:$ZZ$1,"*"&amp;CHAR(10)&amp;"Stanine",$N82:$ZZ82),"")</f>
        <v>4.5</v>
      </c>
      <c r="M82" s="69">
        <f>IF(AND(ISNUMBER(tblY11[[#This Row],[Mean Stanine]]),ISNUMBER(tblY11[[#This Row],[Avg KS2 Band]]),ISNUMBER(SlopeY11)),tblY11[[#This Row],[Mean Stanine]]-(InterceptY11+SlopeY11*tblY11[[#This Row],[Avg KS2 Band]]),"")</f>
        <v>-0.452698412698412</v>
      </c>
      <c r="N82" s="66" t="n">
        <v>16</v>
      </c>
      <c r="O82" s="67">
        <f>IF(ISNUMBER(tblY11[[#This Row],[4B05 - Homeostasis
Raw Score]]),IFERROR(VLOOKUP(ROUND(STANDARDIZE(tblY11[[#This Row],[4B05 - Homeostasis
Raw Score]],AVERAGE(tblY11[[4B05 - Homeostasis
Raw Score]]),_xlfn.STDEV.P(tblY11[[4B05 - Homeostasis
Raw Score]])),9),_Stanine,2),5),"")</f>
        <v>4</v>
      </c>
      <c r="P82" s="66" t="n">
        <v>24</v>
      </c>
      <c r="Q82" s="67">
        <f>IF(ISNUMBER(tblY11[[#This Row],[4C09 - Organic Chemistry
Raw Score]]),IFERROR(VLOOKUP(ROUND(STANDARDIZE(tblY11[[#This Row],[4C09 - Organic Chemistry
Raw Score]],AVERAGE(tblY11[[4C09 - Organic Chemistry
Raw Score]]),_xlfn.STDEV.P(tblY11[[4C09 - Organic Chemistry
Raw Score]])),9),_Stanine,2),5),"")</f>
        <v>7</v>
      </c>
      <c r="R82" s="66" t="n">
        <v>19</v>
      </c>
      <c r="S82" s="67">
        <f>IF(ISNUMBER(tblY11[[#This Row],[4P06 - Waves
Raw Score]]),IFERROR(VLOOKUP(ROUND(STANDARDIZE(tblY11[[#This Row],[4P06 - Waves
Raw Score]],AVERAGE(tblY11[[4P06 - Waves
Raw Score]]),_xlfn.STDEV.P(tblY11[[4P06 - Waves
Raw Score]])),9),_Stanine,2),5),"")</f>
        <v>5</v>
      </c>
      <c r="T82" s="66" t="n">
        <v>14</v>
      </c>
      <c r="U82" s="67">
        <f>IF(ISNUMBER(tblY11[[#This Row],[4B06 - Inheritance
Raw Score]]),IFERROR(VLOOKUP(ROUND(STANDARDIZE(tblY11[[#This Row],[4B06 - Inheritance
Raw Score]],AVERAGE(tblY11[[4B06 - Inheritance
Raw Score]]),_xlfn.STDEV.P(tblY11[[4B06 - Inheritance
Raw Score]])),9),_Stanine,2),5),"")</f>
        <v>4</v>
      </c>
      <c r="V82" s="66" t="n">
        <v>12</v>
      </c>
      <c r="W82" s="67">
        <f>IF(ISNUMBER(tblY11[[#This Row],[4C10 - Chemical Analysis
Raw Score]]),IFERROR(VLOOKUP(ROUND(STANDARDIZE(tblY11[[#This Row],[4C10 - Chemical Analysis
Raw Score]],AVERAGE(tblY11[[4C10 - Chemical Analysis
Raw Score]]),_xlfn.STDEV.P(tblY11[[4C10 - Chemical Analysis
Raw Score]])),9),_Stanine,2),5),"")</f>
        <v>4</v>
      </c>
      <c r="X82" s="66" t="n">
        <v>10</v>
      </c>
      <c r="Y82" s="67">
        <f>IF(ISNUMBER(tblY11[[#This Row],[4P07 - Magnetism
Raw Score]]),IFERROR(VLOOKUP(ROUND(STANDARDIZE(tblY11[[#This Row],[4P07 - Magnetism
Raw Score]],AVERAGE(tblY11[[4P07 - Magnetism
Raw Score]]),_xlfn.STDEV.P(tblY11[[4P07 - Magnetism
Raw Score]])),9),_Stanine,2),5),"")</f>
        <v>3</v>
      </c>
    </row>
    <row r="83">
      <c r="A83" s="65" t="inlineStr">
        <is>
          <t>X902340787437</t>
        </is>
      </c>
      <c r="B83" s="65" t="inlineStr">
        <is>
          <t>Lewis</t>
        </is>
      </c>
      <c r="C83" s="65" t="inlineStr">
        <is>
          <t>Zara</t>
        </is>
      </c>
      <c r="D83" s="66" t="inlineStr">
        <is>
          <t>M</t>
        </is>
      </c>
      <c r="E83" s="66" t="n"/>
      <c r="F83" s="66" t="inlineStr">
        <is>
          <t>Y</t>
        </is>
      </c>
      <c r="G83" s="34" t="n">
        <v>100</v>
      </c>
      <c r="H83" s="34" t="n">
        <v>98.5</v>
      </c>
      <c r="I83" s="67">
        <f>IF(ISNUMBER(tblY11[[#This Row],[Avg KS2]]),IFERROR(VLOOKUP(ROUND(STANDARDIZE(tblY11[[#This Row],[Avg KS2]],AVERAGE(tblY11[[Avg KS2]]),_xlfn.STDEV.P(tblY11[[Avg KS2]])),9),_Stanine,2),5),"")</f>
        <v>3</v>
      </c>
      <c r="J83" s="66" t="inlineStr">
        <is>
          <t>11S/Sc4</t>
        </is>
      </c>
      <c r="K83" s="67">
        <f>IF(tblY11[[#This Row],[Preferred Last name]]="","",COUNTIFS($N$1:$ZZ$1,"*"&amp;CHAR(10)&amp;"Stanine",$N83:$ZZ83,"&gt;=1"))</f>
        <v>5</v>
      </c>
      <c r="L83" s="68">
        <f>IFERROR(AVERAGEIF($N$1:$ZZ$1,"*"&amp;CHAR(10)&amp;"Stanine",$N83:$ZZ83),"")</f>
        <v>2.6</v>
      </c>
      <c r="M83" s="69">
        <f>IF(AND(ISNUMBER(tblY11[[#This Row],[Mean Stanine]]),ISNUMBER(tblY11[[#This Row],[Avg KS2 Band]]),ISNUMBER(SlopeY11)),tblY11[[#This Row],[Mean Stanine]]-(InterceptY11+SlopeY11*tblY11[[#This Row],[Avg KS2 Band]]),"")</f>
        <v>-0.854971139971139</v>
      </c>
      <c r="N83" s="66" t="n">
        <v>13</v>
      </c>
      <c r="O83" s="67">
        <f>IF(ISNUMBER(tblY11[[#This Row],[4B05 - Homeostasis
Raw Score]]),IFERROR(VLOOKUP(ROUND(STANDARDIZE(tblY11[[#This Row],[4B05 - Homeostasis
Raw Score]],AVERAGE(tblY11[[4B05 - Homeostasis
Raw Score]]),_xlfn.STDEV.P(tblY11[[4B05 - Homeostasis
Raw Score]])),9),_Stanine,2),5),"")</f>
        <v>3</v>
      </c>
      <c r="P83" s="66" t="n">
        <v>6</v>
      </c>
      <c r="Q83" s="67">
        <f>IF(ISNUMBER(tblY11[[#This Row],[4C09 - Organic Chemistry
Raw Score]]),IFERROR(VLOOKUP(ROUND(STANDARDIZE(tblY11[[#This Row],[4C09 - Organic Chemistry
Raw Score]],AVERAGE(tblY11[[4C09 - Organic Chemistry
Raw Score]]),_xlfn.STDEV.P(tblY11[[4C09 - Organic Chemistry
Raw Score]])),9),_Stanine,2),5),"")</f>
        <v>2</v>
      </c>
      <c r="R83" s="66" t="n">
        <v>11</v>
      </c>
      <c r="S83" s="67">
        <f>IF(ISNUMBER(tblY11[[#This Row],[4P06 - Waves
Raw Score]]),IFERROR(VLOOKUP(ROUND(STANDARDIZE(tblY11[[#This Row],[4P06 - Waves
Raw Score]],AVERAGE(tblY11[[4P06 - Waves
Raw Score]]),_xlfn.STDEV.P(tblY11[[4P06 - Waves
Raw Score]])),9),_Stanine,2),5),"")</f>
        <v>3</v>
      </c>
      <c r="T83" s="66" t="n">
        <v>8</v>
      </c>
      <c r="U83" s="67">
        <f>IF(ISNUMBER(tblY11[[#This Row],[4B06 - Inheritance
Raw Score]]),IFERROR(VLOOKUP(ROUND(STANDARDIZE(tblY11[[#This Row],[4B06 - Inheritance
Raw Score]],AVERAGE(tblY11[[4B06 - Inheritance
Raw Score]]),_xlfn.STDEV.P(tblY11[[4B06 - Inheritance
Raw Score]])),9),_Stanine,2),5),"")</f>
        <v>3</v>
      </c>
      <c r="V83" s="66" t="n">
        <v>6</v>
      </c>
      <c r="W83" s="67">
        <f>IF(ISNUMBER(tblY11[[#This Row],[4C10 - Chemical Analysis
Raw Score]]),IFERROR(VLOOKUP(ROUND(STANDARDIZE(tblY11[[#This Row],[4C10 - Chemical Analysis
Raw Score]],AVERAGE(tblY11[[4C10 - Chemical Analysis
Raw Score]]),_xlfn.STDEV.P(tblY11[[4C10 - Chemical Analysis
Raw Score]])),9),_Stanine,2),5),"")</f>
        <v>2</v>
      </c>
      <c r="X83" s="66" t="inlineStr">
        <is>
          <t>A</t>
        </is>
      </c>
      <c r="Y83" s="67" t="str">
        <f>IF(ISNUMBER(tblY11[[#This Row],[4P07 - Magnetism
Raw Score]]),IFERROR(VLOOKUP(ROUND(STANDARDIZE(tblY11[[#This Row],[4P07 - Magnetism
Raw Score]],AVERAGE(tblY11[[4P07 - Magnetism
Raw Score]]),_xlfn.STDEV.P(tblY11[[4P07 - Magnetism
Raw Score]])),9),_Stanine,2),5),"")</f>
        <v/>
      </c>
    </row>
    <row r="84">
      <c r="A84" s="65" t="inlineStr">
        <is>
          <t>X909834452072</t>
        </is>
      </c>
      <c r="B84" s="65" t="inlineStr">
        <is>
          <t>Morgan</t>
        </is>
      </c>
      <c r="C84" s="65" t="inlineStr">
        <is>
          <t>Amara</t>
        </is>
      </c>
      <c r="D84" s="66" t="inlineStr">
        <is>
          <t>F</t>
        </is>
      </c>
      <c r="E84" s="66" t="n"/>
      <c r="F84" s="66" t="inlineStr">
        <is>
          <t>N</t>
        </is>
      </c>
      <c r="G84" s="34" t="n">
        <v>100</v>
      </c>
      <c r="H84" s="34" t="n">
        <v>104</v>
      </c>
      <c r="I84" s="67">
        <f>IF(ISNUMBER(tblY11[[#This Row],[Avg KS2]]),IFERROR(VLOOKUP(ROUND(STANDARDIZE(tblY11[[#This Row],[Avg KS2]],AVERAGE(tblY11[[Avg KS2]]),_xlfn.STDEV.P(tblY11[[Avg KS2]])),9),_Stanine,2),5),"")</f>
        <v>5</v>
      </c>
      <c r="J84" s="66" t="inlineStr">
        <is>
          <t>11S/Sc4</t>
        </is>
      </c>
      <c r="K84" s="67">
        <f>IF(tblY11[[#This Row],[Preferred Last name]]="","",COUNTIFS($N$1:$ZZ$1,"*"&amp;CHAR(10)&amp;"Stanine",$N84:$ZZ84,"&gt;=1"))</f>
        <v>6</v>
      </c>
      <c r="L84" s="68">
        <f>IFERROR(AVERAGEIF($N$1:$ZZ$1,"*"&amp;CHAR(10)&amp;"Stanine",$N84:$ZZ84),"")</f>
        <v>3.33333333333333</v>
      </c>
      <c r="M84" s="69">
        <f>IF(AND(ISNUMBER(tblY11[[#This Row],[Mean Stanine]]),ISNUMBER(tblY11[[#This Row],[Avg KS2 Band]]),ISNUMBER(SlopeY11)),tblY11[[#This Row],[Mean Stanine]]-(InterceptY11+SlopeY11*tblY11[[#This Row],[Avg KS2 Band]]),"")</f>
        <v>-1.61936507936508</v>
      </c>
      <c r="N84" s="66" t="n">
        <v>12</v>
      </c>
      <c r="O84" s="67">
        <f>IF(ISNUMBER(tblY11[[#This Row],[4B05 - Homeostasis
Raw Score]]),IFERROR(VLOOKUP(ROUND(STANDARDIZE(tblY11[[#This Row],[4B05 - Homeostasis
Raw Score]],AVERAGE(tblY11[[4B05 - Homeostasis
Raw Score]]),_xlfn.STDEV.P(tblY11[[4B05 - Homeostasis
Raw Score]])),9),_Stanine,2),5),"")</f>
        <v>3</v>
      </c>
      <c r="P84" s="66" t="n">
        <v>8</v>
      </c>
      <c r="Q84" s="67">
        <f>IF(ISNUMBER(tblY11[[#This Row],[4C09 - Organic Chemistry
Raw Score]]),IFERROR(VLOOKUP(ROUND(STANDARDIZE(tblY11[[#This Row],[4C09 - Organic Chemistry
Raw Score]],AVERAGE(tblY11[[4C09 - Organic Chemistry
Raw Score]]),_xlfn.STDEV.P(tblY11[[4C09 - Organic Chemistry
Raw Score]])),9),_Stanine,2),5),"")</f>
        <v>3</v>
      </c>
      <c r="R84" s="66" t="n">
        <v>16</v>
      </c>
      <c r="S84" s="67">
        <f>IF(ISNUMBER(tblY11[[#This Row],[4P06 - Waves
Raw Score]]),IFERROR(VLOOKUP(ROUND(STANDARDIZE(tblY11[[#This Row],[4P06 - Waves
Raw Score]],AVERAGE(tblY11[[4P06 - Waves
Raw Score]]),_xlfn.STDEV.P(tblY11[[4P06 - Waves
Raw Score]])),9),_Stanine,2),5),"")</f>
        <v>4</v>
      </c>
      <c r="T84" s="66" t="n">
        <v>11</v>
      </c>
      <c r="U84" s="67">
        <f>IF(ISNUMBER(tblY11[[#This Row],[4B06 - Inheritance
Raw Score]]),IFERROR(VLOOKUP(ROUND(STANDARDIZE(tblY11[[#This Row],[4B06 - Inheritance
Raw Score]],AVERAGE(tblY11[[4B06 - Inheritance
Raw Score]]),_xlfn.STDEV.P(tblY11[[4B06 - Inheritance
Raw Score]])),9),_Stanine,2),5),"")</f>
        <v>3</v>
      </c>
      <c r="V84" s="66" t="n">
        <v>8</v>
      </c>
      <c r="W84" s="67">
        <f>IF(ISNUMBER(tblY11[[#This Row],[4C10 - Chemical Analysis
Raw Score]]),IFERROR(VLOOKUP(ROUND(STANDARDIZE(tblY11[[#This Row],[4C10 - Chemical Analysis
Raw Score]],AVERAGE(tblY11[[4C10 - Chemical Analysis
Raw Score]]),_xlfn.STDEV.P(tblY11[[4C10 - Chemical Analysis
Raw Score]])),9),_Stanine,2),5),"")</f>
        <v>3</v>
      </c>
      <c r="X84" s="66" t="n">
        <v>11</v>
      </c>
      <c r="Y84" s="67">
        <f>IF(ISNUMBER(tblY11[[#This Row],[4P07 - Magnetism
Raw Score]]),IFERROR(VLOOKUP(ROUND(STANDARDIZE(tblY11[[#This Row],[4P07 - Magnetism
Raw Score]],AVERAGE(tblY11[[4P07 - Magnetism
Raw Score]]),_xlfn.STDEV.P(tblY11[[4P07 - Magnetism
Raw Score]])),9),_Stanine,2),5),"")</f>
        <v>4</v>
      </c>
    </row>
    <row r="85">
      <c r="A85" s="65" t="inlineStr">
        <is>
          <t>X906134903113</t>
        </is>
      </c>
      <c r="B85" s="65" t="inlineStr">
        <is>
          <t>Morgan</t>
        </is>
      </c>
      <c r="C85" s="65" t="inlineStr">
        <is>
          <t>Hannah</t>
        </is>
      </c>
      <c r="D85" s="66" t="inlineStr">
        <is>
          <t>M</t>
        </is>
      </c>
      <c r="E85" s="66" t="n"/>
      <c r="F85" s="66" t="inlineStr">
        <is>
          <t>Y</t>
        </is>
      </c>
      <c r="G85" s="34" t="n">
        <v>92.8</v>
      </c>
      <c r="H85" s="34" t="n">
        <v>101</v>
      </c>
      <c r="I85" s="67">
        <f>IF(ISNUMBER(tblY11[[#This Row],[Avg KS2]]),IFERROR(VLOOKUP(ROUND(STANDARDIZE(tblY11[[#This Row],[Avg KS2]],AVERAGE(tblY11[[Avg KS2]]),_xlfn.STDEV.P(tblY11[[Avg KS2]])),9),_Stanine,2),5),"")</f>
        <v>4</v>
      </c>
      <c r="J85" s="66" t="inlineStr">
        <is>
          <t>11S/Sc4</t>
        </is>
      </c>
      <c r="K85" s="67">
        <f>IF(tblY11[[#This Row],[Preferred Last name]]="","",COUNTIFS($N$1:$ZZ$1,"*"&amp;CHAR(10)&amp;"Stanine",$N85:$ZZ85,"&gt;=1"))</f>
        <v>6</v>
      </c>
      <c r="L85" s="68">
        <f>IFERROR(AVERAGEIF($N$1:$ZZ$1,"*"&amp;CHAR(10)&amp;"Stanine",$N85:$ZZ85),"")</f>
        <v>4.66666666666667</v>
      </c>
      <c r="M85" s="69">
        <f>IF(AND(ISNUMBER(tblY11[[#This Row],[Mean Stanine]]),ISNUMBER(tblY11[[#This Row],[Avg KS2 Band]]),ISNUMBER(SlopeY11)),tblY11[[#This Row],[Mean Stanine]]-(InterceptY11+SlopeY11*tblY11[[#This Row],[Avg KS2 Band]]),"")</f>
        <v>0.462831890331891</v>
      </c>
      <c r="N85" s="66" t="n">
        <v>22</v>
      </c>
      <c r="O85" s="67">
        <f>IF(ISNUMBER(tblY11[[#This Row],[4B05 - Homeostasis
Raw Score]]),IFERROR(VLOOKUP(ROUND(STANDARDIZE(tblY11[[#This Row],[4B05 - Homeostasis
Raw Score]],AVERAGE(tblY11[[4B05 - Homeostasis
Raw Score]]),_xlfn.STDEV.P(tblY11[[4B05 - Homeostasis
Raw Score]])),9),_Stanine,2),5),"")</f>
        <v>5</v>
      </c>
      <c r="P85" s="66" t="n">
        <v>17</v>
      </c>
      <c r="Q85" s="67">
        <f>IF(ISNUMBER(tblY11[[#This Row],[4C09 - Organic Chemistry
Raw Score]]),IFERROR(VLOOKUP(ROUND(STANDARDIZE(tblY11[[#This Row],[4C09 - Organic Chemistry
Raw Score]],AVERAGE(tblY11[[4C09 - Organic Chemistry
Raw Score]]),_xlfn.STDEV.P(tblY11[[4C09 - Organic Chemistry
Raw Score]])),9),_Stanine,2),5),"")</f>
        <v>5</v>
      </c>
      <c r="R85" s="66" t="n">
        <v>18</v>
      </c>
      <c r="S85" s="67">
        <f>IF(ISNUMBER(tblY11[[#This Row],[4P06 - Waves
Raw Score]]),IFERROR(VLOOKUP(ROUND(STANDARDIZE(tblY11[[#This Row],[4P06 - Waves
Raw Score]],AVERAGE(tblY11[[4P06 - Waves
Raw Score]]),_xlfn.STDEV.P(tblY11[[4P06 - Waves
Raw Score]])),9),_Stanine,2),5),"")</f>
        <v>4</v>
      </c>
      <c r="T85" s="66" t="n">
        <v>14</v>
      </c>
      <c r="U85" s="67">
        <f>IF(ISNUMBER(tblY11[[#This Row],[4B06 - Inheritance
Raw Score]]),IFERROR(VLOOKUP(ROUND(STANDARDIZE(tblY11[[#This Row],[4B06 - Inheritance
Raw Score]],AVERAGE(tblY11[[4B06 - Inheritance
Raw Score]]),_xlfn.STDEV.P(tblY11[[4B06 - Inheritance
Raw Score]])),9),_Stanine,2),5),"")</f>
        <v>4</v>
      </c>
      <c r="V85" s="66" t="n">
        <v>14</v>
      </c>
      <c r="W85" s="67">
        <f>IF(ISNUMBER(tblY11[[#This Row],[4C10 - Chemical Analysis
Raw Score]]),IFERROR(VLOOKUP(ROUND(STANDARDIZE(tblY11[[#This Row],[4C10 - Chemical Analysis
Raw Score]],AVERAGE(tblY11[[4C10 - Chemical Analysis
Raw Score]]),_xlfn.STDEV.P(tblY11[[4C10 - Chemical Analysis
Raw Score]])),9),_Stanine,2),5),"")</f>
        <v>5</v>
      </c>
      <c r="X85" s="66" t="n">
        <v>15</v>
      </c>
      <c r="Y85" s="67">
        <f>IF(ISNUMBER(tblY11[[#This Row],[4P07 - Magnetism
Raw Score]]),IFERROR(VLOOKUP(ROUND(STANDARDIZE(tblY11[[#This Row],[4P07 - Magnetism
Raw Score]],AVERAGE(tblY11[[4P07 - Magnetism
Raw Score]]),_xlfn.STDEV.P(tblY11[[4P07 - Magnetism
Raw Score]])),9),_Stanine,2),5),"")</f>
        <v>5</v>
      </c>
    </row>
    <row r="86">
      <c r="A86" s="65" t="inlineStr">
        <is>
          <t>X901532670324</t>
        </is>
      </c>
      <c r="B86" s="65" t="inlineStr">
        <is>
          <t>Nowak</t>
        </is>
      </c>
      <c r="C86" s="65" t="inlineStr">
        <is>
          <t>Isla</t>
        </is>
      </c>
      <c r="D86" s="66" t="inlineStr">
        <is>
          <t>M</t>
        </is>
      </c>
      <c r="E86" s="66" t="inlineStr">
        <is>
          <t>N</t>
        </is>
      </c>
      <c r="F86" s="66" t="inlineStr">
        <is>
          <t>Y</t>
        </is>
      </c>
      <c r="G86" s="34" t="n">
        <v>99.2</v>
      </c>
      <c r="H86" s="34" t="n">
        <v>105</v>
      </c>
      <c r="I86" s="67">
        <f>IF(ISNUMBER(tblY11[[#This Row],[Avg KS2]]),IFERROR(VLOOKUP(ROUND(STANDARDIZE(tblY11[[#This Row],[Avg KS2]],AVERAGE(tblY11[[Avg KS2]]),_xlfn.STDEV.P(tblY11[[Avg KS2]])),9),_Stanine,2),5),"")</f>
        <v>5</v>
      </c>
      <c r="J86" s="66" t="inlineStr">
        <is>
          <t>11S/Sc4</t>
        </is>
      </c>
      <c r="K86" s="67">
        <f>IF(tblY11[[#This Row],[Preferred Last name]]="","",COUNTIFS($N$1:$ZZ$1,"*"&amp;CHAR(10)&amp;"Stanine",$N86:$ZZ86,"&gt;=1"))</f>
        <v>6</v>
      </c>
      <c r="L86" s="68">
        <f>IFERROR(AVERAGEIF($N$1:$ZZ$1,"*"&amp;CHAR(10)&amp;"Stanine",$N86:$ZZ86),"")</f>
        <v>4.66666666666667</v>
      </c>
      <c r="M86" s="69">
        <f>IF(AND(ISNUMBER(tblY11[[#This Row],[Mean Stanine]]),ISNUMBER(tblY11[[#This Row],[Avg KS2 Band]]),ISNUMBER(SlopeY11)),tblY11[[#This Row],[Mean Stanine]]-(InterceptY11+SlopeY11*tblY11[[#This Row],[Avg KS2 Band]]),"")</f>
        <v>-0.286031746031745</v>
      </c>
      <c r="N86" s="66" t="n">
        <v>20</v>
      </c>
      <c r="O86" s="67">
        <f>IF(ISNUMBER(tblY11[[#This Row],[4B05 - Homeostasis
Raw Score]]),IFERROR(VLOOKUP(ROUND(STANDARDIZE(tblY11[[#This Row],[4B05 - Homeostasis
Raw Score]],AVERAGE(tblY11[[4B05 - Homeostasis
Raw Score]]),_xlfn.STDEV.P(tblY11[[4B05 - Homeostasis
Raw Score]])),9),_Stanine,2),5),"")</f>
        <v>5</v>
      </c>
      <c r="P86" s="66" t="n">
        <v>12</v>
      </c>
      <c r="Q86" s="67">
        <f>IF(ISNUMBER(tblY11[[#This Row],[4C09 - Organic Chemistry
Raw Score]]),IFERROR(VLOOKUP(ROUND(STANDARDIZE(tblY11[[#This Row],[4C09 - Organic Chemistry
Raw Score]],AVERAGE(tblY11[[4C09 - Organic Chemistry
Raw Score]]),_xlfn.STDEV.P(tblY11[[4C09 - Organic Chemistry
Raw Score]])),9),_Stanine,2),5),"")</f>
        <v>4</v>
      </c>
      <c r="R86" s="66" t="n">
        <v>15</v>
      </c>
      <c r="S86" s="67">
        <f>IF(ISNUMBER(tblY11[[#This Row],[4P06 - Waves
Raw Score]]),IFERROR(VLOOKUP(ROUND(STANDARDIZE(tblY11[[#This Row],[4P06 - Waves
Raw Score]],AVERAGE(tblY11[[4P06 - Waves
Raw Score]]),_xlfn.STDEV.P(tblY11[[4P06 - Waves
Raw Score]])),9),_Stanine,2),5),"")</f>
        <v>4</v>
      </c>
      <c r="T86" s="66" t="n">
        <v>17</v>
      </c>
      <c r="U86" s="67">
        <f>IF(ISNUMBER(tblY11[[#This Row],[4B06 - Inheritance
Raw Score]]),IFERROR(VLOOKUP(ROUND(STANDARDIZE(tblY11[[#This Row],[4B06 - Inheritance
Raw Score]],AVERAGE(tblY11[[4B06 - Inheritance
Raw Score]]),_xlfn.STDEV.P(tblY11[[4B06 - Inheritance
Raw Score]])),9),_Stanine,2),5),"")</f>
        <v>5</v>
      </c>
      <c r="V86" s="66" t="n">
        <v>14</v>
      </c>
      <c r="W86" s="67">
        <f>IF(ISNUMBER(tblY11[[#This Row],[4C10 - Chemical Analysis
Raw Score]]),IFERROR(VLOOKUP(ROUND(STANDARDIZE(tblY11[[#This Row],[4C10 - Chemical Analysis
Raw Score]],AVERAGE(tblY11[[4C10 - Chemical Analysis
Raw Score]]),_xlfn.STDEV.P(tblY11[[4C10 - Chemical Analysis
Raw Score]])),9),_Stanine,2),5),"")</f>
        <v>5</v>
      </c>
      <c r="X86" s="66" t="n">
        <v>17</v>
      </c>
      <c r="Y86" s="67">
        <f>IF(ISNUMBER(tblY11[[#This Row],[4P07 - Magnetism
Raw Score]]),IFERROR(VLOOKUP(ROUND(STANDARDIZE(tblY11[[#This Row],[4P07 - Magnetism
Raw Score]],AVERAGE(tblY11[[4P07 - Magnetism
Raw Score]]),_xlfn.STDEV.P(tblY11[[4P07 - Magnetism
Raw Score]])),9),_Stanine,2),5),"")</f>
        <v>5</v>
      </c>
    </row>
    <row r="87">
      <c r="A87" s="65" t="inlineStr">
        <is>
          <t>X901408032434</t>
        </is>
      </c>
      <c r="B87" s="65" t="inlineStr">
        <is>
          <t>Parker</t>
        </is>
      </c>
      <c r="C87" s="65" t="inlineStr">
        <is>
          <t>Rhys</t>
        </is>
      </c>
      <c r="D87" s="66" t="inlineStr">
        <is>
          <t>F</t>
        </is>
      </c>
      <c r="E87" s="66" t="inlineStr">
        <is>
          <t>K</t>
        </is>
      </c>
      <c r="F87" s="66" t="inlineStr">
        <is>
          <t>Y</t>
        </is>
      </c>
      <c r="G87" s="34" t="n">
        <v>86.8</v>
      </c>
      <c r="H87" s="34" t="n">
        <v>105.5</v>
      </c>
      <c r="I87" s="67">
        <f>IF(ISNUMBER(tblY11[[#This Row],[Avg KS2]]),IFERROR(VLOOKUP(ROUND(STANDARDIZE(tblY11[[#This Row],[Avg KS2]],AVERAGE(tblY11[[Avg KS2]]),_xlfn.STDEV.P(tblY11[[Avg KS2]])),9),_Stanine,2),5),"")</f>
        <v>5</v>
      </c>
      <c r="J87" s="66" t="inlineStr">
        <is>
          <t>11S/Sc4</t>
        </is>
      </c>
      <c r="K87" s="67">
        <f>IF(tblY11[[#This Row],[Preferred Last name]]="","",COUNTIFS($N$1:$ZZ$1,"*"&amp;CHAR(10)&amp;"Stanine",$N87:$ZZ87,"&gt;=1"))</f>
        <v>6</v>
      </c>
      <c r="L87" s="68">
        <f>IFERROR(AVERAGEIF($N$1:$ZZ$1,"*"&amp;CHAR(10)&amp;"Stanine",$N87:$ZZ87),"")</f>
        <v>3.83333333333333</v>
      </c>
      <c r="M87" s="69">
        <f>IF(AND(ISNUMBER(tblY11[[#This Row],[Mean Stanine]]),ISNUMBER(tblY11[[#This Row],[Avg KS2 Band]]),ISNUMBER(SlopeY11)),tblY11[[#This Row],[Mean Stanine]]-(InterceptY11+SlopeY11*tblY11[[#This Row],[Avg KS2 Band]]),"")</f>
        <v>-1.11936507936508</v>
      </c>
      <c r="N87" s="66" t="n">
        <v>16</v>
      </c>
      <c r="O87" s="67">
        <f>IF(ISNUMBER(tblY11[[#This Row],[4B05 - Homeostasis
Raw Score]]),IFERROR(VLOOKUP(ROUND(STANDARDIZE(tblY11[[#This Row],[4B05 - Homeostasis
Raw Score]],AVERAGE(tblY11[[4B05 - Homeostasis
Raw Score]]),_xlfn.STDEV.P(tblY11[[4B05 - Homeostasis
Raw Score]])),9),_Stanine,2),5),"")</f>
        <v>4</v>
      </c>
      <c r="P87" s="66" t="n">
        <v>11</v>
      </c>
      <c r="Q87" s="67">
        <f>IF(ISNUMBER(tblY11[[#This Row],[4C09 - Organic Chemistry
Raw Score]]),IFERROR(VLOOKUP(ROUND(STANDARDIZE(tblY11[[#This Row],[4C09 - Organic Chemistry
Raw Score]],AVERAGE(tblY11[[4C09 - Organic Chemistry
Raw Score]]),_xlfn.STDEV.P(tblY11[[4C09 - Organic Chemistry
Raw Score]])),9),_Stanine,2),5),"")</f>
        <v>4</v>
      </c>
      <c r="R87" s="66" t="n">
        <v>13</v>
      </c>
      <c r="S87" s="67">
        <f>IF(ISNUMBER(tblY11[[#This Row],[4P06 - Waves
Raw Score]]),IFERROR(VLOOKUP(ROUND(STANDARDIZE(tblY11[[#This Row],[4P06 - Waves
Raw Score]],AVERAGE(tblY11[[4P06 - Waves
Raw Score]]),_xlfn.STDEV.P(tblY11[[4P06 - Waves
Raw Score]])),9),_Stanine,2),5),"")</f>
        <v>3</v>
      </c>
      <c r="T87" s="66" t="n">
        <v>9</v>
      </c>
      <c r="U87" s="67">
        <f>IF(ISNUMBER(tblY11[[#This Row],[4B06 - Inheritance
Raw Score]]),IFERROR(VLOOKUP(ROUND(STANDARDIZE(tblY11[[#This Row],[4B06 - Inheritance
Raw Score]],AVERAGE(tblY11[[4B06 - Inheritance
Raw Score]]),_xlfn.STDEV.P(tblY11[[4B06 - Inheritance
Raw Score]])),9),_Stanine,2),5),"")</f>
        <v>3</v>
      </c>
      <c r="V87" s="66" t="n">
        <v>15</v>
      </c>
      <c r="W87" s="67">
        <f>IF(ISNUMBER(tblY11[[#This Row],[4C10 - Chemical Analysis
Raw Score]]),IFERROR(VLOOKUP(ROUND(STANDARDIZE(tblY11[[#This Row],[4C10 - Chemical Analysis
Raw Score]],AVERAGE(tblY11[[4C10 - Chemical Analysis
Raw Score]]),_xlfn.STDEV.P(tblY11[[4C10 - Chemical Analysis
Raw Score]])),9),_Stanine,2),5),"")</f>
        <v>5</v>
      </c>
      <c r="X87" s="66" t="n">
        <v>13</v>
      </c>
      <c r="Y87" s="67">
        <f>IF(ISNUMBER(tblY11[[#This Row],[4P07 - Magnetism
Raw Score]]),IFERROR(VLOOKUP(ROUND(STANDARDIZE(tblY11[[#This Row],[4P07 - Magnetism
Raw Score]],AVERAGE(tblY11[[4P07 - Magnetism
Raw Score]]),_xlfn.STDEV.P(tblY11[[4P07 - Magnetism
Raw Score]])),9),_Stanine,2),5),"")</f>
        <v>4</v>
      </c>
    </row>
    <row r="88">
      <c r="A88" s="65" t="inlineStr">
        <is>
          <t>X904144797882</t>
        </is>
      </c>
      <c r="B88" s="65" t="inlineStr">
        <is>
          <t>Shaw</t>
        </is>
      </c>
      <c r="C88" s="65" t="inlineStr">
        <is>
          <t>Jacob</t>
        </is>
      </c>
      <c r="D88" s="66" t="inlineStr">
        <is>
          <t>F</t>
        </is>
      </c>
      <c r="E88" s="66" t="n"/>
      <c r="F88" s="66" t="inlineStr">
        <is>
          <t>N</t>
        </is>
      </c>
      <c r="G88" s="34" t="n">
        <v>100</v>
      </c>
      <c r="H88" s="34" t="n">
        <v>91</v>
      </c>
      <c r="I88" s="67">
        <f>IF(ISNUMBER(tblY11[[#This Row],[Avg KS2]]),IFERROR(VLOOKUP(ROUND(STANDARDIZE(tblY11[[#This Row],[Avg KS2]],AVERAGE(tblY11[[Avg KS2]]),_xlfn.STDEV.P(tblY11[[Avg KS2]])),9),_Stanine,2),5),"")</f>
        <v>1</v>
      </c>
      <c r="J88" s="66" t="inlineStr">
        <is>
          <t>11S/Sc4</t>
        </is>
      </c>
      <c r="K88" s="67">
        <f>IF(tblY11[[#This Row],[Preferred Last name]]="","",COUNTIFS($N$1:$ZZ$1,"*"&amp;CHAR(10)&amp;"Stanine",$N88:$ZZ88,"&gt;=1"))</f>
        <v>6</v>
      </c>
      <c r="L88" s="68">
        <f>IFERROR(AVERAGEIF($N$1:$ZZ$1,"*"&amp;CHAR(10)&amp;"Stanine",$N88:$ZZ88),"")</f>
        <v>2</v>
      </c>
      <c r="M88" s="69">
        <f>IF(AND(ISNUMBER(tblY11[[#This Row],[Mean Stanine]]),ISNUMBER(tblY11[[#This Row],[Avg KS2 Band]]),ISNUMBER(SlopeY11)),tblY11[[#This Row],[Mean Stanine]]-(InterceptY11+SlopeY11*tblY11[[#This Row],[Avg KS2 Band]]),"")</f>
        <v>0.0427561327561334</v>
      </c>
      <c r="N88" s="66" t="n">
        <v>6</v>
      </c>
      <c r="O88" s="67">
        <f>IF(ISNUMBER(tblY11[[#This Row],[4B05 - Homeostasis
Raw Score]]),IFERROR(VLOOKUP(ROUND(STANDARDIZE(tblY11[[#This Row],[4B05 - Homeostasis
Raw Score]],AVERAGE(tblY11[[4B05 - Homeostasis
Raw Score]]),_xlfn.STDEV.P(tblY11[[4B05 - Homeostasis
Raw Score]])),9),_Stanine,2),5),"")</f>
        <v>2</v>
      </c>
      <c r="P88" s="66" t="n">
        <v>5</v>
      </c>
      <c r="Q88" s="67">
        <f>IF(ISNUMBER(tblY11[[#This Row],[4C09 - Organic Chemistry
Raw Score]]),IFERROR(VLOOKUP(ROUND(STANDARDIZE(tblY11[[#This Row],[4C09 - Organic Chemistry
Raw Score]],AVERAGE(tblY11[[4C09 - Organic Chemistry
Raw Score]]),_xlfn.STDEV.P(tblY11[[4C09 - Organic Chemistry
Raw Score]])),9),_Stanine,2),5),"")</f>
        <v>2</v>
      </c>
      <c r="R88" s="66" t="n">
        <v>8</v>
      </c>
      <c r="S88" s="67">
        <f>IF(ISNUMBER(tblY11[[#This Row],[4P06 - Waves
Raw Score]]),IFERROR(VLOOKUP(ROUND(STANDARDIZE(tblY11[[#This Row],[4P06 - Waves
Raw Score]],AVERAGE(tblY11[[4P06 - Waves
Raw Score]]),_xlfn.STDEV.P(tblY11[[4P06 - Waves
Raw Score]])),9),_Stanine,2),5),"")</f>
        <v>2</v>
      </c>
      <c r="T88" s="66" t="n">
        <v>7</v>
      </c>
      <c r="U88" s="67">
        <f>IF(ISNUMBER(tblY11[[#This Row],[4B06 - Inheritance
Raw Score]]),IFERROR(VLOOKUP(ROUND(STANDARDIZE(tblY11[[#This Row],[4B06 - Inheritance
Raw Score]],AVERAGE(tblY11[[4B06 - Inheritance
Raw Score]]),_xlfn.STDEV.P(tblY11[[4B06 - Inheritance
Raw Score]])),9),_Stanine,2),5),"")</f>
        <v>2</v>
      </c>
      <c r="V88" s="66" t="n">
        <v>6</v>
      </c>
      <c r="W88" s="67">
        <f>IF(ISNUMBER(tblY11[[#This Row],[4C10 - Chemical Analysis
Raw Score]]),IFERROR(VLOOKUP(ROUND(STANDARDIZE(tblY11[[#This Row],[4C10 - Chemical Analysis
Raw Score]],AVERAGE(tblY11[[4C10 - Chemical Analysis
Raw Score]]),_xlfn.STDEV.P(tblY11[[4C10 - Chemical Analysis
Raw Score]])),9),_Stanine,2),5),"")</f>
        <v>2</v>
      </c>
      <c r="X88" s="66" t="n">
        <v>4</v>
      </c>
      <c r="Y88" s="67">
        <f>IF(ISNUMBER(tblY11[[#This Row],[4P07 - Magnetism
Raw Score]]),IFERROR(VLOOKUP(ROUND(STANDARDIZE(tblY11[[#This Row],[4P07 - Magnetism
Raw Score]],AVERAGE(tblY11[[4P07 - Magnetism
Raw Score]]),_xlfn.STDEV.P(tblY11[[4P07 - Magnetism
Raw Score]])),9),_Stanine,2),5),"")</f>
        <v>2</v>
      </c>
    </row>
    <row r="89">
      <c r="A89" s="65" t="inlineStr">
        <is>
          <t>X903328717548</t>
        </is>
      </c>
      <c r="B89" s="65" t="inlineStr">
        <is>
          <t>Ward</t>
        </is>
      </c>
      <c r="C89" s="65" t="inlineStr">
        <is>
          <t>Kai</t>
        </is>
      </c>
      <c r="D89" s="66" t="inlineStr">
        <is>
          <t>M</t>
        </is>
      </c>
      <c r="E89" s="66" t="inlineStr">
        <is>
          <t>N</t>
        </is>
      </c>
      <c r="F89" s="66" t="inlineStr">
        <is>
          <t>Y</t>
        </is>
      </c>
      <c r="G89" s="34" t="n">
        <v>93.59999999999999</v>
      </c>
      <c r="H89" s="34" t="n">
        <v>96</v>
      </c>
      <c r="I89" s="67">
        <f>IF(ISNUMBER(tblY11[[#This Row],[Avg KS2]]),IFERROR(VLOOKUP(ROUND(STANDARDIZE(tblY11[[#This Row],[Avg KS2]],AVERAGE(tblY11[[Avg KS2]]),_xlfn.STDEV.P(tblY11[[Avg KS2]])),9),_Stanine,2),5),"")</f>
        <v>2</v>
      </c>
      <c r="J89" s="66" t="inlineStr">
        <is>
          <t>11S/Sc4</t>
        </is>
      </c>
      <c r="K89" s="67">
        <f>IF(tblY11[[#This Row],[Preferred Last name]]="","",COUNTIFS($N$1:$ZZ$1,"*"&amp;CHAR(10)&amp;"Stanine",$N89:$ZZ89,"&gt;=1"))</f>
        <v>5</v>
      </c>
      <c r="L89" s="68">
        <f>IFERROR(AVERAGEIF($N$1:$ZZ$1,"*"&amp;CHAR(10)&amp;"Stanine",$N89:$ZZ89),"")</f>
        <v>4</v>
      </c>
      <c r="M89" s="69">
        <f>IF(AND(ISNUMBER(tblY11[[#This Row],[Mean Stanine]]),ISNUMBER(tblY11[[#This Row],[Avg KS2 Band]]),ISNUMBER(SlopeY11)),tblY11[[#This Row],[Mean Stanine]]-(InterceptY11+SlopeY11*tblY11[[#This Row],[Avg KS2 Band]]),"")</f>
        <v>1.2938924963925</v>
      </c>
      <c r="N89" s="66" t="n">
        <v>18</v>
      </c>
      <c r="O89" s="67">
        <f>IF(ISNUMBER(tblY11[[#This Row],[4B05 - Homeostasis
Raw Score]]),IFERROR(VLOOKUP(ROUND(STANDARDIZE(tblY11[[#This Row],[4B05 - Homeostasis
Raw Score]],AVERAGE(tblY11[[4B05 - Homeostasis
Raw Score]]),_xlfn.STDEV.P(tblY11[[4B05 - Homeostasis
Raw Score]])),9),_Stanine,2),5),"")</f>
        <v>4</v>
      </c>
      <c r="P89" s="66" t="inlineStr">
        <is>
          <t>A</t>
        </is>
      </c>
      <c r="Q89" s="67" t="str">
        <f>IF(ISNUMBER(tblY11[[#This Row],[4C09 - Organic Chemistry
Raw Score]]),IFERROR(VLOOKUP(ROUND(STANDARDIZE(tblY11[[#This Row],[4C09 - Organic Chemistry
Raw Score]],AVERAGE(tblY11[[4C09 - Organic Chemistry
Raw Score]]),_xlfn.STDEV.P(tblY11[[4C09 - Organic Chemistry
Raw Score]])),9),_Stanine,2),5),"")</f>
        <v/>
      </c>
      <c r="R89" s="66" t="n">
        <v>15</v>
      </c>
      <c r="S89" s="67">
        <f>IF(ISNUMBER(tblY11[[#This Row],[4P06 - Waves
Raw Score]]),IFERROR(VLOOKUP(ROUND(STANDARDIZE(tblY11[[#This Row],[4P06 - Waves
Raw Score]],AVERAGE(tblY11[[4P06 - Waves
Raw Score]]),_xlfn.STDEV.P(tblY11[[4P06 - Waves
Raw Score]])),9),_Stanine,2),5),"")</f>
        <v>4</v>
      </c>
      <c r="T89" s="66" t="n">
        <v>13</v>
      </c>
      <c r="U89" s="67">
        <f>IF(ISNUMBER(tblY11[[#This Row],[4B06 - Inheritance
Raw Score]]),IFERROR(VLOOKUP(ROUND(STANDARDIZE(tblY11[[#This Row],[4B06 - Inheritance
Raw Score]],AVERAGE(tblY11[[4B06 - Inheritance
Raw Score]]),_xlfn.STDEV.P(tblY11[[4B06 - Inheritance
Raw Score]])),9),_Stanine,2),5),"")</f>
        <v>4</v>
      </c>
      <c r="V89" s="66" t="n">
        <v>7</v>
      </c>
      <c r="W89" s="67">
        <f>IF(ISNUMBER(tblY11[[#This Row],[4C10 - Chemical Analysis
Raw Score]]),IFERROR(VLOOKUP(ROUND(STANDARDIZE(tblY11[[#This Row],[4C10 - Chemical Analysis
Raw Score]],AVERAGE(tblY11[[4C10 - Chemical Analysis
Raw Score]]),_xlfn.STDEV.P(tblY11[[4C10 - Chemical Analysis
Raw Score]])),9),_Stanine,2),5),"")</f>
        <v>3</v>
      </c>
      <c r="X89" s="66" t="n">
        <v>14</v>
      </c>
      <c r="Y89" s="67">
        <f>IF(ISNUMBER(tblY11[[#This Row],[4P07 - Magnetism
Raw Score]]),IFERROR(VLOOKUP(ROUND(STANDARDIZE(tblY11[[#This Row],[4P07 - Magnetism
Raw Score]],AVERAGE(tblY11[[4P07 - Magnetism
Raw Score]]),_xlfn.STDEV.P(tblY11[[4P07 - Magnetism
Raw Score]])),9),_Stanine,2),5),"")</f>
        <v>5</v>
      </c>
    </row>
    <row r="90">
      <c r="A90" s="65" t="inlineStr">
        <is>
          <t>X907451187677</t>
        </is>
      </c>
      <c r="B90" s="65" t="inlineStr">
        <is>
          <t>Begum</t>
        </is>
      </c>
      <c r="C90" s="65" t="inlineStr">
        <is>
          <t>Freya</t>
        </is>
      </c>
      <c r="D90" s="66" t="inlineStr">
        <is>
          <t>F</t>
        </is>
      </c>
      <c r="E90" s="66" t="inlineStr">
        <is>
          <t>N</t>
        </is>
      </c>
      <c r="F90" s="66" t="inlineStr">
        <is>
          <t>N</t>
        </is>
      </c>
      <c r="G90" s="34" t="n">
        <v>84.2</v>
      </c>
      <c r="H90" s="34" t="n">
        <v>97</v>
      </c>
      <c r="I90" s="67">
        <f>IF(ISNUMBER(tblY11[[#This Row],[Avg KS2]]),IFERROR(VLOOKUP(ROUND(STANDARDIZE(tblY11[[#This Row],[Avg KS2]],AVERAGE(tblY11[[Avg KS2]]),_xlfn.STDEV.P(tblY11[[Avg KS2]])),9),_Stanine,2),5),"")</f>
        <v>3</v>
      </c>
      <c r="J90" s="66" t="inlineStr">
        <is>
          <t>11S/Sc5</t>
        </is>
      </c>
      <c r="K90" s="67">
        <f>IF(tblY11[[#This Row],[Preferred Last name]]="","",COUNTIFS($N$1:$ZZ$1,"*"&amp;CHAR(10)&amp;"Stanine",$N90:$ZZ90,"&gt;=1"))</f>
        <v>6</v>
      </c>
      <c r="L90" s="68">
        <f>IFERROR(AVERAGEIF($N$1:$ZZ$1,"*"&amp;CHAR(10)&amp;"Stanine",$N90:$ZZ90),"")</f>
        <v>1.83333333333333</v>
      </c>
      <c r="M90" s="69">
        <f>IF(AND(ISNUMBER(tblY11[[#This Row],[Mean Stanine]]),ISNUMBER(tblY11[[#This Row],[Avg KS2 Band]]),ISNUMBER(SlopeY11)),tblY11[[#This Row],[Mean Stanine]]-(InterceptY11+SlopeY11*tblY11[[#This Row],[Avg KS2 Band]]),"")</f>
        <v>-1.62163780663781</v>
      </c>
      <c r="N90" s="66" t="n">
        <v>6</v>
      </c>
      <c r="O90" s="67">
        <f>IF(ISNUMBER(tblY11[[#This Row],[4B05 - Homeostasis
Raw Score]]),IFERROR(VLOOKUP(ROUND(STANDARDIZE(tblY11[[#This Row],[4B05 - Homeostasis
Raw Score]],AVERAGE(tblY11[[4B05 - Homeostasis
Raw Score]]),_xlfn.STDEV.P(tblY11[[4B05 - Homeostasis
Raw Score]])),9),_Stanine,2),5),"")</f>
        <v>2</v>
      </c>
      <c r="P90" s="66" t="n">
        <v>3</v>
      </c>
      <c r="Q90" s="67">
        <f>IF(ISNUMBER(tblY11[[#This Row],[4C09 - Organic Chemistry
Raw Score]]),IFERROR(VLOOKUP(ROUND(STANDARDIZE(tblY11[[#This Row],[4C09 - Organic Chemistry
Raw Score]],AVERAGE(tblY11[[4C09 - Organic Chemistry
Raw Score]]),_xlfn.STDEV.P(tblY11[[4C09 - Organic Chemistry
Raw Score]])),9),_Stanine,2),5),"")</f>
        <v>1</v>
      </c>
      <c r="R90" s="66" t="n">
        <v>7</v>
      </c>
      <c r="S90" s="67">
        <f>IF(ISNUMBER(tblY11[[#This Row],[4P06 - Waves
Raw Score]]),IFERROR(VLOOKUP(ROUND(STANDARDIZE(tblY11[[#This Row],[4P06 - Waves
Raw Score]],AVERAGE(tblY11[[4P06 - Waves
Raw Score]]),_xlfn.STDEV.P(tblY11[[4P06 - Waves
Raw Score]])),9),_Stanine,2),5),"")</f>
        <v>2</v>
      </c>
      <c r="T90" s="66" t="n">
        <v>5</v>
      </c>
      <c r="U90" s="67">
        <f>IF(ISNUMBER(tblY11[[#This Row],[4B06 - Inheritance
Raw Score]]),IFERROR(VLOOKUP(ROUND(STANDARDIZE(tblY11[[#This Row],[4B06 - Inheritance
Raw Score]],AVERAGE(tblY11[[4B06 - Inheritance
Raw Score]]),_xlfn.STDEV.P(tblY11[[4B06 - Inheritance
Raw Score]])),9),_Stanine,2),5),"")</f>
        <v>2</v>
      </c>
      <c r="V90" s="66" t="n">
        <v>4</v>
      </c>
      <c r="W90" s="67">
        <f>IF(ISNUMBER(tblY11[[#This Row],[4C10 - Chemical Analysis
Raw Score]]),IFERROR(VLOOKUP(ROUND(STANDARDIZE(tblY11[[#This Row],[4C10 - Chemical Analysis
Raw Score]],AVERAGE(tblY11[[4C10 - Chemical Analysis
Raw Score]]),_xlfn.STDEV.P(tblY11[[4C10 - Chemical Analysis
Raw Score]])),9),_Stanine,2),5),"")</f>
        <v>2</v>
      </c>
      <c r="X90" s="66" t="n">
        <v>4</v>
      </c>
      <c r="Y90" s="67">
        <f>IF(ISNUMBER(tblY11[[#This Row],[4P07 - Magnetism
Raw Score]]),IFERROR(VLOOKUP(ROUND(STANDARDIZE(tblY11[[#This Row],[4P07 - Magnetism
Raw Score]],AVERAGE(tblY11[[4P07 - Magnetism
Raw Score]]),_xlfn.STDEV.P(tblY11[[4P07 - Magnetism
Raw Score]])),9),_Stanine,2),5),"")</f>
        <v>2</v>
      </c>
    </row>
    <row r="91">
      <c r="A91" s="65" t="inlineStr">
        <is>
          <t>X903495053414</t>
        </is>
      </c>
      <c r="B91" s="65" t="inlineStr">
        <is>
          <t>Bennett</t>
        </is>
      </c>
      <c r="C91" s="65" t="inlineStr">
        <is>
          <t>Kai</t>
        </is>
      </c>
      <c r="D91" s="66" t="inlineStr">
        <is>
          <t>F</t>
        </is>
      </c>
      <c r="E91" s="66" t="inlineStr">
        <is>
          <t>K</t>
        </is>
      </c>
      <c r="F91" s="66" t="inlineStr">
        <is>
          <t>N</t>
        </is>
      </c>
      <c r="G91" s="34" t="n">
        <v>100</v>
      </c>
      <c r="H91" s="34" t="n">
        <v>101.5</v>
      </c>
      <c r="I91" s="67">
        <f>IF(ISNUMBER(tblY11[[#This Row],[Avg KS2]]),IFERROR(VLOOKUP(ROUND(STANDARDIZE(tblY11[[#This Row],[Avg KS2]],AVERAGE(tblY11[[Avg KS2]]),_xlfn.STDEV.P(tblY11[[Avg KS2]])),9),_Stanine,2),5),"")</f>
        <v>4</v>
      </c>
      <c r="J91" s="66" t="inlineStr">
        <is>
          <t>11S/Sc5</t>
        </is>
      </c>
      <c r="K91" s="67">
        <f>IF(tblY11[[#This Row],[Preferred Last name]]="","",COUNTIFS($N$1:$ZZ$1,"*"&amp;CHAR(10)&amp;"Stanine",$N91:$ZZ91,"&gt;=1"))</f>
        <v>6</v>
      </c>
      <c r="L91" s="68">
        <f>IFERROR(AVERAGEIF($N$1:$ZZ$1,"*"&amp;CHAR(10)&amp;"Stanine",$N91:$ZZ91),"")</f>
        <v>3.66666666666667</v>
      </c>
      <c r="M91" s="69">
        <f>IF(AND(ISNUMBER(tblY11[[#This Row],[Mean Stanine]]),ISNUMBER(tblY11[[#This Row],[Avg KS2 Band]]),ISNUMBER(SlopeY11)),tblY11[[#This Row],[Mean Stanine]]-(InterceptY11+SlopeY11*tblY11[[#This Row],[Avg KS2 Band]]),"")</f>
        <v>-0.537168109668109</v>
      </c>
      <c r="N91" s="66" t="n">
        <v>13</v>
      </c>
      <c r="O91" s="67">
        <f>IF(ISNUMBER(tblY11[[#This Row],[4B05 - Homeostasis
Raw Score]]),IFERROR(VLOOKUP(ROUND(STANDARDIZE(tblY11[[#This Row],[4B05 - Homeostasis
Raw Score]],AVERAGE(tblY11[[4B05 - Homeostasis
Raw Score]]),_xlfn.STDEV.P(tblY11[[4B05 - Homeostasis
Raw Score]])),9),_Stanine,2),5),"")</f>
        <v>3</v>
      </c>
      <c r="P91" s="66" t="n">
        <v>14</v>
      </c>
      <c r="Q91" s="67">
        <f>IF(ISNUMBER(tblY11[[#This Row],[4C09 - Organic Chemistry
Raw Score]]),IFERROR(VLOOKUP(ROUND(STANDARDIZE(tblY11[[#This Row],[4C09 - Organic Chemistry
Raw Score]],AVERAGE(tblY11[[4C09 - Organic Chemistry
Raw Score]]),_xlfn.STDEV.P(tblY11[[4C09 - Organic Chemistry
Raw Score]])),9),_Stanine,2),5),"")</f>
        <v>4</v>
      </c>
      <c r="R91" s="66" t="n">
        <v>19</v>
      </c>
      <c r="S91" s="67">
        <f>IF(ISNUMBER(tblY11[[#This Row],[4P06 - Waves
Raw Score]]),IFERROR(VLOOKUP(ROUND(STANDARDIZE(tblY11[[#This Row],[4P06 - Waves
Raw Score]],AVERAGE(tblY11[[4P06 - Waves
Raw Score]]),_xlfn.STDEV.P(tblY11[[4P06 - Waves
Raw Score]])),9),_Stanine,2),5),"")</f>
        <v>5</v>
      </c>
      <c r="T91" s="66" t="n">
        <v>13</v>
      </c>
      <c r="U91" s="67">
        <f>IF(ISNUMBER(tblY11[[#This Row],[4B06 - Inheritance
Raw Score]]),IFERROR(VLOOKUP(ROUND(STANDARDIZE(tblY11[[#This Row],[4B06 - Inheritance
Raw Score]],AVERAGE(tblY11[[4B06 - Inheritance
Raw Score]]),_xlfn.STDEV.P(tblY11[[4B06 - Inheritance
Raw Score]])),9),_Stanine,2),5),"")</f>
        <v>4</v>
      </c>
      <c r="V91" s="66" t="n">
        <v>9</v>
      </c>
      <c r="W91" s="67">
        <f>IF(ISNUMBER(tblY11[[#This Row],[4C10 - Chemical Analysis
Raw Score]]),IFERROR(VLOOKUP(ROUND(STANDARDIZE(tblY11[[#This Row],[4C10 - Chemical Analysis
Raw Score]],AVERAGE(tblY11[[4C10 - Chemical Analysis
Raw Score]]),_xlfn.STDEV.P(tblY11[[4C10 - Chemical Analysis
Raw Score]])),9),_Stanine,2),5),"")</f>
        <v>3</v>
      </c>
      <c r="X91" s="66" t="n">
        <v>8</v>
      </c>
      <c r="Y91" s="67">
        <f>IF(ISNUMBER(tblY11[[#This Row],[4P07 - Magnetism
Raw Score]]),IFERROR(VLOOKUP(ROUND(STANDARDIZE(tblY11[[#This Row],[4P07 - Magnetism
Raw Score]],AVERAGE(tblY11[[4P07 - Magnetism
Raw Score]]),_xlfn.STDEV.P(tblY11[[4P07 - Magnetism
Raw Score]])),9),_Stanine,2),5),"")</f>
        <v>3</v>
      </c>
    </row>
    <row r="92">
      <c r="A92" s="65" t="inlineStr">
        <is>
          <t>X902581743139</t>
        </is>
      </c>
      <c r="B92" s="65" t="inlineStr">
        <is>
          <t>Jackson</t>
        </is>
      </c>
      <c r="C92" s="65" t="inlineStr">
        <is>
          <t>Chidi</t>
        </is>
      </c>
      <c r="D92" s="66" t="inlineStr">
        <is>
          <t>F</t>
        </is>
      </c>
      <c r="E92" s="66" t="inlineStr">
        <is>
          <t>N</t>
        </is>
      </c>
      <c r="F92" s="66" t="inlineStr">
        <is>
          <t>N</t>
        </is>
      </c>
      <c r="G92" s="34" t="n">
        <v>95.8</v>
      </c>
      <c r="H92" s="34" t="n">
        <v>99</v>
      </c>
      <c r="I92" s="67">
        <f>IF(ISNUMBER(tblY11[[#This Row],[Avg KS2]]),IFERROR(VLOOKUP(ROUND(STANDARDIZE(tblY11[[#This Row],[Avg KS2]],AVERAGE(tblY11[[Avg KS2]]),_xlfn.STDEV.P(tblY11[[Avg KS2]])),9),_Stanine,2),5),"")</f>
        <v>3</v>
      </c>
      <c r="J92" s="66" t="inlineStr">
        <is>
          <t>11S/Sc5</t>
        </is>
      </c>
      <c r="K92" s="67">
        <f>IF(tblY11[[#This Row],[Preferred Last name]]="","",COUNTIFS($N$1:$ZZ$1,"*"&amp;CHAR(10)&amp;"Stanine",$N92:$ZZ92,"&gt;=1"))</f>
        <v>5</v>
      </c>
      <c r="L92" s="68">
        <f>IFERROR(AVERAGEIF($N$1:$ZZ$1,"*"&amp;CHAR(10)&amp;"Stanine",$N92:$ZZ92),"")</f>
        <v>5</v>
      </c>
      <c r="M92" s="69">
        <f>IF(AND(ISNUMBER(tblY11[[#This Row],[Mean Stanine]]),ISNUMBER(tblY11[[#This Row],[Avg KS2 Band]]),ISNUMBER(SlopeY11)),tblY11[[#This Row],[Mean Stanine]]-(InterceptY11+SlopeY11*tblY11[[#This Row],[Avg KS2 Band]]),"")</f>
        <v>1.54502886002886</v>
      </c>
      <c r="N92" s="66" t="n">
        <v>19</v>
      </c>
      <c r="O92" s="67">
        <f>IF(ISNUMBER(tblY11[[#This Row],[4B05 - Homeostasis
Raw Score]]),IFERROR(VLOOKUP(ROUND(STANDARDIZE(tblY11[[#This Row],[4B05 - Homeostasis
Raw Score]],AVERAGE(tblY11[[4B05 - Homeostasis
Raw Score]]),_xlfn.STDEV.P(tblY11[[4B05 - Homeostasis
Raw Score]])),9),_Stanine,2),5),"")</f>
        <v>5</v>
      </c>
      <c r="P92" s="66" t="inlineStr">
        <is>
          <t>A</t>
        </is>
      </c>
      <c r="Q92" s="67" t="str">
        <f>IF(ISNUMBER(tblY11[[#This Row],[4C09 - Organic Chemistry
Raw Score]]),IFERROR(VLOOKUP(ROUND(STANDARDIZE(tblY11[[#This Row],[4C09 - Organic Chemistry
Raw Score]],AVERAGE(tblY11[[4C09 - Organic Chemistry
Raw Score]]),_xlfn.STDEV.P(tblY11[[4C09 - Organic Chemistry
Raw Score]])),9),_Stanine,2),5),"")</f>
        <v/>
      </c>
      <c r="R92" s="66" t="n">
        <v>22</v>
      </c>
      <c r="S92" s="67">
        <f>IF(ISNUMBER(tblY11[[#This Row],[4P06 - Waves
Raw Score]]),IFERROR(VLOOKUP(ROUND(STANDARDIZE(tblY11[[#This Row],[4P06 - Waves
Raw Score]],AVERAGE(tblY11[[4P06 - Waves
Raw Score]]),_xlfn.STDEV.P(tblY11[[4P06 - Waves
Raw Score]])),9),_Stanine,2),5),"")</f>
        <v>5</v>
      </c>
      <c r="T92" s="66" t="n">
        <v>25</v>
      </c>
      <c r="U92" s="67">
        <f>IF(ISNUMBER(tblY11[[#This Row],[4B06 - Inheritance
Raw Score]]),IFERROR(VLOOKUP(ROUND(STANDARDIZE(tblY11[[#This Row],[4B06 - Inheritance
Raw Score]],AVERAGE(tblY11[[4B06 - Inheritance
Raw Score]]),_xlfn.STDEV.P(tblY11[[4B06 - Inheritance
Raw Score]])),9),_Stanine,2),5),"")</f>
        <v>6</v>
      </c>
      <c r="V92" s="66" t="n">
        <v>14</v>
      </c>
      <c r="W92" s="67">
        <f>IF(ISNUMBER(tblY11[[#This Row],[4C10 - Chemical Analysis
Raw Score]]),IFERROR(VLOOKUP(ROUND(STANDARDIZE(tblY11[[#This Row],[4C10 - Chemical Analysis
Raw Score]],AVERAGE(tblY11[[4C10 - Chemical Analysis
Raw Score]]),_xlfn.STDEV.P(tblY11[[4C10 - Chemical Analysis
Raw Score]])),9),_Stanine,2),5),"")</f>
        <v>5</v>
      </c>
      <c r="X92" s="66" t="n">
        <v>13</v>
      </c>
      <c r="Y92" s="67">
        <f>IF(ISNUMBER(tblY11[[#This Row],[4P07 - Magnetism
Raw Score]]),IFERROR(VLOOKUP(ROUND(STANDARDIZE(tblY11[[#This Row],[4P07 - Magnetism
Raw Score]],AVERAGE(tblY11[[4P07 - Magnetism
Raw Score]]),_xlfn.STDEV.P(tblY11[[4P07 - Magnetism
Raw Score]])),9),_Stanine,2),5),"")</f>
        <v>4</v>
      </c>
    </row>
    <row r="93">
      <c r="A93" s="65" t="inlineStr">
        <is>
          <t>X906007240576</t>
        </is>
      </c>
      <c r="B93" s="65" t="inlineStr">
        <is>
          <t>Johnson</t>
        </is>
      </c>
      <c r="C93" s="65" t="inlineStr">
        <is>
          <t>Chidi</t>
        </is>
      </c>
      <c r="D93" s="66" t="inlineStr">
        <is>
          <t>M</t>
        </is>
      </c>
      <c r="E93" s="66" t="n"/>
      <c r="F93" s="66" t="inlineStr">
        <is>
          <t>N</t>
        </is>
      </c>
      <c r="G93" s="34" t="n">
        <v>91.59999999999999</v>
      </c>
      <c r="H93" s="34" t="n">
        <v>98.5</v>
      </c>
      <c r="I93" s="67">
        <f>IF(ISNUMBER(tblY11[[#This Row],[Avg KS2]]),IFERROR(VLOOKUP(ROUND(STANDARDIZE(tblY11[[#This Row],[Avg KS2]],AVERAGE(tblY11[[Avg KS2]]),_xlfn.STDEV.P(tblY11[[Avg KS2]])),9),_Stanine,2),5),"")</f>
        <v>3</v>
      </c>
      <c r="J93" s="66" t="inlineStr">
        <is>
          <t>11S/Sc5</t>
        </is>
      </c>
      <c r="K93" s="67">
        <f>IF(tblY11[[#This Row],[Preferred Last name]]="","",COUNTIFS($N$1:$ZZ$1,"*"&amp;CHAR(10)&amp;"Stanine",$N93:$ZZ93,"&gt;=1"))</f>
        <v>6</v>
      </c>
      <c r="L93" s="68">
        <f>IFERROR(AVERAGEIF($N$1:$ZZ$1,"*"&amp;CHAR(10)&amp;"Stanine",$N93:$ZZ93),"")</f>
        <v>2.33333333333333</v>
      </c>
      <c r="M93" s="69">
        <f>IF(AND(ISNUMBER(tblY11[[#This Row],[Mean Stanine]]),ISNUMBER(tblY11[[#This Row],[Avg KS2 Band]]),ISNUMBER(SlopeY11)),tblY11[[#This Row],[Mean Stanine]]-(InterceptY11+SlopeY11*tblY11[[#This Row],[Avg KS2 Band]]),"")</f>
        <v>-1.12163780663781</v>
      </c>
      <c r="N93" s="66" t="n">
        <v>9</v>
      </c>
      <c r="O93" s="67">
        <f>IF(ISNUMBER(tblY11[[#This Row],[4B05 - Homeostasis
Raw Score]]),IFERROR(VLOOKUP(ROUND(STANDARDIZE(tblY11[[#This Row],[4B05 - Homeostasis
Raw Score]],AVERAGE(tblY11[[4B05 - Homeostasis
Raw Score]]),_xlfn.STDEV.P(tblY11[[4B05 - Homeostasis
Raw Score]])),9),_Stanine,2),5),"")</f>
        <v>2</v>
      </c>
      <c r="P93" s="66" t="n">
        <v>9</v>
      </c>
      <c r="Q93" s="67">
        <f>IF(ISNUMBER(tblY11[[#This Row],[4C09 - Organic Chemistry
Raw Score]]),IFERROR(VLOOKUP(ROUND(STANDARDIZE(tblY11[[#This Row],[4C09 - Organic Chemistry
Raw Score]],AVERAGE(tblY11[[4C09 - Organic Chemistry
Raw Score]]),_xlfn.STDEV.P(tblY11[[4C09 - Organic Chemistry
Raw Score]])),9),_Stanine,2),5),"")</f>
        <v>3</v>
      </c>
      <c r="R93" s="66" t="n">
        <v>8</v>
      </c>
      <c r="S93" s="67">
        <f>IF(ISNUMBER(tblY11[[#This Row],[4P06 - Waves
Raw Score]]),IFERROR(VLOOKUP(ROUND(STANDARDIZE(tblY11[[#This Row],[4P06 - Waves
Raw Score]],AVERAGE(tblY11[[4P06 - Waves
Raw Score]]),_xlfn.STDEV.P(tblY11[[4P06 - Waves
Raw Score]])),9),_Stanine,2),5),"")</f>
        <v>2</v>
      </c>
      <c r="T93" s="66" t="n">
        <v>10</v>
      </c>
      <c r="U93" s="67">
        <f>IF(ISNUMBER(tblY11[[#This Row],[4B06 - Inheritance
Raw Score]]),IFERROR(VLOOKUP(ROUND(STANDARDIZE(tblY11[[#This Row],[4B06 - Inheritance
Raw Score]],AVERAGE(tblY11[[4B06 - Inheritance
Raw Score]]),_xlfn.STDEV.P(tblY11[[4B06 - Inheritance
Raw Score]])),9),_Stanine,2),5),"")</f>
        <v>3</v>
      </c>
      <c r="V93" s="66" t="n">
        <v>6</v>
      </c>
      <c r="W93" s="67">
        <f>IF(ISNUMBER(tblY11[[#This Row],[4C10 - Chemical Analysis
Raw Score]]),IFERROR(VLOOKUP(ROUND(STANDARDIZE(tblY11[[#This Row],[4C10 - Chemical Analysis
Raw Score]],AVERAGE(tblY11[[4C10 - Chemical Analysis
Raw Score]]),_xlfn.STDEV.P(tblY11[[4C10 - Chemical Analysis
Raw Score]])),9),_Stanine,2),5),"")</f>
        <v>2</v>
      </c>
      <c r="X93" s="66" t="n">
        <v>5</v>
      </c>
      <c r="Y93" s="67">
        <f>IF(ISNUMBER(tblY11[[#This Row],[4P07 - Magnetism
Raw Score]]),IFERROR(VLOOKUP(ROUND(STANDARDIZE(tblY11[[#This Row],[4P07 - Magnetism
Raw Score]],AVERAGE(tblY11[[4P07 - Magnetism
Raw Score]]),_xlfn.STDEV.P(tblY11[[4P07 - Magnetism
Raw Score]])),9),_Stanine,2),5),"")</f>
        <v>2</v>
      </c>
    </row>
    <row r="94">
      <c r="A94" s="65" t="inlineStr">
        <is>
          <t>X901382380987</t>
        </is>
      </c>
      <c r="B94" s="65" t="inlineStr">
        <is>
          <t>Lewis</t>
        </is>
      </c>
      <c r="C94" s="65" t="inlineStr">
        <is>
          <t>Zofia</t>
        </is>
      </c>
      <c r="D94" s="66" t="inlineStr">
        <is>
          <t>M</t>
        </is>
      </c>
      <c r="E94" s="66" t="inlineStr">
        <is>
          <t>N</t>
        </is>
      </c>
      <c r="F94" s="66" t="inlineStr">
        <is>
          <t>N</t>
        </is>
      </c>
      <c r="G94" s="34" t="n">
        <v>87.09999999999999</v>
      </c>
      <c r="H94" s="34" t="n">
        <v>98</v>
      </c>
      <c r="I94" s="67">
        <f>IF(ISNUMBER(tblY11[[#This Row],[Avg KS2]]),IFERROR(VLOOKUP(ROUND(STANDARDIZE(tblY11[[#This Row],[Avg KS2]],AVERAGE(tblY11[[Avg KS2]]),_xlfn.STDEV.P(tblY11[[Avg KS2]])),9),_Stanine,2),5),"")</f>
        <v>3</v>
      </c>
      <c r="J94" s="66" t="inlineStr">
        <is>
          <t>11S/Sc5</t>
        </is>
      </c>
      <c r="K94" s="67">
        <f>IF(tblY11[[#This Row],[Preferred Last name]]="","",COUNTIFS($N$1:$ZZ$1,"*"&amp;CHAR(10)&amp;"Stanine",$N94:$ZZ94,"&gt;=1"))</f>
        <v>6</v>
      </c>
      <c r="L94" s="68">
        <f>IFERROR(AVERAGEIF($N$1:$ZZ$1,"*"&amp;CHAR(10)&amp;"Stanine",$N94:$ZZ94),"")</f>
        <v>2.66666666666667</v>
      </c>
      <c r="M94" s="69">
        <f>IF(AND(ISNUMBER(tblY11[[#This Row],[Mean Stanine]]),ISNUMBER(tblY11[[#This Row],[Avg KS2 Band]]),ISNUMBER(SlopeY11)),tblY11[[#This Row],[Mean Stanine]]-(InterceptY11+SlopeY11*tblY11[[#This Row],[Avg KS2 Band]]),"")</f>
        <v>-0.788304473304473</v>
      </c>
      <c r="N94" s="66" t="n">
        <v>13</v>
      </c>
      <c r="O94" s="67">
        <f>IF(ISNUMBER(tblY11[[#This Row],[4B05 - Homeostasis
Raw Score]]),IFERROR(VLOOKUP(ROUND(STANDARDIZE(tblY11[[#This Row],[4B05 - Homeostasis
Raw Score]],AVERAGE(tblY11[[4B05 - Homeostasis
Raw Score]]),_xlfn.STDEV.P(tblY11[[4B05 - Homeostasis
Raw Score]])),9),_Stanine,2),5),"")</f>
        <v>3</v>
      </c>
      <c r="P94" s="66" t="n">
        <v>6</v>
      </c>
      <c r="Q94" s="67">
        <f>IF(ISNUMBER(tblY11[[#This Row],[4C09 - Organic Chemistry
Raw Score]]),IFERROR(VLOOKUP(ROUND(STANDARDIZE(tblY11[[#This Row],[4C09 - Organic Chemistry
Raw Score]],AVERAGE(tblY11[[4C09 - Organic Chemistry
Raw Score]]),_xlfn.STDEV.P(tblY11[[4C09 - Organic Chemistry
Raw Score]])),9),_Stanine,2),5),"")</f>
        <v>2</v>
      </c>
      <c r="R94" s="66" t="n">
        <v>10</v>
      </c>
      <c r="S94" s="67">
        <f>IF(ISNUMBER(tblY11[[#This Row],[4P06 - Waves
Raw Score]]),IFERROR(VLOOKUP(ROUND(STANDARDIZE(tblY11[[#This Row],[4P06 - Waves
Raw Score]],AVERAGE(tblY11[[4P06 - Waves
Raw Score]]),_xlfn.STDEV.P(tblY11[[4P06 - Waves
Raw Score]])),9),_Stanine,2),5),"")</f>
        <v>2</v>
      </c>
      <c r="T94" s="66" t="n">
        <v>8</v>
      </c>
      <c r="U94" s="67">
        <f>IF(ISNUMBER(tblY11[[#This Row],[4B06 - Inheritance
Raw Score]]),IFERROR(VLOOKUP(ROUND(STANDARDIZE(tblY11[[#This Row],[4B06 - Inheritance
Raw Score]],AVERAGE(tblY11[[4B06 - Inheritance
Raw Score]]),_xlfn.STDEV.P(tblY11[[4B06 - Inheritance
Raw Score]])),9),_Stanine,2),5),"")</f>
        <v>3</v>
      </c>
      <c r="V94" s="66" t="n">
        <v>9</v>
      </c>
      <c r="W94" s="67">
        <f>IF(ISNUMBER(tblY11[[#This Row],[4C10 - Chemical Analysis
Raw Score]]),IFERROR(VLOOKUP(ROUND(STANDARDIZE(tblY11[[#This Row],[4C10 - Chemical Analysis
Raw Score]],AVERAGE(tblY11[[4C10 - Chemical Analysis
Raw Score]]),_xlfn.STDEV.P(tblY11[[4C10 - Chemical Analysis
Raw Score]])),9),_Stanine,2),5),"")</f>
        <v>3</v>
      </c>
      <c r="X94" s="66" t="n">
        <v>7</v>
      </c>
      <c r="Y94" s="67">
        <f>IF(ISNUMBER(tblY11[[#This Row],[4P07 - Magnetism
Raw Score]]),IFERROR(VLOOKUP(ROUND(STANDARDIZE(tblY11[[#This Row],[4P07 - Magnetism
Raw Score]],AVERAGE(tblY11[[4P07 - Magnetism
Raw Score]]),_xlfn.STDEV.P(tblY11[[4P07 - Magnetism
Raw Score]])),9),_Stanine,2),5),"")</f>
        <v>3</v>
      </c>
    </row>
    <row r="95">
      <c r="A95" s="65" t="inlineStr">
        <is>
          <t>X907488946354</t>
        </is>
      </c>
      <c r="B95" s="65" t="inlineStr">
        <is>
          <t>Morgan</t>
        </is>
      </c>
      <c r="C95" s="65" t="inlineStr">
        <is>
          <t>Charlie</t>
        </is>
      </c>
      <c r="D95" s="66" t="inlineStr">
        <is>
          <t>F</t>
        </is>
      </c>
      <c r="E95" s="66" t="inlineStr">
        <is>
          <t>N</t>
        </is>
      </c>
      <c r="F95" s="66" t="inlineStr">
        <is>
          <t>N</t>
        </is>
      </c>
      <c r="G95" s="34" t="n">
        <v>94.90000000000001</v>
      </c>
      <c r="H95" s="34" t="n">
        <v>95.5</v>
      </c>
      <c r="I95" s="67">
        <f>IF(ISNUMBER(tblY11[[#This Row],[Avg KS2]]),IFERROR(VLOOKUP(ROUND(STANDARDIZE(tblY11[[#This Row],[Avg KS2]],AVERAGE(tblY11[[Avg KS2]]),_xlfn.STDEV.P(tblY11[[Avg KS2]])),9),_Stanine,2),5),"")</f>
        <v>2</v>
      </c>
      <c r="J95" s="66" t="inlineStr">
        <is>
          <t>11S/Sc5</t>
        </is>
      </c>
      <c r="K95" s="67">
        <f>IF(tblY11[[#This Row],[Preferred Last name]]="","",COUNTIFS($N$1:$ZZ$1,"*"&amp;CHAR(10)&amp;"Stanine",$N95:$ZZ95,"&gt;=1"))</f>
        <v>6</v>
      </c>
      <c r="L95" s="68">
        <f>IFERROR(AVERAGEIF($N$1:$ZZ$1,"*"&amp;CHAR(10)&amp;"Stanine",$N95:$ZZ95),"")</f>
        <v>3.83333333333333</v>
      </c>
      <c r="M95" s="69">
        <f>IF(AND(ISNUMBER(tblY11[[#This Row],[Mean Stanine]]),ISNUMBER(tblY11[[#This Row],[Avg KS2 Band]]),ISNUMBER(SlopeY11)),tblY11[[#This Row],[Mean Stanine]]-(InterceptY11+SlopeY11*tblY11[[#This Row],[Avg KS2 Band]]),"")</f>
        <v>1.12722582972583</v>
      </c>
      <c r="N95" s="66" t="n">
        <v>12</v>
      </c>
      <c r="O95" s="67">
        <f>IF(ISNUMBER(tblY11[[#This Row],[4B05 - Homeostasis
Raw Score]]),IFERROR(VLOOKUP(ROUND(STANDARDIZE(tblY11[[#This Row],[4B05 - Homeostasis
Raw Score]],AVERAGE(tblY11[[4B05 - Homeostasis
Raw Score]]),_xlfn.STDEV.P(tblY11[[4B05 - Homeostasis
Raw Score]])),9),_Stanine,2),5),"")</f>
        <v>3</v>
      </c>
      <c r="P95" s="66" t="n">
        <v>8</v>
      </c>
      <c r="Q95" s="67">
        <f>IF(ISNUMBER(tblY11[[#This Row],[4C09 - Organic Chemistry
Raw Score]]),IFERROR(VLOOKUP(ROUND(STANDARDIZE(tblY11[[#This Row],[4C09 - Organic Chemistry
Raw Score]],AVERAGE(tblY11[[4C09 - Organic Chemistry
Raw Score]]),_xlfn.STDEV.P(tblY11[[4C09 - Organic Chemistry
Raw Score]])),9),_Stanine,2),5),"")</f>
        <v>3</v>
      </c>
      <c r="R95" s="66" t="n">
        <v>19</v>
      </c>
      <c r="S95" s="67">
        <f>IF(ISNUMBER(tblY11[[#This Row],[4P06 - Waves
Raw Score]]),IFERROR(VLOOKUP(ROUND(STANDARDIZE(tblY11[[#This Row],[4P06 - Waves
Raw Score]],AVERAGE(tblY11[[4P06 - Waves
Raw Score]]),_xlfn.STDEV.P(tblY11[[4P06 - Waves
Raw Score]])),9),_Stanine,2),5),"")</f>
        <v>5</v>
      </c>
      <c r="T95" s="66" t="n">
        <v>16</v>
      </c>
      <c r="U95" s="67">
        <f>IF(ISNUMBER(tblY11[[#This Row],[4B06 - Inheritance
Raw Score]]),IFERROR(VLOOKUP(ROUND(STANDARDIZE(tblY11[[#This Row],[4B06 - Inheritance
Raw Score]],AVERAGE(tblY11[[4B06 - Inheritance
Raw Score]]),_xlfn.STDEV.P(tblY11[[4B06 - Inheritance
Raw Score]])),9),_Stanine,2),5),"")</f>
        <v>4</v>
      </c>
      <c r="V95" s="66" t="n">
        <v>10</v>
      </c>
      <c r="W95" s="67">
        <f>IF(ISNUMBER(tblY11[[#This Row],[4C10 - Chemical Analysis
Raw Score]]),IFERROR(VLOOKUP(ROUND(STANDARDIZE(tblY11[[#This Row],[4C10 - Chemical Analysis
Raw Score]],AVERAGE(tblY11[[4C10 - Chemical Analysis
Raw Score]]),_xlfn.STDEV.P(tblY11[[4C10 - Chemical Analysis
Raw Score]])),9),_Stanine,2),5),"")</f>
        <v>4</v>
      </c>
      <c r="X95" s="66" t="n">
        <v>12</v>
      </c>
      <c r="Y95" s="67">
        <f>IF(ISNUMBER(tblY11[[#This Row],[4P07 - Magnetism
Raw Score]]),IFERROR(VLOOKUP(ROUND(STANDARDIZE(tblY11[[#This Row],[4P07 - Magnetism
Raw Score]],AVERAGE(tblY11[[4P07 - Magnetism
Raw Score]]),_xlfn.STDEV.P(tblY11[[4P07 - Magnetism
Raw Score]])),9),_Stanine,2),5),"")</f>
        <v>4</v>
      </c>
    </row>
    <row r="96">
      <c r="A96" s="65" t="inlineStr">
        <is>
          <t>X909693033799</t>
        </is>
      </c>
      <c r="B96" s="65" t="inlineStr">
        <is>
          <t>Morgan</t>
        </is>
      </c>
      <c r="C96" s="65" t="inlineStr">
        <is>
          <t>Zofia</t>
        </is>
      </c>
      <c r="D96" s="66" t="inlineStr">
        <is>
          <t>F</t>
        </is>
      </c>
      <c r="E96" s="66" t="inlineStr">
        <is>
          <t>E</t>
        </is>
      </c>
      <c r="F96" s="66" t="inlineStr">
        <is>
          <t>N</t>
        </is>
      </c>
      <c r="G96" s="34" t="n">
        <v>94.5</v>
      </c>
      <c r="H96" s="34" t="n">
        <v>97</v>
      </c>
      <c r="I96" s="67">
        <f>IF(ISNUMBER(tblY11[[#This Row],[Avg KS2]]),IFERROR(VLOOKUP(ROUND(STANDARDIZE(tblY11[[#This Row],[Avg KS2]],AVERAGE(tblY11[[Avg KS2]]),_xlfn.STDEV.P(tblY11[[Avg KS2]])),9),_Stanine,2),5),"")</f>
        <v>3</v>
      </c>
      <c r="J96" s="66" t="inlineStr">
        <is>
          <t>11S/Sc5</t>
        </is>
      </c>
      <c r="K96" s="67">
        <f>IF(tblY11[[#This Row],[Preferred Last name]]="","",COUNTIFS($N$1:$ZZ$1,"*"&amp;CHAR(10)&amp;"Stanine",$N96:$ZZ96,"&gt;=1"))</f>
        <v>5</v>
      </c>
      <c r="L96" s="68">
        <f>IFERROR(AVERAGEIF($N$1:$ZZ$1,"*"&amp;CHAR(10)&amp;"Stanine",$N96:$ZZ96),"")</f>
        <v>1.6</v>
      </c>
      <c r="M96" s="69">
        <f>IF(AND(ISNUMBER(tblY11[[#This Row],[Mean Stanine]]),ISNUMBER(tblY11[[#This Row],[Avg KS2 Band]]),ISNUMBER(SlopeY11)),tblY11[[#This Row],[Mean Stanine]]-(InterceptY11+SlopeY11*tblY11[[#This Row],[Avg KS2 Band]]),"")</f>
        <v>-1.85497113997114</v>
      </c>
      <c r="N96" s="66" t="n">
        <v>5</v>
      </c>
      <c r="O96" s="67">
        <f>IF(ISNUMBER(tblY11[[#This Row],[4B05 - Homeostasis
Raw Score]]),IFERROR(VLOOKUP(ROUND(STANDARDIZE(tblY11[[#This Row],[4B05 - Homeostasis
Raw Score]],AVERAGE(tblY11[[4B05 - Homeostasis
Raw Score]]),_xlfn.STDEV.P(tblY11[[4B05 - Homeostasis
Raw Score]])),9),_Stanine,2),5),"")</f>
        <v>1</v>
      </c>
      <c r="P96" s="66" t="inlineStr">
        <is>
          <t>A</t>
        </is>
      </c>
      <c r="Q96" s="67" t="str">
        <f>IF(ISNUMBER(tblY11[[#This Row],[4C09 - Organic Chemistry
Raw Score]]),IFERROR(VLOOKUP(ROUND(STANDARDIZE(tblY11[[#This Row],[4C09 - Organic Chemistry
Raw Score]],AVERAGE(tblY11[[4C09 - Organic Chemistry
Raw Score]]),_xlfn.STDEV.P(tblY11[[4C09 - Organic Chemistry
Raw Score]])),9),_Stanine,2),5),"")</f>
        <v/>
      </c>
      <c r="R96" s="66" t="n">
        <v>8</v>
      </c>
      <c r="S96" s="67">
        <f>IF(ISNUMBER(tblY11[[#This Row],[4P06 - Waves
Raw Score]]),IFERROR(VLOOKUP(ROUND(STANDARDIZE(tblY11[[#This Row],[4P06 - Waves
Raw Score]],AVERAGE(tblY11[[4P06 - Waves
Raw Score]]),_xlfn.STDEV.P(tblY11[[4P06 - Waves
Raw Score]])),9),_Stanine,2),5),"")</f>
        <v>2</v>
      </c>
      <c r="T96" s="66" t="n">
        <v>4</v>
      </c>
      <c r="U96" s="67">
        <f>IF(ISNUMBER(tblY11[[#This Row],[4B06 - Inheritance
Raw Score]]),IFERROR(VLOOKUP(ROUND(STANDARDIZE(tblY11[[#This Row],[4B06 - Inheritance
Raw Score]],AVERAGE(tblY11[[4B06 - Inheritance
Raw Score]]),_xlfn.STDEV.P(tblY11[[4B06 - Inheritance
Raw Score]])),9),_Stanine,2),5),"")</f>
        <v>2</v>
      </c>
      <c r="V96" s="66" t="n">
        <v>5</v>
      </c>
      <c r="W96" s="67">
        <f>IF(ISNUMBER(tblY11[[#This Row],[4C10 - Chemical Analysis
Raw Score]]),IFERROR(VLOOKUP(ROUND(STANDARDIZE(tblY11[[#This Row],[4C10 - Chemical Analysis
Raw Score]],AVERAGE(tblY11[[4C10 - Chemical Analysis
Raw Score]]),_xlfn.STDEV.P(tblY11[[4C10 - Chemical Analysis
Raw Score]])),9),_Stanine,2),5),"")</f>
        <v>2</v>
      </c>
      <c r="X96" s="66" t="n">
        <v>2</v>
      </c>
      <c r="Y96" s="67">
        <f>IF(ISNUMBER(tblY11[[#This Row],[4P07 - Magnetism
Raw Score]]),IFERROR(VLOOKUP(ROUND(STANDARDIZE(tblY11[[#This Row],[4P07 - Magnetism
Raw Score]],AVERAGE(tblY11[[4P07 - Magnetism
Raw Score]]),_xlfn.STDEV.P(tblY11[[4P07 - Magnetism
Raw Score]])),9),_Stanine,2),5),"")</f>
        <v>1</v>
      </c>
    </row>
    <row r="97">
      <c r="A97" s="65" t="inlineStr">
        <is>
          <t>X906665291192</t>
        </is>
      </c>
      <c r="B97" s="65" t="inlineStr">
        <is>
          <t>Murphy</t>
        </is>
      </c>
      <c r="C97" s="65" t="inlineStr">
        <is>
          <t>Freya</t>
        </is>
      </c>
      <c r="D97" s="66" t="inlineStr">
        <is>
          <t>F</t>
        </is>
      </c>
      <c r="E97" s="66" t="n"/>
      <c r="F97" s="66" t="inlineStr">
        <is>
          <t>Y</t>
        </is>
      </c>
      <c r="G97" s="34" t="n">
        <v>85.7</v>
      </c>
      <c r="H97" s="34" t="n">
        <v>99</v>
      </c>
      <c r="I97" s="67">
        <f>IF(ISNUMBER(tblY11[[#This Row],[Avg KS2]]),IFERROR(VLOOKUP(ROUND(STANDARDIZE(tblY11[[#This Row],[Avg KS2]],AVERAGE(tblY11[[Avg KS2]]),_xlfn.STDEV.P(tblY11[[Avg KS2]])),9),_Stanine,2),5),"")</f>
        <v>3</v>
      </c>
      <c r="J97" s="66" t="inlineStr">
        <is>
          <t>11S/Sc5</t>
        </is>
      </c>
      <c r="K97" s="67">
        <f>IF(tblY11[[#This Row],[Preferred Last name]]="","",COUNTIFS($N$1:$ZZ$1,"*"&amp;CHAR(10)&amp;"Stanine",$N97:$ZZ97,"&gt;=1"))</f>
        <v>6</v>
      </c>
      <c r="L97" s="68">
        <f>IFERROR(AVERAGEIF($N$1:$ZZ$1,"*"&amp;CHAR(10)&amp;"Stanine",$N97:$ZZ97),"")</f>
        <v>3.16666666666667</v>
      </c>
      <c r="M97" s="69">
        <f>IF(AND(ISNUMBER(tblY11[[#This Row],[Mean Stanine]]),ISNUMBER(tblY11[[#This Row],[Avg KS2 Band]]),ISNUMBER(SlopeY11)),tblY11[[#This Row],[Mean Stanine]]-(InterceptY11+SlopeY11*tblY11[[#This Row],[Avg KS2 Band]]),"")</f>
        <v>-0.288304473304473</v>
      </c>
      <c r="N97" s="66" t="n">
        <v>18</v>
      </c>
      <c r="O97" s="67">
        <f>IF(ISNUMBER(tblY11[[#This Row],[4B05 - Homeostasis
Raw Score]]),IFERROR(VLOOKUP(ROUND(STANDARDIZE(tblY11[[#This Row],[4B05 - Homeostasis
Raw Score]],AVERAGE(tblY11[[4B05 - Homeostasis
Raw Score]]),_xlfn.STDEV.P(tblY11[[4B05 - Homeostasis
Raw Score]])),9),_Stanine,2),5),"")</f>
        <v>4</v>
      </c>
      <c r="P97" s="66" t="n">
        <v>6</v>
      </c>
      <c r="Q97" s="67">
        <f>IF(ISNUMBER(tblY11[[#This Row],[4C09 - Organic Chemistry
Raw Score]]),IFERROR(VLOOKUP(ROUND(STANDARDIZE(tblY11[[#This Row],[4C09 - Organic Chemistry
Raw Score]],AVERAGE(tblY11[[4C09 - Organic Chemistry
Raw Score]]),_xlfn.STDEV.P(tblY11[[4C09 - Organic Chemistry
Raw Score]])),9),_Stanine,2),5),"")</f>
        <v>2</v>
      </c>
      <c r="R97" s="66" t="n">
        <v>14</v>
      </c>
      <c r="S97" s="67">
        <f>IF(ISNUMBER(tblY11[[#This Row],[4P06 - Waves
Raw Score]]),IFERROR(VLOOKUP(ROUND(STANDARDIZE(tblY11[[#This Row],[4P06 - Waves
Raw Score]],AVERAGE(tblY11[[4P06 - Waves
Raw Score]]),_xlfn.STDEV.P(tblY11[[4P06 - Waves
Raw Score]])),9),_Stanine,2),5),"")</f>
        <v>3</v>
      </c>
      <c r="T97" s="66" t="n">
        <v>9</v>
      </c>
      <c r="U97" s="67">
        <f>IF(ISNUMBER(tblY11[[#This Row],[4B06 - Inheritance
Raw Score]]),IFERROR(VLOOKUP(ROUND(STANDARDIZE(tblY11[[#This Row],[4B06 - Inheritance
Raw Score]],AVERAGE(tblY11[[4B06 - Inheritance
Raw Score]]),_xlfn.STDEV.P(tblY11[[4B06 - Inheritance
Raw Score]])),9),_Stanine,2),5),"")</f>
        <v>3</v>
      </c>
      <c r="V97" s="66" t="n">
        <v>9</v>
      </c>
      <c r="W97" s="67">
        <f>IF(ISNUMBER(tblY11[[#This Row],[4C10 - Chemical Analysis
Raw Score]]),IFERROR(VLOOKUP(ROUND(STANDARDIZE(tblY11[[#This Row],[4C10 - Chemical Analysis
Raw Score]],AVERAGE(tblY11[[4C10 - Chemical Analysis
Raw Score]]),_xlfn.STDEV.P(tblY11[[4C10 - Chemical Analysis
Raw Score]])),9),_Stanine,2),5),"")</f>
        <v>3</v>
      </c>
      <c r="X97" s="66" t="n">
        <v>12</v>
      </c>
      <c r="Y97" s="67">
        <f>IF(ISNUMBER(tblY11[[#This Row],[4P07 - Magnetism
Raw Score]]),IFERROR(VLOOKUP(ROUND(STANDARDIZE(tblY11[[#This Row],[4P07 - Magnetism
Raw Score]],AVERAGE(tblY11[[4P07 - Magnetism
Raw Score]]),_xlfn.STDEV.P(tblY11[[4P07 - Magnetism
Raw Score]])),9),_Stanine,2),5),"")</f>
        <v>4</v>
      </c>
    </row>
    <row r="98">
      <c r="A98" s="65" t="inlineStr">
        <is>
          <t>X901339613250</t>
        </is>
      </c>
      <c r="B98" s="65" t="inlineStr">
        <is>
          <t>Okafor</t>
        </is>
      </c>
      <c r="C98" s="65" t="inlineStr">
        <is>
          <t>Arthur</t>
        </is>
      </c>
      <c r="D98" s="66" t="inlineStr">
        <is>
          <t>M</t>
        </is>
      </c>
      <c r="E98" s="66" t="n"/>
      <c r="F98" s="66" t="inlineStr">
        <is>
          <t>Y</t>
        </is>
      </c>
      <c r="G98" s="34" t="n">
        <v>81.40000000000001</v>
      </c>
      <c r="H98" s="34" t="n">
        <v>97.5</v>
      </c>
      <c r="I98" s="67">
        <f>IF(ISNUMBER(tblY11[[#This Row],[Avg KS2]]),IFERROR(VLOOKUP(ROUND(STANDARDIZE(tblY11[[#This Row],[Avg KS2]],AVERAGE(tblY11[[Avg KS2]]),_xlfn.STDEV.P(tblY11[[Avg KS2]])),9),_Stanine,2),5),"")</f>
        <v>3</v>
      </c>
      <c r="J98" s="66" t="inlineStr">
        <is>
          <t>11S/Sc5</t>
        </is>
      </c>
      <c r="K98" s="67">
        <f>IF(tblY11[[#This Row],[Preferred Last name]]="","",COUNTIFS($N$1:$ZZ$1,"*"&amp;CHAR(10)&amp;"Stanine",$N98:$ZZ98,"&gt;=1"))</f>
        <v>4</v>
      </c>
      <c r="L98" s="68">
        <f>IFERROR(AVERAGEIF($N$1:$ZZ$1,"*"&amp;CHAR(10)&amp;"Stanine",$N98:$ZZ98),"")</f>
        <v>3</v>
      </c>
      <c r="M98" s="69">
        <f>IF(AND(ISNUMBER(tblY11[[#This Row],[Mean Stanine]]),ISNUMBER(tblY11[[#This Row],[Avg KS2 Band]]),ISNUMBER(SlopeY11)),tblY11[[#This Row],[Mean Stanine]]-(InterceptY11+SlopeY11*tblY11[[#This Row],[Avg KS2 Band]]),"")</f>
        <v>-0.454971139971139</v>
      </c>
      <c r="N98" s="66" t="n">
        <v>11</v>
      </c>
      <c r="O98" s="67">
        <f>IF(ISNUMBER(tblY11[[#This Row],[4B05 - Homeostasis
Raw Score]]),IFERROR(VLOOKUP(ROUND(STANDARDIZE(tblY11[[#This Row],[4B05 - Homeostasis
Raw Score]],AVERAGE(tblY11[[4B05 - Homeostasis
Raw Score]]),_xlfn.STDEV.P(tblY11[[4B05 - Homeostasis
Raw Score]])),9),_Stanine,2),5),"")</f>
        <v>3</v>
      </c>
      <c r="P98" s="66" t="inlineStr">
        <is>
          <t>A</t>
        </is>
      </c>
      <c r="Q98" s="67" t="str">
        <f>IF(ISNUMBER(tblY11[[#This Row],[4C09 - Organic Chemistry
Raw Score]]),IFERROR(VLOOKUP(ROUND(STANDARDIZE(tblY11[[#This Row],[4C09 - Organic Chemistry
Raw Score]],AVERAGE(tblY11[[4C09 - Organic Chemistry
Raw Score]]),_xlfn.STDEV.P(tblY11[[4C09 - Organic Chemistry
Raw Score]])),9),_Stanine,2),5),"")</f>
        <v/>
      </c>
      <c r="R98" s="66" t="n">
        <v>11</v>
      </c>
      <c r="S98" s="67">
        <f>IF(ISNUMBER(tblY11[[#This Row],[4P06 - Waves
Raw Score]]),IFERROR(VLOOKUP(ROUND(STANDARDIZE(tblY11[[#This Row],[4P06 - Waves
Raw Score]],AVERAGE(tblY11[[4P06 - Waves
Raw Score]]),_xlfn.STDEV.P(tblY11[[4P06 - Waves
Raw Score]])),9),_Stanine,2),5),"")</f>
        <v>3</v>
      </c>
      <c r="T98" s="66" t="n">
        <v>9</v>
      </c>
      <c r="U98" s="67">
        <f>IF(ISNUMBER(tblY11[[#This Row],[4B06 - Inheritance
Raw Score]]),IFERROR(VLOOKUP(ROUND(STANDARDIZE(tblY11[[#This Row],[4B06 - Inheritance
Raw Score]],AVERAGE(tblY11[[4B06 - Inheritance
Raw Score]]),_xlfn.STDEV.P(tblY11[[4B06 - Inheritance
Raw Score]])),9),_Stanine,2),5),"")</f>
        <v>3</v>
      </c>
      <c r="V98" s="66" t="n">
        <v>9</v>
      </c>
      <c r="W98" s="67">
        <f>IF(ISNUMBER(tblY11[[#This Row],[4C10 - Chemical Analysis
Raw Score]]),IFERROR(VLOOKUP(ROUND(STANDARDIZE(tblY11[[#This Row],[4C10 - Chemical Analysis
Raw Score]],AVERAGE(tblY11[[4C10 - Chemical Analysis
Raw Score]]),_xlfn.STDEV.P(tblY11[[4C10 - Chemical Analysis
Raw Score]])),9),_Stanine,2),5),"")</f>
        <v>3</v>
      </c>
      <c r="X98" s="66" t="inlineStr">
        <is>
          <t>A</t>
        </is>
      </c>
      <c r="Y98" s="67" t="str">
        <f>IF(ISNUMBER(tblY11[[#This Row],[4P07 - Magnetism
Raw Score]]),IFERROR(VLOOKUP(ROUND(STANDARDIZE(tblY11[[#This Row],[4P07 - Magnetism
Raw Score]],AVERAGE(tblY11[[4P07 - Magnetism
Raw Score]]),_xlfn.STDEV.P(tblY11[[4P07 - Magnetism
Raw Score]])),9),_Stanine,2),5),"")</f>
        <v/>
      </c>
    </row>
    <row r="99">
      <c r="A99" s="65" t="inlineStr">
        <is>
          <t>X908615052348</t>
        </is>
      </c>
      <c r="B99" s="65" t="inlineStr">
        <is>
          <t>Patel</t>
        </is>
      </c>
      <c r="C99" s="65" t="inlineStr">
        <is>
          <t>Arthur</t>
        </is>
      </c>
      <c r="D99" s="66" t="inlineStr">
        <is>
          <t>M</t>
        </is>
      </c>
      <c r="E99" s="66" t="n"/>
      <c r="F99" s="66" t="inlineStr">
        <is>
          <t>N</t>
        </is>
      </c>
      <c r="G99" s="34" t="n">
        <v>90.8</v>
      </c>
      <c r="H99" s="34" t="n">
        <v>99</v>
      </c>
      <c r="I99" s="67">
        <f>IF(ISNUMBER(tblY11[[#This Row],[Avg KS2]]),IFERROR(VLOOKUP(ROUND(STANDARDIZE(tblY11[[#This Row],[Avg KS2]],AVERAGE(tblY11[[Avg KS2]]),_xlfn.STDEV.P(tblY11[[Avg KS2]])),9),_Stanine,2),5),"")</f>
        <v>3</v>
      </c>
      <c r="J99" s="66" t="inlineStr">
        <is>
          <t>11S/Sc5</t>
        </is>
      </c>
      <c r="K99" s="67">
        <f>IF(tblY11[[#This Row],[Preferred Last name]]="","",COUNTIFS($N$1:$ZZ$1,"*"&amp;CHAR(10)&amp;"Stanine",$N99:$ZZ99,"&gt;=1"))</f>
        <v>6</v>
      </c>
      <c r="L99" s="68">
        <f>IFERROR(AVERAGEIF($N$1:$ZZ$1,"*"&amp;CHAR(10)&amp;"Stanine",$N99:$ZZ99),"")</f>
        <v>6.16666666666667</v>
      </c>
      <c r="M99" s="69">
        <f>IF(AND(ISNUMBER(tblY11[[#This Row],[Mean Stanine]]),ISNUMBER(tblY11[[#This Row],[Avg KS2 Band]]),ISNUMBER(SlopeY11)),tblY11[[#This Row],[Mean Stanine]]-(InterceptY11+SlopeY11*tblY11[[#This Row],[Avg KS2 Band]]),"")</f>
        <v>2.71169552669553</v>
      </c>
      <c r="N99" s="66" t="n">
        <v>20</v>
      </c>
      <c r="O99" s="67">
        <f>IF(ISNUMBER(tblY11[[#This Row],[4B05 - Homeostasis
Raw Score]]),IFERROR(VLOOKUP(ROUND(STANDARDIZE(tblY11[[#This Row],[4B05 - Homeostasis
Raw Score]],AVERAGE(tblY11[[4B05 - Homeostasis
Raw Score]]),_xlfn.STDEV.P(tblY11[[4B05 - Homeostasis
Raw Score]])),9),_Stanine,2),5),"")</f>
        <v>5</v>
      </c>
      <c r="P99" s="66" t="n">
        <v>18</v>
      </c>
      <c r="Q99" s="67">
        <f>IF(ISNUMBER(tblY11[[#This Row],[4C09 - Organic Chemistry
Raw Score]]),IFERROR(VLOOKUP(ROUND(STANDARDIZE(tblY11[[#This Row],[4C09 - Organic Chemistry
Raw Score]],AVERAGE(tblY11[[4C09 - Organic Chemistry
Raw Score]]),_xlfn.STDEV.P(tblY11[[4C09 - Organic Chemistry
Raw Score]])),9),_Stanine,2),5),"")</f>
        <v>5</v>
      </c>
      <c r="R99" s="66" t="n">
        <v>28</v>
      </c>
      <c r="S99" s="67">
        <f>IF(ISNUMBER(tblY11[[#This Row],[4P06 - Waves
Raw Score]]),IFERROR(VLOOKUP(ROUND(STANDARDIZE(tblY11[[#This Row],[4P06 - Waves
Raw Score]],AVERAGE(tblY11[[4P06 - Waves
Raw Score]]),_xlfn.STDEV.P(tblY11[[4P06 - Waves
Raw Score]])),9),_Stanine,2),5),"")</f>
        <v>7</v>
      </c>
      <c r="T99" s="66" t="n">
        <v>28</v>
      </c>
      <c r="U99" s="67">
        <f>IF(ISNUMBER(tblY11[[#This Row],[4B06 - Inheritance
Raw Score]]),IFERROR(VLOOKUP(ROUND(STANDARDIZE(tblY11[[#This Row],[4B06 - Inheritance
Raw Score]],AVERAGE(tblY11[[4B06 - Inheritance
Raw Score]]),_xlfn.STDEV.P(tblY11[[4B06 - Inheritance
Raw Score]])),9),_Stanine,2),5),"")</f>
        <v>7</v>
      </c>
      <c r="V99" s="66" t="n">
        <v>20</v>
      </c>
      <c r="W99" s="67">
        <f>IF(ISNUMBER(tblY11[[#This Row],[4C10 - Chemical Analysis
Raw Score]]),IFERROR(VLOOKUP(ROUND(STANDARDIZE(tblY11[[#This Row],[4C10 - Chemical Analysis
Raw Score]],AVERAGE(tblY11[[4C10 - Chemical Analysis
Raw Score]]),_xlfn.STDEV.P(tblY11[[4C10 - Chemical Analysis
Raw Score]])),9),_Stanine,2),5),"")</f>
        <v>7</v>
      </c>
      <c r="X99" s="66" t="n">
        <v>21</v>
      </c>
      <c r="Y99" s="67">
        <f>IF(ISNUMBER(tblY11[[#This Row],[4P07 - Magnetism
Raw Score]]),IFERROR(VLOOKUP(ROUND(STANDARDIZE(tblY11[[#This Row],[4P07 - Magnetism
Raw Score]],AVERAGE(tblY11[[4P07 - Magnetism
Raw Score]]),_xlfn.STDEV.P(tblY11[[4P07 - Magnetism
Raw Score]])),9),_Stanine,2),5),"")</f>
        <v>6</v>
      </c>
    </row>
    <row r="100">
      <c r="A100" s="65" t="inlineStr">
        <is>
          <t>X907663176262</t>
        </is>
      </c>
      <c r="B100" s="65" t="inlineStr">
        <is>
          <t>Robinson</t>
        </is>
      </c>
      <c r="C100" s="65" t="inlineStr">
        <is>
          <t>Priya</t>
        </is>
      </c>
      <c r="D100" s="66" t="inlineStr">
        <is>
          <t>F</t>
        </is>
      </c>
      <c r="E100" s="66" t="inlineStr">
        <is>
          <t>N</t>
        </is>
      </c>
      <c r="F100" s="66" t="inlineStr">
        <is>
          <t>N</t>
        </is>
      </c>
      <c r="G100" s="34" t="n">
        <v>83.2</v>
      </c>
      <c r="H100" s="34" t="n">
        <v>97.5</v>
      </c>
      <c r="I100" s="67">
        <f>IF(ISNUMBER(tblY11[[#This Row],[Avg KS2]]),IFERROR(VLOOKUP(ROUND(STANDARDIZE(tblY11[[#This Row],[Avg KS2]],AVERAGE(tblY11[[Avg KS2]]),_xlfn.STDEV.P(tblY11[[Avg KS2]])),9),_Stanine,2),5),"")</f>
        <v>3</v>
      </c>
      <c r="J100" s="66" t="inlineStr">
        <is>
          <t>11S/Sc5</t>
        </is>
      </c>
      <c r="K100" s="67">
        <f>IF(tblY11[[#This Row],[Preferred Last name]]="","",COUNTIFS($N$1:$ZZ$1,"*"&amp;CHAR(10)&amp;"Stanine",$N100:$ZZ100,"&gt;=1"))</f>
        <v>6</v>
      </c>
      <c r="L100" s="68">
        <f>IFERROR(AVERAGEIF($N$1:$ZZ$1,"*"&amp;CHAR(10)&amp;"Stanine",$N100:$ZZ100),"")</f>
        <v>2.16666666666667</v>
      </c>
      <c r="M100" s="69">
        <f>IF(AND(ISNUMBER(tblY11[[#This Row],[Mean Stanine]]),ISNUMBER(tblY11[[#This Row],[Avg KS2 Band]]),ISNUMBER(SlopeY11)),tblY11[[#This Row],[Mean Stanine]]-(InterceptY11+SlopeY11*tblY11[[#This Row],[Avg KS2 Band]]),"")</f>
        <v>-1.28830447330447</v>
      </c>
      <c r="N100" s="66" t="n">
        <v>10</v>
      </c>
      <c r="O100" s="67">
        <f>IF(ISNUMBER(tblY11[[#This Row],[4B05 - Homeostasis
Raw Score]]),IFERROR(VLOOKUP(ROUND(STANDARDIZE(tblY11[[#This Row],[4B05 - Homeostasis
Raw Score]],AVERAGE(tblY11[[4B05 - Homeostasis
Raw Score]]),_xlfn.STDEV.P(tblY11[[4B05 - Homeostasis
Raw Score]])),9),_Stanine,2),5),"")</f>
        <v>2</v>
      </c>
      <c r="P100" s="66" t="n">
        <v>8</v>
      </c>
      <c r="Q100" s="67">
        <f>IF(ISNUMBER(tblY11[[#This Row],[4C09 - Organic Chemistry
Raw Score]]),IFERROR(VLOOKUP(ROUND(STANDARDIZE(tblY11[[#This Row],[4C09 - Organic Chemistry
Raw Score]],AVERAGE(tblY11[[4C09 - Organic Chemistry
Raw Score]]),_xlfn.STDEV.P(tblY11[[4C09 - Organic Chemistry
Raw Score]])),9),_Stanine,2),5),"")</f>
        <v>3</v>
      </c>
      <c r="R100" s="66" t="n">
        <v>9</v>
      </c>
      <c r="S100" s="67">
        <f>IF(ISNUMBER(tblY11[[#This Row],[4P06 - Waves
Raw Score]]),IFERROR(VLOOKUP(ROUND(STANDARDIZE(tblY11[[#This Row],[4P06 - Waves
Raw Score]],AVERAGE(tblY11[[4P06 - Waves
Raw Score]]),_xlfn.STDEV.P(tblY11[[4P06 - Waves
Raw Score]])),9),_Stanine,2),5),"")</f>
        <v>2</v>
      </c>
      <c r="T100" s="66" t="n">
        <v>7</v>
      </c>
      <c r="U100" s="67">
        <f>IF(ISNUMBER(tblY11[[#This Row],[4B06 - Inheritance
Raw Score]]),IFERROR(VLOOKUP(ROUND(STANDARDIZE(tblY11[[#This Row],[4B06 - Inheritance
Raw Score]],AVERAGE(tblY11[[4B06 - Inheritance
Raw Score]]),_xlfn.STDEV.P(tblY11[[4B06 - Inheritance
Raw Score]])),9),_Stanine,2),5),"")</f>
        <v>2</v>
      </c>
      <c r="V100" s="66" t="n">
        <v>5</v>
      </c>
      <c r="W100" s="67">
        <f>IF(ISNUMBER(tblY11[[#This Row],[4C10 - Chemical Analysis
Raw Score]]),IFERROR(VLOOKUP(ROUND(STANDARDIZE(tblY11[[#This Row],[4C10 - Chemical Analysis
Raw Score]],AVERAGE(tblY11[[4C10 - Chemical Analysis
Raw Score]]),_xlfn.STDEV.P(tblY11[[4C10 - Chemical Analysis
Raw Score]])),9),_Stanine,2),5),"")</f>
        <v>2</v>
      </c>
      <c r="X100" s="66" t="n">
        <v>4</v>
      </c>
      <c r="Y100" s="67">
        <f>IF(ISNUMBER(tblY11[[#This Row],[4P07 - Magnetism
Raw Score]]),IFERROR(VLOOKUP(ROUND(STANDARDIZE(tblY11[[#This Row],[4P07 - Magnetism
Raw Score]],AVERAGE(tblY11[[4P07 - Magnetism
Raw Score]]),_xlfn.STDEV.P(tblY11[[4P07 - Magnetism
Raw Score]])),9),_Stanine,2),5),"")</f>
        <v>2</v>
      </c>
    </row>
    <row r="101">
      <c r="A101" s="65" t="inlineStr">
        <is>
          <t>X900146502907</t>
        </is>
      </c>
      <c r="B101" s="65" t="inlineStr">
        <is>
          <t>Smith</t>
        </is>
      </c>
      <c r="C101" s="65" t="inlineStr">
        <is>
          <t>Zofia</t>
        </is>
      </c>
      <c r="D101" s="66" t="inlineStr">
        <is>
          <t>M</t>
        </is>
      </c>
      <c r="E101" s="66" t="inlineStr">
        <is>
          <t>N</t>
        </is>
      </c>
      <c r="F101" s="66" t="inlineStr">
        <is>
          <t>N</t>
        </is>
      </c>
      <c r="G101" s="34" t="n">
        <v>92.7</v>
      </c>
      <c r="H101" s="34" t="n">
        <v>95.5</v>
      </c>
      <c r="I101" s="67">
        <f>IF(ISNUMBER(tblY11[[#This Row],[Avg KS2]]),IFERROR(VLOOKUP(ROUND(STANDARDIZE(tblY11[[#This Row],[Avg KS2]],AVERAGE(tblY11[[Avg KS2]]),_xlfn.STDEV.P(tblY11[[Avg KS2]])),9),_Stanine,2),5),"")</f>
        <v>2</v>
      </c>
      <c r="J101" s="66" t="inlineStr">
        <is>
          <t>11S/Sc5</t>
        </is>
      </c>
      <c r="K101" s="67">
        <f>IF(tblY11[[#This Row],[Preferred Last name]]="","",COUNTIFS($N$1:$ZZ$1,"*"&amp;CHAR(10)&amp;"Stanine",$N101:$ZZ101,"&gt;=1"))</f>
        <v>6</v>
      </c>
      <c r="L101" s="68">
        <f>IFERROR(AVERAGEIF($N$1:$ZZ$1,"*"&amp;CHAR(10)&amp;"Stanine",$N101:$ZZ101),"")</f>
        <v>4.33333333333333</v>
      </c>
      <c r="M101" s="69">
        <f>IF(AND(ISNUMBER(tblY11[[#This Row],[Mean Stanine]]),ISNUMBER(tblY11[[#This Row],[Avg KS2 Band]]),ISNUMBER(SlopeY11)),tblY11[[#This Row],[Mean Stanine]]-(InterceptY11+SlopeY11*tblY11[[#This Row],[Avg KS2 Band]]),"")</f>
        <v>1.62722582972583</v>
      </c>
      <c r="N101" s="66" t="n">
        <v>22</v>
      </c>
      <c r="O101" s="67">
        <f>IF(ISNUMBER(tblY11[[#This Row],[4B05 - Homeostasis
Raw Score]]),IFERROR(VLOOKUP(ROUND(STANDARDIZE(tblY11[[#This Row],[4B05 - Homeostasis
Raw Score]],AVERAGE(tblY11[[4B05 - Homeostasis
Raw Score]]),_xlfn.STDEV.P(tblY11[[4B05 - Homeostasis
Raw Score]])),9),_Stanine,2),5),"")</f>
        <v>5</v>
      </c>
      <c r="P101" s="66" t="n">
        <v>13</v>
      </c>
      <c r="Q101" s="67">
        <f>IF(ISNUMBER(tblY11[[#This Row],[4C09 - Organic Chemistry
Raw Score]]),IFERROR(VLOOKUP(ROUND(STANDARDIZE(tblY11[[#This Row],[4C09 - Organic Chemistry
Raw Score]],AVERAGE(tblY11[[4C09 - Organic Chemistry
Raw Score]]),_xlfn.STDEV.P(tblY11[[4C09 - Organic Chemistry
Raw Score]])),9),_Stanine,2),5),"")</f>
        <v>4</v>
      </c>
      <c r="R101" s="66" t="n">
        <v>12</v>
      </c>
      <c r="S101" s="67">
        <f>IF(ISNUMBER(tblY11[[#This Row],[4P06 - Waves
Raw Score]]),IFERROR(VLOOKUP(ROUND(STANDARDIZE(tblY11[[#This Row],[4P06 - Waves
Raw Score]],AVERAGE(tblY11[[4P06 - Waves
Raw Score]]),_xlfn.STDEV.P(tblY11[[4P06 - Waves
Raw Score]])),9),_Stanine,2),5),"")</f>
        <v>3</v>
      </c>
      <c r="T101" s="66" t="n">
        <v>12</v>
      </c>
      <c r="U101" s="67">
        <f>IF(ISNUMBER(tblY11[[#This Row],[4B06 - Inheritance
Raw Score]]),IFERROR(VLOOKUP(ROUND(STANDARDIZE(tblY11[[#This Row],[4B06 - Inheritance
Raw Score]],AVERAGE(tblY11[[4B06 - Inheritance
Raw Score]]),_xlfn.STDEV.P(tblY11[[4B06 - Inheritance
Raw Score]])),9),_Stanine,2),5),"")</f>
        <v>4</v>
      </c>
      <c r="V101" s="66" t="n">
        <v>13</v>
      </c>
      <c r="W101" s="67">
        <f>IF(ISNUMBER(tblY11[[#This Row],[4C10 - Chemical Analysis
Raw Score]]),IFERROR(VLOOKUP(ROUND(STANDARDIZE(tblY11[[#This Row],[4C10 - Chemical Analysis
Raw Score]],AVERAGE(tblY11[[4C10 - Chemical Analysis
Raw Score]]),_xlfn.STDEV.P(tblY11[[4C10 - Chemical Analysis
Raw Score]])),9),_Stanine,2),5),"")</f>
        <v>5</v>
      </c>
      <c r="X101" s="66" t="n">
        <v>16</v>
      </c>
      <c r="Y101" s="67">
        <f>IF(ISNUMBER(tblY11[[#This Row],[4P07 - Magnetism
Raw Score]]),IFERROR(VLOOKUP(ROUND(STANDARDIZE(tblY11[[#This Row],[4P07 - Magnetism
Raw Score]],AVERAGE(tblY11[[4P07 - Magnetism
Raw Score]]),_xlfn.STDEV.P(tblY11[[4P07 - Magnetism
Raw Score]])),9),_Stanine,2),5),"")</f>
        <v>5</v>
      </c>
    </row>
    <row r="102">
      <c r="A102" s="65" t="inlineStr">
        <is>
          <t>X900093242766</t>
        </is>
      </c>
      <c r="B102" s="65" t="inlineStr">
        <is>
          <t>Williams</t>
        </is>
      </c>
      <c r="C102" s="65" t="inlineStr">
        <is>
          <t>Amelia</t>
        </is>
      </c>
      <c r="D102" s="66" t="inlineStr">
        <is>
          <t>F</t>
        </is>
      </c>
      <c r="E102" s="66" t="n"/>
      <c r="F102" s="66" t="inlineStr">
        <is>
          <t>Y</t>
        </is>
      </c>
      <c r="G102" s="34" t="n">
        <v>85.8</v>
      </c>
      <c r="H102" s="34" t="n">
        <v>101.5</v>
      </c>
      <c r="I102" s="67">
        <f>IF(ISNUMBER(tblY11[[#This Row],[Avg KS2]]),IFERROR(VLOOKUP(ROUND(STANDARDIZE(tblY11[[#This Row],[Avg KS2]],AVERAGE(tblY11[[Avg KS2]]),_xlfn.STDEV.P(tblY11[[Avg KS2]])),9),_Stanine,2),5),"")</f>
        <v>4</v>
      </c>
      <c r="J102" s="66" t="inlineStr">
        <is>
          <t>11S/Sc5</t>
        </is>
      </c>
      <c r="K102" s="67">
        <f>IF(tblY11[[#This Row],[Preferred Last name]]="","",COUNTIFS($N$1:$ZZ$1,"*"&amp;CHAR(10)&amp;"Stanine",$N102:$ZZ102,"&gt;=1"))</f>
        <v>6</v>
      </c>
      <c r="L102" s="68">
        <f>IFERROR(AVERAGEIF($N$1:$ZZ$1,"*"&amp;CHAR(10)&amp;"Stanine",$N102:$ZZ102),"")</f>
        <v>2.66666666666667</v>
      </c>
      <c r="M102" s="69">
        <f>IF(AND(ISNUMBER(tblY11[[#This Row],[Mean Stanine]]),ISNUMBER(tblY11[[#This Row],[Avg KS2 Band]]),ISNUMBER(SlopeY11)),tblY11[[#This Row],[Mean Stanine]]-(InterceptY11+SlopeY11*tblY11[[#This Row],[Avg KS2 Band]]),"")</f>
        <v>-1.53716810966811</v>
      </c>
      <c r="N102" s="66" t="n">
        <v>10</v>
      </c>
      <c r="O102" s="67">
        <f>IF(ISNUMBER(tblY11[[#This Row],[4B05 - Homeostasis
Raw Score]]),IFERROR(VLOOKUP(ROUND(STANDARDIZE(tblY11[[#This Row],[4B05 - Homeostasis
Raw Score]],AVERAGE(tblY11[[4B05 - Homeostasis
Raw Score]]),_xlfn.STDEV.P(tblY11[[4B05 - Homeostasis
Raw Score]])),9),_Stanine,2),5),"")</f>
        <v>2</v>
      </c>
      <c r="P102" s="66" t="n">
        <v>7</v>
      </c>
      <c r="Q102" s="67">
        <f>IF(ISNUMBER(tblY11[[#This Row],[4C09 - Organic Chemistry
Raw Score]]),IFERROR(VLOOKUP(ROUND(STANDARDIZE(tblY11[[#This Row],[4C09 - Organic Chemistry
Raw Score]],AVERAGE(tblY11[[4C09 - Organic Chemistry
Raw Score]]),_xlfn.STDEV.P(tblY11[[4C09 - Organic Chemistry
Raw Score]])),9),_Stanine,2),5),"")</f>
        <v>3</v>
      </c>
      <c r="R102" s="66" t="n">
        <v>10</v>
      </c>
      <c r="S102" s="67">
        <f>IF(ISNUMBER(tblY11[[#This Row],[4P06 - Waves
Raw Score]]),IFERROR(VLOOKUP(ROUND(STANDARDIZE(tblY11[[#This Row],[4P06 - Waves
Raw Score]],AVERAGE(tblY11[[4P06 - Waves
Raw Score]]),_xlfn.STDEV.P(tblY11[[4P06 - Waves
Raw Score]])),9),_Stanine,2),5),"")</f>
        <v>2</v>
      </c>
      <c r="T102" s="66" t="n">
        <v>8</v>
      </c>
      <c r="U102" s="67">
        <f>IF(ISNUMBER(tblY11[[#This Row],[4B06 - Inheritance
Raw Score]]),IFERROR(VLOOKUP(ROUND(STANDARDIZE(tblY11[[#This Row],[4B06 - Inheritance
Raw Score]],AVERAGE(tblY11[[4B06 - Inheritance
Raw Score]]),_xlfn.STDEV.P(tblY11[[4B06 - Inheritance
Raw Score]])),9),_Stanine,2),5),"")</f>
        <v>3</v>
      </c>
      <c r="V102" s="66" t="n">
        <v>8</v>
      </c>
      <c r="W102" s="67">
        <f>IF(ISNUMBER(tblY11[[#This Row],[4C10 - Chemical Analysis
Raw Score]]),IFERROR(VLOOKUP(ROUND(STANDARDIZE(tblY11[[#This Row],[4C10 - Chemical Analysis
Raw Score]],AVERAGE(tblY11[[4C10 - Chemical Analysis
Raw Score]]),_xlfn.STDEV.P(tblY11[[4C10 - Chemical Analysis
Raw Score]])),9),_Stanine,2),5),"")</f>
        <v>3</v>
      </c>
      <c r="X102" s="66" t="n">
        <v>9</v>
      </c>
      <c r="Y102" s="67">
        <f>IF(ISNUMBER(tblY11[[#This Row],[4P07 - Magnetism
Raw Score]]),IFERROR(VLOOKUP(ROUND(STANDARDIZE(tblY11[[#This Row],[4P07 - Magnetism
Raw Score]],AVERAGE(tblY11[[4P07 - Magnetism
Raw Score]]),_xlfn.STDEV.P(tblY11[[4P07 - Magnetism
Raw Score]])),9),_Stanine,2),5),"")</f>
        <v>3</v>
      </c>
    </row>
    <row r="103">
      <c r="A103" s="65" t="inlineStr">
        <is>
          <t>X907201782614</t>
        </is>
      </c>
      <c r="B103" s="65" t="inlineStr">
        <is>
          <t>Cooper</t>
        </is>
      </c>
      <c r="C103" s="65" t="inlineStr">
        <is>
          <t>Rosie</t>
        </is>
      </c>
      <c r="D103" s="66" t="inlineStr">
        <is>
          <t>M</t>
        </is>
      </c>
      <c r="E103" s="66" t="n"/>
      <c r="F103" s="66" t="inlineStr">
        <is>
          <t>N</t>
        </is>
      </c>
      <c r="G103" s="34" t="n">
        <v>90.40000000000001</v>
      </c>
      <c r="H103" s="34" t="n">
        <v>92</v>
      </c>
      <c r="I103" s="67">
        <f>IF(ISNUMBER(tblY11[[#This Row],[Avg KS2]]),IFERROR(VLOOKUP(ROUND(STANDARDIZE(tblY11[[#This Row],[Avg KS2]],AVERAGE(tblY11[[Avg KS2]]),_xlfn.STDEV.P(tblY11[[Avg KS2]])),9),_Stanine,2),5),"")</f>
        <v>1</v>
      </c>
      <c r="J103" s="66" t="inlineStr">
        <is>
          <t>Science Support</t>
        </is>
      </c>
      <c r="K103" s="67">
        <f>IF(tblY11[[#This Row],[Preferred Last name]]="","",COUNTIFS($N$1:$ZZ$1,"*"&amp;CHAR(10)&amp;"Stanine",$N103:$ZZ103,"&gt;=1"))</f>
        <v>6</v>
      </c>
      <c r="L103" s="68">
        <f>IFERROR(AVERAGEIF($N$1:$ZZ$1,"*"&amp;CHAR(10)&amp;"Stanine",$N103:$ZZ103),"")</f>
        <v>1.66666666666667</v>
      </c>
      <c r="M103" s="69">
        <f>IF(AND(ISNUMBER(tblY11[[#This Row],[Mean Stanine]]),ISNUMBER(tblY11[[#This Row],[Avg KS2 Band]]),ISNUMBER(SlopeY11)),tblY11[[#This Row],[Mean Stanine]]-(InterceptY11+SlopeY11*tblY11[[#This Row],[Avg KS2 Band]]),"")</f>
        <v>-0.2905772005772</v>
      </c>
      <c r="N103" s="66" t="n">
        <v>5</v>
      </c>
      <c r="O103" s="67">
        <f>IF(ISNUMBER(tblY11[[#This Row],[4B05 - Homeostasis
Raw Score]]),IFERROR(VLOOKUP(ROUND(STANDARDIZE(tblY11[[#This Row],[4B05 - Homeostasis
Raw Score]],AVERAGE(tblY11[[4B05 - Homeostasis
Raw Score]]),_xlfn.STDEV.P(tblY11[[4B05 - Homeostasis
Raw Score]])),9),_Stanine,2),5),"")</f>
        <v>1</v>
      </c>
      <c r="P103" s="66" t="n">
        <v>5</v>
      </c>
      <c r="Q103" s="67">
        <f>IF(ISNUMBER(tblY11[[#This Row],[4C09 - Organic Chemistry
Raw Score]]),IFERROR(VLOOKUP(ROUND(STANDARDIZE(tblY11[[#This Row],[4C09 - Organic Chemistry
Raw Score]],AVERAGE(tblY11[[4C09 - Organic Chemistry
Raw Score]]),_xlfn.STDEV.P(tblY11[[4C09 - Organic Chemistry
Raw Score]])),9),_Stanine,2),5),"")</f>
        <v>2</v>
      </c>
      <c r="R103" s="66" t="n">
        <v>8</v>
      </c>
      <c r="S103" s="67">
        <f>IF(ISNUMBER(tblY11[[#This Row],[4P06 - Waves
Raw Score]]),IFERROR(VLOOKUP(ROUND(STANDARDIZE(tblY11[[#This Row],[4P06 - Waves
Raw Score]],AVERAGE(tblY11[[4P06 - Waves
Raw Score]]),_xlfn.STDEV.P(tblY11[[4P06 - Waves
Raw Score]])),9),_Stanine,2),5),"")</f>
        <v>2</v>
      </c>
      <c r="T103" s="66" t="n">
        <v>4</v>
      </c>
      <c r="U103" s="67">
        <f>IF(ISNUMBER(tblY11[[#This Row],[4B06 - Inheritance
Raw Score]]),IFERROR(VLOOKUP(ROUND(STANDARDIZE(tblY11[[#This Row],[4B06 - Inheritance
Raw Score]],AVERAGE(tblY11[[4B06 - Inheritance
Raw Score]]),_xlfn.STDEV.P(tblY11[[4B06 - Inheritance
Raw Score]])),9),_Stanine,2),5),"")</f>
        <v>2</v>
      </c>
      <c r="V103" s="66" t="n">
        <v>3</v>
      </c>
      <c r="W103" s="67">
        <f>IF(ISNUMBER(tblY11[[#This Row],[4C10 - Chemical Analysis
Raw Score]]),IFERROR(VLOOKUP(ROUND(STANDARDIZE(tblY11[[#This Row],[4C10 - Chemical Analysis
Raw Score]],AVERAGE(tblY11[[4C10 - Chemical Analysis
Raw Score]]),_xlfn.STDEV.P(tblY11[[4C10 - Chemical Analysis
Raw Score]])),9),_Stanine,2),5),"")</f>
        <v>1</v>
      </c>
      <c r="X103" s="66" t="n">
        <v>6</v>
      </c>
      <c r="Y103" s="67">
        <f>IF(ISNUMBER(tblY11[[#This Row],[4P07 - Magnetism
Raw Score]]),IFERROR(VLOOKUP(ROUND(STANDARDIZE(tblY11[[#This Row],[4P07 - Magnetism
Raw Score]],AVERAGE(tblY11[[4P07 - Magnetism
Raw Score]]),_xlfn.STDEV.P(tblY11[[4P07 - Magnetism
Raw Score]])),9),_Stanine,2),5),"")</f>
        <v>2</v>
      </c>
    </row>
    <row r="104">
      <c r="A104" s="65" t="inlineStr">
        <is>
          <t>X904816579034</t>
        </is>
      </c>
      <c r="B104" s="65" t="inlineStr">
        <is>
          <t>Kelly</t>
        </is>
      </c>
      <c r="C104" s="65" t="inlineStr">
        <is>
          <t>Hannah</t>
        </is>
      </c>
      <c r="D104" s="66" t="inlineStr">
        <is>
          <t>M</t>
        </is>
      </c>
      <c r="E104" s="66" t="inlineStr">
        <is>
          <t>K</t>
        </is>
      </c>
      <c r="F104" s="66" t="inlineStr">
        <is>
          <t>Y</t>
        </is>
      </c>
      <c r="G104" s="34" t="n">
        <v>85</v>
      </c>
      <c r="H104" s="34" t="n">
        <v>97</v>
      </c>
      <c r="I104" s="67">
        <f>IF(ISNUMBER(tblY11[[#This Row],[Avg KS2]]),IFERROR(VLOOKUP(ROUND(STANDARDIZE(tblY11[[#This Row],[Avg KS2]],AVERAGE(tblY11[[Avg KS2]]),_xlfn.STDEV.P(tblY11[[Avg KS2]])),9),_Stanine,2),5),"")</f>
        <v>3</v>
      </c>
      <c r="J104" s="66" t="inlineStr">
        <is>
          <t>Science Support</t>
        </is>
      </c>
      <c r="K104" s="67">
        <f>IF(tblY11[[#This Row],[Preferred Last name]]="","",COUNTIFS($N$1:$ZZ$1,"*"&amp;CHAR(10)&amp;"Stanine",$N104:$ZZ104,"&gt;=1"))</f>
        <v>6</v>
      </c>
      <c r="L104" s="68">
        <f>IFERROR(AVERAGEIF($N$1:$ZZ$1,"*"&amp;CHAR(10)&amp;"Stanine",$N104:$ZZ104),"")</f>
        <v>2</v>
      </c>
      <c r="M104" s="69">
        <f>IF(AND(ISNUMBER(tblY11[[#This Row],[Mean Stanine]]),ISNUMBER(tblY11[[#This Row],[Avg KS2 Band]]),ISNUMBER(SlopeY11)),tblY11[[#This Row],[Mean Stanine]]-(InterceptY11+SlopeY11*tblY11[[#This Row],[Avg KS2 Band]]),"")</f>
        <v>-1.45497113997114</v>
      </c>
      <c r="N104" s="66" t="n">
        <v>8</v>
      </c>
      <c r="O104" s="67">
        <f>IF(ISNUMBER(tblY11[[#This Row],[4B05 - Homeostasis
Raw Score]]),IFERROR(VLOOKUP(ROUND(STANDARDIZE(tblY11[[#This Row],[4B05 - Homeostasis
Raw Score]],AVERAGE(tblY11[[4B05 - Homeostasis
Raw Score]]),_xlfn.STDEV.P(tblY11[[4B05 - Homeostasis
Raw Score]])),9),_Stanine,2),5),"")</f>
        <v>2</v>
      </c>
      <c r="P104" s="66" t="n">
        <v>4</v>
      </c>
      <c r="Q104" s="67">
        <f>IF(ISNUMBER(tblY11[[#This Row],[4C09 - Organic Chemistry
Raw Score]]),IFERROR(VLOOKUP(ROUND(STANDARDIZE(tblY11[[#This Row],[4C09 - Organic Chemistry
Raw Score]],AVERAGE(tblY11[[4C09 - Organic Chemistry
Raw Score]]),_xlfn.STDEV.P(tblY11[[4C09 - Organic Chemistry
Raw Score]])),9),_Stanine,2),5),"")</f>
        <v>2</v>
      </c>
      <c r="R104" s="66" t="n">
        <v>7</v>
      </c>
      <c r="S104" s="67">
        <f>IF(ISNUMBER(tblY11[[#This Row],[4P06 - Waves
Raw Score]]),IFERROR(VLOOKUP(ROUND(STANDARDIZE(tblY11[[#This Row],[4P06 - Waves
Raw Score]],AVERAGE(tblY11[[4P06 - Waves
Raw Score]]),_xlfn.STDEV.P(tblY11[[4P06 - Waves
Raw Score]])),9),_Stanine,2),5),"")</f>
        <v>2</v>
      </c>
      <c r="T104" s="66" t="n">
        <v>7</v>
      </c>
      <c r="U104" s="67">
        <f>IF(ISNUMBER(tblY11[[#This Row],[4B06 - Inheritance
Raw Score]]),IFERROR(VLOOKUP(ROUND(STANDARDIZE(tblY11[[#This Row],[4B06 - Inheritance
Raw Score]],AVERAGE(tblY11[[4B06 - Inheritance
Raw Score]]),_xlfn.STDEV.P(tblY11[[4B06 - Inheritance
Raw Score]])),9),_Stanine,2),5),"")</f>
        <v>2</v>
      </c>
      <c r="V104" s="66" t="n">
        <v>4</v>
      </c>
      <c r="W104" s="67">
        <f>IF(ISNUMBER(tblY11[[#This Row],[4C10 - Chemical Analysis
Raw Score]]),IFERROR(VLOOKUP(ROUND(STANDARDIZE(tblY11[[#This Row],[4C10 - Chemical Analysis
Raw Score]],AVERAGE(tblY11[[4C10 - Chemical Analysis
Raw Score]]),_xlfn.STDEV.P(tblY11[[4C10 - Chemical Analysis
Raw Score]])),9),_Stanine,2),5),"")</f>
        <v>2</v>
      </c>
      <c r="X104" s="66" t="n">
        <v>4</v>
      </c>
      <c r="Y104" s="67">
        <f>IF(ISNUMBER(tblY11[[#This Row],[4P07 - Magnetism
Raw Score]]),IFERROR(VLOOKUP(ROUND(STANDARDIZE(tblY11[[#This Row],[4P07 - Magnetism
Raw Score]],AVERAGE(tblY11[[4P07 - Magnetism
Raw Score]]),_xlfn.STDEV.P(tblY11[[4P07 - Magnetism
Raw Score]])),9),_Stanine,2),5),"")</f>
        <v>2</v>
      </c>
    </row>
    <row r="105">
      <c r="A105" s="65" t="inlineStr">
        <is>
          <t>X904941758800</t>
        </is>
      </c>
      <c r="B105" s="65" t="inlineStr">
        <is>
          <t>Lloyd</t>
        </is>
      </c>
      <c r="C105" s="65" t="inlineStr">
        <is>
          <t>Oliver</t>
        </is>
      </c>
      <c r="D105" s="66" t="inlineStr">
        <is>
          <t>F</t>
        </is>
      </c>
      <c r="E105" s="66" t="n"/>
      <c r="F105" s="66" t="inlineStr">
        <is>
          <t>N</t>
        </is>
      </c>
      <c r="G105" s="34" t="n">
        <v>88</v>
      </c>
      <c r="H105" s="34" t="n">
        <v>94</v>
      </c>
      <c r="I105" s="67">
        <f>IF(ISNUMBER(tblY11[[#This Row],[Avg KS2]]),IFERROR(VLOOKUP(ROUND(STANDARDIZE(tblY11[[#This Row],[Avg KS2]],AVERAGE(tblY11[[Avg KS2]]),_xlfn.STDEV.P(tblY11[[Avg KS2]])),9),_Stanine,2),5),"")</f>
        <v>2</v>
      </c>
      <c r="J105" s="66" t="inlineStr">
        <is>
          <t>Science Support</t>
        </is>
      </c>
      <c r="K105" s="67">
        <f>IF(tblY11[[#This Row],[Preferred Last name]]="","",COUNTIFS($N$1:$ZZ$1,"*"&amp;CHAR(10)&amp;"Stanine",$N105:$ZZ105,"&gt;=1"))</f>
        <v>5</v>
      </c>
      <c r="L105" s="68">
        <f>IFERROR(AVERAGEIF($N$1:$ZZ$1,"*"&amp;CHAR(10)&amp;"Stanine",$N105:$ZZ105),"")</f>
        <v>2.2</v>
      </c>
      <c r="M105" s="69">
        <f>IF(AND(ISNUMBER(tblY11[[#This Row],[Mean Stanine]]),ISNUMBER(tblY11[[#This Row],[Avg KS2 Band]]),ISNUMBER(SlopeY11)),tblY11[[#This Row],[Mean Stanine]]-(InterceptY11+SlopeY11*tblY11[[#This Row],[Avg KS2 Band]]),"")</f>
        <v>-0.506107503607503</v>
      </c>
      <c r="N105" s="66" t="n">
        <v>10</v>
      </c>
      <c r="O105" s="67">
        <f>IF(ISNUMBER(tblY11[[#This Row],[4B05 - Homeostasis
Raw Score]]),IFERROR(VLOOKUP(ROUND(STANDARDIZE(tblY11[[#This Row],[4B05 - Homeostasis
Raw Score]],AVERAGE(tblY11[[4B05 - Homeostasis
Raw Score]]),_xlfn.STDEV.P(tblY11[[4B05 - Homeostasis
Raw Score]])),9),_Stanine,2),5),"")</f>
        <v>2</v>
      </c>
      <c r="P105" s="66" t="inlineStr">
        <is>
          <t>A</t>
        </is>
      </c>
      <c r="Q105" s="67" t="str">
        <f>IF(ISNUMBER(tblY11[[#This Row],[4C09 - Organic Chemistry
Raw Score]]),IFERROR(VLOOKUP(ROUND(STANDARDIZE(tblY11[[#This Row],[4C09 - Organic Chemistry
Raw Score]],AVERAGE(tblY11[[4C09 - Organic Chemistry
Raw Score]]),_xlfn.STDEV.P(tblY11[[4C09 - Organic Chemistry
Raw Score]])),9),_Stanine,2),5),"")</f>
        <v/>
      </c>
      <c r="R105" s="66" t="n">
        <v>12</v>
      </c>
      <c r="S105" s="67">
        <f>IF(ISNUMBER(tblY11[[#This Row],[4P06 - Waves
Raw Score]]),IFERROR(VLOOKUP(ROUND(STANDARDIZE(tblY11[[#This Row],[4P06 - Waves
Raw Score]],AVERAGE(tblY11[[4P06 - Waves
Raw Score]]),_xlfn.STDEV.P(tblY11[[4P06 - Waves
Raw Score]])),9),_Stanine,2),5),"")</f>
        <v>3</v>
      </c>
      <c r="T105" s="66" t="n">
        <v>6</v>
      </c>
      <c r="U105" s="67">
        <f>IF(ISNUMBER(tblY11[[#This Row],[4B06 - Inheritance
Raw Score]]),IFERROR(VLOOKUP(ROUND(STANDARDIZE(tblY11[[#This Row],[4B06 - Inheritance
Raw Score]],AVERAGE(tblY11[[4B06 - Inheritance
Raw Score]]),_xlfn.STDEV.P(tblY11[[4B06 - Inheritance
Raw Score]])),9),_Stanine,2),5),"")</f>
        <v>2</v>
      </c>
      <c r="V105" s="66" t="n">
        <v>5</v>
      </c>
      <c r="W105" s="67">
        <f>IF(ISNUMBER(tblY11[[#This Row],[4C10 - Chemical Analysis
Raw Score]]),IFERROR(VLOOKUP(ROUND(STANDARDIZE(tblY11[[#This Row],[4C10 - Chemical Analysis
Raw Score]],AVERAGE(tblY11[[4C10 - Chemical Analysis
Raw Score]]),_xlfn.STDEV.P(tblY11[[4C10 - Chemical Analysis
Raw Score]])),9),_Stanine,2),5),"")</f>
        <v>2</v>
      </c>
      <c r="X105" s="66" t="n">
        <v>6</v>
      </c>
      <c r="Y105" s="67">
        <f>IF(ISNUMBER(tblY11[[#This Row],[4P07 - Magnetism
Raw Score]]),IFERROR(VLOOKUP(ROUND(STANDARDIZE(tblY11[[#This Row],[4P07 - Magnetism
Raw Score]],AVERAGE(tblY11[[4P07 - Magnetism
Raw Score]]),_xlfn.STDEV.P(tblY11[[4P07 - Magnetism
Raw Score]])),9),_Stanine,2),5),"")</f>
        <v>2</v>
      </c>
    </row>
    <row r="106">
      <c r="A106" s="65" t="inlineStr">
        <is>
          <t>X906717914466</t>
        </is>
      </c>
      <c r="B106" s="65" t="inlineStr">
        <is>
          <t>Okafor</t>
        </is>
      </c>
      <c r="C106" s="65" t="inlineStr">
        <is>
          <t>Lewis</t>
        </is>
      </c>
      <c r="D106" s="66" t="inlineStr">
        <is>
          <t>F</t>
        </is>
      </c>
      <c r="E106" s="66" t="inlineStr">
        <is>
          <t>K</t>
        </is>
      </c>
      <c r="F106" s="66" t="inlineStr">
        <is>
          <t>N</t>
        </is>
      </c>
      <c r="G106" s="34" t="n">
        <v>85.90000000000001</v>
      </c>
      <c r="H106" s="34" t="n">
        <v>97</v>
      </c>
      <c r="I106" s="67">
        <f>IF(ISNUMBER(tblY11[[#This Row],[Avg KS2]]),IFERROR(VLOOKUP(ROUND(STANDARDIZE(tblY11[[#This Row],[Avg KS2]],AVERAGE(tblY11[[Avg KS2]]),_xlfn.STDEV.P(tblY11[[Avg KS2]])),9),_Stanine,2),5),"")</f>
        <v>3</v>
      </c>
      <c r="J106" s="66" t="inlineStr">
        <is>
          <t>Science Support</t>
        </is>
      </c>
      <c r="K106" s="67">
        <f>IF(tblY11[[#This Row],[Preferred Last name]]="","",COUNTIFS($N$1:$ZZ$1,"*"&amp;CHAR(10)&amp;"Stanine",$N106:$ZZ106,"&gt;=1"))</f>
        <v>6</v>
      </c>
      <c r="L106" s="68">
        <f>IFERROR(AVERAGEIF($N$1:$ZZ$1,"*"&amp;CHAR(10)&amp;"Stanine",$N106:$ZZ106),"")</f>
        <v>2.16666666666667</v>
      </c>
      <c r="M106" s="69">
        <f>IF(AND(ISNUMBER(tblY11[[#This Row],[Mean Stanine]]),ISNUMBER(tblY11[[#This Row],[Avg KS2 Band]]),ISNUMBER(SlopeY11)),tblY11[[#This Row],[Mean Stanine]]-(InterceptY11+SlopeY11*tblY11[[#This Row],[Avg KS2 Band]]),"")</f>
        <v>-1.28830447330447</v>
      </c>
      <c r="N106" s="66" t="n">
        <v>11</v>
      </c>
      <c r="O106" s="67">
        <f>IF(ISNUMBER(tblY11[[#This Row],[4B05 - Homeostasis
Raw Score]]),IFERROR(VLOOKUP(ROUND(STANDARDIZE(tblY11[[#This Row],[4B05 - Homeostasis
Raw Score]],AVERAGE(tblY11[[4B05 - Homeostasis
Raw Score]]),_xlfn.STDEV.P(tblY11[[4B05 - Homeostasis
Raw Score]])),9),_Stanine,2),5),"")</f>
        <v>3</v>
      </c>
      <c r="P106" s="66" t="n">
        <v>6</v>
      </c>
      <c r="Q106" s="67">
        <f>IF(ISNUMBER(tblY11[[#This Row],[4C09 - Organic Chemistry
Raw Score]]),IFERROR(VLOOKUP(ROUND(STANDARDIZE(tblY11[[#This Row],[4C09 - Organic Chemistry
Raw Score]],AVERAGE(tblY11[[4C09 - Organic Chemistry
Raw Score]]),_xlfn.STDEV.P(tblY11[[4C09 - Organic Chemistry
Raw Score]])),9),_Stanine,2),5),"")</f>
        <v>2</v>
      </c>
      <c r="R106" s="66" t="n">
        <v>7</v>
      </c>
      <c r="S106" s="67">
        <f>IF(ISNUMBER(tblY11[[#This Row],[4P06 - Waves
Raw Score]]),IFERROR(VLOOKUP(ROUND(STANDARDIZE(tblY11[[#This Row],[4P06 - Waves
Raw Score]],AVERAGE(tblY11[[4P06 - Waves
Raw Score]]),_xlfn.STDEV.P(tblY11[[4P06 - Waves
Raw Score]])),9),_Stanine,2),5),"")</f>
        <v>2</v>
      </c>
      <c r="T106" s="66" t="n">
        <v>5</v>
      </c>
      <c r="U106" s="67">
        <f>IF(ISNUMBER(tblY11[[#This Row],[4B06 - Inheritance
Raw Score]]),IFERROR(VLOOKUP(ROUND(STANDARDIZE(tblY11[[#This Row],[4B06 - Inheritance
Raw Score]],AVERAGE(tblY11[[4B06 - Inheritance
Raw Score]]),_xlfn.STDEV.P(tblY11[[4B06 - Inheritance
Raw Score]])),9),_Stanine,2),5),"")</f>
        <v>2</v>
      </c>
      <c r="V106" s="66" t="n">
        <v>5</v>
      </c>
      <c r="W106" s="67">
        <f>IF(ISNUMBER(tblY11[[#This Row],[4C10 - Chemical Analysis
Raw Score]]),IFERROR(VLOOKUP(ROUND(STANDARDIZE(tblY11[[#This Row],[4C10 - Chemical Analysis
Raw Score]],AVERAGE(tblY11[[4C10 - Chemical Analysis
Raw Score]]),_xlfn.STDEV.P(tblY11[[4C10 - Chemical Analysis
Raw Score]])),9),_Stanine,2),5),"")</f>
        <v>2</v>
      </c>
      <c r="X106" s="66" t="n">
        <v>4</v>
      </c>
      <c r="Y106" s="67">
        <f>IF(ISNUMBER(tblY11[[#This Row],[4P07 - Magnetism
Raw Score]]),IFERROR(VLOOKUP(ROUND(STANDARDIZE(tblY11[[#This Row],[4P07 - Magnetism
Raw Score]],AVERAGE(tblY11[[4P07 - Magnetism
Raw Score]]),_xlfn.STDEV.P(tblY11[[4P07 - Magnetism
Raw Score]])),9),_Stanine,2),5),"")</f>
        <v>2</v>
      </c>
    </row>
    <row r="107">
      <c r="A107" s="65" t="inlineStr">
        <is>
          <t>X906453085377</t>
        </is>
      </c>
      <c r="B107" s="65" t="inlineStr">
        <is>
          <t>Okafor</t>
        </is>
      </c>
      <c r="C107" s="65" t="inlineStr">
        <is>
          <t>Rosie</t>
        </is>
      </c>
      <c r="D107" s="66" t="inlineStr">
        <is>
          <t>F</t>
        </is>
      </c>
      <c r="E107" s="66" t="inlineStr">
        <is>
          <t>N</t>
        </is>
      </c>
      <c r="F107" s="66" t="inlineStr">
        <is>
          <t>N</t>
        </is>
      </c>
      <c r="G107" s="34" t="n">
        <v>96.59999999999999</v>
      </c>
      <c r="H107" s="34" t="n">
        <v>98</v>
      </c>
      <c r="I107" s="67">
        <f>IF(ISNUMBER(tblY11[[#This Row],[Avg KS2]]),IFERROR(VLOOKUP(ROUND(STANDARDIZE(tblY11[[#This Row],[Avg KS2]],AVERAGE(tblY11[[Avg KS2]]),_xlfn.STDEV.P(tblY11[[Avg KS2]])),9),_Stanine,2),5),"")</f>
        <v>3</v>
      </c>
      <c r="J107" s="66" t="inlineStr">
        <is>
          <t>Science Support</t>
        </is>
      </c>
      <c r="K107" s="67">
        <f>IF(tblY11[[#This Row],[Preferred Last name]]="","",COUNTIFS($N$1:$ZZ$1,"*"&amp;CHAR(10)&amp;"Stanine",$N107:$ZZ107,"&gt;=1"))</f>
        <v>5</v>
      </c>
      <c r="L107" s="68">
        <f>IFERROR(AVERAGEIF($N$1:$ZZ$1,"*"&amp;CHAR(10)&amp;"Stanine",$N107:$ZZ107),"")</f>
        <v>3.2</v>
      </c>
      <c r="M107" s="69">
        <f>IF(AND(ISNUMBER(tblY11[[#This Row],[Mean Stanine]]),ISNUMBER(tblY11[[#This Row],[Avg KS2 Band]]),ISNUMBER(SlopeY11)),tblY11[[#This Row],[Mean Stanine]]-(InterceptY11+SlopeY11*tblY11[[#This Row],[Avg KS2 Band]]),"")</f>
        <v>-0.254971139971139</v>
      </c>
      <c r="N107" s="66" t="inlineStr">
        <is>
          <t>A</t>
        </is>
      </c>
      <c r="O107" s="67" t="str">
        <f>IF(ISNUMBER(tblY11[[#This Row],[4B05 - Homeostasis
Raw Score]]),IFERROR(VLOOKUP(ROUND(STANDARDIZE(tblY11[[#This Row],[4B05 - Homeostasis
Raw Score]],AVERAGE(tblY11[[4B05 - Homeostasis
Raw Score]]),_xlfn.STDEV.P(tblY11[[4B05 - Homeostasis
Raw Score]])),9),_Stanine,2),5),"")</f>
        <v/>
      </c>
      <c r="P107" s="66" t="n">
        <v>6</v>
      </c>
      <c r="Q107" s="67">
        <f>IF(ISNUMBER(tblY11[[#This Row],[4C09 - Organic Chemistry
Raw Score]]),IFERROR(VLOOKUP(ROUND(STANDARDIZE(tblY11[[#This Row],[4C09 - Organic Chemistry
Raw Score]],AVERAGE(tblY11[[4C09 - Organic Chemistry
Raw Score]]),_xlfn.STDEV.P(tblY11[[4C09 - Organic Chemistry
Raw Score]])),9),_Stanine,2),5),"")</f>
        <v>2</v>
      </c>
      <c r="R107" s="66" t="n">
        <v>14</v>
      </c>
      <c r="S107" s="67">
        <f>IF(ISNUMBER(tblY11[[#This Row],[4P06 - Waves
Raw Score]]),IFERROR(VLOOKUP(ROUND(STANDARDIZE(tblY11[[#This Row],[4P06 - Waves
Raw Score]],AVERAGE(tblY11[[4P06 - Waves
Raw Score]]),_xlfn.STDEV.P(tblY11[[4P06 - Waves
Raw Score]])),9),_Stanine,2),5),"")</f>
        <v>3</v>
      </c>
      <c r="T107" s="66" t="n">
        <v>13</v>
      </c>
      <c r="U107" s="67">
        <f>IF(ISNUMBER(tblY11[[#This Row],[4B06 - Inheritance
Raw Score]]),IFERROR(VLOOKUP(ROUND(STANDARDIZE(tblY11[[#This Row],[4B06 - Inheritance
Raw Score]],AVERAGE(tblY11[[4B06 - Inheritance
Raw Score]]),_xlfn.STDEV.P(tblY11[[4B06 - Inheritance
Raw Score]])),9),_Stanine,2),5),"")</f>
        <v>4</v>
      </c>
      <c r="V107" s="66" t="n">
        <v>7</v>
      </c>
      <c r="W107" s="67">
        <f>IF(ISNUMBER(tblY11[[#This Row],[4C10 - Chemical Analysis
Raw Score]]),IFERROR(VLOOKUP(ROUND(STANDARDIZE(tblY11[[#This Row],[4C10 - Chemical Analysis
Raw Score]],AVERAGE(tblY11[[4C10 - Chemical Analysis
Raw Score]]),_xlfn.STDEV.P(tblY11[[4C10 - Chemical Analysis
Raw Score]])),9),_Stanine,2),5),"")</f>
        <v>3</v>
      </c>
      <c r="X107" s="66" t="n">
        <v>12</v>
      </c>
      <c r="Y107" s="67">
        <f>IF(ISNUMBER(tblY11[[#This Row],[4P07 - Magnetism
Raw Score]]),IFERROR(VLOOKUP(ROUND(STANDARDIZE(tblY11[[#This Row],[4P07 - Magnetism
Raw Score]],AVERAGE(tblY11[[4P07 - Magnetism
Raw Score]]),_xlfn.STDEV.P(tblY11[[4P07 - Magnetism
Raw Score]])),9),_Stanine,2),5),"")</f>
        <v>4</v>
      </c>
    </row>
  </sheetData>
  <conditionalFormatting sqref="I2:I107">
    <cfRule type="iconSet" priority="1">
      <iconSet iconSet="3TrafficLights1">
        <cfvo type="percent" val="0"/>
        <cfvo type="num" val="4"/>
        <cfvo type="num" val="7"/>
      </iconSet>
    </cfRule>
  </conditionalFormatting>
  <conditionalFormatting sqref="L2:L107">
    <cfRule type="iconSet" priority="2">
      <iconSet iconSet="3TrafficLights1">
        <cfvo type="percent" val="0"/>
        <cfvo type="num" val="3.5"/>
        <cfvo type="num" val="6.5"/>
      </iconSet>
    </cfRule>
  </conditionalFormatting>
  <conditionalFormatting sqref="M2:M107">
    <cfRule type="iconSet" priority="3">
      <iconSet iconSet="3Arrows">
        <cfvo type="percent" val="0"/>
        <cfvo type="num" val="-0.99"/>
        <cfvo type="num" val="1"/>
      </iconSet>
    </cfRule>
  </conditionalFormatting>
  <conditionalFormatting sqref="O2:O107">
    <cfRule type="iconSet" priority="4">
      <iconSet iconSet="3TrafficLights1">
        <cfvo type="percent" val="0"/>
        <cfvo type="num" val="4"/>
        <cfvo type="num" val="7"/>
      </iconSet>
    </cfRule>
  </conditionalFormatting>
  <conditionalFormatting sqref="Q2:Q107">
    <cfRule type="iconSet" priority="5">
      <iconSet iconSet="3TrafficLights1">
        <cfvo type="percent" val="0"/>
        <cfvo type="num" val="4"/>
        <cfvo type="num" val="7"/>
      </iconSet>
    </cfRule>
  </conditionalFormatting>
  <conditionalFormatting sqref="S2:S107">
    <cfRule type="iconSet" priority="6">
      <iconSet iconSet="3TrafficLights1">
        <cfvo type="percent" val="0"/>
        <cfvo type="num" val="4"/>
        <cfvo type="num" val="7"/>
      </iconSet>
    </cfRule>
  </conditionalFormatting>
  <conditionalFormatting sqref="U2:U107">
    <cfRule type="iconSet" priority="7">
      <iconSet iconSet="3TrafficLights1">
        <cfvo type="percent" val="0"/>
        <cfvo type="num" val="4"/>
        <cfvo type="num" val="7"/>
      </iconSet>
    </cfRule>
  </conditionalFormatting>
  <conditionalFormatting sqref="W2:W107">
    <cfRule type="iconSet" priority="8">
      <iconSet iconSet="3TrafficLights1">
        <cfvo type="percent" val="0"/>
        <cfvo type="num" val="4"/>
        <cfvo type="num" val="7"/>
      </iconSet>
    </cfRule>
  </conditionalFormatting>
  <conditionalFormatting sqref="Y2:Y107">
    <cfRule type="iconSet" priority="9">
      <iconSet iconSet="3TrafficLights1">
        <cfvo type="percent" val="0"/>
        <cfvo type="num" val="4"/>
        <cfvo type="num" val="7"/>
      </iconSet>
    </cfRule>
  </conditionalFormatting>
  <dataValidations count="6">
    <dataValidation sqref="N2:N107" showDropDown="0" showInputMessage="0" showErrorMessage="1" allowBlank="1" errorTitle="Score out of range" error="Type a mark from 0 to 40, or A for absent. Leave the cell blank if the student has not sat the test yet." type="custom">
      <formula1>OR(UPPER(N2)="A",AND(ISNUMBER(N2),N2&gt;=0,N2&lt;=40))</formula1>
    </dataValidation>
    <dataValidation sqref="P2:P107" showDropDown="0" showInputMessage="0" showErrorMessage="1" allowBlank="1" errorTitle="Score out of range" error="Type a mark from 0 to 35, or A for absent. Leave the cell blank if the student has not sat the test yet." type="custom">
      <formula1>OR(UPPER(P2)="A",AND(ISNUMBER(P2),P2&gt;=0,P2&lt;=35))</formula1>
    </dataValidation>
    <dataValidation sqref="R2:R107" showDropDown="0" showInputMessage="0" showErrorMessage="1" allowBlank="1" errorTitle="Score out of range" error="Type a mark from 0 to 38, or A for absent. Leave the cell blank if the student has not sat the test yet." type="custom">
      <formula1>OR(UPPER(R2)="A",AND(ISNUMBER(R2),R2&gt;=0,R2&lt;=38))</formula1>
    </dataValidation>
    <dataValidation sqref="T2:T107" showDropDown="0" showInputMessage="0" showErrorMessage="1" allowBlank="1" errorTitle="Score out of range" error="Type a mark from 0 to 42, or A for absent. Leave the cell blank if the student has not sat the test yet." type="custom">
      <formula1>OR(UPPER(T2)="A",AND(ISNUMBER(T2),T2&gt;=0,T2&lt;=42))</formula1>
    </dataValidation>
    <dataValidation sqref="V2:V107" showDropDown="0" showInputMessage="0" showErrorMessage="1" allowBlank="1" errorTitle="Score out of range" error="Type a mark from 0 to 30, or A for absent. Leave the cell blank if the student has not sat the test yet." type="custom">
      <formula1>OR(UPPER(V2)="A",AND(ISNUMBER(V2),V2&gt;=0,V2&lt;=30))</formula1>
    </dataValidation>
    <dataValidation sqref="X2:X107" showDropDown="0" showInputMessage="0" showErrorMessage="1" allowBlank="1" errorTitle="Score out of range" error="Type a mark from 0 to 34, or A for absent. Leave the cell blank if the student has not sat the test yet." type="custom">
      <formula1>OR(UPPER(X2)="A",AND(ISNUMBER(X2),X2&gt;=0,X2&lt;=34))</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10.xml><?xml version="1.0" encoding="utf-8"?>
<worksheet xmlns="http://schemas.openxmlformats.org/spreadsheetml/2006/main">
  <sheetPr codeName="shInfo">
    <tabColor rgb="00898781"/>
    <outlinePr summaryBelow="1" summaryRight="1"/>
    <pageSetUpPr fitToPage="1"/>
  </sheetPr>
  <dimension ref="A1:X28"/>
  <sheetViews>
    <sheetView showGridLines="0" workbookViewId="0">
      <pane ySplit="4" topLeftCell="A5" activePane="bottomLeft" state="frozen"/>
      <selection pane="bottomLeft" activeCell="A1" sqref="A1"/>
    </sheetView>
  </sheetViews>
  <sheetFormatPr baseColWidth="8" defaultRowHeight="15"/>
  <cols>
    <col width="10" customWidth="1" min="1" max="1"/>
    <col width="8" customWidth="1" min="2" max="2"/>
    <col width="26" customWidth="1" min="3" max="3"/>
    <col width="30" customWidth="1" min="4" max="4"/>
    <col width="7" customWidth="1" min="5" max="5"/>
    <col width="11" customWidth="1" min="6" max="6"/>
    <col width="9" customWidth="1" min="7" max="7"/>
    <col width="7" customWidth="1" min="8" max="8"/>
    <col width="8" customWidth="1" min="9" max="9"/>
    <col width="9" customWidth="1" min="10" max="10"/>
    <col width="11" customWidth="1" min="11" max="11"/>
    <col width="8" customWidth="1" min="12" max="12"/>
    <col width="9" customWidth="1" min="13" max="13"/>
    <col width="8" customWidth="1" min="14" max="14"/>
    <col width="28" customWidth="1" min="15" max="15"/>
    <col hidden="1" width="13" customWidth="1" min="16" max="16"/>
    <col hidden="1" width="13" customWidth="1" min="17" max="17"/>
    <col hidden="1" width="13" customWidth="1" min="18" max="18"/>
    <col hidden="1" width="13" customWidth="1" min="19" max="19"/>
    <col hidden="1" width="13" customWidth="1" min="20" max="20"/>
    <col width="12" customWidth="1" min="22" max="22"/>
    <col width="9" customWidth="1" min="23" max="23"/>
    <col width="22" customWidth="1" min="24" max="24"/>
  </cols>
  <sheetData>
    <row r="1" ht="30" customHeight="1">
      <c r="A1" s="1" t="n"/>
      <c r="B1" s="2" t="inlineStr">
        <is>
          <t>Assessment register</t>
        </is>
      </c>
      <c r="C1" s="1" t="n"/>
      <c r="D1" s="1" t="n"/>
      <c r="E1" s="1" t="n"/>
      <c r="F1" s="1" t="n"/>
      <c r="G1" s="1" t="n"/>
      <c r="H1" s="1" t="n"/>
      <c r="I1" s="1" t="n"/>
      <c r="J1" s="1" t="n"/>
      <c r="K1" s="1" t="n"/>
      <c r="L1" s="1" t="n"/>
      <c r="M1" s="1" t="n"/>
      <c r="N1" s="1" t="n"/>
      <c r="O1" s="1" t="n"/>
    </row>
    <row r="2">
      <c r="B2" s="17" t="inlineStr">
        <is>
          <t>One row per test. The Manage tests button adds, edits and removes rows - you only need to type here to correct a code, title, maximum mark or date.</t>
        </is>
      </c>
    </row>
    <row r="3">
      <c r="V3" s="6" t="inlineStr">
        <is>
          <t>Stanine lookup</t>
        </is>
      </c>
    </row>
    <row r="4" ht="32" customHeight="1">
      <c r="A4" s="7" t="inlineStr">
        <is>
          <t>Year Group</t>
        </is>
      </c>
      <c r="B4" s="7" t="inlineStr">
        <is>
          <t>Code</t>
        </is>
      </c>
      <c r="C4" s="7" t="inlineStr">
        <is>
          <t>Title</t>
        </is>
      </c>
      <c r="D4" s="7" t="inlineStr">
        <is>
          <t>Test Name</t>
        </is>
      </c>
      <c r="E4" s="7" t="inlineStr">
        <is>
          <t>Max Marks</t>
        </is>
      </c>
      <c r="F4" s="7" t="inlineStr">
        <is>
          <t>Date</t>
        </is>
      </c>
      <c r="G4" s="7" t="inlineStr">
        <is>
          <t>Students</t>
        </is>
      </c>
      <c r="H4" s="7" t="inlineStr">
        <is>
          <t>Sat</t>
        </is>
      </c>
      <c r="I4" s="7" t="inlineStr">
        <is>
          <t>Absent</t>
        </is>
      </c>
      <c r="J4" s="7" t="inlineStr">
        <is>
          <t>Not Entered</t>
        </is>
      </c>
      <c r="K4" s="7" t="inlineStr">
        <is>
          <t>Completion</t>
        </is>
      </c>
      <c r="L4" s="7" t="inlineStr">
        <is>
          <t>Year Mean</t>
        </is>
      </c>
      <c r="M4" s="7" t="inlineStr">
        <is>
          <t>Year Mean %</t>
        </is>
      </c>
      <c r="N4" s="7" t="inlineStr">
        <is>
          <t>Year SD</t>
        </is>
      </c>
      <c r="O4" s="7" t="inlineStr">
        <is>
          <t>Check</t>
        </is>
      </c>
      <c r="P4" s="7" t="inlineStr">
        <is>
          <t>Year Index</t>
        </is>
      </c>
      <c r="Q4" s="7" t="inlineStr">
        <is>
          <t>Raw Col</t>
        </is>
      </c>
      <c r="R4" s="7" t="inlineStr">
        <is>
          <t>Seq Key</t>
        </is>
      </c>
      <c r="S4" s="7" t="inlineStr">
        <is>
          <t>Name Key</t>
        </is>
      </c>
      <c r="T4" s="7" t="inlineStr">
        <is>
          <t>Invalid</t>
        </is>
      </c>
      <c r="V4" s="7" t="inlineStr">
        <is>
          <t>z-score from</t>
        </is>
      </c>
      <c r="W4" s="7" t="inlineStr">
        <is>
          <t>Stanine</t>
        </is>
      </c>
      <c r="X4" s="7" t="inlineStr">
        <is>
          <t>Meaning</t>
        </is>
      </c>
    </row>
    <row r="5">
      <c r="A5" s="10" t="inlineStr">
        <is>
          <t>Year 7</t>
        </is>
      </c>
      <c r="B5" s="10" t="inlineStr">
        <is>
          <t>7B01</t>
        </is>
      </c>
      <c r="C5" s="70" t="inlineStr">
        <is>
          <t>Cells</t>
        </is>
      </c>
      <c r="D5" s="70" t="inlineStr">
        <is>
          <t>7B01 - Cells</t>
        </is>
      </c>
      <c r="E5" s="9" t="n">
        <v>30</v>
      </c>
      <c r="F5" s="71" t="n">
        <v>46287</v>
      </c>
      <c r="G5" s="72">
        <f>IF(tblAssessments[[#This Row],[Year Index]]=0,"",COUNTA(CHOOSE(tblAssessments[[#This Row],[Year Index]],tblY7[Preferred Last name],tblY8[Preferred Last name],tblY9[Preferred Last name],tblY10[Preferred Last name],tblY11[Preferred Last name])))</f>
        <v>131</v>
      </c>
      <c r="H5" s="72">
        <f>IF(tblAssessments[[#This Row],[Raw Col]]=0,"",COUNT(INDEX(CHOOSE(tblAssessments[[#This Row],[Year Index]],tblY7[#Data],tblY8[#Data],tblY9[#Data],tblY10[#Data],tblY11[#Data]),0,tblAssessments[[#This Row],[Raw Col]])))</f>
        <v>127</v>
      </c>
      <c r="I5" s="72">
        <f>IF(tblAssessments[[#This Row],[Raw Col]]=0,"",COUNTIF(INDEX(CHOOSE(tblAssessments[[#This Row],[Year Index]],tblY7[#Data],tblY8[#Data],tblY9[#Data],tblY10[#Data],tblY11[#Data]),0,tblAssessments[[#This Row],[Raw Col]]),"A"))</f>
        <v>4</v>
      </c>
      <c r="J5" s="72">
        <f>IF(tblAssessments[[#This Row],[Raw Col]]=0,"",tblAssessments[[#This Row],[Students]]-tblAssessments[[#This Row],[Sat]]-tblAssessments[[#This Row],[Absent]])</f>
        <v>0</v>
      </c>
      <c r="K5" s="73">
        <f>IF(OR(tblAssessments[[#This Row],[Raw Col]]=0,N(tblAssessments[[#This Row],[Students]])=0),"",(tblAssessments[[#This Row],[Sat]]+tblAssessments[[#This Row],[Absent]])/tblAssessments[[#This Row],[Students]])</f>
        <v>1</v>
      </c>
      <c r="L5" s="74">
        <f>IF(N(tblAssessments[[#This Row],[Sat]])=0,"",AVERAGE(INDEX(CHOOSE(tblAssessments[[#This Row],[Year Index]],tblY7[#Data],tblY8[#Data],tblY9[#Data],tblY10[#Data],tblY11[#Data]),0,tblAssessments[[#This Row],[Raw Col]])))</f>
        <v>17.488188976378</v>
      </c>
      <c r="M5" s="73">
        <f>IF(OR(tblAssessments[[#This Row],[Year Mean]]="",N(tblAssessments[[#This Row],[Max Marks]])=0),"",tblAssessments[[#This Row],[Year Mean]]/tblAssessments[[#This Row],[Max Marks]])</f>
        <v>0.582939632545932</v>
      </c>
      <c r="N5" s="74">
        <f>IF(N(tblAssessments[[#This Row],[Sat]])=0,"",_xlfn.STDEV.P(INDEX(CHOOSE(tblAssessments[[#This Row],[Year Index]],tblY7[#Data],tblY8[#Data],tblY9[#Data],tblY10[#Data],tblY11[#Data]),0,tblAssessments[[#This Row],[Raw Col]])))</f>
        <v>6.17317812931527</v>
      </c>
      <c r="O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5" s="72">
        <f>IFERROR(MATCH(tblAssessments[[#This Row],[Year Group]],YearNames,0),0)</f>
        <v>1</v>
      </c>
      <c r="Q5" s="72">
        <f>IF(tblAssessments[[#This Row],[Year Index]]=0,0,IFERROR(MATCH(tblAssessments[[#This Row],[Test Name]]&amp;CHAR(10)&amp;"Raw Score",CHOOSE(tblAssessments[[#This Row],[Year Index]],tblY7[#Headers],tblY8[#Headers],tblY9[#Headers],tblY10[#Headers],tblY11[#Headers]),0),0))</f>
        <v>14</v>
      </c>
      <c r="R5" s="72" t="str">
        <f>tblAssessments[[#This Row],[Year Group]]&amp;"|"&amp;COUNTIF(INDEX(tblAssessments[Year Group],1):tblAssessments[[#This Row],[Year Group]],tblAssessments[[#This Row],[Year Group]])</f>
        <v>Year 7|1</v>
      </c>
      <c r="S5" s="72" t="str">
        <f>tblAssessments[[#This Row],[Year Group]]&amp;"|"&amp;tblAssessments[[#This Row],[Test Name]]</f>
        <v>Year 7|7B01 - Cells</v>
      </c>
      <c r="T5"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5" s="76" t="n">
        <v>-99</v>
      </c>
      <c r="W5" s="16" t="n">
        <v>1</v>
      </c>
      <c r="X5" s="70" t="inlineStr">
        <is>
          <t>Very low</t>
        </is>
      </c>
    </row>
    <row r="6">
      <c r="A6" s="10" t="inlineStr">
        <is>
          <t>Year 7</t>
        </is>
      </c>
      <c r="B6" s="10" t="inlineStr">
        <is>
          <t>7C01</t>
        </is>
      </c>
      <c r="C6" s="70" t="inlineStr">
        <is>
          <t>Particles</t>
        </is>
      </c>
      <c r="D6" s="70" t="inlineStr">
        <is>
          <t>7C01 - Particles</t>
        </is>
      </c>
      <c r="E6" s="9" t="n">
        <v>25</v>
      </c>
      <c r="F6" s="71" t="n">
        <v>46301</v>
      </c>
      <c r="G6" s="72">
        <f>IF(tblAssessments[[#This Row],[Year Index]]=0,"",COUNTA(CHOOSE(tblAssessments[[#This Row],[Year Index]],tblY7[Preferred Last name],tblY8[Preferred Last name],tblY9[Preferred Last name],tblY10[Preferred Last name],tblY11[Preferred Last name])))</f>
        <v>131</v>
      </c>
      <c r="H6" s="72">
        <f>IF(tblAssessments[[#This Row],[Raw Col]]=0,"",COUNT(INDEX(CHOOSE(tblAssessments[[#This Row],[Year Index]],tblY7[#Data],tblY8[#Data],tblY9[#Data],tblY10[#Data],tblY11[#Data]),0,tblAssessments[[#This Row],[Raw Col]])))</f>
        <v>119</v>
      </c>
      <c r="I6" s="72">
        <f>IF(tblAssessments[[#This Row],[Raw Col]]=0,"",COUNTIF(INDEX(CHOOSE(tblAssessments[[#This Row],[Year Index]],tblY7[#Data],tblY8[#Data],tblY9[#Data],tblY10[#Data],tblY11[#Data]),0,tblAssessments[[#This Row],[Raw Col]]),"A"))</f>
        <v>12</v>
      </c>
      <c r="J6" s="72">
        <f>IF(tblAssessments[[#This Row],[Raw Col]]=0,"",tblAssessments[[#This Row],[Students]]-tblAssessments[[#This Row],[Sat]]-tblAssessments[[#This Row],[Absent]])</f>
        <v>0</v>
      </c>
      <c r="K6" s="73">
        <f>IF(OR(tblAssessments[[#This Row],[Raw Col]]=0,N(tblAssessments[[#This Row],[Students]])=0),"",(tblAssessments[[#This Row],[Sat]]+tblAssessments[[#This Row],[Absent]])/tblAssessments[[#This Row],[Students]])</f>
        <v>1</v>
      </c>
      <c r="L6" s="74">
        <f>IF(N(tblAssessments[[#This Row],[Sat]])=0,"",AVERAGE(INDEX(CHOOSE(tblAssessments[[#This Row],[Year Index]],tblY7[#Data],tblY8[#Data],tblY9[#Data],tblY10[#Data],tblY11[#Data]),0,tblAssessments[[#This Row],[Raw Col]])))</f>
        <v>18.4453781512605</v>
      </c>
      <c r="M6" s="73">
        <f>IF(OR(tblAssessments[[#This Row],[Year Mean]]="",N(tblAssessments[[#This Row],[Max Marks]])=0),"",tblAssessments[[#This Row],[Year Mean]]/tblAssessments[[#This Row],[Max Marks]])</f>
        <v>0.73781512605042</v>
      </c>
      <c r="N6" s="74">
        <f>IF(N(tblAssessments[[#This Row],[Sat]])=0,"",_xlfn.STDEV.P(INDEX(CHOOSE(tblAssessments[[#This Row],[Year Index]],tblY7[#Data],tblY8[#Data],tblY9[#Data],tblY10[#Data],tblY11[#Data]),0,tblAssessments[[#This Row],[Raw Col]])))</f>
        <v>4.18018028438282</v>
      </c>
      <c r="O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6" s="72">
        <f>IFERROR(MATCH(tblAssessments[[#This Row],[Year Group]],YearNames,0),0)</f>
        <v>1</v>
      </c>
      <c r="Q6" s="72">
        <f>IF(tblAssessments[[#This Row],[Year Index]]=0,0,IFERROR(MATCH(tblAssessments[[#This Row],[Test Name]]&amp;CHAR(10)&amp;"Raw Score",CHOOSE(tblAssessments[[#This Row],[Year Index]],tblY7[#Headers],tblY8[#Headers],tblY9[#Headers],tblY10[#Headers],tblY11[#Headers]),0),0))</f>
        <v>16</v>
      </c>
      <c r="R6" s="72" t="str">
        <f>tblAssessments[[#This Row],[Year Group]]&amp;"|"&amp;COUNTIF(INDEX(tblAssessments[Year Group],1):tblAssessments[[#This Row],[Year Group]],tblAssessments[[#This Row],[Year Group]])</f>
        <v>Year 7|2</v>
      </c>
      <c r="S6" s="72" t="str">
        <f>tblAssessments[[#This Row],[Year Group]]&amp;"|"&amp;tblAssessments[[#This Row],[Test Name]]</f>
        <v>Year 7|7C01 - Particles</v>
      </c>
      <c r="T6"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6" s="76" t="n">
        <v>-1.75</v>
      </c>
      <c r="W6" s="16" t="n">
        <v>2</v>
      </c>
      <c r="X6" s="70" t="inlineStr">
        <is>
          <t>Low</t>
        </is>
      </c>
    </row>
    <row r="7">
      <c r="A7" s="10" t="inlineStr">
        <is>
          <t>Year 7</t>
        </is>
      </c>
      <c r="B7" s="10" t="inlineStr">
        <is>
          <t>7P01</t>
        </is>
      </c>
      <c r="C7" s="70" t="inlineStr">
        <is>
          <t>Forces</t>
        </is>
      </c>
      <c r="D7" s="70" t="inlineStr">
        <is>
          <t>7P01 - Forces</t>
        </is>
      </c>
      <c r="E7" s="9" t="n">
        <v>30</v>
      </c>
      <c r="F7" s="71" t="n">
        <v>46315</v>
      </c>
      <c r="G7" s="72">
        <f>IF(tblAssessments[[#This Row],[Year Index]]=0,"",COUNTA(CHOOSE(tblAssessments[[#This Row],[Year Index]],tblY7[Preferred Last name],tblY8[Preferred Last name],tblY9[Preferred Last name],tblY10[Preferred Last name],tblY11[Preferred Last name])))</f>
        <v>131</v>
      </c>
      <c r="H7" s="72">
        <f>IF(tblAssessments[[#This Row],[Raw Col]]=0,"",COUNT(INDEX(CHOOSE(tblAssessments[[#This Row],[Year Index]],tblY7[#Data],tblY8[#Data],tblY9[#Data],tblY10[#Data],tblY11[#Data]),0,tblAssessments[[#This Row],[Raw Col]])))</f>
        <v>127</v>
      </c>
      <c r="I7" s="72">
        <f>IF(tblAssessments[[#This Row],[Raw Col]]=0,"",COUNTIF(INDEX(CHOOSE(tblAssessments[[#This Row],[Year Index]],tblY7[#Data],tblY8[#Data],tblY9[#Data],tblY10[#Data],tblY11[#Data]),0,tblAssessments[[#This Row],[Raw Col]]),"A"))</f>
        <v>4</v>
      </c>
      <c r="J7" s="72">
        <f>IF(tblAssessments[[#This Row],[Raw Col]]=0,"",tblAssessments[[#This Row],[Students]]-tblAssessments[[#This Row],[Sat]]-tblAssessments[[#This Row],[Absent]])</f>
        <v>0</v>
      </c>
      <c r="K7" s="73">
        <f>IF(OR(tblAssessments[[#This Row],[Raw Col]]=0,N(tblAssessments[[#This Row],[Students]])=0),"",(tblAssessments[[#This Row],[Sat]]+tblAssessments[[#This Row],[Absent]])/tblAssessments[[#This Row],[Students]])</f>
        <v>1</v>
      </c>
      <c r="L7" s="74">
        <f>IF(N(tblAssessments[[#This Row],[Sat]])=0,"",AVERAGE(INDEX(CHOOSE(tblAssessments[[#This Row],[Year Index]],tblY7[#Data],tblY8[#Data],tblY9[#Data],tblY10[#Data],tblY11[#Data]),0,tblAssessments[[#This Row],[Raw Col]])))</f>
        <v>21.6141732283465</v>
      </c>
      <c r="M7" s="73">
        <f>IF(OR(tblAssessments[[#This Row],[Year Mean]]="",N(tblAssessments[[#This Row],[Max Marks]])=0),"",tblAssessments[[#This Row],[Year Mean]]/tblAssessments[[#This Row],[Max Marks]])</f>
        <v>0.720472440944882</v>
      </c>
      <c r="N7" s="74">
        <f>IF(N(tblAssessments[[#This Row],[Sat]])=0,"",_xlfn.STDEV.P(INDEX(CHOOSE(tblAssessments[[#This Row],[Year Index]],tblY7[#Data],tblY8[#Data],tblY9[#Data],tblY10[#Data],tblY11[#Data]),0,tblAssessments[[#This Row],[Raw Col]])))</f>
        <v>5.08052828193439</v>
      </c>
      <c r="O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7" s="72">
        <f>IFERROR(MATCH(tblAssessments[[#This Row],[Year Group]],YearNames,0),0)</f>
        <v>1</v>
      </c>
      <c r="Q7" s="72">
        <f>IF(tblAssessments[[#This Row],[Year Index]]=0,0,IFERROR(MATCH(tblAssessments[[#This Row],[Test Name]]&amp;CHAR(10)&amp;"Raw Score",CHOOSE(tblAssessments[[#This Row],[Year Index]],tblY7[#Headers],tblY8[#Headers],tblY9[#Headers],tblY10[#Headers],tblY11[#Headers]),0),0))</f>
        <v>18</v>
      </c>
      <c r="R7" s="72" t="str">
        <f>tblAssessments[[#This Row],[Year Group]]&amp;"|"&amp;COUNTIF(INDEX(tblAssessments[Year Group],1):tblAssessments[[#This Row],[Year Group]],tblAssessments[[#This Row],[Year Group]])</f>
        <v>Year 7|3</v>
      </c>
      <c r="S7" s="72" t="str">
        <f>tblAssessments[[#This Row],[Year Group]]&amp;"|"&amp;tblAssessments[[#This Row],[Test Name]]</f>
        <v>Year 7|7P01 - Forces</v>
      </c>
      <c r="T7"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7" s="76" t="n">
        <v>-1.25</v>
      </c>
      <c r="W7" s="16" t="n">
        <v>3</v>
      </c>
      <c r="X7" s="70" t="inlineStr">
        <is>
          <t>Below average</t>
        </is>
      </c>
    </row>
    <row r="8">
      <c r="A8" s="10" t="inlineStr">
        <is>
          <t>Year 7</t>
        </is>
      </c>
      <c r="B8" s="10" t="inlineStr">
        <is>
          <t>7B02</t>
        </is>
      </c>
      <c r="C8" s="70" t="inlineStr">
        <is>
          <t>Organ Systems</t>
        </is>
      </c>
      <c r="D8" s="70" t="inlineStr">
        <is>
          <t>7B02 - Organ Systems</t>
        </is>
      </c>
      <c r="E8" s="9" t="n">
        <v>28</v>
      </c>
      <c r="F8" s="71" t="n">
        <v>46329</v>
      </c>
      <c r="G8" s="72">
        <f>IF(tblAssessments[[#This Row],[Year Index]]=0,"",COUNTA(CHOOSE(tblAssessments[[#This Row],[Year Index]],tblY7[Preferred Last name],tblY8[Preferred Last name],tblY9[Preferred Last name],tblY10[Preferred Last name],tblY11[Preferred Last name])))</f>
        <v>131</v>
      </c>
      <c r="H8" s="72">
        <f>IF(tblAssessments[[#This Row],[Raw Col]]=0,"",COUNT(INDEX(CHOOSE(tblAssessments[[#This Row],[Year Index]],tblY7[#Data],tblY8[#Data],tblY9[#Data],tblY10[#Data],tblY11[#Data]),0,tblAssessments[[#This Row],[Raw Col]])))</f>
        <v>124</v>
      </c>
      <c r="I8" s="72">
        <f>IF(tblAssessments[[#This Row],[Raw Col]]=0,"",COUNTIF(INDEX(CHOOSE(tblAssessments[[#This Row],[Year Index]],tblY7[#Data],tblY8[#Data],tblY9[#Data],tblY10[#Data],tblY11[#Data]),0,tblAssessments[[#This Row],[Raw Col]]),"A"))</f>
        <v>7</v>
      </c>
      <c r="J8" s="72">
        <f>IF(tblAssessments[[#This Row],[Raw Col]]=0,"",tblAssessments[[#This Row],[Students]]-tblAssessments[[#This Row],[Sat]]-tblAssessments[[#This Row],[Absent]])</f>
        <v>0</v>
      </c>
      <c r="K8" s="73">
        <f>IF(OR(tblAssessments[[#This Row],[Raw Col]]=0,N(tblAssessments[[#This Row],[Students]])=0),"",(tblAssessments[[#This Row],[Sat]]+tblAssessments[[#This Row],[Absent]])/tblAssessments[[#This Row],[Students]])</f>
        <v>1</v>
      </c>
      <c r="L8" s="74">
        <f>IF(N(tblAssessments[[#This Row],[Sat]])=0,"",AVERAGE(INDEX(CHOOSE(tblAssessments[[#This Row],[Year Index]],tblY7[#Data],tblY8[#Data],tblY9[#Data],tblY10[#Data],tblY11[#Data]),0,tblAssessments[[#This Row],[Raw Col]])))</f>
        <v>17.741935483871</v>
      </c>
      <c r="M8" s="73">
        <f>IF(OR(tblAssessments[[#This Row],[Year Mean]]="",N(tblAssessments[[#This Row],[Max Marks]])=0),"",tblAssessments[[#This Row],[Year Mean]]/tblAssessments[[#This Row],[Max Marks]])</f>
        <v>0.633640552995392</v>
      </c>
      <c r="N8" s="74">
        <f>IF(N(tblAssessments[[#This Row],[Sat]])=0,"",_xlfn.STDEV.P(INDEX(CHOOSE(tblAssessments[[#This Row],[Year Index]],tblY7[#Data],tblY8[#Data],tblY9[#Data],tblY10[#Data],tblY11[#Data]),0,tblAssessments[[#This Row],[Raw Col]])))</f>
        <v>5.52687126060681</v>
      </c>
      <c r="O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8" s="72">
        <f>IFERROR(MATCH(tblAssessments[[#This Row],[Year Group]],YearNames,0),0)</f>
        <v>1</v>
      </c>
      <c r="Q8" s="72">
        <f>IF(tblAssessments[[#This Row],[Year Index]]=0,0,IFERROR(MATCH(tblAssessments[[#This Row],[Test Name]]&amp;CHAR(10)&amp;"Raw Score",CHOOSE(tblAssessments[[#This Row],[Year Index]],tblY7[#Headers],tblY8[#Headers],tblY9[#Headers],tblY10[#Headers],tblY11[#Headers]),0),0))</f>
        <v>20</v>
      </c>
      <c r="R8" s="72" t="str">
        <f>tblAssessments[[#This Row],[Year Group]]&amp;"|"&amp;COUNTIF(INDEX(tblAssessments[Year Group],1):tblAssessments[[#This Row],[Year Group]],tblAssessments[[#This Row],[Year Group]])</f>
        <v>Year 7|4</v>
      </c>
      <c r="S8" s="72" t="str">
        <f>tblAssessments[[#This Row],[Year Group]]&amp;"|"&amp;tblAssessments[[#This Row],[Test Name]]</f>
        <v>Year 7|7B02 - Organ Systems</v>
      </c>
      <c r="T8"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8" s="76" t="n">
        <v>-0.75</v>
      </c>
      <c r="W8" s="16" t="n">
        <v>4</v>
      </c>
      <c r="X8" s="70" t="inlineStr">
        <is>
          <t>Slightly below average</t>
        </is>
      </c>
    </row>
    <row r="9">
      <c r="A9" s="10" t="inlineStr">
        <is>
          <t>Year 8</t>
        </is>
      </c>
      <c r="B9" s="10" t="inlineStr">
        <is>
          <t>8C01</t>
        </is>
      </c>
      <c r="C9" s="70" t="inlineStr">
        <is>
          <t>Periodic Table</t>
        </is>
      </c>
      <c r="D9" s="70" t="inlineStr">
        <is>
          <t>8C01 - Periodic Table</t>
        </is>
      </c>
      <c r="E9" s="9" t="n">
        <v>30</v>
      </c>
      <c r="F9" s="71" t="n">
        <v>46288</v>
      </c>
      <c r="G9" s="72">
        <f>IF(tblAssessments[[#This Row],[Year Index]]=0,"",COUNTA(CHOOSE(tblAssessments[[#This Row],[Year Index]],tblY7[Preferred Last name],tblY8[Preferred Last name],tblY9[Preferred Last name],tblY10[Preferred Last name],tblY11[Preferred Last name])))</f>
        <v>93</v>
      </c>
      <c r="H9" s="72">
        <f>IF(tblAssessments[[#This Row],[Raw Col]]=0,"",COUNT(INDEX(CHOOSE(tblAssessments[[#This Row],[Year Index]],tblY7[#Data],tblY8[#Data],tblY9[#Data],tblY10[#Data],tblY11[#Data]),0,tblAssessments[[#This Row],[Raw Col]])))</f>
        <v>85</v>
      </c>
      <c r="I9" s="72">
        <f>IF(tblAssessments[[#This Row],[Raw Col]]=0,"",COUNTIF(INDEX(CHOOSE(tblAssessments[[#This Row],[Year Index]],tblY7[#Data],tblY8[#Data],tblY9[#Data],tblY10[#Data],tblY11[#Data]),0,tblAssessments[[#This Row],[Raw Col]]),"A"))</f>
        <v>8</v>
      </c>
      <c r="J9" s="72">
        <f>IF(tblAssessments[[#This Row],[Raw Col]]=0,"",tblAssessments[[#This Row],[Students]]-tblAssessments[[#This Row],[Sat]]-tblAssessments[[#This Row],[Absent]])</f>
        <v>0</v>
      </c>
      <c r="K9" s="73">
        <f>IF(OR(tblAssessments[[#This Row],[Raw Col]]=0,N(tblAssessments[[#This Row],[Students]])=0),"",(tblAssessments[[#This Row],[Sat]]+tblAssessments[[#This Row],[Absent]])/tblAssessments[[#This Row],[Students]])</f>
        <v>1</v>
      </c>
      <c r="L9" s="74">
        <f>IF(N(tblAssessments[[#This Row],[Sat]])=0,"",AVERAGE(INDEX(CHOOSE(tblAssessments[[#This Row],[Year Index]],tblY7[#Data],tblY8[#Data],tblY9[#Data],tblY10[#Data],tblY11[#Data]),0,tblAssessments[[#This Row],[Raw Col]])))</f>
        <v>17.7058823529412</v>
      </c>
      <c r="M9" s="73">
        <f>IF(OR(tblAssessments[[#This Row],[Year Mean]]="",N(tblAssessments[[#This Row],[Max Marks]])=0),"",tblAssessments[[#This Row],[Year Mean]]/tblAssessments[[#This Row],[Max Marks]])</f>
        <v>0.590196078431373</v>
      </c>
      <c r="N9" s="74">
        <f>IF(N(tblAssessments[[#This Row],[Sat]])=0,"",_xlfn.STDEV.P(INDEX(CHOOSE(tblAssessments[[#This Row],[Year Index]],tblY7[#Data],tblY8[#Data],tblY9[#Data],tblY10[#Data],tblY11[#Data]),0,tblAssessments[[#This Row],[Raw Col]])))</f>
        <v>6.10076857146948</v>
      </c>
      <c r="O9"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9" s="72">
        <f>IFERROR(MATCH(tblAssessments[[#This Row],[Year Group]],YearNames,0),0)</f>
        <v>2</v>
      </c>
      <c r="Q9" s="72">
        <f>IF(tblAssessments[[#This Row],[Year Index]]=0,0,IFERROR(MATCH(tblAssessments[[#This Row],[Test Name]]&amp;CHAR(10)&amp;"Raw Score",CHOOSE(tblAssessments[[#This Row],[Year Index]],tblY7[#Headers],tblY8[#Headers],tblY9[#Headers],tblY10[#Headers],tblY11[#Headers]),0),0))</f>
        <v>14</v>
      </c>
      <c r="R9" s="72" t="str">
        <f>tblAssessments[[#This Row],[Year Group]]&amp;"|"&amp;COUNTIF(INDEX(tblAssessments[Year Group],1):tblAssessments[[#This Row],[Year Group]],tblAssessments[[#This Row],[Year Group]])</f>
        <v>Year 8|1</v>
      </c>
      <c r="S9" s="72" t="str">
        <f>tblAssessments[[#This Row],[Year Group]]&amp;"|"&amp;tblAssessments[[#This Row],[Test Name]]</f>
        <v>Year 8|8C01 - Periodic Table</v>
      </c>
      <c r="T9"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9" s="76" t="n">
        <v>-0.25</v>
      </c>
      <c r="W9" s="16" t="n">
        <v>5</v>
      </c>
      <c r="X9" s="70" t="inlineStr">
        <is>
          <t>Average</t>
        </is>
      </c>
    </row>
    <row r="10">
      <c r="A10" s="10" t="inlineStr">
        <is>
          <t>Year 8</t>
        </is>
      </c>
      <c r="B10" s="10" t="inlineStr">
        <is>
          <t>8P01</t>
        </is>
      </c>
      <c r="C10" s="70" t="inlineStr">
        <is>
          <t>Energy</t>
        </is>
      </c>
      <c r="D10" s="70" t="inlineStr">
        <is>
          <t>8P01 - Energy</t>
        </is>
      </c>
      <c r="E10" s="9" t="n">
        <v>25</v>
      </c>
      <c r="F10" s="71" t="n">
        <v>46302</v>
      </c>
      <c r="G10" s="72">
        <f>IF(tblAssessments[[#This Row],[Year Index]]=0,"",COUNTA(CHOOSE(tblAssessments[[#This Row],[Year Index]],tblY7[Preferred Last name],tblY8[Preferred Last name],tblY9[Preferred Last name],tblY10[Preferred Last name],tblY11[Preferred Last name])))</f>
        <v>93</v>
      </c>
      <c r="H10" s="72">
        <f>IF(tblAssessments[[#This Row],[Raw Col]]=0,"",COUNT(INDEX(CHOOSE(tblAssessments[[#This Row],[Year Index]],tblY7[#Data],tblY8[#Data],tblY9[#Data],tblY10[#Data],tblY11[#Data]),0,tblAssessments[[#This Row],[Raw Col]])))</f>
        <v>89</v>
      </c>
      <c r="I10" s="72">
        <f>IF(tblAssessments[[#This Row],[Raw Col]]=0,"",COUNTIF(INDEX(CHOOSE(tblAssessments[[#This Row],[Year Index]],tblY7[#Data],tblY8[#Data],tblY9[#Data],tblY10[#Data],tblY11[#Data]),0,tblAssessments[[#This Row],[Raw Col]]),"A"))</f>
        <v>4</v>
      </c>
      <c r="J10" s="72">
        <f>IF(tblAssessments[[#This Row],[Raw Col]]=0,"",tblAssessments[[#This Row],[Students]]-tblAssessments[[#This Row],[Sat]]-tblAssessments[[#This Row],[Absent]])</f>
        <v>0</v>
      </c>
      <c r="K10" s="73">
        <f>IF(OR(tblAssessments[[#This Row],[Raw Col]]=0,N(tblAssessments[[#This Row],[Students]])=0),"",(tblAssessments[[#This Row],[Sat]]+tblAssessments[[#This Row],[Absent]])/tblAssessments[[#This Row],[Students]])</f>
        <v>1</v>
      </c>
      <c r="L10" s="74">
        <f>IF(N(tblAssessments[[#This Row],[Sat]])=0,"",AVERAGE(INDEX(CHOOSE(tblAssessments[[#This Row],[Year Index]],tblY7[#Data],tblY8[#Data],tblY9[#Data],tblY10[#Data],tblY11[#Data]),0,tblAssessments[[#This Row],[Raw Col]])))</f>
        <v>10.4269662921348</v>
      </c>
      <c r="M10" s="73">
        <f>IF(OR(tblAssessments[[#This Row],[Year Mean]]="",N(tblAssessments[[#This Row],[Max Marks]])=0),"",tblAssessments[[#This Row],[Year Mean]]/tblAssessments[[#This Row],[Max Marks]])</f>
        <v>0.417078651685393</v>
      </c>
      <c r="N10" s="74">
        <f>IF(N(tblAssessments[[#This Row],[Sat]])=0,"",_xlfn.STDEV.P(INDEX(CHOOSE(tblAssessments[[#This Row],[Year Index]],tblY7[#Data],tblY8[#Data],tblY9[#Data],tblY10[#Data],tblY11[#Data]),0,tblAssessments[[#This Row],[Raw Col]])))</f>
        <v>5.22932019224498</v>
      </c>
      <c r="O10"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0" s="72">
        <f>IFERROR(MATCH(tblAssessments[[#This Row],[Year Group]],YearNames,0),0)</f>
        <v>2</v>
      </c>
      <c r="Q10" s="72">
        <f>IF(tblAssessments[[#This Row],[Year Index]]=0,0,IFERROR(MATCH(tblAssessments[[#This Row],[Test Name]]&amp;CHAR(10)&amp;"Raw Score",CHOOSE(tblAssessments[[#This Row],[Year Index]],tblY7[#Headers],tblY8[#Headers],tblY9[#Headers],tblY10[#Headers],tblY11[#Headers]),0),0))</f>
        <v>16</v>
      </c>
      <c r="R10" s="72" t="str">
        <f>tblAssessments[[#This Row],[Year Group]]&amp;"|"&amp;COUNTIF(INDEX(tblAssessments[Year Group],1):tblAssessments[[#This Row],[Year Group]],tblAssessments[[#This Row],[Year Group]])</f>
        <v>Year 8|2</v>
      </c>
      <c r="S10" s="72" t="str">
        <f>tblAssessments[[#This Row],[Year Group]]&amp;"|"&amp;tblAssessments[[#This Row],[Test Name]]</f>
        <v>Year 8|8P01 - Energy</v>
      </c>
      <c r="T10"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10" s="76" t="n">
        <v>0.25</v>
      </c>
      <c r="W10" s="16" t="n">
        <v>6</v>
      </c>
      <c r="X10" s="70" t="inlineStr">
        <is>
          <t>Slightly above average</t>
        </is>
      </c>
    </row>
    <row r="11">
      <c r="A11" s="10" t="inlineStr">
        <is>
          <t>Year 8</t>
        </is>
      </c>
      <c r="B11" s="10" t="inlineStr">
        <is>
          <t>8B01</t>
        </is>
      </c>
      <c r="C11" s="70" t="inlineStr">
        <is>
          <t>Digestion</t>
        </is>
      </c>
      <c r="D11" s="70" t="inlineStr">
        <is>
          <t>8B01 - Digestion</t>
        </is>
      </c>
      <c r="E11" s="9" t="n">
        <v>30</v>
      </c>
      <c r="F11" s="71" t="n">
        <v>46316</v>
      </c>
      <c r="G11" s="72">
        <f>IF(tblAssessments[[#This Row],[Year Index]]=0,"",COUNTA(CHOOSE(tblAssessments[[#This Row],[Year Index]],tblY7[Preferred Last name],tblY8[Preferred Last name],tblY9[Preferred Last name],tblY10[Preferred Last name],tblY11[Preferred Last name])))</f>
        <v>93</v>
      </c>
      <c r="H11" s="72">
        <f>IF(tblAssessments[[#This Row],[Raw Col]]=0,"",COUNT(INDEX(CHOOSE(tblAssessments[[#This Row],[Year Index]],tblY7[#Data],tblY8[#Data],tblY9[#Data],tblY10[#Data],tblY11[#Data]),0,tblAssessments[[#This Row],[Raw Col]])))</f>
        <v>92</v>
      </c>
      <c r="I11" s="72">
        <f>IF(tblAssessments[[#This Row],[Raw Col]]=0,"",COUNTIF(INDEX(CHOOSE(tblAssessments[[#This Row],[Year Index]],tblY7[#Data],tblY8[#Data],tblY9[#Data],tblY10[#Data],tblY11[#Data]),0,tblAssessments[[#This Row],[Raw Col]]),"A"))</f>
        <v>1</v>
      </c>
      <c r="J11" s="72">
        <f>IF(tblAssessments[[#This Row],[Raw Col]]=0,"",tblAssessments[[#This Row],[Students]]-tblAssessments[[#This Row],[Sat]]-tblAssessments[[#This Row],[Absent]])</f>
        <v>0</v>
      </c>
      <c r="K11" s="73">
        <f>IF(OR(tblAssessments[[#This Row],[Raw Col]]=0,N(tblAssessments[[#This Row],[Students]])=0),"",(tblAssessments[[#This Row],[Sat]]+tblAssessments[[#This Row],[Absent]])/tblAssessments[[#This Row],[Students]])</f>
        <v>1</v>
      </c>
      <c r="L11" s="74">
        <f>IF(N(tblAssessments[[#This Row],[Sat]])=0,"",AVERAGE(INDEX(CHOOSE(tblAssessments[[#This Row],[Year Index]],tblY7[#Data],tblY8[#Data],tblY9[#Data],tblY10[#Data],tblY11[#Data]),0,tblAssessments[[#This Row],[Raw Col]])))</f>
        <v>13.8804347826087</v>
      </c>
      <c r="M11" s="73">
        <f>IF(OR(tblAssessments[[#This Row],[Year Mean]]="",N(tblAssessments[[#This Row],[Max Marks]])=0),"",tblAssessments[[#This Row],[Year Mean]]/tblAssessments[[#This Row],[Max Marks]])</f>
        <v>0.46268115942029</v>
      </c>
      <c r="N11" s="74">
        <f>IF(N(tblAssessments[[#This Row],[Sat]])=0,"",_xlfn.STDEV.P(INDEX(CHOOSE(tblAssessments[[#This Row],[Year Index]],tblY7[#Data],tblY8[#Data],tblY9[#Data],tblY10[#Data],tblY11[#Data]),0,tblAssessments[[#This Row],[Raw Col]])))</f>
        <v>6.28808810250597</v>
      </c>
      <c r="O11"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1" s="72">
        <f>IFERROR(MATCH(tblAssessments[[#This Row],[Year Group]],YearNames,0),0)</f>
        <v>2</v>
      </c>
      <c r="Q11" s="72">
        <f>IF(tblAssessments[[#This Row],[Year Index]]=0,0,IFERROR(MATCH(tblAssessments[[#This Row],[Test Name]]&amp;CHAR(10)&amp;"Raw Score",CHOOSE(tblAssessments[[#This Row],[Year Index]],tblY7[#Headers],tblY8[#Headers],tblY9[#Headers],tblY10[#Headers],tblY11[#Headers]),0),0))</f>
        <v>18</v>
      </c>
      <c r="R11" s="72" t="str">
        <f>tblAssessments[[#This Row],[Year Group]]&amp;"|"&amp;COUNTIF(INDEX(tblAssessments[Year Group],1):tblAssessments[[#This Row],[Year Group]],tblAssessments[[#This Row],[Year Group]])</f>
        <v>Year 8|3</v>
      </c>
      <c r="S11" s="72" t="str">
        <f>tblAssessments[[#This Row],[Year Group]]&amp;"|"&amp;tblAssessments[[#This Row],[Test Name]]</f>
        <v>Year 8|8B01 - Digestion</v>
      </c>
      <c r="T11"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11" s="76" t="n">
        <v>0.75</v>
      </c>
      <c r="W11" s="16" t="n">
        <v>7</v>
      </c>
      <c r="X11" s="70" t="inlineStr">
        <is>
          <t>Above average</t>
        </is>
      </c>
    </row>
    <row r="12">
      <c r="A12" s="10" t="inlineStr">
        <is>
          <t>Year 8</t>
        </is>
      </c>
      <c r="B12" s="10" t="inlineStr">
        <is>
          <t>8C02</t>
        </is>
      </c>
      <c r="C12" s="70" t="inlineStr">
        <is>
          <t>Metals and Acids</t>
        </is>
      </c>
      <c r="D12" s="70" t="inlineStr">
        <is>
          <t>8C02 - Metals and Acids</t>
        </is>
      </c>
      <c r="E12" s="9" t="n">
        <v>26</v>
      </c>
      <c r="F12" s="71" t="n">
        <v>46330</v>
      </c>
      <c r="G12" s="72">
        <f>IF(tblAssessments[[#This Row],[Year Index]]=0,"",COUNTA(CHOOSE(tblAssessments[[#This Row],[Year Index]],tblY7[Preferred Last name],tblY8[Preferred Last name],tblY9[Preferred Last name],tblY10[Preferred Last name],tblY11[Preferred Last name])))</f>
        <v>93</v>
      </c>
      <c r="H12" s="72">
        <f>IF(tblAssessments[[#This Row],[Raw Col]]=0,"",COUNT(INDEX(CHOOSE(tblAssessments[[#This Row],[Year Index]],tblY7[#Data],tblY8[#Data],tblY9[#Data],tblY10[#Data],tblY11[#Data]),0,tblAssessments[[#This Row],[Raw Col]])))</f>
        <v>91</v>
      </c>
      <c r="I12" s="72">
        <f>IF(tblAssessments[[#This Row],[Raw Col]]=0,"",COUNTIF(INDEX(CHOOSE(tblAssessments[[#This Row],[Year Index]],tblY7[#Data],tblY8[#Data],tblY9[#Data],tblY10[#Data],tblY11[#Data]),0,tblAssessments[[#This Row],[Raw Col]]),"A"))</f>
        <v>2</v>
      </c>
      <c r="J12" s="72">
        <f>IF(tblAssessments[[#This Row],[Raw Col]]=0,"",tblAssessments[[#This Row],[Students]]-tblAssessments[[#This Row],[Sat]]-tblAssessments[[#This Row],[Absent]])</f>
        <v>0</v>
      </c>
      <c r="K12" s="73">
        <f>IF(OR(tblAssessments[[#This Row],[Raw Col]]=0,N(tblAssessments[[#This Row],[Students]])=0),"",(tblAssessments[[#This Row],[Sat]]+tblAssessments[[#This Row],[Absent]])/tblAssessments[[#This Row],[Students]])</f>
        <v>1</v>
      </c>
      <c r="L12" s="74">
        <f>IF(N(tblAssessments[[#This Row],[Sat]])=0,"",AVERAGE(INDEX(CHOOSE(tblAssessments[[#This Row],[Year Index]],tblY7[#Data],tblY8[#Data],tblY9[#Data],tblY10[#Data],tblY11[#Data]),0,tblAssessments[[#This Row],[Raw Col]])))</f>
        <v>11.4285714285714</v>
      </c>
      <c r="M12" s="73">
        <f>IF(OR(tblAssessments[[#This Row],[Year Mean]]="",N(tblAssessments[[#This Row],[Max Marks]])=0),"",tblAssessments[[#This Row],[Year Mean]]/tblAssessments[[#This Row],[Max Marks]])</f>
        <v>0.43956043956044</v>
      </c>
      <c r="N12" s="74">
        <f>IF(N(tblAssessments[[#This Row],[Sat]])=0,"",_xlfn.STDEV.P(INDEX(CHOOSE(tblAssessments[[#This Row],[Year Index]],tblY7[#Data],tblY8[#Data],tblY9[#Data],tblY10[#Data],tblY11[#Data]),0,tblAssessments[[#This Row],[Raw Col]])))</f>
        <v>5.33934773384539</v>
      </c>
      <c r="O12"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2" s="72">
        <f>IFERROR(MATCH(tblAssessments[[#This Row],[Year Group]],YearNames,0),0)</f>
        <v>2</v>
      </c>
      <c r="Q12" s="72">
        <f>IF(tblAssessments[[#This Row],[Year Index]]=0,0,IFERROR(MATCH(tblAssessments[[#This Row],[Test Name]]&amp;CHAR(10)&amp;"Raw Score",CHOOSE(tblAssessments[[#This Row],[Year Index]],tblY7[#Headers],tblY8[#Headers],tblY9[#Headers],tblY10[#Headers],tblY11[#Headers]),0),0))</f>
        <v>20</v>
      </c>
      <c r="R12" s="72" t="str">
        <f>tblAssessments[[#This Row],[Year Group]]&amp;"|"&amp;COUNTIF(INDEX(tblAssessments[Year Group],1):tblAssessments[[#This Row],[Year Group]],tblAssessments[[#This Row],[Year Group]])</f>
        <v>Year 8|4</v>
      </c>
      <c r="S12" s="72" t="str">
        <f>tblAssessments[[#This Row],[Year Group]]&amp;"|"&amp;tblAssessments[[#This Row],[Test Name]]</f>
        <v>Year 8|8C02 - Metals and Acids</v>
      </c>
      <c r="T12"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12" s="76" t="n">
        <v>1.25</v>
      </c>
      <c r="W12" s="16" t="n">
        <v>8</v>
      </c>
      <c r="X12" s="70" t="inlineStr">
        <is>
          <t>High</t>
        </is>
      </c>
    </row>
    <row r="13">
      <c r="A13" s="10" t="inlineStr">
        <is>
          <t>Year 8</t>
        </is>
      </c>
      <c r="B13" s="10" t="inlineStr">
        <is>
          <t>8P02</t>
        </is>
      </c>
      <c r="C13" s="70" t="inlineStr">
        <is>
          <t>Light</t>
        </is>
      </c>
      <c r="D13" s="70" t="inlineStr">
        <is>
          <t>8P02 - Light</t>
        </is>
      </c>
      <c r="E13" s="9" t="n">
        <v>24</v>
      </c>
      <c r="F13" s="71" t="n">
        <v>46344</v>
      </c>
      <c r="G13" s="72">
        <f>IF(tblAssessments[[#This Row],[Year Index]]=0,"",COUNTA(CHOOSE(tblAssessments[[#This Row],[Year Index]],tblY7[Preferred Last name],tblY8[Preferred Last name],tblY9[Preferred Last name],tblY10[Preferred Last name],tblY11[Preferred Last name])))</f>
        <v>93</v>
      </c>
      <c r="H13" s="72">
        <f>IF(tblAssessments[[#This Row],[Raw Col]]=0,"",COUNT(INDEX(CHOOSE(tblAssessments[[#This Row],[Year Index]],tblY7[#Data],tblY8[#Data],tblY9[#Data],tblY10[#Data],tblY11[#Data]),0,tblAssessments[[#This Row],[Raw Col]])))</f>
        <v>71</v>
      </c>
      <c r="I13" s="72">
        <f>IF(tblAssessments[[#This Row],[Raw Col]]=0,"",COUNTIF(INDEX(CHOOSE(tblAssessments[[#This Row],[Year Index]],tblY7[#Data],tblY8[#Data],tblY9[#Data],tblY10[#Data],tblY11[#Data]),0,tblAssessments[[#This Row],[Raw Col]]),"A"))</f>
        <v>4</v>
      </c>
      <c r="J13" s="72">
        <f>IF(tblAssessments[[#This Row],[Raw Col]]=0,"",tblAssessments[[#This Row],[Students]]-tblAssessments[[#This Row],[Sat]]-tblAssessments[[#This Row],[Absent]])</f>
        <v>18</v>
      </c>
      <c r="K13" s="73">
        <f>IF(OR(tblAssessments[[#This Row],[Raw Col]]=0,N(tblAssessments[[#This Row],[Students]])=0),"",(tblAssessments[[#This Row],[Sat]]+tblAssessments[[#This Row],[Absent]])/tblAssessments[[#This Row],[Students]])</f>
        <v>0.806451612903226</v>
      </c>
      <c r="L13" s="74">
        <f>IF(N(tblAssessments[[#This Row],[Sat]])=0,"",AVERAGE(INDEX(CHOOSE(tblAssessments[[#This Row],[Year Index]],tblY7[#Data],tblY8[#Data],tblY9[#Data],tblY10[#Data],tblY11[#Data]),0,tblAssessments[[#This Row],[Raw Col]])))</f>
        <v>15.5774647887324</v>
      </c>
      <c r="M13" s="73">
        <f>IF(OR(tblAssessments[[#This Row],[Year Mean]]="",N(tblAssessments[[#This Row],[Max Marks]])=0),"",tblAssessments[[#This Row],[Year Mean]]/tblAssessments[[#This Row],[Max Marks]])</f>
        <v>0.64906103286385</v>
      </c>
      <c r="N13" s="74">
        <f>IF(N(tblAssessments[[#This Row],[Sat]])=0,"",_xlfn.STDEV.P(INDEX(CHOOSE(tblAssessments[[#This Row],[Year Index]],tblY7[#Data],tblY8[#Data],tblY9[#Data],tblY10[#Data],tblY11[#Data]),0,tblAssessments[[#This Row],[Raw Col]])))</f>
        <v>4.21486962634315</v>
      </c>
      <c r="O13"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3" s="72">
        <f>IFERROR(MATCH(tblAssessments[[#This Row],[Year Group]],YearNames,0),0)</f>
        <v>2</v>
      </c>
      <c r="Q13" s="72">
        <f>IF(tblAssessments[[#This Row],[Year Index]]=0,0,IFERROR(MATCH(tblAssessments[[#This Row],[Test Name]]&amp;CHAR(10)&amp;"Raw Score",CHOOSE(tblAssessments[[#This Row],[Year Index]],tblY7[#Headers],tblY8[#Headers],tblY9[#Headers],tblY10[#Headers],tblY11[#Headers]),0),0))</f>
        <v>22</v>
      </c>
      <c r="R13" s="72" t="str">
        <f>tblAssessments[[#This Row],[Year Group]]&amp;"|"&amp;COUNTIF(INDEX(tblAssessments[Year Group],1):tblAssessments[[#This Row],[Year Group]],tblAssessments[[#This Row],[Year Group]])</f>
        <v>Year 8|5</v>
      </c>
      <c r="S13" s="72" t="str">
        <f>tblAssessments[[#This Row],[Year Group]]&amp;"|"&amp;tblAssessments[[#This Row],[Test Name]]</f>
        <v>Year 8|8P02 - Light</v>
      </c>
      <c r="T13"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13" s="76" t="n">
        <v>1.75</v>
      </c>
      <c r="W13" s="16" t="n">
        <v>9</v>
      </c>
      <c r="X13" s="70" t="inlineStr">
        <is>
          <t>Very high</t>
        </is>
      </c>
    </row>
    <row r="14">
      <c r="A14" s="10" t="inlineStr">
        <is>
          <t>Year 9</t>
        </is>
      </c>
      <c r="B14" s="10" t="inlineStr">
        <is>
          <t>9B01</t>
        </is>
      </c>
      <c r="C14" s="70" t="inlineStr">
        <is>
          <t>Genetics</t>
        </is>
      </c>
      <c r="D14" s="70" t="inlineStr">
        <is>
          <t>9B01 - Genetics</t>
        </is>
      </c>
      <c r="E14" s="9" t="n">
        <v>30</v>
      </c>
      <c r="F14" s="71" t="n">
        <v>46289</v>
      </c>
      <c r="G14" s="72">
        <f>IF(tblAssessments[[#This Row],[Year Index]]=0,"",COUNTA(CHOOSE(tblAssessments[[#This Row],[Year Index]],tblY7[Preferred Last name],tblY8[Preferred Last name],tblY9[Preferred Last name],tblY10[Preferred Last name],tblY11[Preferred Last name])))</f>
        <v>125</v>
      </c>
      <c r="H14" s="72">
        <f>IF(tblAssessments[[#This Row],[Raw Col]]=0,"",COUNT(INDEX(CHOOSE(tblAssessments[[#This Row],[Year Index]],tblY7[#Data],tblY8[#Data],tblY9[#Data],tblY10[#Data],tblY11[#Data]),0,tblAssessments[[#This Row],[Raw Col]])))</f>
        <v>120</v>
      </c>
      <c r="I14" s="72">
        <f>IF(tblAssessments[[#This Row],[Raw Col]]=0,"",COUNTIF(INDEX(CHOOSE(tblAssessments[[#This Row],[Year Index]],tblY7[#Data],tblY8[#Data],tblY9[#Data],tblY10[#Data],tblY11[#Data]),0,tblAssessments[[#This Row],[Raw Col]]),"A"))</f>
        <v>5</v>
      </c>
      <c r="J14" s="72">
        <f>IF(tblAssessments[[#This Row],[Raw Col]]=0,"",tblAssessments[[#This Row],[Students]]-tblAssessments[[#This Row],[Sat]]-tblAssessments[[#This Row],[Absent]])</f>
        <v>0</v>
      </c>
      <c r="K14" s="73">
        <f>IF(OR(tblAssessments[[#This Row],[Raw Col]]=0,N(tblAssessments[[#This Row],[Students]])=0),"",(tblAssessments[[#This Row],[Sat]]+tblAssessments[[#This Row],[Absent]])/tblAssessments[[#This Row],[Students]])</f>
        <v>1</v>
      </c>
      <c r="L14" s="74">
        <f>IF(N(tblAssessments[[#This Row],[Sat]])=0,"",AVERAGE(INDEX(CHOOSE(tblAssessments[[#This Row],[Year Index]],tblY7[#Data],tblY8[#Data],tblY9[#Data],tblY10[#Data],tblY11[#Data]),0,tblAssessments[[#This Row],[Raw Col]])))</f>
        <v>20.25</v>
      </c>
      <c r="M14" s="73">
        <f>IF(OR(tblAssessments[[#This Row],[Year Mean]]="",N(tblAssessments[[#This Row],[Max Marks]])=0),"",tblAssessments[[#This Row],[Year Mean]]/tblAssessments[[#This Row],[Max Marks]])</f>
        <v>0.675</v>
      </c>
      <c r="N14" s="74">
        <f>IF(N(tblAssessments[[#This Row],[Sat]])=0,"",_xlfn.STDEV.P(INDEX(CHOOSE(tblAssessments[[#This Row],[Year Index]],tblY7[#Data],tblY8[#Data],tblY9[#Data],tblY10[#Data],tblY11[#Data]),0,tblAssessments[[#This Row],[Raw Col]])))</f>
        <v>5.73185542967255</v>
      </c>
      <c r="O14"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4" s="72">
        <f>IFERROR(MATCH(tblAssessments[[#This Row],[Year Group]],YearNames,0),0)</f>
        <v>3</v>
      </c>
      <c r="Q14" s="72">
        <f>IF(tblAssessments[[#This Row],[Year Index]]=0,0,IFERROR(MATCH(tblAssessments[[#This Row],[Test Name]]&amp;CHAR(10)&amp;"Raw Score",CHOOSE(tblAssessments[[#This Row],[Year Index]],tblY7[#Headers],tblY8[#Headers],tblY9[#Headers],tblY10[#Headers],tblY11[#Headers]),0),0))</f>
        <v>14</v>
      </c>
      <c r="R14" s="72" t="str">
        <f>tblAssessments[[#This Row],[Year Group]]&amp;"|"&amp;COUNTIF(INDEX(tblAssessments[Year Group],1):tblAssessments[[#This Row],[Year Group]],tblAssessments[[#This Row],[Year Group]])</f>
        <v>Year 9|1</v>
      </c>
      <c r="S14" s="72" t="str">
        <f>tblAssessments[[#This Row],[Year Group]]&amp;"|"&amp;tblAssessments[[#This Row],[Test Name]]</f>
        <v>Year 9|9B01 - Genetics</v>
      </c>
      <c r="T14"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15">
      <c r="A15" s="10" t="inlineStr">
        <is>
          <t>Year 9</t>
        </is>
      </c>
      <c r="B15" s="10" t="inlineStr">
        <is>
          <t>9C01</t>
        </is>
      </c>
      <c r="C15" s="70" t="inlineStr">
        <is>
          <t>Chemical Reactions</t>
        </is>
      </c>
      <c r="D15" s="70" t="inlineStr">
        <is>
          <t>9C01 - Chemical Reactions</t>
        </is>
      </c>
      <c r="E15" s="9" t="n">
        <v>32</v>
      </c>
      <c r="F15" s="71" t="n">
        <v>46303</v>
      </c>
      <c r="G15" s="72">
        <f>IF(tblAssessments[[#This Row],[Year Index]]=0,"",COUNTA(CHOOSE(tblAssessments[[#This Row],[Year Index]],tblY7[Preferred Last name],tblY8[Preferred Last name],tblY9[Preferred Last name],tblY10[Preferred Last name],tblY11[Preferred Last name])))</f>
        <v>125</v>
      </c>
      <c r="H15" s="72">
        <f>IF(tblAssessments[[#This Row],[Raw Col]]=0,"",COUNT(INDEX(CHOOSE(tblAssessments[[#This Row],[Year Index]],tblY7[#Data],tblY8[#Data],tblY9[#Data],tblY10[#Data],tblY11[#Data]),0,tblAssessments[[#This Row],[Raw Col]])))</f>
        <v>122</v>
      </c>
      <c r="I15" s="72">
        <f>IF(tblAssessments[[#This Row],[Raw Col]]=0,"",COUNTIF(INDEX(CHOOSE(tblAssessments[[#This Row],[Year Index]],tblY7[#Data],tblY8[#Data],tblY9[#Data],tblY10[#Data],tblY11[#Data]),0,tblAssessments[[#This Row],[Raw Col]]),"A"))</f>
        <v>3</v>
      </c>
      <c r="J15" s="72">
        <f>IF(tblAssessments[[#This Row],[Raw Col]]=0,"",tblAssessments[[#This Row],[Students]]-tblAssessments[[#This Row],[Sat]]-tblAssessments[[#This Row],[Absent]])</f>
        <v>0</v>
      </c>
      <c r="K15" s="73">
        <f>IF(OR(tblAssessments[[#This Row],[Raw Col]]=0,N(tblAssessments[[#This Row],[Students]])=0),"",(tblAssessments[[#This Row],[Sat]]+tblAssessments[[#This Row],[Absent]])/tblAssessments[[#This Row],[Students]])</f>
        <v>1</v>
      </c>
      <c r="L15" s="74">
        <f>IF(N(tblAssessments[[#This Row],[Sat]])=0,"",AVERAGE(INDEX(CHOOSE(tblAssessments[[#This Row],[Year Index]],tblY7[#Data],tblY8[#Data],tblY9[#Data],tblY10[#Data],tblY11[#Data]),0,tblAssessments[[#This Row],[Raw Col]])))</f>
        <v>21.3524590163934</v>
      </c>
      <c r="M15" s="73">
        <f>IF(OR(tblAssessments[[#This Row],[Year Mean]]="",N(tblAssessments[[#This Row],[Max Marks]])=0),"",tblAssessments[[#This Row],[Year Mean]]/tblAssessments[[#This Row],[Max Marks]])</f>
        <v>0.667264344262295</v>
      </c>
      <c r="N15" s="74">
        <f>IF(N(tblAssessments[[#This Row],[Sat]])=0,"",_xlfn.STDEV.P(INDEX(CHOOSE(tblAssessments[[#This Row],[Year Index]],tblY7[#Data],tblY8[#Data],tblY9[#Data],tblY10[#Data],tblY11[#Data]),0,tblAssessments[[#This Row],[Raw Col]])))</f>
        <v>6.02307330073487</v>
      </c>
      <c r="O1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5" s="72">
        <f>IFERROR(MATCH(tblAssessments[[#This Row],[Year Group]],YearNames,0),0)</f>
        <v>3</v>
      </c>
      <c r="Q15" s="72">
        <f>IF(tblAssessments[[#This Row],[Year Index]]=0,0,IFERROR(MATCH(tblAssessments[[#This Row],[Test Name]]&amp;CHAR(10)&amp;"Raw Score",CHOOSE(tblAssessments[[#This Row],[Year Index]],tblY7[#Headers],tblY8[#Headers],tblY9[#Headers],tblY10[#Headers],tblY11[#Headers]),0),0))</f>
        <v>16</v>
      </c>
      <c r="R15" s="72" t="str">
        <f>tblAssessments[[#This Row],[Year Group]]&amp;"|"&amp;COUNTIF(INDEX(tblAssessments[Year Group],1):tblAssessments[[#This Row],[Year Group]],tblAssessments[[#This Row],[Year Group]])</f>
        <v>Year 9|2</v>
      </c>
      <c r="S15" s="72" t="str">
        <f>tblAssessments[[#This Row],[Year Group]]&amp;"|"&amp;tblAssessments[[#This Row],[Test Name]]</f>
        <v>Year 9|9C01 - Chemical Reactions</v>
      </c>
      <c r="T15"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c r="V15" s="37" t="inlineStr">
        <is>
          <t>How a stanine is worked out: the score is turned into a z-score, (score - year-group mean) / year-group standard deviation, for that test, then placed in one of nine bands, each half a standard deviation wide. 5 is average; about 4% of students get a 1 and 4% get a 9.</t>
        </is>
      </c>
    </row>
    <row r="16">
      <c r="A16" s="10" t="inlineStr">
        <is>
          <t>Year 9</t>
        </is>
      </c>
      <c r="B16" s="10" t="inlineStr">
        <is>
          <t>9P01</t>
        </is>
      </c>
      <c r="C16" s="70" t="inlineStr">
        <is>
          <t>Electricity</t>
        </is>
      </c>
      <c r="D16" s="70" t="inlineStr">
        <is>
          <t>9P01 - Electricity</t>
        </is>
      </c>
      <c r="E16" s="9" t="n">
        <v>30</v>
      </c>
      <c r="F16" s="71" t="n">
        <v>46317</v>
      </c>
      <c r="G16" s="72">
        <f>IF(tblAssessments[[#This Row],[Year Index]]=0,"",COUNTA(CHOOSE(tblAssessments[[#This Row],[Year Index]],tblY7[Preferred Last name],tblY8[Preferred Last name],tblY9[Preferred Last name],tblY10[Preferred Last name],tblY11[Preferred Last name])))</f>
        <v>125</v>
      </c>
      <c r="H16" s="72">
        <f>IF(tblAssessments[[#This Row],[Raw Col]]=0,"",COUNT(INDEX(CHOOSE(tblAssessments[[#This Row],[Year Index]],tblY7[#Data],tblY8[#Data],tblY9[#Data],tblY10[#Data],tblY11[#Data]),0,tblAssessments[[#This Row],[Raw Col]])))</f>
        <v>121</v>
      </c>
      <c r="I16" s="72">
        <f>IF(tblAssessments[[#This Row],[Raw Col]]=0,"",COUNTIF(INDEX(CHOOSE(tblAssessments[[#This Row],[Year Index]],tblY7[#Data],tblY8[#Data],tblY9[#Data],tblY10[#Data],tblY11[#Data]),0,tblAssessments[[#This Row],[Raw Col]]),"A"))</f>
        <v>4</v>
      </c>
      <c r="J16" s="72">
        <f>IF(tblAssessments[[#This Row],[Raw Col]]=0,"",tblAssessments[[#This Row],[Students]]-tblAssessments[[#This Row],[Sat]]-tblAssessments[[#This Row],[Absent]])</f>
        <v>0</v>
      </c>
      <c r="K16" s="73">
        <f>IF(OR(tblAssessments[[#This Row],[Raw Col]]=0,N(tblAssessments[[#This Row],[Students]])=0),"",(tblAssessments[[#This Row],[Sat]]+tblAssessments[[#This Row],[Absent]])/tblAssessments[[#This Row],[Students]])</f>
        <v>1</v>
      </c>
      <c r="L16" s="74">
        <f>IF(N(tblAssessments[[#This Row],[Sat]])=0,"",AVERAGE(INDEX(CHOOSE(tblAssessments[[#This Row],[Year Index]],tblY7[#Data],tblY8[#Data],tblY9[#Data],tblY10[#Data],tblY11[#Data]),0,tblAssessments[[#This Row],[Raw Col]])))</f>
        <v>20.4545454545455</v>
      </c>
      <c r="M16" s="73">
        <f>IF(OR(tblAssessments[[#This Row],[Year Mean]]="",N(tblAssessments[[#This Row],[Max Marks]])=0),"",tblAssessments[[#This Row],[Year Mean]]/tblAssessments[[#This Row],[Max Marks]])</f>
        <v>0.681818181818182</v>
      </c>
      <c r="N16" s="74">
        <f>IF(N(tblAssessments[[#This Row],[Sat]])=0,"",_xlfn.STDEV.P(INDEX(CHOOSE(tblAssessments[[#This Row],[Year Index]],tblY7[#Data],tblY8[#Data],tblY9[#Data],tblY10[#Data],tblY11[#Data]),0,tblAssessments[[#This Row],[Raw Col]])))</f>
        <v>5.04197259049529</v>
      </c>
      <c r="O1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6" s="72">
        <f>IFERROR(MATCH(tblAssessments[[#This Row],[Year Group]],YearNames,0),0)</f>
        <v>3</v>
      </c>
      <c r="Q16" s="72">
        <f>IF(tblAssessments[[#This Row],[Year Index]]=0,0,IFERROR(MATCH(tblAssessments[[#This Row],[Test Name]]&amp;CHAR(10)&amp;"Raw Score",CHOOSE(tblAssessments[[#This Row],[Year Index]],tblY7[#Headers],tblY8[#Headers],tblY9[#Headers],tblY10[#Headers],tblY11[#Headers]),0),0))</f>
        <v>18</v>
      </c>
      <c r="R16" s="72" t="str">
        <f>tblAssessments[[#This Row],[Year Group]]&amp;"|"&amp;COUNTIF(INDEX(tblAssessments[Year Group],1):tblAssessments[[#This Row],[Year Group]],tblAssessments[[#This Row],[Year Group]])</f>
        <v>Year 9|3</v>
      </c>
      <c r="S16" s="72" t="str">
        <f>tblAssessments[[#This Row],[Year Group]]&amp;"|"&amp;tblAssessments[[#This Row],[Test Name]]</f>
        <v>Year 9|9P01 - Electricity</v>
      </c>
      <c r="T16"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17">
      <c r="A17" s="10" t="inlineStr">
        <is>
          <t>Year 9</t>
        </is>
      </c>
      <c r="B17" s="10" t="inlineStr">
        <is>
          <t>9B02</t>
        </is>
      </c>
      <c r="C17" s="70" t="inlineStr">
        <is>
          <t>Ecology</t>
        </is>
      </c>
      <c r="D17" s="70" t="inlineStr">
        <is>
          <t>9B02 - Ecology</t>
        </is>
      </c>
      <c r="E17" s="9" t="n">
        <v>25</v>
      </c>
      <c r="F17" s="71" t="n">
        <v>46331</v>
      </c>
      <c r="G17" s="72">
        <f>IF(tblAssessments[[#This Row],[Year Index]]=0,"",COUNTA(CHOOSE(tblAssessments[[#This Row],[Year Index]],tblY7[Preferred Last name],tblY8[Preferred Last name],tblY9[Preferred Last name],tblY10[Preferred Last name],tblY11[Preferred Last name])))</f>
        <v>125</v>
      </c>
      <c r="H17" s="72">
        <f>IF(tblAssessments[[#This Row],[Raw Col]]=0,"",COUNT(INDEX(CHOOSE(tblAssessments[[#This Row],[Year Index]],tblY7[#Data],tblY8[#Data],tblY9[#Data],tblY10[#Data],tblY11[#Data]),0,tblAssessments[[#This Row],[Raw Col]])))</f>
        <v>119</v>
      </c>
      <c r="I17" s="72">
        <f>IF(tblAssessments[[#This Row],[Raw Col]]=0,"",COUNTIF(INDEX(CHOOSE(tblAssessments[[#This Row],[Year Index]],tblY7[#Data],tblY8[#Data],tblY9[#Data],tblY10[#Data],tblY11[#Data]),0,tblAssessments[[#This Row],[Raw Col]]),"A"))</f>
        <v>6</v>
      </c>
      <c r="J17" s="72">
        <f>IF(tblAssessments[[#This Row],[Raw Col]]=0,"",tblAssessments[[#This Row],[Students]]-tblAssessments[[#This Row],[Sat]]-tblAssessments[[#This Row],[Absent]])</f>
        <v>0</v>
      </c>
      <c r="K17" s="73">
        <f>IF(OR(tblAssessments[[#This Row],[Raw Col]]=0,N(tblAssessments[[#This Row],[Students]])=0),"",(tblAssessments[[#This Row],[Sat]]+tblAssessments[[#This Row],[Absent]])/tblAssessments[[#This Row],[Students]])</f>
        <v>1</v>
      </c>
      <c r="L17" s="74">
        <f>IF(N(tblAssessments[[#This Row],[Sat]])=0,"",AVERAGE(INDEX(CHOOSE(tblAssessments[[#This Row],[Year Index]],tblY7[#Data],tblY8[#Data],tblY9[#Data],tblY10[#Data],tblY11[#Data]),0,tblAssessments[[#This Row],[Raw Col]])))</f>
        <v>17.6470588235294</v>
      </c>
      <c r="M17" s="73">
        <f>IF(OR(tblAssessments[[#This Row],[Year Mean]]="",N(tblAssessments[[#This Row],[Max Marks]])=0),"",tblAssessments[[#This Row],[Year Mean]]/tblAssessments[[#This Row],[Max Marks]])</f>
        <v>0.705882352941177</v>
      </c>
      <c r="N17" s="74">
        <f>IF(N(tblAssessments[[#This Row],[Sat]])=0,"",_xlfn.STDEV.P(INDEX(CHOOSE(tblAssessments[[#This Row],[Year Index]],tblY7[#Data],tblY8[#Data],tblY9[#Data],tblY10[#Data],tblY11[#Data]),0,tblAssessments[[#This Row],[Raw Col]])))</f>
        <v>4.4392978385169</v>
      </c>
      <c r="O1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7" s="72">
        <f>IFERROR(MATCH(tblAssessments[[#This Row],[Year Group]],YearNames,0),0)</f>
        <v>3</v>
      </c>
      <c r="Q17" s="72">
        <f>IF(tblAssessments[[#This Row],[Year Index]]=0,0,IFERROR(MATCH(tblAssessments[[#This Row],[Test Name]]&amp;CHAR(10)&amp;"Raw Score",CHOOSE(tblAssessments[[#This Row],[Year Index]],tblY7[#Headers],tblY8[#Headers],tblY9[#Headers],tblY10[#Headers],tblY11[#Headers]),0),0))</f>
        <v>20</v>
      </c>
      <c r="R17" s="72" t="str">
        <f>tblAssessments[[#This Row],[Year Group]]&amp;"|"&amp;COUNTIF(INDEX(tblAssessments[Year Group],1):tblAssessments[[#This Row],[Year Group]],tblAssessments[[#This Row],[Year Group]])</f>
        <v>Year 9|4</v>
      </c>
      <c r="S17" s="72" t="str">
        <f>tblAssessments[[#This Row],[Year Group]]&amp;"|"&amp;tblAssessments[[#This Row],[Test Name]]</f>
        <v>Year 9|9B02 - Ecology</v>
      </c>
      <c r="T17"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18">
      <c r="A18" s="10" t="inlineStr">
        <is>
          <t>Year 10</t>
        </is>
      </c>
      <c r="B18" s="10" t="inlineStr">
        <is>
          <t>4B01</t>
        </is>
      </c>
      <c r="C18" s="70" t="inlineStr">
        <is>
          <t>Cell Biology</t>
        </is>
      </c>
      <c r="D18" s="70" t="inlineStr">
        <is>
          <t>4B01 - Cell Biology</t>
        </is>
      </c>
      <c r="E18" s="9" t="n">
        <v>40</v>
      </c>
      <c r="F18" s="71" t="n">
        <v>46290</v>
      </c>
      <c r="G18" s="72">
        <f>IF(tblAssessments[[#This Row],[Year Index]]=0,"",COUNTA(CHOOSE(tblAssessments[[#This Row],[Year Index]],tblY7[Preferred Last name],tblY8[Preferred Last name],tblY9[Preferred Last name],tblY10[Preferred Last name],tblY11[Preferred Last name])))</f>
        <v>117</v>
      </c>
      <c r="H18" s="72">
        <f>IF(tblAssessments[[#This Row],[Raw Col]]=0,"",COUNT(INDEX(CHOOSE(tblAssessments[[#This Row],[Year Index]],tblY7[#Data],tblY8[#Data],tblY9[#Data],tblY10[#Data],tblY11[#Data]),0,tblAssessments[[#This Row],[Raw Col]])))</f>
        <v>111</v>
      </c>
      <c r="I18" s="72">
        <f>IF(tblAssessments[[#This Row],[Raw Col]]=0,"",COUNTIF(INDEX(CHOOSE(tblAssessments[[#This Row],[Year Index]],tblY7[#Data],tblY8[#Data],tblY9[#Data],tblY10[#Data],tblY11[#Data]),0,tblAssessments[[#This Row],[Raw Col]]),"A"))</f>
        <v>6</v>
      </c>
      <c r="J18" s="72">
        <f>IF(tblAssessments[[#This Row],[Raw Col]]=0,"",tblAssessments[[#This Row],[Students]]-tblAssessments[[#This Row],[Sat]]-tblAssessments[[#This Row],[Absent]])</f>
        <v>0</v>
      </c>
      <c r="K18" s="73">
        <f>IF(OR(tblAssessments[[#This Row],[Raw Col]]=0,N(tblAssessments[[#This Row],[Students]])=0),"",(tblAssessments[[#This Row],[Sat]]+tblAssessments[[#This Row],[Absent]])/tblAssessments[[#This Row],[Students]])</f>
        <v>1</v>
      </c>
      <c r="L18" s="74">
        <f>IF(N(tblAssessments[[#This Row],[Sat]])=0,"",AVERAGE(INDEX(CHOOSE(tblAssessments[[#This Row],[Year Index]],tblY7[#Data],tblY8[#Data],tblY9[#Data],tblY10[#Data],tblY11[#Data]),0,tblAssessments[[#This Row],[Raw Col]])))</f>
        <v>19.7297297297297</v>
      </c>
      <c r="M18" s="73">
        <f>IF(OR(tblAssessments[[#This Row],[Year Mean]]="",N(tblAssessments[[#This Row],[Max Marks]])=0),"",tblAssessments[[#This Row],[Year Mean]]/tblAssessments[[#This Row],[Max Marks]])</f>
        <v>0.493243243243243</v>
      </c>
      <c r="N18" s="74">
        <f>IF(N(tblAssessments[[#This Row],[Sat]])=0,"",_xlfn.STDEV.P(INDEX(CHOOSE(tblAssessments[[#This Row],[Year Index]],tblY7[#Data],tblY8[#Data],tblY9[#Data],tblY10[#Data],tblY11[#Data]),0,tblAssessments[[#This Row],[Raw Col]])))</f>
        <v>9.06726211539604</v>
      </c>
      <c r="O1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8" s="72">
        <f>IFERROR(MATCH(tblAssessments[[#This Row],[Year Group]],YearNames,0),0)</f>
        <v>4</v>
      </c>
      <c r="Q18" s="72">
        <f>IF(tblAssessments[[#This Row],[Year Index]]=0,0,IFERROR(MATCH(tblAssessments[[#This Row],[Test Name]]&amp;CHAR(10)&amp;"Raw Score",CHOOSE(tblAssessments[[#This Row],[Year Index]],tblY7[#Headers],tblY8[#Headers],tblY9[#Headers],tblY10[#Headers],tblY11[#Headers]),0),0))</f>
        <v>14</v>
      </c>
      <c r="R18" s="72" t="str">
        <f>tblAssessments[[#This Row],[Year Group]]&amp;"|"&amp;COUNTIF(INDEX(tblAssessments[Year Group],1):tblAssessments[[#This Row],[Year Group]],tblAssessments[[#This Row],[Year Group]])</f>
        <v>Year 10|1</v>
      </c>
      <c r="S18" s="72" t="str">
        <f>tblAssessments[[#This Row],[Year Group]]&amp;"|"&amp;tblAssessments[[#This Row],[Test Name]]</f>
        <v>Year 10|4B01 - Cell Biology</v>
      </c>
      <c r="T18"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19">
      <c r="A19" s="10" t="inlineStr">
        <is>
          <t>Year 10</t>
        </is>
      </c>
      <c r="B19" s="10" t="inlineStr">
        <is>
          <t>4C01</t>
        </is>
      </c>
      <c r="C19" s="70" t="inlineStr">
        <is>
          <t>Atomic Structure</t>
        </is>
      </c>
      <c r="D19" s="70" t="inlineStr">
        <is>
          <t>4C01 - Atomic Structure</t>
        </is>
      </c>
      <c r="E19" s="9" t="n">
        <v>36</v>
      </c>
      <c r="F19" s="71" t="n">
        <v>46304</v>
      </c>
      <c r="G19" s="72">
        <f>IF(tblAssessments[[#This Row],[Year Index]]=0,"",COUNTA(CHOOSE(tblAssessments[[#This Row],[Year Index]],tblY7[Preferred Last name],tblY8[Preferred Last name],tblY9[Preferred Last name],tblY10[Preferred Last name],tblY11[Preferred Last name])))</f>
        <v>117</v>
      </c>
      <c r="H19" s="72">
        <f>IF(tblAssessments[[#This Row],[Raw Col]]=0,"",COUNT(INDEX(CHOOSE(tblAssessments[[#This Row],[Year Index]],tblY7[#Data],tblY8[#Data],tblY9[#Data],tblY10[#Data],tblY11[#Data]),0,tblAssessments[[#This Row],[Raw Col]])))</f>
        <v>110</v>
      </c>
      <c r="I19" s="72">
        <f>IF(tblAssessments[[#This Row],[Raw Col]]=0,"",COUNTIF(INDEX(CHOOSE(tblAssessments[[#This Row],[Year Index]],tblY7[#Data],tblY8[#Data],tblY9[#Data],tblY10[#Data],tblY11[#Data]),0,tblAssessments[[#This Row],[Raw Col]]),"A"))</f>
        <v>7</v>
      </c>
      <c r="J19" s="72">
        <f>IF(tblAssessments[[#This Row],[Raw Col]]=0,"",tblAssessments[[#This Row],[Students]]-tblAssessments[[#This Row],[Sat]]-tblAssessments[[#This Row],[Absent]])</f>
        <v>0</v>
      </c>
      <c r="K19" s="73">
        <f>IF(OR(tblAssessments[[#This Row],[Raw Col]]=0,N(tblAssessments[[#This Row],[Students]])=0),"",(tblAssessments[[#This Row],[Sat]]+tblAssessments[[#This Row],[Absent]])/tblAssessments[[#This Row],[Students]])</f>
        <v>1</v>
      </c>
      <c r="L19" s="74">
        <f>IF(N(tblAssessments[[#This Row],[Sat]])=0,"",AVERAGE(INDEX(CHOOSE(tblAssessments[[#This Row],[Year Index]],tblY7[#Data],tblY8[#Data],tblY9[#Data],tblY10[#Data],tblY11[#Data]),0,tblAssessments[[#This Row],[Raw Col]])))</f>
        <v>17.5272727272727</v>
      </c>
      <c r="M19" s="73">
        <f>IF(OR(tblAssessments[[#This Row],[Year Mean]]="",N(tblAssessments[[#This Row],[Max Marks]])=0),"",tblAssessments[[#This Row],[Year Mean]]/tblAssessments[[#This Row],[Max Marks]])</f>
        <v>0.486868686868687</v>
      </c>
      <c r="N19" s="74">
        <f>IF(N(tblAssessments[[#This Row],[Sat]])=0,"",_xlfn.STDEV.P(INDEX(CHOOSE(tblAssessments[[#This Row],[Year Index]],tblY7[#Data],tblY8[#Data],tblY9[#Data],tblY10[#Data],tblY11[#Data]),0,tblAssessments[[#This Row],[Raw Col]])))</f>
        <v>8.33144000530421</v>
      </c>
      <c r="O19"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9" s="72">
        <f>IFERROR(MATCH(tblAssessments[[#This Row],[Year Group]],YearNames,0),0)</f>
        <v>4</v>
      </c>
      <c r="Q19" s="72">
        <f>IF(tblAssessments[[#This Row],[Year Index]]=0,0,IFERROR(MATCH(tblAssessments[[#This Row],[Test Name]]&amp;CHAR(10)&amp;"Raw Score",CHOOSE(tblAssessments[[#This Row],[Year Index]],tblY7[#Headers],tblY8[#Headers],tblY9[#Headers],tblY10[#Headers],tblY11[#Headers]),0),0))</f>
        <v>16</v>
      </c>
      <c r="R19" s="72" t="str">
        <f>tblAssessments[[#This Row],[Year Group]]&amp;"|"&amp;COUNTIF(INDEX(tblAssessments[Year Group],1):tblAssessments[[#This Row],[Year Group]],tblAssessments[[#This Row],[Year Group]])</f>
        <v>Year 10|2</v>
      </c>
      <c r="S19" s="72" t="str">
        <f>tblAssessments[[#This Row],[Year Group]]&amp;"|"&amp;tblAssessments[[#This Row],[Test Name]]</f>
        <v>Year 10|4C01 - Atomic Structure</v>
      </c>
      <c r="T19"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0">
      <c r="A20" s="10" t="inlineStr">
        <is>
          <t>Year 10</t>
        </is>
      </c>
      <c r="B20" s="10" t="inlineStr">
        <is>
          <t>4P01</t>
        </is>
      </c>
      <c r="C20" s="70" t="inlineStr">
        <is>
          <t>Energy</t>
        </is>
      </c>
      <c r="D20" s="70" t="inlineStr">
        <is>
          <t>4P01 - Energy</t>
        </is>
      </c>
      <c r="E20" s="9" t="n">
        <v>35</v>
      </c>
      <c r="F20" s="71" t="n">
        <v>46318</v>
      </c>
      <c r="G20" s="72">
        <f>IF(tblAssessments[[#This Row],[Year Index]]=0,"",COUNTA(CHOOSE(tblAssessments[[#This Row],[Year Index]],tblY7[Preferred Last name],tblY8[Preferred Last name],tblY9[Preferred Last name],tblY10[Preferred Last name],tblY11[Preferred Last name])))</f>
        <v>117</v>
      </c>
      <c r="H20" s="72">
        <f>IF(tblAssessments[[#This Row],[Raw Col]]=0,"",COUNT(INDEX(CHOOSE(tblAssessments[[#This Row],[Year Index]],tblY7[#Data],tblY8[#Data],tblY9[#Data],tblY10[#Data],tblY11[#Data]),0,tblAssessments[[#This Row],[Raw Col]])))</f>
        <v>116</v>
      </c>
      <c r="I20" s="72">
        <f>IF(tblAssessments[[#This Row],[Raw Col]]=0,"",COUNTIF(INDEX(CHOOSE(tblAssessments[[#This Row],[Year Index]],tblY7[#Data],tblY8[#Data],tblY9[#Data],tblY10[#Data],tblY11[#Data]),0,tblAssessments[[#This Row],[Raw Col]]),"A"))</f>
        <v>1</v>
      </c>
      <c r="J20" s="72">
        <f>IF(tblAssessments[[#This Row],[Raw Col]]=0,"",tblAssessments[[#This Row],[Students]]-tblAssessments[[#This Row],[Sat]]-tblAssessments[[#This Row],[Absent]])</f>
        <v>0</v>
      </c>
      <c r="K20" s="73">
        <f>IF(OR(tblAssessments[[#This Row],[Raw Col]]=0,N(tblAssessments[[#This Row],[Students]])=0),"",(tblAssessments[[#This Row],[Sat]]+tblAssessments[[#This Row],[Absent]])/tblAssessments[[#This Row],[Students]])</f>
        <v>1</v>
      </c>
      <c r="L20" s="74">
        <f>IF(N(tblAssessments[[#This Row],[Sat]])=0,"",AVERAGE(INDEX(CHOOSE(tblAssessments[[#This Row],[Year Index]],tblY7[#Data],tblY8[#Data],tblY9[#Data],tblY10[#Data],tblY11[#Data]),0,tblAssessments[[#This Row],[Raw Col]])))</f>
        <v>15.2844827586207</v>
      </c>
      <c r="M20" s="73">
        <f>IF(OR(tblAssessments[[#This Row],[Year Mean]]="",N(tblAssessments[[#This Row],[Max Marks]])=0),"",tblAssessments[[#This Row],[Year Mean]]/tblAssessments[[#This Row],[Max Marks]])</f>
        <v>0.436699507389163</v>
      </c>
      <c r="N20" s="74">
        <f>IF(N(tblAssessments[[#This Row],[Sat]])=0,"",_xlfn.STDEV.P(INDEX(CHOOSE(tblAssessments[[#This Row],[Year Index]],tblY7[#Data],tblY8[#Data],tblY9[#Data],tblY10[#Data],tblY11[#Data]),0,tblAssessments[[#This Row],[Raw Col]])))</f>
        <v>7.91311224627305</v>
      </c>
      <c r="O20"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0" s="72">
        <f>IFERROR(MATCH(tblAssessments[[#This Row],[Year Group]],YearNames,0),0)</f>
        <v>4</v>
      </c>
      <c r="Q20" s="72">
        <f>IF(tblAssessments[[#This Row],[Year Index]]=0,0,IFERROR(MATCH(tblAssessments[[#This Row],[Test Name]]&amp;CHAR(10)&amp;"Raw Score",CHOOSE(tblAssessments[[#This Row],[Year Index]],tblY7[#Headers],tblY8[#Headers],tblY9[#Headers],tblY10[#Headers],tblY11[#Headers]),0),0))</f>
        <v>18</v>
      </c>
      <c r="R20" s="72" t="str">
        <f>tblAssessments[[#This Row],[Year Group]]&amp;"|"&amp;COUNTIF(INDEX(tblAssessments[Year Group],1):tblAssessments[[#This Row],[Year Group]],tblAssessments[[#This Row],[Year Group]])</f>
        <v>Year 10|3</v>
      </c>
      <c r="S20" s="72" t="str">
        <f>tblAssessments[[#This Row],[Year Group]]&amp;"|"&amp;tblAssessments[[#This Row],[Test Name]]</f>
        <v>Year 10|4P01 - Energy</v>
      </c>
      <c r="T20"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1">
      <c r="A21" s="10" t="inlineStr">
        <is>
          <t>Year 10</t>
        </is>
      </c>
      <c r="B21" s="10" t="inlineStr">
        <is>
          <t>4B02</t>
        </is>
      </c>
      <c r="C21" s="70" t="inlineStr">
        <is>
          <t>Organisation</t>
        </is>
      </c>
      <c r="D21" s="70" t="inlineStr">
        <is>
          <t>4B02 - Organisation</t>
        </is>
      </c>
      <c r="E21" s="9" t="n">
        <v>40</v>
      </c>
      <c r="F21" s="71" t="n">
        <v>46332</v>
      </c>
      <c r="G21" s="72">
        <f>IF(tblAssessments[[#This Row],[Year Index]]=0,"",COUNTA(CHOOSE(tblAssessments[[#This Row],[Year Index]],tblY7[Preferred Last name],tblY8[Preferred Last name],tblY9[Preferred Last name],tblY10[Preferred Last name],tblY11[Preferred Last name])))</f>
        <v>117</v>
      </c>
      <c r="H21" s="72">
        <f>IF(tblAssessments[[#This Row],[Raw Col]]=0,"",COUNT(INDEX(CHOOSE(tblAssessments[[#This Row],[Year Index]],tblY7[#Data],tblY8[#Data],tblY9[#Data],tblY10[#Data],tblY11[#Data]),0,tblAssessments[[#This Row],[Raw Col]])))</f>
        <v>109</v>
      </c>
      <c r="I21" s="72">
        <f>IF(tblAssessments[[#This Row],[Raw Col]]=0,"",COUNTIF(INDEX(CHOOSE(tblAssessments[[#This Row],[Year Index]],tblY7[#Data],tblY8[#Data],tblY9[#Data],tblY10[#Data],tblY11[#Data]),0,tblAssessments[[#This Row],[Raw Col]]),"A"))</f>
        <v>8</v>
      </c>
      <c r="J21" s="72">
        <f>IF(tblAssessments[[#This Row],[Raw Col]]=0,"",tblAssessments[[#This Row],[Students]]-tblAssessments[[#This Row],[Sat]]-tblAssessments[[#This Row],[Absent]])</f>
        <v>0</v>
      </c>
      <c r="K21" s="73">
        <f>IF(OR(tblAssessments[[#This Row],[Raw Col]]=0,N(tblAssessments[[#This Row],[Students]])=0),"",(tblAssessments[[#This Row],[Sat]]+tblAssessments[[#This Row],[Absent]])/tblAssessments[[#This Row],[Students]])</f>
        <v>1</v>
      </c>
      <c r="L21" s="74">
        <f>IF(N(tblAssessments[[#This Row],[Sat]])=0,"",AVERAGE(INDEX(CHOOSE(tblAssessments[[#This Row],[Year Index]],tblY7[#Data],tblY8[#Data],tblY9[#Data],tblY10[#Data],tblY11[#Data]),0,tblAssessments[[#This Row],[Raw Col]])))</f>
        <v>22.5963302752294</v>
      </c>
      <c r="M21" s="73">
        <f>IF(OR(tblAssessments[[#This Row],[Year Mean]]="",N(tblAssessments[[#This Row],[Max Marks]])=0),"",tblAssessments[[#This Row],[Year Mean]]/tblAssessments[[#This Row],[Max Marks]])</f>
        <v>0.564908256880734</v>
      </c>
      <c r="N21" s="74">
        <f>IF(N(tblAssessments[[#This Row],[Sat]])=0,"",_xlfn.STDEV.P(INDEX(CHOOSE(tblAssessments[[#This Row],[Year Index]],tblY7[#Data],tblY8[#Data],tblY9[#Data],tblY10[#Data],tblY11[#Data]),0,tblAssessments[[#This Row],[Raw Col]])))</f>
        <v>8.51562973806825</v>
      </c>
      <c r="O21"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1" s="72">
        <f>IFERROR(MATCH(tblAssessments[[#This Row],[Year Group]],YearNames,0),0)</f>
        <v>4</v>
      </c>
      <c r="Q21" s="72">
        <f>IF(tblAssessments[[#This Row],[Year Index]]=0,0,IFERROR(MATCH(tblAssessments[[#This Row],[Test Name]]&amp;CHAR(10)&amp;"Raw Score",CHOOSE(tblAssessments[[#This Row],[Year Index]],tblY7[#Headers],tblY8[#Headers],tblY9[#Headers],tblY10[#Headers],tblY11[#Headers]),0),0))</f>
        <v>20</v>
      </c>
      <c r="R21" s="72" t="str">
        <f>tblAssessments[[#This Row],[Year Group]]&amp;"|"&amp;COUNTIF(INDEX(tblAssessments[Year Group],1):tblAssessments[[#This Row],[Year Group]],tblAssessments[[#This Row],[Year Group]])</f>
        <v>Year 10|4</v>
      </c>
      <c r="S21" s="72" t="str">
        <f>tblAssessments[[#This Row],[Year Group]]&amp;"|"&amp;tblAssessments[[#This Row],[Test Name]]</f>
        <v>Year 10|4B02 - Organisation</v>
      </c>
      <c r="T21"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2">
      <c r="A22" s="10" t="inlineStr">
        <is>
          <t>Year 10</t>
        </is>
      </c>
      <c r="B22" s="10" t="inlineStr">
        <is>
          <t>4C02</t>
        </is>
      </c>
      <c r="C22" s="70" t="inlineStr">
        <is>
          <t>Bonding</t>
        </is>
      </c>
      <c r="D22" s="70" t="inlineStr">
        <is>
          <t>4C02 - Bonding</t>
        </is>
      </c>
      <c r="E22" s="9" t="n">
        <v>38</v>
      </c>
      <c r="F22" s="71" t="n">
        <v>46346</v>
      </c>
      <c r="G22" s="72">
        <f>IF(tblAssessments[[#This Row],[Year Index]]=0,"",COUNTA(CHOOSE(tblAssessments[[#This Row],[Year Index]],tblY7[Preferred Last name],tblY8[Preferred Last name],tblY9[Preferred Last name],tblY10[Preferred Last name],tblY11[Preferred Last name])))</f>
        <v>117</v>
      </c>
      <c r="H22" s="72">
        <f>IF(tblAssessments[[#This Row],[Raw Col]]=0,"",COUNT(INDEX(CHOOSE(tblAssessments[[#This Row],[Year Index]],tblY7[#Data],tblY8[#Data],tblY9[#Data],tblY10[#Data],tblY11[#Data]),0,tblAssessments[[#This Row],[Raw Col]])))</f>
        <v>74</v>
      </c>
      <c r="I22" s="72">
        <f>IF(tblAssessments[[#This Row],[Raw Col]]=0,"",COUNTIF(INDEX(CHOOSE(tblAssessments[[#This Row],[Year Index]],tblY7[#Data],tblY8[#Data],tblY9[#Data],tblY10[#Data],tblY11[#Data]),0,tblAssessments[[#This Row],[Raw Col]]),"A"))</f>
        <v>3</v>
      </c>
      <c r="J22" s="72">
        <f>IF(tblAssessments[[#This Row],[Raw Col]]=0,"",tblAssessments[[#This Row],[Students]]-tblAssessments[[#This Row],[Sat]]-tblAssessments[[#This Row],[Absent]])</f>
        <v>40</v>
      </c>
      <c r="K22" s="73">
        <f>IF(OR(tblAssessments[[#This Row],[Raw Col]]=0,N(tblAssessments[[#This Row],[Students]])=0),"",(tblAssessments[[#This Row],[Sat]]+tblAssessments[[#This Row],[Absent]])/tblAssessments[[#This Row],[Students]])</f>
        <v>0.658119658119658</v>
      </c>
      <c r="L22" s="74">
        <f>IF(N(tblAssessments[[#This Row],[Sat]])=0,"",AVERAGE(INDEX(CHOOSE(tblAssessments[[#This Row],[Year Index]],tblY7[#Data],tblY8[#Data],tblY9[#Data],tblY10[#Data],tblY11[#Data]),0,tblAssessments[[#This Row],[Raw Col]])))</f>
        <v>21.2702702702703</v>
      </c>
      <c r="M22" s="73">
        <f>IF(OR(tblAssessments[[#This Row],[Year Mean]]="",N(tblAssessments[[#This Row],[Max Marks]])=0),"",tblAssessments[[#This Row],[Year Mean]]/tblAssessments[[#This Row],[Max Marks]])</f>
        <v>0.559743954480797</v>
      </c>
      <c r="N22" s="74">
        <f>IF(N(tblAssessments[[#This Row],[Sat]])=0,"",_xlfn.STDEV.P(INDEX(CHOOSE(tblAssessments[[#This Row],[Year Index]],tblY7[#Data],tblY8[#Data],tblY9[#Data],tblY10[#Data],tblY11[#Data]),0,tblAssessments[[#This Row],[Raw Col]])))</f>
        <v>8.87038391152067</v>
      </c>
      <c r="O22"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2" s="72">
        <f>IFERROR(MATCH(tblAssessments[[#This Row],[Year Group]],YearNames,0),0)</f>
        <v>4</v>
      </c>
      <c r="Q22" s="72">
        <f>IF(tblAssessments[[#This Row],[Year Index]]=0,0,IFERROR(MATCH(tblAssessments[[#This Row],[Test Name]]&amp;CHAR(10)&amp;"Raw Score",CHOOSE(tblAssessments[[#This Row],[Year Index]],tblY7[#Headers],tblY8[#Headers],tblY9[#Headers],tblY10[#Headers],tblY11[#Headers]),0),0))</f>
        <v>22</v>
      </c>
      <c r="R22" s="72" t="str">
        <f>tblAssessments[[#This Row],[Year Group]]&amp;"|"&amp;COUNTIF(INDEX(tblAssessments[Year Group],1):tblAssessments[[#This Row],[Year Group]],tblAssessments[[#This Row],[Year Group]])</f>
        <v>Year 10|5</v>
      </c>
      <c r="S22" s="72" t="str">
        <f>tblAssessments[[#This Row],[Year Group]]&amp;"|"&amp;tblAssessments[[#This Row],[Test Name]]</f>
        <v>Year 10|4C02 - Bonding</v>
      </c>
      <c r="T22"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3">
      <c r="A23" s="10" t="inlineStr">
        <is>
          <t>Year 11</t>
        </is>
      </c>
      <c r="B23" s="10" t="inlineStr">
        <is>
          <t>4B05</t>
        </is>
      </c>
      <c r="C23" s="70" t="inlineStr">
        <is>
          <t>Homeostasis</t>
        </is>
      </c>
      <c r="D23" s="70" t="inlineStr">
        <is>
          <t>4B05 - Homeostasis</t>
        </is>
      </c>
      <c r="E23" s="9" t="n">
        <v>40</v>
      </c>
      <c r="F23" s="71" t="n">
        <v>46291</v>
      </c>
      <c r="G23" s="72">
        <f>IF(tblAssessments[[#This Row],[Year Index]]=0,"",COUNTA(CHOOSE(tblAssessments[[#This Row],[Year Index]],tblY7[Preferred Last name],tblY8[Preferred Last name],tblY9[Preferred Last name],tblY10[Preferred Last name],tblY11[Preferred Last name])))</f>
        <v>106</v>
      </c>
      <c r="H23" s="72">
        <f>IF(tblAssessments[[#This Row],[Raw Col]]=0,"",COUNT(INDEX(CHOOSE(tblAssessments[[#This Row],[Year Index]],tblY7[#Data],tblY8[#Data],tblY9[#Data],tblY10[#Data],tblY11[#Data]),0,tblAssessments[[#This Row],[Raw Col]])))</f>
        <v>103</v>
      </c>
      <c r="I23" s="72">
        <f>IF(tblAssessments[[#This Row],[Raw Col]]=0,"",COUNTIF(INDEX(CHOOSE(tblAssessments[[#This Row],[Year Index]],tblY7[#Data],tblY8[#Data],tblY9[#Data],tblY10[#Data],tblY11[#Data]),0,tblAssessments[[#This Row],[Raw Col]]),"A"))</f>
        <v>3</v>
      </c>
      <c r="J23" s="72">
        <f>IF(tblAssessments[[#This Row],[Raw Col]]=0,"",tblAssessments[[#This Row],[Students]]-tblAssessments[[#This Row],[Sat]]-tblAssessments[[#This Row],[Absent]])</f>
        <v>0</v>
      </c>
      <c r="K23" s="73">
        <f>IF(OR(tblAssessments[[#This Row],[Raw Col]]=0,N(tblAssessments[[#This Row],[Students]])=0),"",(tblAssessments[[#This Row],[Sat]]+tblAssessments[[#This Row],[Absent]])/tblAssessments[[#This Row],[Students]])</f>
        <v>1</v>
      </c>
      <c r="L23" s="74">
        <f>IF(N(tblAssessments[[#This Row],[Sat]])=0,"",AVERAGE(INDEX(CHOOSE(tblAssessments[[#This Row],[Year Index]],tblY7[#Data],tblY8[#Data],tblY9[#Data],tblY10[#Data],tblY11[#Data]),0,tblAssessments[[#This Row],[Raw Col]])))</f>
        <v>20.7572815533981</v>
      </c>
      <c r="M23" s="73">
        <f>IF(OR(tblAssessments[[#This Row],[Year Mean]]="",N(tblAssessments[[#This Row],[Max Marks]])=0),"",tblAssessments[[#This Row],[Year Mean]]/tblAssessments[[#This Row],[Max Marks]])</f>
        <v>0.518932038834951</v>
      </c>
      <c r="N23" s="74">
        <f>IF(N(tblAssessments[[#This Row],[Sat]])=0,"",_xlfn.STDEV.P(INDEX(CHOOSE(tblAssessments[[#This Row],[Year Index]],tblY7[#Data],tblY8[#Data],tblY9[#Data],tblY10[#Data],tblY11[#Data]),0,tblAssessments[[#This Row],[Raw Col]])))</f>
        <v>8.49610535494241</v>
      </c>
      <c r="O23"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3" s="72">
        <f>IFERROR(MATCH(tblAssessments[[#This Row],[Year Group]],YearNames,0),0)</f>
        <v>5</v>
      </c>
      <c r="Q23" s="72">
        <f>IF(tblAssessments[[#This Row],[Year Index]]=0,0,IFERROR(MATCH(tblAssessments[[#This Row],[Test Name]]&amp;CHAR(10)&amp;"Raw Score",CHOOSE(tblAssessments[[#This Row],[Year Index]],tblY7[#Headers],tblY8[#Headers],tblY9[#Headers],tblY10[#Headers],tblY11[#Headers]),0),0))</f>
        <v>14</v>
      </c>
      <c r="R23" s="72" t="str">
        <f>tblAssessments[[#This Row],[Year Group]]&amp;"|"&amp;COUNTIF(INDEX(tblAssessments[Year Group],1):tblAssessments[[#This Row],[Year Group]],tblAssessments[[#This Row],[Year Group]])</f>
        <v>Year 11|1</v>
      </c>
      <c r="S23" s="72" t="str">
        <f>tblAssessments[[#This Row],[Year Group]]&amp;"|"&amp;tblAssessments[[#This Row],[Test Name]]</f>
        <v>Year 11|4B05 - Homeostasis</v>
      </c>
      <c r="T23"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4">
      <c r="A24" s="10" t="inlineStr">
        <is>
          <t>Year 11</t>
        </is>
      </c>
      <c r="B24" s="10" t="inlineStr">
        <is>
          <t>4C09</t>
        </is>
      </c>
      <c r="C24" s="70" t="inlineStr">
        <is>
          <t>Organic Chemistry</t>
        </is>
      </c>
      <c r="D24" s="70" t="inlineStr">
        <is>
          <t>4C09 - Organic Chemistry</t>
        </is>
      </c>
      <c r="E24" s="9" t="n">
        <v>35</v>
      </c>
      <c r="F24" s="71" t="n">
        <v>46305</v>
      </c>
      <c r="G24" s="72">
        <f>IF(tblAssessments[[#This Row],[Year Index]]=0,"",COUNTA(CHOOSE(tblAssessments[[#This Row],[Year Index]],tblY7[Preferred Last name],tblY8[Preferred Last name],tblY9[Preferred Last name],tblY10[Preferred Last name],tblY11[Preferred Last name])))</f>
        <v>106</v>
      </c>
      <c r="H24" s="72">
        <f>IF(tblAssessments[[#This Row],[Raw Col]]=0,"",COUNT(INDEX(CHOOSE(tblAssessments[[#This Row],[Year Index]],tblY7[#Data],tblY8[#Data],tblY9[#Data],tblY10[#Data],tblY11[#Data]),0,tblAssessments[[#This Row],[Raw Col]])))</f>
        <v>97</v>
      </c>
      <c r="I24" s="72">
        <f>IF(tblAssessments[[#This Row],[Raw Col]]=0,"",COUNTIF(INDEX(CHOOSE(tblAssessments[[#This Row],[Year Index]],tblY7[#Data],tblY8[#Data],tblY9[#Data],tblY10[#Data],tblY11[#Data]),0,tblAssessments[[#This Row],[Raw Col]]),"A"))</f>
        <v>9</v>
      </c>
      <c r="J24" s="72">
        <f>IF(tblAssessments[[#This Row],[Raw Col]]=0,"",tblAssessments[[#This Row],[Students]]-tblAssessments[[#This Row],[Sat]]-tblAssessments[[#This Row],[Absent]])</f>
        <v>0</v>
      </c>
      <c r="K24" s="73">
        <f>IF(OR(tblAssessments[[#This Row],[Raw Col]]=0,N(tblAssessments[[#This Row],[Students]])=0),"",(tblAssessments[[#This Row],[Sat]]+tblAssessments[[#This Row],[Absent]])/tblAssessments[[#This Row],[Students]])</f>
        <v>1</v>
      </c>
      <c r="L24" s="74">
        <f>IF(N(tblAssessments[[#This Row],[Sat]])=0,"",AVERAGE(INDEX(CHOOSE(tblAssessments[[#This Row],[Year Index]],tblY7[#Data],tblY8[#Data],tblY9[#Data],tblY10[#Data],tblY11[#Data]),0,tblAssessments[[#This Row],[Raw Col]])))</f>
        <v>16.1752577319588</v>
      </c>
      <c r="M24" s="73">
        <f>IF(OR(tblAssessments[[#This Row],[Year Mean]]="",N(tblAssessments[[#This Row],[Max Marks]])=0),"",tblAssessments[[#This Row],[Year Mean]]/tblAssessments[[#This Row],[Max Marks]])</f>
        <v>0.462150220913108</v>
      </c>
      <c r="N24" s="74">
        <f>IF(N(tblAssessments[[#This Row],[Sat]])=0,"",_xlfn.STDEV.P(INDEX(CHOOSE(tblAssessments[[#This Row],[Year Index]],tblY7[#Data],tblY8[#Data],tblY9[#Data],tblY10[#Data],tblY11[#Data]),0,tblAssessments[[#This Row],[Raw Col]])))</f>
        <v>7.40160237496445</v>
      </c>
      <c r="O24"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4" s="72">
        <f>IFERROR(MATCH(tblAssessments[[#This Row],[Year Group]],YearNames,0),0)</f>
        <v>5</v>
      </c>
      <c r="Q24" s="72">
        <f>IF(tblAssessments[[#This Row],[Year Index]]=0,0,IFERROR(MATCH(tblAssessments[[#This Row],[Test Name]]&amp;CHAR(10)&amp;"Raw Score",CHOOSE(tblAssessments[[#This Row],[Year Index]],tblY7[#Headers],tblY8[#Headers],tblY9[#Headers],tblY10[#Headers],tblY11[#Headers]),0),0))</f>
        <v>16</v>
      </c>
      <c r="R24" s="72" t="str">
        <f>tblAssessments[[#This Row],[Year Group]]&amp;"|"&amp;COUNTIF(INDEX(tblAssessments[Year Group],1):tblAssessments[[#This Row],[Year Group]],tblAssessments[[#This Row],[Year Group]])</f>
        <v>Year 11|2</v>
      </c>
      <c r="S24" s="72" t="str">
        <f>tblAssessments[[#This Row],[Year Group]]&amp;"|"&amp;tblAssessments[[#This Row],[Test Name]]</f>
        <v>Year 11|4C09 - Organic Chemistry</v>
      </c>
      <c r="T24"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5">
      <c r="A25" s="10" t="inlineStr">
        <is>
          <t>Year 11</t>
        </is>
      </c>
      <c r="B25" s="10" t="inlineStr">
        <is>
          <t>4P06</t>
        </is>
      </c>
      <c r="C25" s="70" t="inlineStr">
        <is>
          <t>Waves</t>
        </is>
      </c>
      <c r="D25" s="70" t="inlineStr">
        <is>
          <t>4P06 - Waves</t>
        </is>
      </c>
      <c r="E25" s="9" t="n">
        <v>38</v>
      </c>
      <c r="F25" s="71" t="n">
        <v>46319</v>
      </c>
      <c r="G25" s="72">
        <f>IF(tblAssessments[[#This Row],[Year Index]]=0,"",COUNTA(CHOOSE(tblAssessments[[#This Row],[Year Index]],tblY7[Preferred Last name],tblY8[Preferred Last name],tblY9[Preferred Last name],tblY10[Preferred Last name],tblY11[Preferred Last name])))</f>
        <v>106</v>
      </c>
      <c r="H25" s="72">
        <f>IF(tblAssessments[[#This Row],[Raw Col]]=0,"",COUNT(INDEX(CHOOSE(tblAssessments[[#This Row],[Year Index]],tblY7[#Data],tblY8[#Data],tblY9[#Data],tblY10[#Data],tblY11[#Data]),0,tblAssessments[[#This Row],[Raw Col]])))</f>
        <v>106</v>
      </c>
      <c r="I25" s="72">
        <f>IF(tblAssessments[[#This Row],[Raw Col]]=0,"",COUNTIF(INDEX(CHOOSE(tblAssessments[[#This Row],[Year Index]],tblY7[#Data],tblY8[#Data],tblY9[#Data],tblY10[#Data],tblY11[#Data]),0,tblAssessments[[#This Row],[Raw Col]]),"A"))</f>
        <v>0</v>
      </c>
      <c r="J25" s="72">
        <f>IF(tblAssessments[[#This Row],[Raw Col]]=0,"",tblAssessments[[#This Row],[Students]]-tblAssessments[[#This Row],[Sat]]-tblAssessments[[#This Row],[Absent]])</f>
        <v>0</v>
      </c>
      <c r="K25" s="73">
        <f>IF(OR(tblAssessments[[#This Row],[Raw Col]]=0,N(tblAssessments[[#This Row],[Students]])=0),"",(tblAssessments[[#This Row],[Sat]]+tblAssessments[[#This Row],[Absent]])/tblAssessments[[#This Row],[Students]])</f>
        <v>1</v>
      </c>
      <c r="L25" s="74">
        <f>IF(N(tblAssessments[[#This Row],[Sat]])=0,"",AVERAGE(INDEX(CHOOSE(tblAssessments[[#This Row],[Year Index]],tblY7[#Data],tblY8[#Data],tblY9[#Data],tblY10[#Data],tblY11[#Data]),0,tblAssessments[[#This Row],[Raw Col]])))</f>
        <v>21.0188679245283</v>
      </c>
      <c r="M25" s="73">
        <f>IF(OR(tblAssessments[[#This Row],[Year Mean]]="",N(tblAssessments[[#This Row],[Max Marks]])=0),"",tblAssessments[[#This Row],[Year Mean]]/tblAssessments[[#This Row],[Max Marks]])</f>
        <v>0.553128103277061</v>
      </c>
      <c r="N25" s="74">
        <f>IF(N(tblAssessments[[#This Row],[Sat]])=0,"",_xlfn.STDEV.P(INDEX(CHOOSE(tblAssessments[[#This Row],[Year Index]],tblY7[#Data],tblY8[#Data],tblY9[#Data],tblY10[#Data],tblY11[#Data]),0,tblAssessments[[#This Row],[Raw Col]])))</f>
        <v>8.4070737646605</v>
      </c>
      <c r="O2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5" s="72">
        <f>IFERROR(MATCH(tblAssessments[[#This Row],[Year Group]],YearNames,0),0)</f>
        <v>5</v>
      </c>
      <c r="Q25" s="72">
        <f>IF(tblAssessments[[#This Row],[Year Index]]=0,0,IFERROR(MATCH(tblAssessments[[#This Row],[Test Name]]&amp;CHAR(10)&amp;"Raw Score",CHOOSE(tblAssessments[[#This Row],[Year Index]],tblY7[#Headers],tblY8[#Headers],tblY9[#Headers],tblY10[#Headers],tblY11[#Headers]),0),0))</f>
        <v>18</v>
      </c>
      <c r="R25" s="72" t="str">
        <f>tblAssessments[[#This Row],[Year Group]]&amp;"|"&amp;COUNTIF(INDEX(tblAssessments[Year Group],1):tblAssessments[[#This Row],[Year Group]],tblAssessments[[#This Row],[Year Group]])</f>
        <v>Year 11|3</v>
      </c>
      <c r="S25" s="72" t="str">
        <f>tblAssessments[[#This Row],[Year Group]]&amp;"|"&amp;tblAssessments[[#This Row],[Test Name]]</f>
        <v>Year 11|4P06 - Waves</v>
      </c>
      <c r="T25"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6">
      <c r="A26" s="10" t="inlineStr">
        <is>
          <t>Year 11</t>
        </is>
      </c>
      <c r="B26" s="10" t="inlineStr">
        <is>
          <t>4B06</t>
        </is>
      </c>
      <c r="C26" s="70" t="inlineStr">
        <is>
          <t>Inheritance</t>
        </is>
      </c>
      <c r="D26" s="70" t="inlineStr">
        <is>
          <t>4B06 - Inheritance</t>
        </is>
      </c>
      <c r="E26" s="9" t="n">
        <v>42</v>
      </c>
      <c r="F26" s="71" t="n">
        <v>46333</v>
      </c>
      <c r="G26" s="72">
        <f>IF(tblAssessments[[#This Row],[Year Index]]=0,"",COUNTA(CHOOSE(tblAssessments[[#This Row],[Year Index]],tblY7[Preferred Last name],tblY8[Preferred Last name],tblY9[Preferred Last name],tblY10[Preferred Last name],tblY11[Preferred Last name])))</f>
        <v>106</v>
      </c>
      <c r="H26" s="72">
        <f>IF(tblAssessments[[#This Row],[Raw Col]]=0,"",COUNT(INDEX(CHOOSE(tblAssessments[[#This Row],[Year Index]],tblY7[#Data],tblY8[#Data],tblY9[#Data],tblY10[#Data],tblY11[#Data]),0,tblAssessments[[#This Row],[Raw Col]])))</f>
        <v>102</v>
      </c>
      <c r="I26" s="72">
        <f>IF(tblAssessments[[#This Row],[Raw Col]]=0,"",COUNTIF(INDEX(CHOOSE(tblAssessments[[#This Row],[Year Index]],tblY7[#Data],tblY8[#Data],tblY9[#Data],tblY10[#Data],tblY11[#Data]),0,tblAssessments[[#This Row],[Raw Col]]),"A"))</f>
        <v>4</v>
      </c>
      <c r="J26" s="72">
        <f>IF(tblAssessments[[#This Row],[Raw Col]]=0,"",tblAssessments[[#This Row],[Students]]-tblAssessments[[#This Row],[Sat]]-tblAssessments[[#This Row],[Absent]])</f>
        <v>0</v>
      </c>
      <c r="K26" s="73">
        <f>IF(OR(tblAssessments[[#This Row],[Raw Col]]=0,N(tblAssessments[[#This Row],[Students]])=0),"",(tblAssessments[[#This Row],[Sat]]+tblAssessments[[#This Row],[Absent]])/tblAssessments[[#This Row],[Students]])</f>
        <v>1</v>
      </c>
      <c r="L26" s="74">
        <f>IF(N(tblAssessments[[#This Row],[Sat]])=0,"",AVERAGE(INDEX(CHOOSE(tblAssessments[[#This Row],[Year Index]],tblY7[#Data],tblY8[#Data],tblY9[#Data],tblY10[#Data],tblY11[#Data]),0,tblAssessments[[#This Row],[Raw Col]])))</f>
        <v>18.8529411764706</v>
      </c>
      <c r="M26" s="73">
        <f>IF(OR(tblAssessments[[#This Row],[Year Mean]]="",N(tblAssessments[[#This Row],[Max Marks]])=0),"",tblAssessments[[#This Row],[Year Mean]]/tblAssessments[[#This Row],[Max Marks]])</f>
        <v>0.448879551820728</v>
      </c>
      <c r="N26" s="74">
        <f>IF(N(tblAssessments[[#This Row],[Sat]])=0,"",_xlfn.STDEV.P(INDEX(CHOOSE(tblAssessments[[#This Row],[Year Index]],tblY7[#Data],tblY8[#Data],tblY9[#Data],tblY10[#Data],tblY11[#Data]),0,tblAssessments[[#This Row],[Raw Col]])))</f>
        <v>9.14415816816304</v>
      </c>
      <c r="O2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6" s="72">
        <f>IFERROR(MATCH(tblAssessments[[#This Row],[Year Group]],YearNames,0),0)</f>
        <v>5</v>
      </c>
      <c r="Q26" s="72">
        <f>IF(tblAssessments[[#This Row],[Year Index]]=0,0,IFERROR(MATCH(tblAssessments[[#This Row],[Test Name]]&amp;CHAR(10)&amp;"Raw Score",CHOOSE(tblAssessments[[#This Row],[Year Index]],tblY7[#Headers],tblY8[#Headers],tblY9[#Headers],tblY10[#Headers],tblY11[#Headers]),0),0))</f>
        <v>20</v>
      </c>
      <c r="R26" s="72" t="str">
        <f>tblAssessments[[#This Row],[Year Group]]&amp;"|"&amp;COUNTIF(INDEX(tblAssessments[Year Group],1):tblAssessments[[#This Row],[Year Group]],tblAssessments[[#This Row],[Year Group]])</f>
        <v>Year 11|4</v>
      </c>
      <c r="S26" s="72" t="str">
        <f>tblAssessments[[#This Row],[Year Group]]&amp;"|"&amp;tblAssessments[[#This Row],[Test Name]]</f>
        <v>Year 11|4B06 - Inheritance</v>
      </c>
      <c r="T26"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7">
      <c r="A27" s="10" t="inlineStr">
        <is>
          <t>Year 11</t>
        </is>
      </c>
      <c r="B27" s="10" t="inlineStr">
        <is>
          <t>4C10</t>
        </is>
      </c>
      <c r="C27" s="70" t="inlineStr">
        <is>
          <t>Chemical Analysis</t>
        </is>
      </c>
      <c r="D27" s="70" t="inlineStr">
        <is>
          <t>4C10 - Chemical Analysis</t>
        </is>
      </c>
      <c r="E27" s="9" t="n">
        <v>30</v>
      </c>
      <c r="F27" s="71" t="n">
        <v>46347</v>
      </c>
      <c r="G27" s="72">
        <f>IF(tblAssessments[[#This Row],[Year Index]]=0,"",COUNTA(CHOOSE(tblAssessments[[#This Row],[Year Index]],tblY7[Preferred Last name],tblY8[Preferred Last name],tblY9[Preferred Last name],tblY10[Preferred Last name],tblY11[Preferred Last name])))</f>
        <v>106</v>
      </c>
      <c r="H27" s="72">
        <f>IF(tblAssessments[[#This Row],[Raw Col]]=0,"",COUNT(INDEX(CHOOSE(tblAssessments[[#This Row],[Year Index]],tblY7[#Data],tblY8[#Data],tblY9[#Data],tblY10[#Data],tblY11[#Data]),0,tblAssessments[[#This Row],[Raw Col]])))</f>
        <v>105</v>
      </c>
      <c r="I27" s="72">
        <f>IF(tblAssessments[[#This Row],[Raw Col]]=0,"",COUNTIF(INDEX(CHOOSE(tblAssessments[[#This Row],[Year Index]],tblY7[#Data],tblY8[#Data],tblY9[#Data],tblY10[#Data],tblY11[#Data]),0,tblAssessments[[#This Row],[Raw Col]]),"A"))</f>
        <v>1</v>
      </c>
      <c r="J27" s="72">
        <f>IF(tblAssessments[[#This Row],[Raw Col]]=0,"",tblAssessments[[#This Row],[Students]]-tblAssessments[[#This Row],[Sat]]-tblAssessments[[#This Row],[Absent]])</f>
        <v>0</v>
      </c>
      <c r="K27" s="73">
        <f>IF(OR(tblAssessments[[#This Row],[Raw Col]]=0,N(tblAssessments[[#This Row],[Students]])=0),"",(tblAssessments[[#This Row],[Sat]]+tblAssessments[[#This Row],[Absent]])/tblAssessments[[#This Row],[Students]])</f>
        <v>1</v>
      </c>
      <c r="L27" s="74">
        <f>IF(N(tblAssessments[[#This Row],[Sat]])=0,"",AVERAGE(INDEX(CHOOSE(tblAssessments[[#This Row],[Year Index]],tblY7[#Data],tblY8[#Data],tblY9[#Data],tblY10[#Data],tblY11[#Data]),0,tblAssessments[[#This Row],[Raw Col]])))</f>
        <v>14.4190476190476</v>
      </c>
      <c r="M27" s="73">
        <f>IF(OR(tblAssessments[[#This Row],[Year Mean]]="",N(tblAssessments[[#This Row],[Max Marks]])=0),"",tblAssessments[[#This Row],[Year Mean]]/tblAssessments[[#This Row],[Max Marks]])</f>
        <v>0.480634920634921</v>
      </c>
      <c r="N27" s="74">
        <f>IF(N(tblAssessments[[#This Row],[Sat]])=0,"",_xlfn.STDEV.P(INDEX(CHOOSE(tblAssessments[[#This Row],[Year Index]],tblY7[#Data],tblY8[#Data],tblY9[#Data],tblY10[#Data],tblY11[#Data]),0,tblAssessments[[#This Row],[Raw Col]])))</f>
        <v>6.23474282874519</v>
      </c>
      <c r="O2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7" s="72">
        <f>IFERROR(MATCH(tblAssessments[[#This Row],[Year Group]],YearNames,0),0)</f>
        <v>5</v>
      </c>
      <c r="Q27" s="72">
        <f>IF(tblAssessments[[#This Row],[Year Index]]=0,0,IFERROR(MATCH(tblAssessments[[#This Row],[Test Name]]&amp;CHAR(10)&amp;"Raw Score",CHOOSE(tblAssessments[[#This Row],[Year Index]],tblY7[#Headers],tblY8[#Headers],tblY9[#Headers],tblY10[#Headers],tblY11[#Headers]),0),0))</f>
        <v>22</v>
      </c>
      <c r="R27" s="72" t="str">
        <f>tblAssessments[[#This Row],[Year Group]]&amp;"|"&amp;COUNTIF(INDEX(tblAssessments[Year Group],1):tblAssessments[[#This Row],[Year Group]],tblAssessments[[#This Row],[Year Group]])</f>
        <v>Year 11|5</v>
      </c>
      <c r="S27" s="72" t="str">
        <f>tblAssessments[[#This Row],[Year Group]]&amp;"|"&amp;tblAssessments[[#This Row],[Test Name]]</f>
        <v>Year 11|4C10 - Chemical Analysis</v>
      </c>
      <c r="T27"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row r="28">
      <c r="A28" s="10" t="inlineStr">
        <is>
          <t>Year 11</t>
        </is>
      </c>
      <c r="B28" s="10" t="inlineStr">
        <is>
          <t>4P07</t>
        </is>
      </c>
      <c r="C28" s="70" t="inlineStr">
        <is>
          <t>Magnetism</t>
        </is>
      </c>
      <c r="D28" s="70" t="inlineStr">
        <is>
          <t>4P07 - Magnetism</t>
        </is>
      </c>
      <c r="E28" s="9" t="n">
        <v>34</v>
      </c>
      <c r="F28" s="71" t="n">
        <v>46361</v>
      </c>
      <c r="G28" s="72">
        <f>IF(tblAssessments[[#This Row],[Year Index]]=0,"",COUNTA(CHOOSE(tblAssessments[[#This Row],[Year Index]],tblY7[Preferred Last name],tblY8[Preferred Last name],tblY9[Preferred Last name],tblY10[Preferred Last name],tblY11[Preferred Last name])))</f>
        <v>106</v>
      </c>
      <c r="H28" s="72">
        <f>IF(tblAssessments[[#This Row],[Raw Col]]=0,"",COUNT(INDEX(CHOOSE(tblAssessments[[#This Row],[Year Index]],tblY7[#Data],tblY8[#Data],tblY9[#Data],tblY10[#Data],tblY11[#Data]),0,tblAssessments[[#This Row],[Raw Col]])))</f>
        <v>100</v>
      </c>
      <c r="I28" s="72">
        <f>IF(tblAssessments[[#This Row],[Raw Col]]=0,"",COUNTIF(INDEX(CHOOSE(tblAssessments[[#This Row],[Year Index]],tblY7[#Data],tblY8[#Data],tblY9[#Data],tblY10[#Data],tblY11[#Data]),0,tblAssessments[[#This Row],[Raw Col]]),"A"))</f>
        <v>6</v>
      </c>
      <c r="J28" s="72">
        <f>IF(tblAssessments[[#This Row],[Raw Col]]=0,"",tblAssessments[[#This Row],[Students]]-tblAssessments[[#This Row],[Sat]]-tblAssessments[[#This Row],[Absent]])</f>
        <v>0</v>
      </c>
      <c r="K28" s="73">
        <f>IF(OR(tblAssessments[[#This Row],[Raw Col]]=0,N(tblAssessments[[#This Row],[Students]])=0),"",(tblAssessments[[#This Row],[Sat]]+tblAssessments[[#This Row],[Absent]])/tblAssessments[[#This Row],[Students]])</f>
        <v>1</v>
      </c>
      <c r="L28" s="74">
        <f>IF(N(tblAssessments[[#This Row],[Sat]])=0,"",AVERAGE(INDEX(CHOOSE(tblAssessments[[#This Row],[Year Index]],tblY7[#Data],tblY8[#Data],tblY9[#Data],tblY10[#Data],tblY11[#Data]),0,tblAssessments[[#This Row],[Raw Col]])))</f>
        <v>15.69</v>
      </c>
      <c r="M28" s="73">
        <f>IF(OR(tblAssessments[[#This Row],[Year Mean]]="",N(tblAssessments[[#This Row],[Max Marks]])=0),"",tblAssessments[[#This Row],[Year Mean]]/tblAssessments[[#This Row],[Max Marks]])</f>
        <v>0.461470588235294</v>
      </c>
      <c r="N28" s="74">
        <f>IF(N(tblAssessments[[#This Row],[Sat]])=0,"",_xlfn.STDEV.P(INDEX(CHOOSE(tblAssessments[[#This Row],[Year Index]],tblY7[#Data],tblY8[#Data],tblY9[#Data],tblY10[#Data],tblY11[#Data]),0,tblAssessments[[#This Row],[Raw Col]])))</f>
        <v>7.27006877546561</v>
      </c>
      <c r="O2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28" s="72">
        <f>IFERROR(MATCH(tblAssessments[[#This Row],[Year Group]],YearNames,0),0)</f>
        <v>5</v>
      </c>
      <c r="Q28" s="72">
        <f>IF(tblAssessments[[#This Row],[Year Index]]=0,0,IFERROR(MATCH(tblAssessments[[#This Row],[Test Name]]&amp;CHAR(10)&amp;"Raw Score",CHOOSE(tblAssessments[[#This Row],[Year Index]],tblY7[#Headers],tblY8[#Headers],tblY9[#Headers],tblY10[#Headers],tblY11[#Headers]),0),0))</f>
        <v>24</v>
      </c>
      <c r="R28" s="72" t="str">
        <f>tblAssessments[[#This Row],[Year Group]]&amp;"|"&amp;COUNTIF(INDEX(tblAssessments[Year Group],1):tblAssessments[[#This Row],[Year Group]],tblAssessments[[#This Row],[Year Group]])</f>
        <v>Year 11|6</v>
      </c>
      <c r="S28" s="72" t="str">
        <f>tblAssessments[[#This Row],[Year Group]]&amp;"|"&amp;tblAssessments[[#This Row],[Test Name]]</f>
        <v>Year 11|4P07 - Magnetism</v>
      </c>
      <c r="T28" s="72">
        <f>IF(tblAssessments[[#This Row],[Raw Col]]=0,"",COUNTA(INDEX(CHOOSE(tblAssessments[[#This Row],[Year Index]],tblY7[#Data],tblY8[#Data],tblY9[#Data],tblY10[#Data],tblY11[#Data]),0,tblAssessments[[#This Row],[Raw Col]]))-COUNT(INDEX(CHOOSE(tblAssessments[[#This Row],[Year Index]],tblY7[#Data],tblY8[#Data],tblY9[#Data],tblY10[#Data],tblY11[#Data]),0,tblAssessments[[#This Row],[Raw Col]]))-COUNTIF(INDEX(CHOOSE(tblAssessments[[#This Row],[Year Index]],tblY7[#Data],tblY8[#Data],tblY9[#Data],tblY10[#Data],tblY11[#Data]),0,tblAssessments[[#This Row],[Raw Col]]),"A")+COUNTIF(INDEX(CHOOSE(tblAssessments[[#This Row],[Year Index]],tblY7[#Data],tblY8[#Data],tblY9[#Data],tblY10[#Data],tblY11[#Data]),0,tblAssessments[[#This Row],[Raw Col]]),"&lt;0")+IF(N(tblAssessments[[#This Row],[Max Marks]])&gt;0,COUNTIF(INDEX(CHOOSE(tblAssessments[[#This Row],[Year Index]],tblY7[#Data],tblY8[#Data],tblY9[#Data],tblY10[#Data],tblY11[#Data]),0,tblAssessments[[#This Row],[Raw Col]]),"&gt;"&amp;tblAssessments[[#This Row],[Max Marks]]),0))</f>
        <v>0</v>
      </c>
    </row>
  </sheetData>
  <mergeCells count="1">
    <mergeCell ref="V15:X20"/>
  </mergeCells>
  <conditionalFormatting sqref="K5:K404">
    <cfRule type="expression" priority="1" dxfId="2">
      <formula>AND(ISNUMBER(K5),K5=0)</formula>
    </cfRule>
    <cfRule type="expression" priority="2" dxfId="4">
      <formula>AND(ISNUMBER(K5),K5&lt;1)</formula>
    </cfRule>
  </conditionalFormatting>
  <conditionalFormatting sqref="O5:O404">
    <cfRule type="expression" priority="3" dxfId="9">
      <formula>AND(O5&lt;&gt;"",O5&lt;&gt;"OK")</formula>
    </cfRule>
  </conditionalFormatting>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11.xml><?xml version="1.0" encoding="utf-8"?>
<worksheet xmlns="http://schemas.openxmlformats.org/spreadsheetml/2006/main">
  <sheetPr codeName="shSettings">
    <tabColor rgb="00898781"/>
    <outlinePr summaryBelow="1" summaryRight="1"/>
    <pageSetUpPr fitToPage="1"/>
  </sheetPr>
  <dimension ref="A1:H52"/>
  <sheetViews>
    <sheetView showGridLines="0" workbookViewId="0">
      <selection activeCell="A1" sqref="A1"/>
    </sheetView>
  </sheetViews>
  <sheetFormatPr baseColWidth="8" defaultRowHeight="15"/>
  <cols>
    <col width="2" customWidth="1" min="1" max="1"/>
    <col width="58" customWidth="1" min="2" max="2"/>
    <col width="16" customWidth="1" min="3" max="3"/>
    <col width="22" customWidth="1" min="4" max="4"/>
    <col hidden="1" width="16" customWidth="1" min="5" max="5"/>
    <col width="2" customWidth="1" min="6" max="6"/>
    <col width="2" customWidth="1" min="7" max="7"/>
    <col width="2" customWidth="1" min="8" max="8"/>
  </cols>
  <sheetData>
    <row r="1" ht="30" customHeight="1">
      <c r="A1" s="1" t="n"/>
      <c r="B1" s="2" t="inlineStr">
        <is>
          <t>Settings</t>
        </is>
      </c>
      <c r="C1" s="1" t="n"/>
      <c r="D1" s="1" t="n"/>
      <c r="E1" s="1" t="n"/>
      <c r="F1" s="1" t="n"/>
      <c r="G1" s="1" t="n"/>
      <c r="H1" s="1" t="n"/>
    </row>
    <row r="2">
      <c r="B2" s="17" t="inlineStr">
        <is>
          <t>Yellow cells are yours to change. Everything else updates itself.</t>
        </is>
      </c>
    </row>
    <row r="4">
      <c r="B4" s="6" t="inlineStr">
        <is>
          <t>Workbook</t>
        </is>
      </c>
    </row>
    <row r="5">
      <c r="B5" s="31" t="inlineStr">
        <is>
          <t>Academic year</t>
        </is>
      </c>
      <c r="C5" s="39" t="inlineStr">
        <is>
          <t>2026-27</t>
        </is>
      </c>
    </row>
    <row r="6">
      <c r="B6" s="31" t="inlineStr">
        <is>
          <t>School or department (shown in titles)</t>
        </is>
      </c>
      <c r="C6" s="39" t="inlineStr">
        <is>
          <t>Science</t>
        </is>
      </c>
    </row>
    <row r="8">
      <c r="B8" s="6" t="inlineStr">
        <is>
          <t>Watch list rules</t>
        </is>
      </c>
    </row>
    <row r="9">
      <c r="B9" s="31" t="inlineStr">
        <is>
          <t>Flag a student whose mean stanine is at least this far below expected for their KS2 band</t>
        </is>
      </c>
      <c r="C9" s="77" t="n">
        <v>1.5</v>
      </c>
    </row>
    <row r="10">
      <c r="B10" s="31" t="inlineStr">
        <is>
          <t>... once they have sat at least this many tests</t>
        </is>
      </c>
      <c r="C10" s="39" t="n">
        <v>2</v>
      </c>
    </row>
    <row r="11">
      <c r="B11" s="31" t="inlineStr">
        <is>
          <t>Also flag students with no KS2 data whose mean stanine is this or lower</t>
        </is>
      </c>
      <c r="C11" s="77" t="n">
        <v>3</v>
      </c>
    </row>
    <row r="13">
      <c r="B13" s="6" t="inlineStr">
        <is>
          <t>Year groups</t>
        </is>
      </c>
    </row>
    <row r="14" ht="30" customHeight="1">
      <c r="B14" s="7" t="inlineStr">
        <is>
          <t>Year group</t>
        </is>
      </c>
      <c r="C14" s="7" t="inlineStr">
        <is>
          <t>Leaves in</t>
        </is>
      </c>
      <c r="D14" s="7" t="inlineStr">
        <is>
          <t>Sheet</t>
        </is>
      </c>
      <c r="E14" s="7" t="inlineStr">
        <is>
          <t>KS2 link</t>
        </is>
      </c>
    </row>
    <row r="15">
      <c r="B15" s="12" t="inlineStr">
        <is>
          <t>Year 7</t>
        </is>
      </c>
      <c r="C15" s="9" t="n">
        <v>2031</v>
      </c>
      <c r="D15" s="12" t="inlineStr">
        <is>
          <t>Year 7</t>
        </is>
      </c>
      <c r="E15" s="78">
        <f>IF(ISNUMBER(SlopeY7),SlopeY7,"too few results")</f>
        <v>0.694282945736434</v>
      </c>
    </row>
    <row r="16">
      <c r="B16" s="12" t="inlineStr">
        <is>
          <t>Year 8</t>
        </is>
      </c>
      <c r="C16" s="9" t="n">
        <v>2030</v>
      </c>
      <c r="D16" s="12" t="inlineStr">
        <is>
          <t>Year 8</t>
        </is>
      </c>
      <c r="E16" s="78">
        <f>IF(ISNUMBER(SlopeY8),SlopeY8,"too few results")</f>
        <v>0.778911319394376</v>
      </c>
    </row>
    <row r="17">
      <c r="B17" s="12" t="inlineStr">
        <is>
          <t>Year 9</t>
        </is>
      </c>
      <c r="C17" s="9" t="n">
        <v>2029</v>
      </c>
      <c r="D17" s="12" t="inlineStr">
        <is>
          <t>Year 9</t>
        </is>
      </c>
      <c r="E17" s="78">
        <f>IF(ISNUMBER(SlopeY9),SlopeY9,"too few results")</f>
        <v>0.763413776944705</v>
      </c>
    </row>
    <row r="18">
      <c r="B18" s="12" t="inlineStr">
        <is>
          <t>Year 10</t>
        </is>
      </c>
      <c r="C18" s="9" t="n">
        <v>2028</v>
      </c>
      <c r="D18" s="12" t="inlineStr">
        <is>
          <t>Year 10</t>
        </is>
      </c>
      <c r="E18" s="78">
        <f>IF(ISNUMBER(SlopeY10),SlopeY10,"too few results")</f>
        <v>0.814002284282662</v>
      </c>
    </row>
    <row r="19">
      <c r="B19" s="12" t="inlineStr">
        <is>
          <t>Year 11</t>
        </is>
      </c>
      <c r="C19" s="9" t="n">
        <v>2027</v>
      </c>
      <c r="D19" s="12" t="inlineStr">
        <is>
          <t>Year 11</t>
        </is>
      </c>
      <c r="E19" s="78">
        <f>IF(ISNUMBER(SlopeY11),SlopeY11,"too few results")</f>
        <v>0.748863636363636</v>
      </c>
    </row>
    <row r="20" ht="26" customHeight="1">
      <c r="B20" s="37" t="inlineStr">
        <is>
          <t>KS2 link (worked out, 0 to 1): how many stanines higher, on average, students score for each KS2 band higher. The watch list compares each student with this line.</t>
        </is>
      </c>
    </row>
    <row r="21">
      <c r="B21" s="6" t="inlineStr">
        <is>
          <t>Class teachers (optional)</t>
        </is>
      </c>
    </row>
    <row r="22" ht="26" customHeight="1">
      <c r="B22" s="37" t="inlineStr">
        <is>
          <t>Type a teacher's name or initials next to each class. The dashboards show them. Add a row at the bottom of the table for a new class.</t>
        </is>
      </c>
    </row>
    <row r="24" ht="30" customHeight="1">
      <c r="B24" s="7" t="inlineStr">
        <is>
          <t>Year Group</t>
        </is>
      </c>
      <c r="C24" s="7" t="inlineStr">
        <is>
          <t>Class</t>
        </is>
      </c>
      <c r="D24" s="7" t="inlineStr">
        <is>
          <t>Teacher</t>
        </is>
      </c>
      <c r="E24" s="7" t="inlineStr">
        <is>
          <t>Key</t>
        </is>
      </c>
    </row>
    <row r="25">
      <c r="B25" s="12" t="inlineStr">
        <is>
          <t>Year 7</t>
        </is>
      </c>
      <c r="C25" s="12" t="inlineStr">
        <is>
          <t>7A/Sc1</t>
        </is>
      </c>
      <c r="D25" s="79" t="inlineStr">
        <is>
          <t>Ms Adeyemi</t>
        </is>
      </c>
      <c r="E25" s="80" t="str">
        <f>tblTeachers[[#This Row],[Year Group]]&amp;"|"&amp;tblTeachers[[#This Row],[Class]]</f>
        <v>Year 7|7A/Sc1</v>
      </c>
    </row>
    <row r="26">
      <c r="B26" s="12" t="inlineStr">
        <is>
          <t>Year 7</t>
        </is>
      </c>
      <c r="C26" s="12" t="inlineStr">
        <is>
          <t>7A/Sc2</t>
        </is>
      </c>
      <c r="D26" s="79" t="inlineStr">
        <is>
          <t>Dr Clarke</t>
        </is>
      </c>
      <c r="E26" s="80" t="str">
        <f>tblTeachers[[#This Row],[Year Group]]&amp;"|"&amp;tblTeachers[[#This Row],[Class]]</f>
        <v>Year 7|7A/Sc2</v>
      </c>
    </row>
    <row r="27">
      <c r="B27" s="12" t="inlineStr">
        <is>
          <t>Year 7</t>
        </is>
      </c>
      <c r="C27" s="12" t="inlineStr">
        <is>
          <t>7B/Sc1</t>
        </is>
      </c>
      <c r="D27" s="79" t="inlineStr">
        <is>
          <t>Mr Walsh</t>
        </is>
      </c>
      <c r="E27" s="80" t="str">
        <f>tblTeachers[[#This Row],[Year Group]]&amp;"|"&amp;tblTeachers[[#This Row],[Class]]</f>
        <v>Year 7|7B/Sc1</v>
      </c>
    </row>
    <row r="28">
      <c r="B28" s="12" t="inlineStr">
        <is>
          <t>Year 7</t>
        </is>
      </c>
      <c r="C28" s="12" t="inlineStr">
        <is>
          <t>7B/Sc2</t>
        </is>
      </c>
      <c r="D28" s="79" t="inlineStr">
        <is>
          <t>Ms Novak</t>
        </is>
      </c>
      <c r="E28" s="80" t="str">
        <f>tblTeachers[[#This Row],[Year Group]]&amp;"|"&amp;tblTeachers[[#This Row],[Class]]</f>
        <v>Year 7|7B/Sc2</v>
      </c>
    </row>
    <row r="29">
      <c r="B29" s="12" t="inlineStr">
        <is>
          <t>Year 7</t>
        </is>
      </c>
      <c r="C29" s="12" t="inlineStr">
        <is>
          <t>7B/Sc3</t>
        </is>
      </c>
      <c r="D29" s="79" t="inlineStr">
        <is>
          <t>Ms Rahman</t>
        </is>
      </c>
      <c r="E29" s="80" t="str">
        <f>tblTeachers[[#This Row],[Year Group]]&amp;"|"&amp;tblTeachers[[#This Row],[Class]]</f>
        <v>Year 7|7B/Sc3</v>
      </c>
    </row>
    <row r="30">
      <c r="B30" s="12" t="inlineStr">
        <is>
          <t>Year 8</t>
        </is>
      </c>
      <c r="C30" s="12" t="inlineStr">
        <is>
          <t>8A/Sc1</t>
        </is>
      </c>
      <c r="D30" s="79" t="inlineStr">
        <is>
          <t>Mr Owen</t>
        </is>
      </c>
      <c r="E30" s="80" t="str">
        <f>tblTeachers[[#This Row],[Year Group]]&amp;"|"&amp;tblTeachers[[#This Row],[Class]]</f>
        <v>Year 8|8A/Sc1</v>
      </c>
    </row>
    <row r="31">
      <c r="B31" s="12" t="inlineStr">
        <is>
          <t>Year 8</t>
        </is>
      </c>
      <c r="C31" s="12" t="inlineStr">
        <is>
          <t>8A/Sc2</t>
        </is>
      </c>
      <c r="D31" s="79" t="inlineStr">
        <is>
          <t>Mr Hughes</t>
        </is>
      </c>
      <c r="E31" s="80" t="str">
        <f>tblTeachers[[#This Row],[Year Group]]&amp;"|"&amp;tblTeachers[[#This Row],[Class]]</f>
        <v>Year 8|8A/Sc2</v>
      </c>
    </row>
    <row r="32">
      <c r="B32" s="12" t="inlineStr">
        <is>
          <t>Year 8</t>
        </is>
      </c>
      <c r="C32" s="12" t="inlineStr">
        <is>
          <t>8A/Sc3</t>
        </is>
      </c>
      <c r="D32" s="79" t="inlineStr">
        <is>
          <t>Mr Owen</t>
        </is>
      </c>
      <c r="E32" s="80" t="str">
        <f>tblTeachers[[#This Row],[Year Group]]&amp;"|"&amp;tblTeachers[[#This Row],[Class]]</f>
        <v>Year 8|8A/Sc3</v>
      </c>
    </row>
    <row r="33">
      <c r="B33" s="12" t="inlineStr">
        <is>
          <t>Year 8</t>
        </is>
      </c>
      <c r="C33" s="12" t="inlineStr">
        <is>
          <t>8A/Sc4</t>
        </is>
      </c>
      <c r="D33" s="79" t="inlineStr">
        <is>
          <t>Ms Adeyemi</t>
        </is>
      </c>
      <c r="E33" s="80" t="str">
        <f>tblTeachers[[#This Row],[Year Group]]&amp;"|"&amp;tblTeachers[[#This Row],[Class]]</f>
        <v>Year 8|8A/Sc4</v>
      </c>
    </row>
    <row r="34">
      <c r="B34" s="12" t="inlineStr">
        <is>
          <t>Year 8</t>
        </is>
      </c>
      <c r="C34" s="12" t="inlineStr">
        <is>
          <t>Science Support</t>
        </is>
      </c>
      <c r="D34" s="79" t="inlineStr">
        <is>
          <t>Mrs Evans</t>
        </is>
      </c>
      <c r="E34" s="80" t="str">
        <f>tblTeachers[[#This Row],[Year Group]]&amp;"|"&amp;tblTeachers[[#This Row],[Class]]</f>
        <v>Year 8|Science Support</v>
      </c>
    </row>
    <row r="35">
      <c r="B35" s="12" t="inlineStr">
        <is>
          <t>Year 9</t>
        </is>
      </c>
      <c r="C35" s="12" t="inlineStr">
        <is>
          <t>9A/Sc1</t>
        </is>
      </c>
      <c r="D35" s="79" t="inlineStr">
        <is>
          <t>Ms Rahman</t>
        </is>
      </c>
      <c r="E35" s="80" t="str">
        <f>tblTeachers[[#This Row],[Year Group]]&amp;"|"&amp;tblTeachers[[#This Row],[Class]]</f>
        <v>Year 9|9A/Sc1</v>
      </c>
    </row>
    <row r="36">
      <c r="B36" s="12" t="inlineStr">
        <is>
          <t>Year 9</t>
        </is>
      </c>
      <c r="C36" s="12" t="inlineStr">
        <is>
          <t>9A/Sc2</t>
        </is>
      </c>
      <c r="D36" s="79" t="inlineStr">
        <is>
          <t>Mr Hughes</t>
        </is>
      </c>
      <c r="E36" s="80" t="str">
        <f>tblTeachers[[#This Row],[Year Group]]&amp;"|"&amp;tblTeachers[[#This Row],[Class]]</f>
        <v>Year 9|9A/Sc2</v>
      </c>
    </row>
    <row r="37">
      <c r="B37" s="12" t="inlineStr">
        <is>
          <t>Year 9</t>
        </is>
      </c>
      <c r="C37" s="12" t="inlineStr">
        <is>
          <t>9A/Sc3</t>
        </is>
      </c>
      <c r="D37" s="79" t="inlineStr">
        <is>
          <t>Mrs Singh</t>
        </is>
      </c>
      <c r="E37" s="80" t="str">
        <f>tblTeachers[[#This Row],[Year Group]]&amp;"|"&amp;tblTeachers[[#This Row],[Class]]</f>
        <v>Year 9|9A/Sc3</v>
      </c>
    </row>
    <row r="38">
      <c r="B38" s="12" t="inlineStr">
        <is>
          <t>Year 9</t>
        </is>
      </c>
      <c r="C38" s="12" t="inlineStr">
        <is>
          <t>9B/Sc1</t>
        </is>
      </c>
      <c r="D38" s="79" t="inlineStr">
        <is>
          <t>Ms Rahman</t>
        </is>
      </c>
      <c r="E38" s="80" t="str">
        <f>tblTeachers[[#This Row],[Year Group]]&amp;"|"&amp;tblTeachers[[#This Row],[Class]]</f>
        <v>Year 9|9B/Sc1</v>
      </c>
    </row>
    <row r="39">
      <c r="B39" s="12" t="inlineStr">
        <is>
          <t>Year 9</t>
        </is>
      </c>
      <c r="C39" s="12" t="inlineStr">
        <is>
          <t>9B/Sc2</t>
        </is>
      </c>
      <c r="D39" s="79" t="inlineStr">
        <is>
          <t>Mr Owen</t>
        </is>
      </c>
      <c r="E39" s="80" t="str">
        <f>tblTeachers[[#This Row],[Year Group]]&amp;"|"&amp;tblTeachers[[#This Row],[Class]]</f>
        <v>Year 9|9B/Sc2</v>
      </c>
    </row>
    <row r="40">
      <c r="B40" s="12" t="inlineStr">
        <is>
          <t>Year 9</t>
        </is>
      </c>
      <c r="C40" s="12" t="inlineStr">
        <is>
          <t>Science Support</t>
        </is>
      </c>
      <c r="D40" s="79" t="inlineStr">
        <is>
          <t>Mr Walsh</t>
        </is>
      </c>
      <c r="E40" s="80" t="str">
        <f>tblTeachers[[#This Row],[Year Group]]&amp;"|"&amp;tblTeachers[[#This Row],[Class]]</f>
        <v>Year 9|Science Support</v>
      </c>
    </row>
    <row r="41">
      <c r="B41" s="12" t="inlineStr">
        <is>
          <t>Year 10</t>
        </is>
      </c>
      <c r="C41" s="12" t="inlineStr">
        <is>
          <t>10S/Sc1</t>
        </is>
      </c>
      <c r="D41" s="79" t="inlineStr">
        <is>
          <t>Mr Walsh</t>
        </is>
      </c>
      <c r="E41" s="80" t="str">
        <f>tblTeachers[[#This Row],[Year Group]]&amp;"|"&amp;tblTeachers[[#This Row],[Class]]</f>
        <v>Year 10|10S/Sc1</v>
      </c>
    </row>
    <row r="42">
      <c r="B42" s="12" t="inlineStr">
        <is>
          <t>Year 10</t>
        </is>
      </c>
      <c r="C42" s="12" t="inlineStr">
        <is>
          <t>10S/Sc2</t>
        </is>
      </c>
      <c r="D42" s="79" t="inlineStr">
        <is>
          <t>Mr Owen</t>
        </is>
      </c>
      <c r="E42" s="80" t="str">
        <f>tblTeachers[[#This Row],[Year Group]]&amp;"|"&amp;tblTeachers[[#This Row],[Class]]</f>
        <v>Year 10|10S/Sc2</v>
      </c>
    </row>
    <row r="43">
      <c r="B43" s="12" t="inlineStr">
        <is>
          <t>Year 10</t>
        </is>
      </c>
      <c r="C43" s="12" t="inlineStr">
        <is>
          <t>10S/Sc3</t>
        </is>
      </c>
      <c r="D43" s="79" t="inlineStr">
        <is>
          <t>Mrs Singh</t>
        </is>
      </c>
      <c r="E43" s="80" t="str">
        <f>tblTeachers[[#This Row],[Year Group]]&amp;"|"&amp;tblTeachers[[#This Row],[Class]]</f>
        <v>Year 10|10S/Sc3</v>
      </c>
    </row>
    <row r="44">
      <c r="B44" s="12" t="inlineStr">
        <is>
          <t>Year 10</t>
        </is>
      </c>
      <c r="C44" s="12" t="inlineStr">
        <is>
          <t>10S/Sc4</t>
        </is>
      </c>
      <c r="D44" s="79" t="inlineStr">
        <is>
          <t>Mr Owen</t>
        </is>
      </c>
      <c r="E44" s="80" t="str">
        <f>tblTeachers[[#This Row],[Year Group]]&amp;"|"&amp;tblTeachers[[#This Row],[Class]]</f>
        <v>Year 10|10S/Sc4</v>
      </c>
    </row>
    <row r="45">
      <c r="B45" s="12" t="inlineStr">
        <is>
          <t>Year 10</t>
        </is>
      </c>
      <c r="C45" s="12" t="inlineStr">
        <is>
          <t>10S/Sc5</t>
        </is>
      </c>
      <c r="D45" s="79" t="inlineStr">
        <is>
          <t>Mr Hughes</t>
        </is>
      </c>
      <c r="E45" s="80" t="str">
        <f>tblTeachers[[#This Row],[Year Group]]&amp;"|"&amp;tblTeachers[[#This Row],[Class]]</f>
        <v>Year 10|10S/Sc5</v>
      </c>
    </row>
    <row r="46">
      <c r="B46" s="12" t="inlineStr">
        <is>
          <t>Year 10</t>
        </is>
      </c>
      <c r="C46" s="12" t="inlineStr">
        <is>
          <t>Science Support</t>
        </is>
      </c>
      <c r="D46" s="79" t="inlineStr">
        <is>
          <t>Mr Walsh</t>
        </is>
      </c>
      <c r="E46" s="80" t="str">
        <f>tblTeachers[[#This Row],[Year Group]]&amp;"|"&amp;tblTeachers[[#This Row],[Class]]</f>
        <v>Year 10|Science Support</v>
      </c>
    </row>
    <row r="47">
      <c r="B47" s="12" t="inlineStr">
        <is>
          <t>Year 11</t>
        </is>
      </c>
      <c r="C47" s="12" t="inlineStr">
        <is>
          <t>11S/Sc1</t>
        </is>
      </c>
      <c r="D47" s="79" t="inlineStr">
        <is>
          <t>Ms Rahman</t>
        </is>
      </c>
      <c r="E47" s="80" t="str">
        <f>tblTeachers[[#This Row],[Year Group]]&amp;"|"&amp;tblTeachers[[#This Row],[Class]]</f>
        <v>Year 11|11S/Sc1</v>
      </c>
    </row>
    <row r="48">
      <c r="B48" s="12" t="inlineStr">
        <is>
          <t>Year 11</t>
        </is>
      </c>
      <c r="C48" s="12" t="inlineStr">
        <is>
          <t>11S/Sc2</t>
        </is>
      </c>
      <c r="D48" s="79" t="inlineStr">
        <is>
          <t>Mrs Evans</t>
        </is>
      </c>
      <c r="E48" s="80" t="str">
        <f>tblTeachers[[#This Row],[Year Group]]&amp;"|"&amp;tblTeachers[[#This Row],[Class]]</f>
        <v>Year 11|11S/Sc2</v>
      </c>
    </row>
    <row r="49">
      <c r="B49" s="12" t="inlineStr">
        <is>
          <t>Year 11</t>
        </is>
      </c>
      <c r="C49" s="12" t="inlineStr">
        <is>
          <t>11S/Sc3</t>
        </is>
      </c>
      <c r="D49" s="79" t="inlineStr">
        <is>
          <t>Mr Owen</t>
        </is>
      </c>
      <c r="E49" s="80" t="str">
        <f>tblTeachers[[#This Row],[Year Group]]&amp;"|"&amp;tblTeachers[[#This Row],[Class]]</f>
        <v>Year 11|11S/Sc3</v>
      </c>
    </row>
    <row r="50">
      <c r="B50" s="12" t="inlineStr">
        <is>
          <t>Year 11</t>
        </is>
      </c>
      <c r="C50" s="12" t="inlineStr">
        <is>
          <t>11S/Sc4</t>
        </is>
      </c>
      <c r="D50" s="79" t="inlineStr">
        <is>
          <t>Mrs Singh</t>
        </is>
      </c>
      <c r="E50" s="80" t="str">
        <f>tblTeachers[[#This Row],[Year Group]]&amp;"|"&amp;tblTeachers[[#This Row],[Class]]</f>
        <v>Year 11|11S/Sc4</v>
      </c>
    </row>
    <row r="51">
      <c r="B51" s="12" t="inlineStr">
        <is>
          <t>Year 11</t>
        </is>
      </c>
      <c r="C51" s="12" t="inlineStr">
        <is>
          <t>11S/Sc5</t>
        </is>
      </c>
      <c r="D51" s="79" t="inlineStr">
        <is>
          <t>Ms Novak</t>
        </is>
      </c>
      <c r="E51" s="80" t="str">
        <f>tblTeachers[[#This Row],[Year Group]]&amp;"|"&amp;tblTeachers[[#This Row],[Class]]</f>
        <v>Year 11|11S/Sc5</v>
      </c>
    </row>
    <row r="52">
      <c r="B52" s="12" t="inlineStr">
        <is>
          <t>Year 11</t>
        </is>
      </c>
      <c r="C52" s="12" t="inlineStr">
        <is>
          <t>Science Support</t>
        </is>
      </c>
      <c r="D52" s="79" t="inlineStr">
        <is>
          <t>Ms Novak</t>
        </is>
      </c>
      <c r="E52" s="80" t="str">
        <f>tblTeachers[[#This Row],[Year Group]]&amp;"|"&amp;tblTeachers[[#This Row],[Class]]</f>
        <v>Year 11|Science Support</v>
      </c>
    </row>
  </sheetData>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12.xml><?xml version="1.0" encoding="utf-8"?>
<worksheet xmlns="http://schemas.openxmlformats.org/spreadsheetml/2006/main">
  <sheetPr codeName="shCalc">
    <outlinePr summaryBelow="1" summaryRight="1"/>
    <pageSetUpPr/>
  </sheetPr>
  <dimension ref="A1:CD669"/>
  <sheetViews>
    <sheetView workbookViewId="0">
      <selection activeCell="A1" sqref="A1"/>
    </sheetView>
  </sheetViews>
  <sheetFormatPr baseColWidth="8" defaultRowHeight="15"/>
  <sheetData>
    <row r="1">
      <c r="A1" s="81" t="inlineStr">
        <is>
          <t>Helper calculations for the dashboards and drop-down lists. Please do not edit.</t>
        </is>
      </c>
    </row>
    <row r="2">
      <c r="S2" s="82" t="inlineStr">
        <is>
          <t>Year 7</t>
        </is>
      </c>
      <c r="T2" s="82" t="inlineStr">
        <is>
          <t>Year 8</t>
        </is>
      </c>
      <c r="U2" s="82" t="inlineStr">
        <is>
          <t>Year 9</t>
        </is>
      </c>
      <c r="V2" s="82" t="inlineStr">
        <is>
          <t>Year 10</t>
        </is>
      </c>
      <c r="W2" s="82" t="inlineStr">
        <is>
          <t>Year 11</t>
        </is>
      </c>
      <c r="Y2" s="82" t="inlineStr">
        <is>
          <t>Selected year classes</t>
        </is>
      </c>
      <c r="AA2" s="82" t="inlineStr">
        <is>
          <t>Selected year tests</t>
        </is>
      </c>
      <c r="AB2" s="82" t="inlineStr">
        <is>
          <t>Max</t>
        </is>
      </c>
      <c r="AC2" s="82" t="inlineStr">
        <is>
          <t>Date</t>
        </is>
      </c>
      <c r="AD2" s="82" t="inlineStr">
        <is>
          <t>Code</t>
        </is>
      </c>
      <c r="AF2" s="82" t="inlineStr">
        <is>
          <t>Latest test</t>
        </is>
      </c>
      <c r="AK2" s="82" t="inlineStr">
        <is>
          <t>Trend label</t>
        </is>
      </c>
      <c r="AL2" s="82" t="inlineStr">
        <is>
          <t>Whole year</t>
        </is>
      </c>
      <c r="AM2" s="82" t="inlineStr">
        <is>
          <t>Focus class</t>
        </is>
      </c>
      <c r="AO2" s="82" t="inlineStr">
        <is>
          <t>Test by class</t>
        </is>
      </c>
      <c r="AR2" s="82" t="inlineStr">
        <is>
          <t>Stanine</t>
        </is>
      </c>
      <c r="AS2" s="82" t="inlineStr">
        <is>
          <t>This test</t>
        </is>
      </c>
      <c r="AT2" s="82" t="inlineStr">
        <is>
          <t>Expected</t>
        </is>
      </c>
      <c r="BN2" s="82" t="inlineStr">
        <is>
          <t>Expected stanine fit</t>
        </is>
      </c>
      <c r="BO2" s="82" t="inlineStr">
        <is>
          <t>n</t>
        </is>
      </c>
      <c r="BP2" s="82" t="inlineStr">
        <is>
          <t>Sx</t>
        </is>
      </c>
      <c r="BQ2" s="82" t="inlineStr">
        <is>
          <t>Sy</t>
        </is>
      </c>
      <c r="BR2" s="82" t="inlineStr">
        <is>
          <t>Sxx</t>
        </is>
      </c>
      <c r="BS2" s="82" t="inlineStr">
        <is>
          <t>Sxy</t>
        </is>
      </c>
      <c r="BT2" s="82" t="inlineStr">
        <is>
          <t>Slope</t>
        </is>
      </c>
      <c r="BU2" s="82" t="inlineStr">
        <is>
          <t>Intercept</t>
        </is>
      </c>
      <c r="BW2" s="82" t="inlineStr">
        <is>
          <t>Class completion</t>
        </is>
      </c>
    </row>
    <row r="3">
      <c r="B3" s="31" t="inlineStr">
        <is>
          <t>Year 7</t>
        </is>
      </c>
      <c r="C3" s="31" t="inlineStr">
        <is>
          <t>tblY7</t>
        </is>
      </c>
      <c r="E3" s="31" t="inlineStr">
        <is>
          <t>Mean %</t>
        </is>
      </c>
      <c r="S3" t="str">
        <f>IFERROR(INDEX(H$10:H$609,MATCH(SMALL(I$10:I$609,1),I$10:I$609,0)),"")</f>
        <v>7A/Sc1</v>
      </c>
      <c r="T3" t="str">
        <f>IFERROR(INDEX(J$10:J$609,MATCH(SMALL(K$10:K$609,1),K$10:K$609,0)),"")</f>
        <v>8A/Sc1</v>
      </c>
      <c r="U3" t="str">
        <f>IFERROR(INDEX(L$10:L$609,MATCH(SMALL(M$10:M$609,1),M$10:M$609,0)),"")</f>
        <v>9A/Sc1</v>
      </c>
      <c r="V3" t="str">
        <f>IFERROR(INDEX(N$10:N$609,MATCH(SMALL(O$10:O$609,1),O$10:O$609,0)),"")</f>
        <v>10S/Sc1</v>
      </c>
      <c r="W3" t="str">
        <f>IFERROR(INDEX(P$10:P$609,MATCH(SMALL(Q$10:Q$609,1),Q$10:Q$609,0)),"")</f>
        <v>11S/Sc1</v>
      </c>
      <c r="Y3" t="str">
        <f>IFERROR(INDEX($S3:$W3,dYear),"")</f>
        <v>11S/Sc1</v>
      </c>
      <c r="AA3" t="str">
        <f>IFERROR(INDEX(tblAssessments[Test Name],MATCH(SelYear&amp;"|"&amp;1,tblAssessments[Seq Key],0))&amp;"","")</f>
        <v>4B05 - Homeostasis</v>
      </c>
      <c r="AB3">
        <f>IF(AA3="","",IFERROR(INDEX(tblAssessments[Max Marks],MATCH(SelYear&amp;"|"&amp;1,tblAssessments[Seq Key],0)),""))</f>
        <v>40</v>
      </c>
      <c r="AC3" s="83">
        <f>IF(AA3="","",IFERROR(IF(INDEX(tblAssessments[Date],MATCH(SelYear&amp;"|"&amp;1,tblAssessments[Seq Key],0))="","",INDEX(tblAssessments[Date],MATCH(SelYear&amp;"|"&amp;1,tblAssessments[Seq Key],0))),""))</f>
        <v>46291.0</v>
      </c>
      <c r="AD3" t="str">
        <f>IF(AA3="","",IFERROR(INDEX(tblAssessments[Code],MATCH(SelYear&amp;"|"&amp;1,tblAssessments[Seq Key],0))&amp;"",""))</f>
        <v>4B05</v>
      </c>
      <c r="AF3" t="str">
        <f>IF(COUNTIF(tblAssessments[Year Group],"Year 7")=0,"",IFERROR(INDEX(tblAssessments[Test Name],MATCH("Year 7|"&amp;COUNTIF(tblAssessments[Year Group],"Year 7"),tblAssessments[Seq Key],0)),""))</f>
        <v>7B02 - Organ Systems</v>
      </c>
      <c r="AG3">
        <f>IF(AF3="","",IFERROR(INDEX(tblAssessments[Max Marks],MATCH("Year 7|"&amp;COUNTIF(tblAssessments[Year Group],"Year 7"),tblAssessments[Seq Key],0)),""))</f>
        <v>28</v>
      </c>
      <c r="AH3" s="83">
        <f>IF(AF3="","",IFERROR(IF(INDEX(tblAssessments[Date],MATCH("Year 7|"&amp;COUNTIF(tblAssessments[Year Group],"Year 7"),tblAssessments[Seq Key],0))="","",INDEX(tblAssessments[Date],MATCH("Year 7|"&amp;COUNTIF(tblAssessments[Year Group],"Year 7"),tblAssessments[Seq Key],0))),""))</f>
        <v>46329.0</v>
      </c>
      <c r="AI3">
        <f>COUNTIF(tblAssessments[Year Group],"Year 7")</f>
        <v>4</v>
      </c>
      <c r="AK3" t="str">
        <f>IF(AA3="","",IF(AD3&lt;&gt;"",AD3,LEFT(AA3,14)))</f>
        <v>4B05</v>
      </c>
      <c r="AL3">
        <f>IF(AA3="",NA(),IFERROR(AVERAGE(INDEX(dData,0,MATCH(AA3&amp;CHAR(10)&amp;"Stanine",dHdr,0))),NA()))</f>
        <v>4.99029126213592</v>
      </c>
      <c r="AM3">
        <f>IF(OR(AA3="",SelClass=""),NA(),IFERROR(AVERAGEIFS(INDEX(dData,0,MATCH(AA3&amp;CHAR(10)&amp;"Stanine",dHdr,0)),dClass,SelClass),NA()))</f>
        <v>6.92592592592593</v>
      </c>
      <c r="AO3" t="inlineStr">
        <is>
          <t>Whole year</t>
        </is>
      </c>
      <c r="AP3" s="84">
        <f>IFERROR(AVERAGE(dRaw)/dMax,NA())</f>
        <v>0.461470588235294</v>
      </c>
      <c r="AR3" t="n">
        <v>1</v>
      </c>
      <c r="AS3" s="84">
        <f>IFERROR(COUNTIF(dStn,AR3)/COUNT(dStn),0)</f>
        <v>0.02</v>
      </c>
      <c r="AT3" s="84" t="n">
        <v>0.04</v>
      </c>
      <c r="BL3">
        <f>IFERROR(MATCH(SMALL($BJ$70:$BJ$669,1),$BJ$70:$BJ$669,0),"")</f>
        <v>45</v>
      </c>
      <c r="BN3" s="31" t="inlineStr">
        <is>
          <t>Year 7</t>
        </is>
      </c>
      <c r="BO3">
        <f>SUMPRODUCT(ISNUMBER(tblY7[[Avg KS2 Band]])*ISNUMBER(tblY7[[Mean Stanine]]))</f>
        <v>130</v>
      </c>
      <c r="BP3">
        <f>SUMPRODUCT(ISNUMBER(tblY7[[Avg KS2 Band]])*ISNUMBER(tblY7[[Mean Stanine]]),tblY7[[Avg KS2 Band]])</f>
        <v>650</v>
      </c>
      <c r="BQ3">
        <f>SUMPRODUCT(ISNUMBER(tblY7[[Avg KS2 Band]])*ISNUMBER(tblY7[[Mean Stanine]]),tblY7[[Mean Stanine]])</f>
        <v>651</v>
      </c>
      <c r="BR3">
        <f>SUMPRODUCT(ISNUMBER(tblY7[[Avg KS2 Band]])*ISNUMBER(tblY7[[Mean Stanine]]),tblY7[[Avg KS2 Band]],tblY7[[Avg KS2 Band]])</f>
        <v>3766</v>
      </c>
      <c r="BS3">
        <f>SUMPRODUCT(ISNUMBER(tblY7[[Avg KS2 Band]])*ISNUMBER(tblY7[[Mean Stanine]]),tblY7[[Avg KS2 Band]],tblY7[[Mean Stanine]])</f>
        <v>3613.25</v>
      </c>
      <c r="BT3">
        <f>IF(BO3&lt;10,"",IFERROR(MAX(0,MIN(1,(BO3*BS3-BP3*BQ3)/(BO3*BR3-BP3^2))),""))</f>
        <v>0.694282945736434</v>
      </c>
      <c r="BU3">
        <f>IF(BT3="","",(BQ3-BT3*BP3)/BO3)</f>
        <v>1.53627757901014</v>
      </c>
      <c r="BW3">
        <f>IF(OR($AA3="",$Y$3=""),"",IFERROR((COUNTIFS(dClass,$Y$3,INDEX(dData,0,MATCH($AA3&amp;CHAR(10)&amp;"Raw Score",dHdr,0)),"&gt;=0")+COUNTIFS(dClass,$Y$3,INDEX(dData,0,MATCH($AA3&amp;CHAR(10)&amp;"Raw Score",dHdr,0)),"A"))/COUNTIF(dClass,$Y$3),""))</f>
        <v>1</v>
      </c>
      <c r="BX3">
        <f>IF(OR($AA3="",$Y$4=""),"",IFERROR((COUNTIFS(dClass,$Y$4,INDEX(dData,0,MATCH($AA3&amp;CHAR(10)&amp;"Raw Score",dHdr,0)),"&gt;=0")+COUNTIFS(dClass,$Y$4,INDEX(dData,0,MATCH($AA3&amp;CHAR(10)&amp;"Raw Score",dHdr,0)),"A"))/COUNTIF(dClass,$Y$4),""))</f>
        <v>1</v>
      </c>
      <c r="BY3">
        <f>IF(OR($AA3="",$Y$5=""),"",IFERROR((COUNTIFS(dClass,$Y$5,INDEX(dData,0,MATCH($AA3&amp;CHAR(10)&amp;"Raw Score",dHdr,0)),"&gt;=0")+COUNTIFS(dClass,$Y$5,INDEX(dData,0,MATCH($AA3&amp;CHAR(10)&amp;"Raw Score",dHdr,0)),"A"))/COUNTIF(dClass,$Y$5),""))</f>
        <v>1</v>
      </c>
      <c r="BZ3">
        <f>IF(OR($AA3="",$Y$6=""),"",IFERROR((COUNTIFS(dClass,$Y$6,INDEX(dData,0,MATCH($AA3&amp;CHAR(10)&amp;"Raw Score",dHdr,0)),"&gt;=0")+COUNTIFS(dClass,$Y$6,INDEX(dData,0,MATCH($AA3&amp;CHAR(10)&amp;"Raw Score",dHdr,0)),"A"))/COUNTIF(dClass,$Y$6),""))</f>
        <v>1</v>
      </c>
      <c r="CA3">
        <f>IF(OR($AA3="",$Y$7=""),"",IFERROR((COUNTIFS(dClass,$Y$7,INDEX(dData,0,MATCH($AA3&amp;CHAR(10)&amp;"Raw Score",dHdr,0)),"&gt;=0")+COUNTIFS(dClass,$Y$7,INDEX(dData,0,MATCH($AA3&amp;CHAR(10)&amp;"Raw Score",dHdr,0)),"A"))/COUNTIF(dClass,$Y$7),""))</f>
        <v>1</v>
      </c>
      <c r="CB3">
        <f>IF(OR($AA3="",$Y$8=""),"",IFERROR((COUNTIFS(dClass,$Y$8,INDEX(dData,0,MATCH($AA3&amp;CHAR(10)&amp;"Raw Score",dHdr,0)),"&gt;=0")+COUNTIFS(dClass,$Y$8,INDEX(dData,0,MATCH($AA3&amp;CHAR(10)&amp;"Raw Score",dHdr,0)),"A"))/COUNTIF(dClass,$Y$8),""))</f>
        <v>1</v>
      </c>
      <c r="CC3" t="str">
        <f>IF(OR($AA3="",$Y$9=""),"",IFERROR((COUNTIFS(dClass,$Y$9,INDEX(dData,0,MATCH($AA3&amp;CHAR(10)&amp;"Raw Score",dHdr,0)),"&gt;=0")+COUNTIFS(dClass,$Y$9,INDEX(dData,0,MATCH($AA3&amp;CHAR(10)&amp;"Raw Score",dHdr,0)),"A"))/COUNTIF(dClass,$Y$9),""))</f>
        <v/>
      </c>
      <c r="CD3" t="str">
        <f>IF(OR($AA3="",$Y$10=""),"",IFERROR((COUNTIFS(dClass,$Y$10,INDEX(dData,0,MATCH($AA3&amp;CHAR(10)&amp;"Raw Score",dHdr,0)),"&gt;=0")+COUNTIFS(dClass,$Y$10,INDEX(dData,0,MATCH($AA3&amp;CHAR(10)&amp;"Raw Score",dHdr,0)),"A"))/COUNTIF(dClass,$Y$10),""))</f>
        <v/>
      </c>
    </row>
    <row r="4">
      <c r="B4" s="31" t="inlineStr">
        <is>
          <t>Year 8</t>
        </is>
      </c>
      <c r="C4" s="31" t="inlineStr">
        <is>
          <t>tblY8</t>
        </is>
      </c>
      <c r="E4" s="31" t="inlineStr">
        <is>
          <t>Mean stanine</t>
        </is>
      </c>
      <c r="S4" t="str">
        <f>IFERROR(INDEX(H$10:H$609,MATCH(SMALL(I$10:I$609,2),I$10:I$609,0)),"")</f>
        <v>7A/Sc2</v>
      </c>
      <c r="T4" t="str">
        <f>IFERROR(INDEX(J$10:J$609,MATCH(SMALL(K$10:K$609,2),K$10:K$609,0)),"")</f>
        <v>8A/Sc2</v>
      </c>
      <c r="U4" t="str">
        <f>IFERROR(INDEX(L$10:L$609,MATCH(SMALL(M$10:M$609,2),M$10:M$609,0)),"")</f>
        <v>9A/Sc2</v>
      </c>
      <c r="V4" t="str">
        <f>IFERROR(INDEX(N$10:N$609,MATCH(SMALL(O$10:O$609,2),O$10:O$609,0)),"")</f>
        <v>10S/Sc2</v>
      </c>
      <c r="W4" t="str">
        <f>IFERROR(INDEX(P$10:P$609,MATCH(SMALL(Q$10:Q$609,2),Q$10:Q$609,0)),"")</f>
        <v>11S/Sc2</v>
      </c>
      <c r="Y4" t="str">
        <f>IFERROR(INDEX($S4:$W4,dYear),"")</f>
        <v>11S/Sc2</v>
      </c>
      <c r="AA4" t="str">
        <f>IFERROR(INDEX(tblAssessments[Test Name],MATCH(SelYear&amp;"|"&amp;2,tblAssessments[Seq Key],0))&amp;"","")</f>
        <v>4C09 - Organic Chemistry</v>
      </c>
      <c r="AB4">
        <f>IF(AA4="","",IFERROR(INDEX(tblAssessments[Max Marks],MATCH(SelYear&amp;"|"&amp;2,tblAssessments[Seq Key],0)),""))</f>
        <v>35</v>
      </c>
      <c r="AC4" s="83">
        <f>IF(AA4="","",IFERROR(IF(INDEX(tblAssessments[Date],MATCH(SelYear&amp;"|"&amp;2,tblAssessments[Seq Key],0))="","",INDEX(tblAssessments[Date],MATCH(SelYear&amp;"|"&amp;2,tblAssessments[Seq Key],0))),""))</f>
        <v>46305.0</v>
      </c>
      <c r="AD4" t="str">
        <f>IF(AA4="","",IFERROR(INDEX(tblAssessments[Code],MATCH(SelYear&amp;"|"&amp;2,tblAssessments[Seq Key],0))&amp;"",""))</f>
        <v>4C09</v>
      </c>
      <c r="AF4" t="str">
        <f>IF(COUNTIF(tblAssessments[Year Group],"Year 8")=0,"",IFERROR(INDEX(tblAssessments[Test Name],MATCH("Year 8|"&amp;COUNTIF(tblAssessments[Year Group],"Year 8"),tblAssessments[Seq Key],0)),""))</f>
        <v>8P02 - Light</v>
      </c>
      <c r="AG4">
        <f>IF(AF4="","",IFERROR(INDEX(tblAssessments[Max Marks],MATCH("Year 8|"&amp;COUNTIF(tblAssessments[Year Group],"Year 8"),tblAssessments[Seq Key],0)),""))</f>
        <v>24</v>
      </c>
      <c r="AH4" s="83">
        <f>IF(AF4="","",IFERROR(IF(INDEX(tblAssessments[Date],MATCH("Year 8|"&amp;COUNTIF(tblAssessments[Year Group],"Year 8"),tblAssessments[Seq Key],0))="","",INDEX(tblAssessments[Date],MATCH("Year 8|"&amp;COUNTIF(tblAssessments[Year Group],"Year 8"),tblAssessments[Seq Key],0))),""))</f>
        <v>46344.0</v>
      </c>
      <c r="AI4">
        <f>COUNTIF(tblAssessments[Year Group],"Year 8")</f>
        <v>5</v>
      </c>
      <c r="AK4" t="str">
        <f>IF(AA4="","",IF(AD4&lt;&gt;"",AD4,LEFT(AA4,14)))</f>
        <v>4C09</v>
      </c>
      <c r="AL4">
        <f>IF(AA4="",NA(),IFERROR(AVERAGE(INDEX(dData,0,MATCH(AA4&amp;CHAR(10)&amp;"Stanine",dHdr,0))),NA()))</f>
        <v>4.93814432989691</v>
      </c>
      <c r="AM4">
        <f>IF(OR(AA4="",SelClass=""),NA(),IFERROR(AVERAGEIFS(INDEX(dData,0,MATCH(AA4&amp;CHAR(10)&amp;"Stanine",dHdr,0)),dClass,SelClass),NA()))</f>
        <v>6.53846153846154</v>
      </c>
      <c r="AO4" t="str">
        <f>Y3</f>
        <v>11S/Sc1</v>
      </c>
      <c r="AP4" s="84">
        <f>IF(AO4="",NA(),IFERROR(AVERAGEIFS(dRaw,dClass,AO4)/dMax,NA()))</f>
        <v>0.654684095860566</v>
      </c>
      <c r="AR4" t="n">
        <v>2</v>
      </c>
      <c r="AS4" s="84">
        <f>IFERROR(COUNTIF(dStn,AR4)/COUNT(dStn),0)</f>
        <v>0.12</v>
      </c>
      <c r="AT4" s="84" t="n">
        <v>0.07000000000000001</v>
      </c>
      <c r="BL4">
        <f>IFERROR(MATCH(SMALL($BJ$70:$BJ$669,2),$BJ$70:$BJ$669,0),"")</f>
        <v>95</v>
      </c>
      <c r="BN4" s="31" t="inlineStr">
        <is>
          <t>Year 8</t>
        </is>
      </c>
      <c r="BO4">
        <f>SUMPRODUCT(ISNUMBER(tblY8[[Avg KS2 Band]])*ISNUMBER(tblY8[[Mean Stanine]]))</f>
        <v>92</v>
      </c>
      <c r="BP4">
        <f>SUMPRODUCT(ISNUMBER(tblY8[[Avg KS2 Band]])*ISNUMBER(tblY8[[Mean Stanine]]),tblY8[[Avg KS2 Band]])</f>
        <v>464</v>
      </c>
      <c r="BQ4">
        <f>SUMPRODUCT(ISNUMBER(tblY8[[Avg KS2 Band]])*ISNUMBER(tblY8[[Mean Stanine]]),tblY8[[Mean Stanine]])</f>
        <v>457.766666666667</v>
      </c>
      <c r="BR4">
        <f>SUMPRODUCT(ISNUMBER(tblY8[[Avg KS2 Band]])*ISNUMBER(tblY8[[Mean Stanine]]),tblY8[[Avg KS2 Band]],tblY8[[Avg KS2 Band]])</f>
        <v>2702</v>
      </c>
      <c r="BS4">
        <f>SUMPRODUCT(ISNUMBER(tblY8[[Avg KS2 Band]])*ISNUMBER(tblY8[[Mean Stanine]]),tblY8[[Avg KS2 Band]],tblY8[[Mean Stanine]])</f>
        <v>2590.56666666667</v>
      </c>
      <c r="BT4">
        <f>IF(BO4&lt;10,"",IFERROR(MAX(0,MIN(1,(BO4*BS4-BP4*BQ4)/(BO4*BR4-BP4^2))),""))</f>
        <v>0.778911319394376</v>
      </c>
      <c r="BU4">
        <f>IF(BT4="","",(BQ4-BT4*BP4)/BO4)</f>
        <v>1.04730233117039</v>
      </c>
      <c r="BW4">
        <f>IF(OR($AA4="",$Y$3=""),"",IFERROR((COUNTIFS(dClass,$Y$3,INDEX(dData,0,MATCH($AA4&amp;CHAR(10)&amp;"Raw Score",dHdr,0)),"&gt;=0")+COUNTIFS(dClass,$Y$3,INDEX(dData,0,MATCH($AA4&amp;CHAR(10)&amp;"Raw Score",dHdr,0)),"A"))/COUNTIF(dClass,$Y$3),""))</f>
        <v>1</v>
      </c>
      <c r="BX4">
        <f>IF(OR($AA4="",$Y$4=""),"",IFERROR((COUNTIFS(dClass,$Y$4,INDEX(dData,0,MATCH($AA4&amp;CHAR(10)&amp;"Raw Score",dHdr,0)),"&gt;=0")+COUNTIFS(dClass,$Y$4,INDEX(dData,0,MATCH($AA4&amp;CHAR(10)&amp;"Raw Score",dHdr,0)),"A"))/COUNTIF(dClass,$Y$4),""))</f>
        <v>1</v>
      </c>
      <c r="BY4">
        <f>IF(OR($AA4="",$Y$5=""),"",IFERROR((COUNTIFS(dClass,$Y$5,INDEX(dData,0,MATCH($AA4&amp;CHAR(10)&amp;"Raw Score",dHdr,0)),"&gt;=0")+COUNTIFS(dClass,$Y$5,INDEX(dData,0,MATCH($AA4&amp;CHAR(10)&amp;"Raw Score",dHdr,0)),"A"))/COUNTIF(dClass,$Y$5),""))</f>
        <v>1</v>
      </c>
      <c r="BZ4">
        <f>IF(OR($AA4="",$Y$6=""),"",IFERROR((COUNTIFS(dClass,$Y$6,INDEX(dData,0,MATCH($AA4&amp;CHAR(10)&amp;"Raw Score",dHdr,0)),"&gt;=0")+COUNTIFS(dClass,$Y$6,INDEX(dData,0,MATCH($AA4&amp;CHAR(10)&amp;"Raw Score",dHdr,0)),"A"))/COUNTIF(dClass,$Y$6),""))</f>
        <v>1</v>
      </c>
      <c r="CA4">
        <f>IF(OR($AA4="",$Y$7=""),"",IFERROR((COUNTIFS(dClass,$Y$7,INDEX(dData,0,MATCH($AA4&amp;CHAR(10)&amp;"Raw Score",dHdr,0)),"&gt;=0")+COUNTIFS(dClass,$Y$7,INDEX(dData,0,MATCH($AA4&amp;CHAR(10)&amp;"Raw Score",dHdr,0)),"A"))/COUNTIF(dClass,$Y$7),""))</f>
        <v>1</v>
      </c>
      <c r="CB4">
        <f>IF(OR($AA4="",$Y$8=""),"",IFERROR((COUNTIFS(dClass,$Y$8,INDEX(dData,0,MATCH($AA4&amp;CHAR(10)&amp;"Raw Score",dHdr,0)),"&gt;=0")+COUNTIFS(dClass,$Y$8,INDEX(dData,0,MATCH($AA4&amp;CHAR(10)&amp;"Raw Score",dHdr,0)),"A"))/COUNTIF(dClass,$Y$8),""))</f>
        <v>1</v>
      </c>
      <c r="CC4" t="str">
        <f>IF(OR($AA4="",$Y$9=""),"",IFERROR((COUNTIFS(dClass,$Y$9,INDEX(dData,0,MATCH($AA4&amp;CHAR(10)&amp;"Raw Score",dHdr,0)),"&gt;=0")+COUNTIFS(dClass,$Y$9,INDEX(dData,0,MATCH($AA4&amp;CHAR(10)&amp;"Raw Score",dHdr,0)),"A"))/COUNTIF(dClass,$Y$9),""))</f>
        <v/>
      </c>
      <c r="CD4" t="str">
        <f>IF(OR($AA4="",$Y$10=""),"",IFERROR((COUNTIFS(dClass,$Y$10,INDEX(dData,0,MATCH($AA4&amp;CHAR(10)&amp;"Raw Score",dHdr,0)),"&gt;=0")+COUNTIFS(dClass,$Y$10,INDEX(dData,0,MATCH($AA4&amp;CHAR(10)&amp;"Raw Score",dHdr,0)),"A"))/COUNTIF(dClass,$Y$10),""))</f>
        <v/>
      </c>
    </row>
    <row r="5">
      <c r="B5" s="31" t="inlineStr">
        <is>
          <t>Year 9</t>
        </is>
      </c>
      <c r="C5" s="31" t="inlineStr">
        <is>
          <t>tblY9</t>
        </is>
      </c>
      <c r="E5" s="31" t="inlineStr">
        <is>
          <t>Completion %</t>
        </is>
      </c>
      <c r="S5" t="str">
        <f>IFERROR(INDEX(H$10:H$609,MATCH(SMALL(I$10:I$609,3),I$10:I$609,0)),"")</f>
        <v>7B/Sc1</v>
      </c>
      <c r="T5" t="str">
        <f>IFERROR(INDEX(J$10:J$609,MATCH(SMALL(K$10:K$609,3),K$10:K$609,0)),"")</f>
        <v>8A/Sc3</v>
      </c>
      <c r="U5" t="str">
        <f>IFERROR(INDEX(L$10:L$609,MATCH(SMALL(M$10:M$609,3),M$10:M$609,0)),"")</f>
        <v>9A/Sc3</v>
      </c>
      <c r="V5" t="str">
        <f>IFERROR(INDEX(N$10:N$609,MATCH(SMALL(O$10:O$609,3),O$10:O$609,0)),"")</f>
        <v>10S/Sc3</v>
      </c>
      <c r="W5" t="str">
        <f>IFERROR(INDEX(P$10:P$609,MATCH(SMALL(Q$10:Q$609,3),Q$10:Q$609,0)),"")</f>
        <v>11S/Sc3</v>
      </c>
      <c r="Y5" t="str">
        <f>IFERROR(INDEX($S5:$W5,dYear),"")</f>
        <v>11S/Sc3</v>
      </c>
      <c r="AA5" t="str">
        <f>IFERROR(INDEX(tblAssessments[Test Name],MATCH(SelYear&amp;"|"&amp;3,tblAssessments[Seq Key],0))&amp;"","")</f>
        <v>4P06 - Waves</v>
      </c>
      <c r="AB5">
        <f>IF(AA5="","",IFERROR(INDEX(tblAssessments[Max Marks],MATCH(SelYear&amp;"|"&amp;3,tblAssessments[Seq Key],0)),""))</f>
        <v>38</v>
      </c>
      <c r="AC5" s="83">
        <f>IF(AA5="","",IFERROR(IF(INDEX(tblAssessments[Date],MATCH(SelYear&amp;"|"&amp;3,tblAssessments[Seq Key],0))="","",INDEX(tblAssessments[Date],MATCH(SelYear&amp;"|"&amp;3,tblAssessments[Seq Key],0))),""))</f>
        <v>46319.0</v>
      </c>
      <c r="AD5" t="str">
        <f>IF(AA5="","",IFERROR(INDEX(tblAssessments[Code],MATCH(SelYear&amp;"|"&amp;3,tblAssessments[Seq Key],0))&amp;"",""))</f>
        <v>4P06</v>
      </c>
      <c r="AF5" t="str">
        <f>IF(COUNTIF(tblAssessments[Year Group],"Year 9")=0,"",IFERROR(INDEX(tblAssessments[Test Name],MATCH("Year 9|"&amp;COUNTIF(tblAssessments[Year Group],"Year 9"),tblAssessments[Seq Key],0)),""))</f>
        <v>9B02 - Ecology</v>
      </c>
      <c r="AG5">
        <f>IF(AF5="","",IFERROR(INDEX(tblAssessments[Max Marks],MATCH("Year 9|"&amp;COUNTIF(tblAssessments[Year Group],"Year 9"),tblAssessments[Seq Key],0)),""))</f>
        <v>25</v>
      </c>
      <c r="AH5" s="83">
        <f>IF(AF5="","",IFERROR(IF(INDEX(tblAssessments[Date],MATCH("Year 9|"&amp;COUNTIF(tblAssessments[Year Group],"Year 9"),tblAssessments[Seq Key],0))="","",INDEX(tblAssessments[Date],MATCH("Year 9|"&amp;COUNTIF(tblAssessments[Year Group],"Year 9"),tblAssessments[Seq Key],0))),""))</f>
        <v>46331.0</v>
      </c>
      <c r="AI5">
        <f>COUNTIF(tblAssessments[Year Group],"Year 9")</f>
        <v>4</v>
      </c>
      <c r="AK5" t="str">
        <f>IF(AA5="","",IF(AD5&lt;&gt;"",AD5,LEFT(AA5,14)))</f>
        <v>4P06</v>
      </c>
      <c r="AL5">
        <f>IF(AA5="",NA(),IFERROR(AVERAGE(INDEX(dData,0,MATCH(AA5&amp;CHAR(10)&amp;"Stanine",dHdr,0))),NA()))</f>
        <v>5.0188679245283</v>
      </c>
      <c r="AM5">
        <f>IF(OR(AA5="",SelClass=""),NA(),IFERROR(AVERAGEIFS(INDEX(dData,0,MATCH(AA5&amp;CHAR(10)&amp;"Stanine",dHdr,0)),dClass,SelClass),NA()))</f>
        <v>6.92857142857143</v>
      </c>
      <c r="AO5" t="str">
        <f>Y4</f>
        <v>11S/Sc2</v>
      </c>
      <c r="AP5" s="84">
        <f>IF(AO5="",NA(),IFERROR(AVERAGEIFS(dRaw,dClass,AO5)/dMax,NA()))</f>
        <v>0.473039215686275</v>
      </c>
      <c r="AR5" t="n">
        <v>3</v>
      </c>
      <c r="AS5" s="84">
        <f>IFERROR(COUNTIF(dStn,AR5)/COUNT(dStn),0)</f>
        <v>0.09</v>
      </c>
      <c r="AT5" s="84" t="n">
        <v>0.12</v>
      </c>
      <c r="BL5">
        <f>IFERROR(MATCH(SMALL($BJ$70:$BJ$669,3),$BJ$70:$BJ$669,0),"")</f>
        <v>41</v>
      </c>
      <c r="BN5" s="31" t="inlineStr">
        <is>
          <t>Year 9</t>
        </is>
      </c>
      <c r="BO5">
        <f>SUMPRODUCT(ISNUMBER(tblY9[[Avg KS2 Band]])*ISNUMBER(tblY9[[Mean Stanine]]))</f>
        <v>125</v>
      </c>
      <c r="BP5">
        <f>SUMPRODUCT(ISNUMBER(tblY9[[Avg KS2 Band]])*ISNUMBER(tblY9[[Mean Stanine]]),tblY9[[Avg KS2 Band]])</f>
        <v>629</v>
      </c>
      <c r="BQ5">
        <f>SUMPRODUCT(ISNUMBER(tblY9[[Avg KS2 Band]])*ISNUMBER(tblY9[[Mean Stanine]]),tblY9[[Mean Stanine]])</f>
        <v>637.25</v>
      </c>
      <c r="BR5">
        <f>SUMPRODUCT(ISNUMBER(tblY9[[Avg KS2 Band]])*ISNUMBER(tblY9[[Mean Stanine]]),tblY9[[Avg KS2 Band]],tblY9[[Avg KS2 Band]])</f>
        <v>3609</v>
      </c>
      <c r="BS5">
        <f>SUMPRODUCT(ISNUMBER(tblY9[[Avg KS2 Band]])*ISNUMBER(tblY9[[Mean Stanine]]),tblY9[[Avg KS2 Band]],tblY9[[Mean Stanine]])</f>
        <v>3545.5</v>
      </c>
      <c r="BT5">
        <f>IF(BO5&lt;10,"",IFERROR(MAX(0,MIN(1,(BO5*BS5-BP5*BQ5)/(BO5*BR5-BP5^2))),""))</f>
        <v>0.763413776944705</v>
      </c>
      <c r="BU5">
        <f>IF(BT5="","",(BQ5-BT5*BP5)/BO5)</f>
        <v>1.25650187441425</v>
      </c>
      <c r="BW5">
        <f>IF(OR($AA5="",$Y$3=""),"",IFERROR((COUNTIFS(dClass,$Y$3,INDEX(dData,0,MATCH($AA5&amp;CHAR(10)&amp;"Raw Score",dHdr,0)),"&gt;=0")+COUNTIFS(dClass,$Y$3,INDEX(dData,0,MATCH($AA5&amp;CHAR(10)&amp;"Raw Score",dHdr,0)),"A"))/COUNTIF(dClass,$Y$3),""))</f>
        <v>1</v>
      </c>
      <c r="BX5">
        <f>IF(OR($AA5="",$Y$4=""),"",IFERROR((COUNTIFS(dClass,$Y$4,INDEX(dData,0,MATCH($AA5&amp;CHAR(10)&amp;"Raw Score",dHdr,0)),"&gt;=0")+COUNTIFS(dClass,$Y$4,INDEX(dData,0,MATCH($AA5&amp;CHAR(10)&amp;"Raw Score",dHdr,0)),"A"))/COUNTIF(dClass,$Y$4),""))</f>
        <v>1</v>
      </c>
      <c r="BY5">
        <f>IF(OR($AA5="",$Y$5=""),"",IFERROR((COUNTIFS(dClass,$Y$5,INDEX(dData,0,MATCH($AA5&amp;CHAR(10)&amp;"Raw Score",dHdr,0)),"&gt;=0")+COUNTIFS(dClass,$Y$5,INDEX(dData,0,MATCH($AA5&amp;CHAR(10)&amp;"Raw Score",dHdr,0)),"A"))/COUNTIF(dClass,$Y$5),""))</f>
        <v>1</v>
      </c>
      <c r="BZ5">
        <f>IF(OR($AA5="",$Y$6=""),"",IFERROR((COUNTIFS(dClass,$Y$6,INDEX(dData,0,MATCH($AA5&amp;CHAR(10)&amp;"Raw Score",dHdr,0)),"&gt;=0")+COUNTIFS(dClass,$Y$6,INDEX(dData,0,MATCH($AA5&amp;CHAR(10)&amp;"Raw Score",dHdr,0)),"A"))/COUNTIF(dClass,$Y$6),""))</f>
        <v>1</v>
      </c>
      <c r="CA5">
        <f>IF(OR($AA5="",$Y$7=""),"",IFERROR((COUNTIFS(dClass,$Y$7,INDEX(dData,0,MATCH($AA5&amp;CHAR(10)&amp;"Raw Score",dHdr,0)),"&gt;=0")+COUNTIFS(dClass,$Y$7,INDEX(dData,0,MATCH($AA5&amp;CHAR(10)&amp;"Raw Score",dHdr,0)),"A"))/COUNTIF(dClass,$Y$7),""))</f>
        <v>1</v>
      </c>
      <c r="CB5">
        <f>IF(OR($AA5="",$Y$8=""),"",IFERROR((COUNTIFS(dClass,$Y$8,INDEX(dData,0,MATCH($AA5&amp;CHAR(10)&amp;"Raw Score",dHdr,0)),"&gt;=0")+COUNTIFS(dClass,$Y$8,INDEX(dData,0,MATCH($AA5&amp;CHAR(10)&amp;"Raw Score",dHdr,0)),"A"))/COUNTIF(dClass,$Y$8),""))</f>
        <v>1</v>
      </c>
      <c r="CC5" t="str">
        <f>IF(OR($AA5="",$Y$9=""),"",IFERROR((COUNTIFS(dClass,$Y$9,INDEX(dData,0,MATCH($AA5&amp;CHAR(10)&amp;"Raw Score",dHdr,0)),"&gt;=0")+COUNTIFS(dClass,$Y$9,INDEX(dData,0,MATCH($AA5&amp;CHAR(10)&amp;"Raw Score",dHdr,0)),"A"))/COUNTIF(dClass,$Y$9),""))</f>
        <v/>
      </c>
      <c r="CD5" t="str">
        <f>IF(OR($AA5="",$Y$10=""),"",IFERROR((COUNTIFS(dClass,$Y$10,INDEX(dData,0,MATCH($AA5&amp;CHAR(10)&amp;"Raw Score",dHdr,0)),"&gt;=0")+COUNTIFS(dClass,$Y$10,INDEX(dData,0,MATCH($AA5&amp;CHAR(10)&amp;"Raw Score",dHdr,0)),"A"))/COUNTIF(dClass,$Y$10),""))</f>
        <v/>
      </c>
    </row>
    <row r="6">
      <c r="B6" s="31" t="inlineStr">
        <is>
          <t>Year 10</t>
        </is>
      </c>
      <c r="C6" s="31" t="inlineStr">
        <is>
          <t>tblY10</t>
        </is>
      </c>
      <c r="S6" t="str">
        <f>IFERROR(INDEX(H$10:H$609,MATCH(SMALL(I$10:I$609,4),I$10:I$609,0)),"")</f>
        <v>7B/Sc2</v>
      </c>
      <c r="T6" t="str">
        <f>IFERROR(INDEX(J$10:J$609,MATCH(SMALL(K$10:K$609,4),K$10:K$609,0)),"")</f>
        <v>8A/Sc4</v>
      </c>
      <c r="U6" t="str">
        <f>IFERROR(INDEX(L$10:L$609,MATCH(SMALL(M$10:M$609,4),M$10:M$609,0)),"")</f>
        <v>9B/Sc1</v>
      </c>
      <c r="V6" t="str">
        <f>IFERROR(INDEX(N$10:N$609,MATCH(SMALL(O$10:O$609,4),O$10:O$609,0)),"")</f>
        <v>10S/Sc4</v>
      </c>
      <c r="W6" t="str">
        <f>IFERROR(INDEX(P$10:P$609,MATCH(SMALL(Q$10:Q$609,4),Q$10:Q$609,0)),"")</f>
        <v>11S/Sc4</v>
      </c>
      <c r="Y6" t="str">
        <f>IFERROR(INDEX($S6:$W6,dYear),"")</f>
        <v>11S/Sc4</v>
      </c>
      <c r="AA6" t="str">
        <f>IFERROR(INDEX(tblAssessments[Test Name],MATCH(SelYear&amp;"|"&amp;4,tblAssessments[Seq Key],0))&amp;"","")</f>
        <v>4B06 - Inheritance</v>
      </c>
      <c r="AB6">
        <f>IF(AA6="","",IFERROR(INDEX(tblAssessments[Max Marks],MATCH(SelYear&amp;"|"&amp;4,tblAssessments[Seq Key],0)),""))</f>
        <v>42</v>
      </c>
      <c r="AC6" s="83">
        <f>IF(AA6="","",IFERROR(IF(INDEX(tblAssessments[Date],MATCH(SelYear&amp;"|"&amp;4,tblAssessments[Seq Key],0))="","",INDEX(tblAssessments[Date],MATCH(SelYear&amp;"|"&amp;4,tblAssessments[Seq Key],0))),""))</f>
        <v>46333.0</v>
      </c>
      <c r="AD6" t="str">
        <f>IF(AA6="","",IFERROR(INDEX(tblAssessments[Code],MATCH(SelYear&amp;"|"&amp;4,tblAssessments[Seq Key],0))&amp;"",""))</f>
        <v>4B06</v>
      </c>
      <c r="AF6" t="str">
        <f>IF(COUNTIF(tblAssessments[Year Group],"Year 10")=0,"",IFERROR(INDEX(tblAssessments[Test Name],MATCH("Year 10|"&amp;COUNTIF(tblAssessments[Year Group],"Year 10"),tblAssessments[Seq Key],0)),""))</f>
        <v>4C02 - Bonding</v>
      </c>
      <c r="AG6">
        <f>IF(AF6="","",IFERROR(INDEX(tblAssessments[Max Marks],MATCH("Year 10|"&amp;COUNTIF(tblAssessments[Year Group],"Year 10"),tblAssessments[Seq Key],0)),""))</f>
        <v>38</v>
      </c>
      <c r="AH6" s="83">
        <f>IF(AF6="","",IFERROR(IF(INDEX(tblAssessments[Date],MATCH("Year 10|"&amp;COUNTIF(tblAssessments[Year Group],"Year 10"),tblAssessments[Seq Key],0))="","",INDEX(tblAssessments[Date],MATCH("Year 10|"&amp;COUNTIF(tblAssessments[Year Group],"Year 10"),tblAssessments[Seq Key],0))),""))</f>
        <v>46346.0</v>
      </c>
      <c r="AI6">
        <f>COUNTIF(tblAssessments[Year Group],"Year 10")</f>
        <v>5</v>
      </c>
      <c r="AK6" t="str">
        <f>IF(AA6="","",IF(AD6&lt;&gt;"",AD6,LEFT(AA6,14)))</f>
        <v>4B06</v>
      </c>
      <c r="AL6">
        <f>IF(AA6="",NA(),IFERROR(AVERAGE(INDEX(dData,0,MATCH(AA6&amp;CHAR(10)&amp;"Stanine",dHdr,0))),NA()))</f>
        <v>4.98039215686275</v>
      </c>
      <c r="AM6">
        <f>IF(OR(AA6="",SelClass=""),NA(),IFERROR(AVERAGEIFS(INDEX(dData,0,MATCH(AA6&amp;CHAR(10)&amp;"Stanine",dHdr,0)),dClass,SelClass),NA()))</f>
        <v>6.92592592592593</v>
      </c>
      <c r="AO6" t="str">
        <f>Y5</f>
        <v>11S/Sc3</v>
      </c>
      <c r="AP6" s="84">
        <f>IF(AO6="",NA(),IFERROR(AVERAGEIFS(dRaw,dClass,AO6)/dMax,NA()))</f>
        <v>0.436764705882353</v>
      </c>
      <c r="AR6" t="n">
        <v>4</v>
      </c>
      <c r="AS6" s="84">
        <f>IFERROR(COUNTIF(dStn,AR6)/COUNT(dStn),0)</f>
        <v>0.16</v>
      </c>
      <c r="AT6" s="84" t="n">
        <v>0.17</v>
      </c>
      <c r="BL6">
        <f>IFERROR(MATCH(SMALL($BJ$70:$BJ$669,4),$BJ$70:$BJ$669,0),"")</f>
        <v>89</v>
      </c>
      <c r="BN6" s="31" t="inlineStr">
        <is>
          <t>Year 10</t>
        </is>
      </c>
      <c r="BO6">
        <f>SUMPRODUCT(ISNUMBER(tblY10[[Avg KS2 Band]])*ISNUMBER(tblY10[[Mean Stanine]]))</f>
        <v>116</v>
      </c>
      <c r="BP6">
        <f>SUMPRODUCT(ISNUMBER(tblY10[[Avg KS2 Band]])*ISNUMBER(tblY10[[Mean Stanine]]),tblY10[[Avg KS2 Band]])</f>
        <v>582</v>
      </c>
      <c r="BQ6">
        <f>SUMPRODUCT(ISNUMBER(tblY10[[Avg KS2 Band]])*ISNUMBER(tblY10[[Mean Stanine]]),tblY10[[Mean Stanine]])</f>
        <v>574.683333333333</v>
      </c>
      <c r="BR6">
        <f>SUMPRODUCT(ISNUMBER(tblY10[[Avg KS2 Band]])*ISNUMBER(tblY10[[Mean Stanine]]),tblY10[[Avg KS2 Band]],tblY10[[Avg KS2 Band]])</f>
        <v>3388</v>
      </c>
      <c r="BS6">
        <f>SUMPRODUCT(ISNUMBER(tblY10[[Avg KS2 Band]])*ISNUMBER(tblY10[[Mean Stanine]]),tblY10[[Avg KS2 Band]],tblY10[[Mean Stanine]])</f>
        <v>3264.25</v>
      </c>
      <c r="BT6">
        <f>IF(BO6&lt;10,"",IFERROR(MAX(0,MIN(1,(BO6*BS6-BP6*BQ6)/(BO6*BR6-BP6^2))),""))</f>
        <v>0.814002284282662</v>
      </c>
      <c r="BU6">
        <f>IF(BT6="","",(BQ6-BT6*BP6)/BO6)</f>
        <v>0.87012072311055</v>
      </c>
      <c r="BW6">
        <f>IF(OR($AA6="",$Y$3=""),"",IFERROR((COUNTIFS(dClass,$Y$3,INDEX(dData,0,MATCH($AA6&amp;CHAR(10)&amp;"Raw Score",dHdr,0)),"&gt;=0")+COUNTIFS(dClass,$Y$3,INDEX(dData,0,MATCH($AA6&amp;CHAR(10)&amp;"Raw Score",dHdr,0)),"A"))/COUNTIF(dClass,$Y$3),""))</f>
        <v>1</v>
      </c>
      <c r="BX6">
        <f>IF(OR($AA6="",$Y$4=""),"",IFERROR((COUNTIFS(dClass,$Y$4,INDEX(dData,0,MATCH($AA6&amp;CHAR(10)&amp;"Raw Score",dHdr,0)),"&gt;=0")+COUNTIFS(dClass,$Y$4,INDEX(dData,0,MATCH($AA6&amp;CHAR(10)&amp;"Raw Score",dHdr,0)),"A"))/COUNTIF(dClass,$Y$4),""))</f>
        <v>1</v>
      </c>
      <c r="BY6">
        <f>IF(OR($AA6="",$Y$5=""),"",IFERROR((COUNTIFS(dClass,$Y$5,INDEX(dData,0,MATCH($AA6&amp;CHAR(10)&amp;"Raw Score",dHdr,0)),"&gt;=0")+COUNTIFS(dClass,$Y$5,INDEX(dData,0,MATCH($AA6&amp;CHAR(10)&amp;"Raw Score",dHdr,0)),"A"))/COUNTIF(dClass,$Y$5),""))</f>
        <v>1</v>
      </c>
      <c r="BZ6">
        <f>IF(OR($AA6="",$Y$6=""),"",IFERROR((COUNTIFS(dClass,$Y$6,INDEX(dData,0,MATCH($AA6&amp;CHAR(10)&amp;"Raw Score",dHdr,0)),"&gt;=0")+COUNTIFS(dClass,$Y$6,INDEX(dData,0,MATCH($AA6&amp;CHAR(10)&amp;"Raw Score",dHdr,0)),"A"))/COUNTIF(dClass,$Y$6),""))</f>
        <v>1</v>
      </c>
      <c r="CA6">
        <f>IF(OR($AA6="",$Y$7=""),"",IFERROR((COUNTIFS(dClass,$Y$7,INDEX(dData,0,MATCH($AA6&amp;CHAR(10)&amp;"Raw Score",dHdr,0)),"&gt;=0")+COUNTIFS(dClass,$Y$7,INDEX(dData,0,MATCH($AA6&amp;CHAR(10)&amp;"Raw Score",dHdr,0)),"A"))/COUNTIF(dClass,$Y$7),""))</f>
        <v>1</v>
      </c>
      <c r="CB6">
        <f>IF(OR($AA6="",$Y$8=""),"",IFERROR((COUNTIFS(dClass,$Y$8,INDEX(dData,0,MATCH($AA6&amp;CHAR(10)&amp;"Raw Score",dHdr,0)),"&gt;=0")+COUNTIFS(dClass,$Y$8,INDEX(dData,0,MATCH($AA6&amp;CHAR(10)&amp;"Raw Score",dHdr,0)),"A"))/COUNTIF(dClass,$Y$8),""))</f>
        <v>1</v>
      </c>
      <c r="CC6" t="str">
        <f>IF(OR($AA6="",$Y$9=""),"",IFERROR((COUNTIFS(dClass,$Y$9,INDEX(dData,0,MATCH($AA6&amp;CHAR(10)&amp;"Raw Score",dHdr,0)),"&gt;=0")+COUNTIFS(dClass,$Y$9,INDEX(dData,0,MATCH($AA6&amp;CHAR(10)&amp;"Raw Score",dHdr,0)),"A"))/COUNTIF(dClass,$Y$9),""))</f>
        <v/>
      </c>
      <c r="CD6" t="str">
        <f>IF(OR($AA6="",$Y$10=""),"",IFERROR((COUNTIFS(dClass,$Y$10,INDEX(dData,0,MATCH($AA6&amp;CHAR(10)&amp;"Raw Score",dHdr,0)),"&gt;=0")+COUNTIFS(dClass,$Y$10,INDEX(dData,0,MATCH($AA6&amp;CHAR(10)&amp;"Raw Score",dHdr,0)),"A"))/COUNTIF(dClass,$Y$10),""))</f>
        <v/>
      </c>
    </row>
    <row r="7">
      <c r="B7" s="31" t="inlineStr">
        <is>
          <t>Year 11</t>
        </is>
      </c>
      <c r="C7" s="31" t="inlineStr">
        <is>
          <t>tblY11</t>
        </is>
      </c>
      <c r="S7" t="str">
        <f>IFERROR(INDEX(H$10:H$609,MATCH(SMALL(I$10:I$609,5),I$10:I$609,0)),"")</f>
        <v>7B/Sc3</v>
      </c>
      <c r="T7" t="str">
        <f>IFERROR(INDEX(J$10:J$609,MATCH(SMALL(K$10:K$609,5),K$10:K$609,0)),"")</f>
        <v>Science Support</v>
      </c>
      <c r="U7" t="str">
        <f>IFERROR(INDEX(L$10:L$609,MATCH(SMALL(M$10:M$609,5),M$10:M$609,0)),"")</f>
        <v>9B/Sc2</v>
      </c>
      <c r="V7" t="str">
        <f>IFERROR(INDEX(N$10:N$609,MATCH(SMALL(O$10:O$609,5),O$10:O$609,0)),"")</f>
        <v>10S/Sc5</v>
      </c>
      <c r="W7" t="str">
        <f>IFERROR(INDEX(P$10:P$609,MATCH(SMALL(Q$10:Q$609,5),Q$10:Q$609,0)),"")</f>
        <v>11S/Sc5</v>
      </c>
      <c r="Y7" t="str">
        <f>IFERROR(INDEX($S7:$W7,dYear),"")</f>
        <v>11S/Sc5</v>
      </c>
      <c r="AA7" t="str">
        <f>IFERROR(INDEX(tblAssessments[Test Name],MATCH(SelYear&amp;"|"&amp;5,tblAssessments[Seq Key],0))&amp;"","")</f>
        <v>4C10 - Chemical Analysis</v>
      </c>
      <c r="AB7">
        <f>IF(AA7="","",IFERROR(INDEX(tblAssessments[Max Marks],MATCH(SelYear&amp;"|"&amp;5,tblAssessments[Seq Key],0)),""))</f>
        <v>30</v>
      </c>
      <c r="AC7" s="83">
        <f>IF(AA7="","",IFERROR(IF(INDEX(tblAssessments[Date],MATCH(SelYear&amp;"|"&amp;5,tblAssessments[Seq Key],0))="","",INDEX(tblAssessments[Date],MATCH(SelYear&amp;"|"&amp;5,tblAssessments[Seq Key],0))),""))</f>
        <v>46347.0</v>
      </c>
      <c r="AD7" t="str">
        <f>IF(AA7="","",IFERROR(INDEX(tblAssessments[Code],MATCH(SelYear&amp;"|"&amp;5,tblAssessments[Seq Key],0))&amp;"",""))</f>
        <v>4C10</v>
      </c>
      <c r="AF7" t="str">
        <f>IF(COUNTIF(tblAssessments[Year Group],"Year 11")=0,"",IFERROR(INDEX(tblAssessments[Test Name],MATCH("Year 11|"&amp;COUNTIF(tblAssessments[Year Group],"Year 11"),tblAssessments[Seq Key],0)),""))</f>
        <v>4P07 - Magnetism</v>
      </c>
      <c r="AG7">
        <f>IF(AF7="","",IFERROR(INDEX(tblAssessments[Max Marks],MATCH("Year 11|"&amp;COUNTIF(tblAssessments[Year Group],"Year 11"),tblAssessments[Seq Key],0)),""))</f>
        <v>34</v>
      </c>
      <c r="AH7" s="83">
        <f>IF(AF7="","",IFERROR(IF(INDEX(tblAssessments[Date],MATCH("Year 11|"&amp;COUNTIF(tblAssessments[Year Group],"Year 11"),tblAssessments[Seq Key],0))="","",INDEX(tblAssessments[Date],MATCH("Year 11|"&amp;COUNTIF(tblAssessments[Year Group],"Year 11"),tblAssessments[Seq Key],0))),""))</f>
        <v>46361.0</v>
      </c>
      <c r="AI7">
        <f>COUNTIF(tblAssessments[Year Group],"Year 11")</f>
        <v>6</v>
      </c>
      <c r="AK7" t="str">
        <f>IF(AA7="","",IF(AD7&lt;&gt;"",AD7,LEFT(AA7,14)))</f>
        <v>4C10</v>
      </c>
      <c r="AL7">
        <f>IF(AA7="",NA(),IFERROR(AVERAGE(INDEX(dData,0,MATCH(AA7&amp;CHAR(10)&amp;"Stanine",dHdr,0))),NA()))</f>
        <v>5.01904761904762</v>
      </c>
      <c r="AM7">
        <f>IF(OR(AA7="",SelClass=""),NA(),IFERROR(AVERAGEIFS(INDEX(dData,0,MATCH(AA7&amp;CHAR(10)&amp;"Stanine",dHdr,0)),dClass,SelClass),NA()))</f>
        <v>6.71428571428571</v>
      </c>
      <c r="AO7" t="str">
        <f>Y6</f>
        <v>11S/Sc4</v>
      </c>
      <c r="AP7" s="84">
        <f>IF(AO7="",NA(),IFERROR(AVERAGEIFS(dRaw,dClass,AO7)/dMax,NA()))</f>
        <v>0.343137254901961</v>
      </c>
      <c r="AR7" t="n">
        <v>5</v>
      </c>
      <c r="AS7" s="84">
        <f>IFERROR(COUNTIF(dStn,AR7)/COUNT(dStn),0)</f>
        <v>0.23</v>
      </c>
      <c r="AT7" s="84" t="n">
        <v>0.2</v>
      </c>
      <c r="BL7">
        <f>IFERROR(MATCH(SMALL($BJ$70:$BJ$669,5),$BJ$70:$BJ$669,0),"")</f>
        <v>83</v>
      </c>
      <c r="BN7" s="31" t="inlineStr">
        <is>
          <t>Year 11</t>
        </is>
      </c>
      <c r="BO7">
        <f>SUMPRODUCT(ISNUMBER(tblY11[[Avg KS2 Band]])*ISNUMBER(tblY11[[Mean Stanine]]))</f>
        <v>105</v>
      </c>
      <c r="BP7">
        <f>SUMPRODUCT(ISNUMBER(tblY11[[Avg KS2 Band]])*ISNUMBER(tblY11[[Mean Stanine]]),tblY11[[Avg KS2 Band]])</f>
        <v>525</v>
      </c>
      <c r="BQ7">
        <f>SUMPRODUCT(ISNUMBER(tblY11[[Avg KS2 Band]])*ISNUMBER(tblY11[[Mean Stanine]]),tblY11[[Mean Stanine]])</f>
        <v>520.033333333333</v>
      </c>
      <c r="BR7">
        <f>SUMPRODUCT(ISNUMBER(tblY11[[Avg KS2 Band]])*ISNUMBER(tblY11[[Mean Stanine]]),tblY11[[Avg KS2 Band]],tblY11[[Avg KS2 Band]])</f>
        <v>3065</v>
      </c>
      <c r="BS7">
        <f>SUMPRODUCT(ISNUMBER(tblY11[[Avg KS2 Band]])*ISNUMBER(tblY11[[Mean Stanine]]),tblY11[[Avg KS2 Band]],tblY11[[Mean Stanine]])</f>
        <v>2929.66666666667</v>
      </c>
      <c r="BT7">
        <f>IF(BO7&lt;10,"",IFERROR(MAX(0,MIN(1,(BO7*BS7-BP7*BQ7)/(BO7*BR7-BP7^2))),""))</f>
        <v>0.748863636363636</v>
      </c>
      <c r="BU7">
        <f>IF(BT7="","",(BQ7-BT7*BP7)/BO7)</f>
        <v>1.20838023088023</v>
      </c>
      <c r="BW7">
        <f>IF(OR($AA7="",$Y$3=""),"",IFERROR((COUNTIFS(dClass,$Y$3,INDEX(dData,0,MATCH($AA7&amp;CHAR(10)&amp;"Raw Score",dHdr,0)),"&gt;=0")+COUNTIFS(dClass,$Y$3,INDEX(dData,0,MATCH($AA7&amp;CHAR(10)&amp;"Raw Score",dHdr,0)),"A"))/COUNTIF(dClass,$Y$3),""))</f>
        <v>1</v>
      </c>
      <c r="BX7">
        <f>IF(OR($AA7="",$Y$4=""),"",IFERROR((COUNTIFS(dClass,$Y$4,INDEX(dData,0,MATCH($AA7&amp;CHAR(10)&amp;"Raw Score",dHdr,0)),"&gt;=0")+COUNTIFS(dClass,$Y$4,INDEX(dData,0,MATCH($AA7&amp;CHAR(10)&amp;"Raw Score",dHdr,0)),"A"))/COUNTIF(dClass,$Y$4),""))</f>
        <v>1</v>
      </c>
      <c r="BY7">
        <f>IF(OR($AA7="",$Y$5=""),"",IFERROR((COUNTIFS(dClass,$Y$5,INDEX(dData,0,MATCH($AA7&amp;CHAR(10)&amp;"Raw Score",dHdr,0)),"&gt;=0")+COUNTIFS(dClass,$Y$5,INDEX(dData,0,MATCH($AA7&amp;CHAR(10)&amp;"Raw Score",dHdr,0)),"A"))/COUNTIF(dClass,$Y$5),""))</f>
        <v>1</v>
      </c>
      <c r="BZ7">
        <f>IF(OR($AA7="",$Y$6=""),"",IFERROR((COUNTIFS(dClass,$Y$6,INDEX(dData,0,MATCH($AA7&amp;CHAR(10)&amp;"Raw Score",dHdr,0)),"&gt;=0")+COUNTIFS(dClass,$Y$6,INDEX(dData,0,MATCH($AA7&amp;CHAR(10)&amp;"Raw Score",dHdr,0)),"A"))/COUNTIF(dClass,$Y$6),""))</f>
        <v>1</v>
      </c>
      <c r="CA7">
        <f>IF(OR($AA7="",$Y$7=""),"",IFERROR((COUNTIFS(dClass,$Y$7,INDEX(dData,0,MATCH($AA7&amp;CHAR(10)&amp;"Raw Score",dHdr,0)),"&gt;=0")+COUNTIFS(dClass,$Y$7,INDEX(dData,0,MATCH($AA7&amp;CHAR(10)&amp;"Raw Score",dHdr,0)),"A"))/COUNTIF(dClass,$Y$7),""))</f>
        <v>1</v>
      </c>
      <c r="CB7">
        <f>IF(OR($AA7="",$Y$8=""),"",IFERROR((COUNTIFS(dClass,$Y$8,INDEX(dData,0,MATCH($AA7&amp;CHAR(10)&amp;"Raw Score",dHdr,0)),"&gt;=0")+COUNTIFS(dClass,$Y$8,INDEX(dData,0,MATCH($AA7&amp;CHAR(10)&amp;"Raw Score",dHdr,0)),"A"))/COUNTIF(dClass,$Y$8),""))</f>
        <v>1</v>
      </c>
      <c r="CC7" t="str">
        <f>IF(OR($AA7="",$Y$9=""),"",IFERROR((COUNTIFS(dClass,$Y$9,INDEX(dData,0,MATCH($AA7&amp;CHAR(10)&amp;"Raw Score",dHdr,0)),"&gt;=0")+COUNTIFS(dClass,$Y$9,INDEX(dData,0,MATCH($AA7&amp;CHAR(10)&amp;"Raw Score",dHdr,0)),"A"))/COUNTIF(dClass,$Y$9),""))</f>
        <v/>
      </c>
      <c r="CD7" t="str">
        <f>IF(OR($AA7="",$Y$10=""),"",IFERROR((COUNTIFS(dClass,$Y$10,INDEX(dData,0,MATCH($AA7&amp;CHAR(10)&amp;"Raw Score",dHdr,0)),"&gt;=0")+COUNTIFS(dClass,$Y$10,INDEX(dData,0,MATCH($AA7&amp;CHAR(10)&amp;"Raw Score",dHdr,0)),"A"))/COUNTIF(dClass,$Y$10),""))</f>
        <v/>
      </c>
    </row>
    <row r="8">
      <c r="S8" t="str">
        <f>IFERROR(INDEX(H$10:H$609,MATCH(SMALL(I$10:I$609,6),I$10:I$609,0)),"")</f>
        <v/>
      </c>
      <c r="T8" t="str">
        <f>IFERROR(INDEX(J$10:J$609,MATCH(SMALL(K$10:K$609,6),K$10:K$609,0)),"")</f>
        <v/>
      </c>
      <c r="U8" t="str">
        <f>IFERROR(INDEX(L$10:L$609,MATCH(SMALL(M$10:M$609,6),M$10:M$609,0)),"")</f>
        <v>Science Support</v>
      </c>
      <c r="V8" t="str">
        <f>IFERROR(INDEX(N$10:N$609,MATCH(SMALL(O$10:O$609,6),O$10:O$609,0)),"")</f>
        <v>Science Support</v>
      </c>
      <c r="W8" t="str">
        <f>IFERROR(INDEX(P$10:P$609,MATCH(SMALL(Q$10:Q$609,6),Q$10:Q$609,0)),"")</f>
        <v>Science Support</v>
      </c>
      <c r="Y8" t="str">
        <f>IFERROR(INDEX($S8:$W8,dYear),"")</f>
        <v>Science Support</v>
      </c>
      <c r="AA8" t="str">
        <f>IFERROR(INDEX(tblAssessments[Test Name],MATCH(SelYear&amp;"|"&amp;6,tblAssessments[Seq Key],0))&amp;"","")</f>
        <v>4P07 - Magnetism</v>
      </c>
      <c r="AB8">
        <f>IF(AA8="","",IFERROR(INDEX(tblAssessments[Max Marks],MATCH(SelYear&amp;"|"&amp;6,tblAssessments[Seq Key],0)),""))</f>
        <v>34</v>
      </c>
      <c r="AC8" s="83">
        <f>IF(AA8="","",IFERROR(IF(INDEX(tblAssessments[Date],MATCH(SelYear&amp;"|"&amp;6,tblAssessments[Seq Key],0))="","",INDEX(tblAssessments[Date],MATCH(SelYear&amp;"|"&amp;6,tblAssessments[Seq Key],0))),""))</f>
        <v>46361.0</v>
      </c>
      <c r="AD8" t="str">
        <f>IF(AA8="","",IFERROR(INDEX(tblAssessments[Code],MATCH(SelYear&amp;"|"&amp;6,tblAssessments[Seq Key],0))&amp;"",""))</f>
        <v>4P07</v>
      </c>
      <c r="AK8" t="str">
        <f>IF(AA8="","",IF(AD8&lt;&gt;"",AD8,LEFT(AA8,14)))</f>
        <v>4P07</v>
      </c>
      <c r="AL8">
        <f>IF(AA8="",NA(),IFERROR(AVERAGE(INDEX(dData,0,MATCH(AA8&amp;CHAR(10)&amp;"Stanine",dHdr,0))),NA()))</f>
        <v>5.01</v>
      </c>
      <c r="AM8">
        <f>IF(OR(AA8="",SelClass=""),NA(),IFERROR(AVERAGEIFS(INDEX(dData,0,MATCH(AA8&amp;CHAR(10)&amp;"Stanine",dHdr,0)),dClass,SelClass),NA()))</f>
        <v>6.77777777777778</v>
      </c>
      <c r="AO8" t="str">
        <f>Y7</f>
        <v>11S/Sc5</v>
      </c>
      <c r="AP8" s="84">
        <f>IF(AO8="",NA(),IFERROR(AVERAGEIFS(dRaw,dClass,AO8)/dMax,NA()))</f>
        <v>0.276960784313725</v>
      </c>
      <c r="AR8" t="n">
        <v>6</v>
      </c>
      <c r="AS8" s="84">
        <f>IFERROR(COUNTIF(dStn,AR8)/COUNT(dStn),0)</f>
        <v>0.16</v>
      </c>
      <c r="AT8" s="84" t="n">
        <v>0.17</v>
      </c>
      <c r="BL8">
        <f>IFERROR(MATCH(SMALL($BJ$70:$BJ$669,6),$BJ$70:$BJ$669,0),"")</f>
        <v>63</v>
      </c>
      <c r="BW8">
        <f>IF(OR($AA8="",$Y$3=""),"",IFERROR((COUNTIFS(dClass,$Y$3,INDEX(dData,0,MATCH($AA8&amp;CHAR(10)&amp;"Raw Score",dHdr,0)),"&gt;=0")+COUNTIFS(dClass,$Y$3,INDEX(dData,0,MATCH($AA8&amp;CHAR(10)&amp;"Raw Score",dHdr,0)),"A"))/COUNTIF(dClass,$Y$3),""))</f>
        <v>1</v>
      </c>
      <c r="BX8">
        <f>IF(OR($AA8="",$Y$4=""),"",IFERROR((COUNTIFS(dClass,$Y$4,INDEX(dData,0,MATCH($AA8&amp;CHAR(10)&amp;"Raw Score",dHdr,0)),"&gt;=0")+COUNTIFS(dClass,$Y$4,INDEX(dData,0,MATCH($AA8&amp;CHAR(10)&amp;"Raw Score",dHdr,0)),"A"))/COUNTIF(dClass,$Y$4),""))</f>
        <v>1</v>
      </c>
      <c r="BY8">
        <f>IF(OR($AA8="",$Y$5=""),"",IFERROR((COUNTIFS(dClass,$Y$5,INDEX(dData,0,MATCH($AA8&amp;CHAR(10)&amp;"Raw Score",dHdr,0)),"&gt;=0")+COUNTIFS(dClass,$Y$5,INDEX(dData,0,MATCH($AA8&amp;CHAR(10)&amp;"Raw Score",dHdr,0)),"A"))/COUNTIF(dClass,$Y$5),""))</f>
        <v>1</v>
      </c>
      <c r="BZ8">
        <f>IF(OR($AA8="",$Y$6=""),"",IFERROR((COUNTIFS(dClass,$Y$6,INDEX(dData,0,MATCH($AA8&amp;CHAR(10)&amp;"Raw Score",dHdr,0)),"&gt;=0")+COUNTIFS(dClass,$Y$6,INDEX(dData,0,MATCH($AA8&amp;CHAR(10)&amp;"Raw Score",dHdr,0)),"A"))/COUNTIF(dClass,$Y$6),""))</f>
        <v>1</v>
      </c>
      <c r="CA8">
        <f>IF(OR($AA8="",$Y$7=""),"",IFERROR((COUNTIFS(dClass,$Y$7,INDEX(dData,0,MATCH($AA8&amp;CHAR(10)&amp;"Raw Score",dHdr,0)),"&gt;=0")+COUNTIFS(dClass,$Y$7,INDEX(dData,0,MATCH($AA8&amp;CHAR(10)&amp;"Raw Score",dHdr,0)),"A"))/COUNTIF(dClass,$Y$7),""))</f>
        <v>1</v>
      </c>
      <c r="CB8">
        <f>IF(OR($AA8="",$Y$8=""),"",IFERROR((COUNTIFS(dClass,$Y$8,INDEX(dData,0,MATCH($AA8&amp;CHAR(10)&amp;"Raw Score",dHdr,0)),"&gt;=0")+COUNTIFS(dClass,$Y$8,INDEX(dData,0,MATCH($AA8&amp;CHAR(10)&amp;"Raw Score",dHdr,0)),"A"))/COUNTIF(dClass,$Y$8),""))</f>
        <v>1</v>
      </c>
      <c r="CC8" t="str">
        <f>IF(OR($AA8="",$Y$9=""),"",IFERROR((COUNTIFS(dClass,$Y$9,INDEX(dData,0,MATCH($AA8&amp;CHAR(10)&amp;"Raw Score",dHdr,0)),"&gt;=0")+COUNTIFS(dClass,$Y$9,INDEX(dData,0,MATCH($AA8&amp;CHAR(10)&amp;"Raw Score",dHdr,0)),"A"))/COUNTIF(dClass,$Y$9),""))</f>
        <v/>
      </c>
      <c r="CD8" t="str">
        <f>IF(OR($AA8="",$Y$10=""),"",IFERROR((COUNTIFS(dClass,$Y$10,INDEX(dData,0,MATCH($AA8&amp;CHAR(10)&amp;"Raw Score",dHdr,0)),"&gt;=0")+COUNTIFS(dClass,$Y$10,INDEX(dData,0,MATCH($AA8&amp;CHAR(10)&amp;"Raw Score",dHdr,0)),"A"))/COUNTIF(dClass,$Y$10),""))</f>
        <v/>
      </c>
    </row>
    <row r="9">
      <c r="H9" s="82" t="inlineStr">
        <is>
          <t>Year 7 class</t>
        </is>
      </c>
      <c r="J9" s="82" t="inlineStr">
        <is>
          <t>Year 8 class</t>
        </is>
      </c>
      <c r="L9" s="82" t="inlineStr">
        <is>
          <t>Year 9 class</t>
        </is>
      </c>
      <c r="N9" s="82" t="inlineStr">
        <is>
          <t>Year 10 class</t>
        </is>
      </c>
      <c r="P9" s="82" t="inlineStr">
        <is>
          <t>Year 11 class</t>
        </is>
      </c>
      <c r="S9" t="str">
        <f>IFERROR(INDEX(H$10:H$609,MATCH(SMALL(I$10:I$609,7),I$10:I$609,0)),"")</f>
        <v/>
      </c>
      <c r="T9" t="str">
        <f>IFERROR(INDEX(J$10:J$609,MATCH(SMALL(K$10:K$609,7),K$10:K$609,0)),"")</f>
        <v/>
      </c>
      <c r="U9" t="str">
        <f>IFERROR(INDEX(L$10:L$609,MATCH(SMALL(M$10:M$609,7),M$10:M$609,0)),"")</f>
        <v/>
      </c>
      <c r="V9" t="str">
        <f>IFERROR(INDEX(N$10:N$609,MATCH(SMALL(O$10:O$609,7),O$10:O$609,0)),"")</f>
        <v/>
      </c>
      <c r="W9" t="str">
        <f>IFERROR(INDEX(P$10:P$609,MATCH(SMALL(Q$10:Q$609,7),Q$10:Q$609,0)),"")</f>
        <v/>
      </c>
      <c r="Y9" t="str">
        <f>IFERROR(INDEX($S9:$W9,dYear),"")</f>
        <v/>
      </c>
      <c r="AA9" t="str">
        <f>IFERROR(INDEX(tblAssessments[Test Name],MATCH(SelYear&amp;"|"&amp;7,tblAssessments[Seq Key],0))&amp;"","")</f>
        <v/>
      </c>
      <c r="AB9" t="str">
        <f>IF(AA9="","",IFERROR(INDEX(tblAssessments[Max Marks],MATCH(SelYear&amp;"|"&amp;7,tblAssessments[Seq Key],0)),""))</f>
        <v/>
      </c>
      <c r="AC9" s="83" t="str">
        <f>IF(AA9="","",IFERROR(IF(INDEX(tblAssessments[Date],MATCH(SelYear&amp;"|"&amp;7,tblAssessments[Seq Key],0))="","",INDEX(tblAssessments[Date],MATCH(SelYear&amp;"|"&amp;7,tblAssessments[Seq Key],0))),""))</f>
        <v/>
      </c>
      <c r="AD9" t="str">
        <f>IF(AA9="","",IFERROR(INDEX(tblAssessments[Code],MATCH(SelYear&amp;"|"&amp;7,tblAssessments[Seq Key],0))&amp;"",""))</f>
        <v/>
      </c>
      <c r="AK9" t="str">
        <f>IF(AA9="","",IF(AD9&lt;&gt;"",AD9,LEFT(AA9,14)))</f>
        <v/>
      </c>
      <c r="AL9" t="e">
        <f>IF(AA9="",NA(),IFERROR(AVERAGE(INDEX(dData,0,MATCH(AA9&amp;CHAR(10)&amp;"Stanine",dHdr,0))),NA()))</f>
        <v>#N/A</v>
      </c>
      <c r="AM9" t="e">
        <f>IF(OR(AA9="",SelClass=""),NA(),IFERROR(AVERAGEIFS(INDEX(dData,0,MATCH(AA9&amp;CHAR(10)&amp;"Stanine",dHdr,0)),dClass,SelClass),NA()))</f>
        <v>#N/A</v>
      </c>
      <c r="AO9" t="str">
        <f>Y8</f>
        <v>Science Support</v>
      </c>
      <c r="AP9" s="84">
        <f>IF(AO9="",NA(),IFERROR(AVERAGEIFS(dRaw,dClass,AO9)/dMax,NA()))</f>
        <v>0.188235294117647</v>
      </c>
      <c r="AR9" t="n">
        <v>7</v>
      </c>
      <c r="AS9" s="84">
        <f>IFERROR(COUNTIF(dStn,AR9)/COUNT(dStn),0)</f>
        <v>0.08</v>
      </c>
      <c r="AT9" s="84" t="n">
        <v>0.12</v>
      </c>
      <c r="BL9">
        <f>IFERROR(MATCH(SMALL($BJ$70:$BJ$669,7),$BJ$70:$BJ$669,0),"")</f>
        <v>101</v>
      </c>
      <c r="BW9" t="str">
        <f>IF(OR($AA9="",$Y$3=""),"",IFERROR((COUNTIFS(dClass,$Y$3,INDEX(dData,0,MATCH($AA9&amp;CHAR(10)&amp;"Raw Score",dHdr,0)),"&gt;=0")+COUNTIFS(dClass,$Y$3,INDEX(dData,0,MATCH($AA9&amp;CHAR(10)&amp;"Raw Score",dHdr,0)),"A"))/COUNTIF(dClass,$Y$3),""))</f>
        <v/>
      </c>
      <c r="BX9" t="str">
        <f>IF(OR($AA9="",$Y$4=""),"",IFERROR((COUNTIFS(dClass,$Y$4,INDEX(dData,0,MATCH($AA9&amp;CHAR(10)&amp;"Raw Score",dHdr,0)),"&gt;=0")+COUNTIFS(dClass,$Y$4,INDEX(dData,0,MATCH($AA9&amp;CHAR(10)&amp;"Raw Score",dHdr,0)),"A"))/COUNTIF(dClass,$Y$4),""))</f>
        <v/>
      </c>
      <c r="BY9" t="str">
        <f>IF(OR($AA9="",$Y$5=""),"",IFERROR((COUNTIFS(dClass,$Y$5,INDEX(dData,0,MATCH($AA9&amp;CHAR(10)&amp;"Raw Score",dHdr,0)),"&gt;=0")+COUNTIFS(dClass,$Y$5,INDEX(dData,0,MATCH($AA9&amp;CHAR(10)&amp;"Raw Score",dHdr,0)),"A"))/COUNTIF(dClass,$Y$5),""))</f>
        <v/>
      </c>
      <c r="BZ9" t="str">
        <f>IF(OR($AA9="",$Y$6=""),"",IFERROR((COUNTIFS(dClass,$Y$6,INDEX(dData,0,MATCH($AA9&amp;CHAR(10)&amp;"Raw Score",dHdr,0)),"&gt;=0")+COUNTIFS(dClass,$Y$6,INDEX(dData,0,MATCH($AA9&amp;CHAR(10)&amp;"Raw Score",dHdr,0)),"A"))/COUNTIF(dClass,$Y$6),""))</f>
        <v/>
      </c>
      <c r="CA9" t="str">
        <f>IF(OR($AA9="",$Y$7=""),"",IFERROR((COUNTIFS(dClass,$Y$7,INDEX(dData,0,MATCH($AA9&amp;CHAR(10)&amp;"Raw Score",dHdr,0)),"&gt;=0")+COUNTIFS(dClass,$Y$7,INDEX(dData,0,MATCH($AA9&amp;CHAR(10)&amp;"Raw Score",dHdr,0)),"A"))/COUNTIF(dClass,$Y$7),""))</f>
        <v/>
      </c>
      <c r="CB9" t="str">
        <f>IF(OR($AA9="",$Y$8=""),"",IFERROR((COUNTIFS(dClass,$Y$8,INDEX(dData,0,MATCH($AA9&amp;CHAR(10)&amp;"Raw Score",dHdr,0)),"&gt;=0")+COUNTIFS(dClass,$Y$8,INDEX(dData,0,MATCH($AA9&amp;CHAR(10)&amp;"Raw Score",dHdr,0)),"A"))/COUNTIF(dClass,$Y$8),""))</f>
        <v/>
      </c>
      <c r="CC9" t="str">
        <f>IF(OR($AA9="",$Y$9=""),"",IFERROR((COUNTIFS(dClass,$Y$9,INDEX(dData,0,MATCH($AA9&amp;CHAR(10)&amp;"Raw Score",dHdr,0)),"&gt;=0")+COUNTIFS(dClass,$Y$9,INDEX(dData,0,MATCH($AA9&amp;CHAR(10)&amp;"Raw Score",dHdr,0)),"A"))/COUNTIF(dClass,$Y$9),""))</f>
        <v/>
      </c>
      <c r="CD9" t="str">
        <f>IF(OR($AA9="",$Y$10=""),"",IFERROR((COUNTIFS(dClass,$Y$10,INDEX(dData,0,MATCH($AA9&amp;CHAR(10)&amp;"Raw Score",dHdr,0)),"&gt;=0")+COUNTIFS(dClass,$Y$10,INDEX(dData,0,MATCH($AA9&amp;CHAR(10)&amp;"Raw Score",dHdr,0)),"A"))/COUNTIF(dClass,$Y$10),""))</f>
        <v/>
      </c>
    </row>
    <row r="10">
      <c r="H10" t="str">
        <f>IFERROR(INDEX(tblY7[Class],ROWS(H$10:H10))&amp;"","")</f>
        <v>7A/Sc1</v>
      </c>
      <c r="I10">
        <f>IF(H10="","",IF(COUNTIF(H$10:H10,H10)=1,COUNTIF(H$10:H$609,"&lt;"&amp;H10)+1,""))</f>
        <v>470</v>
      </c>
      <c r="J10" t="str">
        <f>IFERROR(INDEX(tblY8[Class],ROWS(J$10:J10))&amp;"","")</f>
        <v>8A/Sc1</v>
      </c>
      <c r="K10">
        <f>IF(J10="","",IF(COUNTIF(J$10:J10,J10)=1,COUNTIF(J$10:J$609,"&lt;"&amp;J10)+1,""))</f>
        <v>508</v>
      </c>
      <c r="L10" t="str">
        <f>IFERROR(INDEX(tblY9[Class],ROWS(L$10:L10))&amp;"","")</f>
        <v>9A/Sc1</v>
      </c>
      <c r="M10">
        <f>IF(L10="","",IF(COUNTIF(L$10:L10,L10)=1,COUNTIF(L$10:L$609,"&lt;"&amp;L10)+1,""))</f>
        <v>476</v>
      </c>
      <c r="N10" t="str">
        <f>IFERROR(INDEX(tblY10[Class],ROWS(N$10:N10))&amp;"","")</f>
        <v>10S/Sc1</v>
      </c>
      <c r="O10">
        <f>IF(N10="","",IF(COUNTIF(N$10:N10,N10)=1,COUNTIF(N$10:N$609,"&lt;"&amp;N10)+1,""))</f>
        <v>484</v>
      </c>
      <c r="P10" t="str">
        <f>IFERROR(INDEX(tblY11[Class],ROWS(P$10:P10))&amp;"","")</f>
        <v>11S/Sc1</v>
      </c>
      <c r="Q10">
        <f>IF(P10="","",IF(COUNTIF(P$10:P10,P10)=1,COUNTIF(P$10:P$609,"&lt;"&amp;P10)+1,""))</f>
        <v>495</v>
      </c>
      <c r="S10" t="str">
        <f>IFERROR(INDEX(H$10:H$609,MATCH(SMALL(I$10:I$609,8),I$10:I$609,0)),"")</f>
        <v/>
      </c>
      <c r="T10" t="str">
        <f>IFERROR(INDEX(J$10:J$609,MATCH(SMALL(K$10:K$609,8),K$10:K$609,0)),"")</f>
        <v/>
      </c>
      <c r="U10" t="str">
        <f>IFERROR(INDEX(L$10:L$609,MATCH(SMALL(M$10:M$609,8),M$10:M$609,0)),"")</f>
        <v/>
      </c>
      <c r="V10" t="str">
        <f>IFERROR(INDEX(N$10:N$609,MATCH(SMALL(O$10:O$609,8),O$10:O$609,0)),"")</f>
        <v/>
      </c>
      <c r="W10" t="str">
        <f>IFERROR(INDEX(P$10:P$609,MATCH(SMALL(Q$10:Q$609,8),Q$10:Q$609,0)),"")</f>
        <v/>
      </c>
      <c r="Y10" t="str">
        <f>IFERROR(INDEX($S10:$W10,dYear),"")</f>
        <v/>
      </c>
      <c r="AA10" t="str">
        <f>IFERROR(INDEX(tblAssessments[Test Name],MATCH(SelYear&amp;"|"&amp;8,tblAssessments[Seq Key],0))&amp;"","")</f>
        <v/>
      </c>
      <c r="AB10" t="str">
        <f>IF(AA10="","",IFERROR(INDEX(tblAssessments[Max Marks],MATCH(SelYear&amp;"|"&amp;8,tblAssessments[Seq Key],0)),""))</f>
        <v/>
      </c>
      <c r="AC10" s="83" t="str">
        <f>IF(AA10="","",IFERROR(IF(INDEX(tblAssessments[Date],MATCH(SelYear&amp;"|"&amp;8,tblAssessments[Seq Key],0))="","",INDEX(tblAssessments[Date],MATCH(SelYear&amp;"|"&amp;8,tblAssessments[Seq Key],0))),""))</f>
        <v/>
      </c>
      <c r="AD10" t="str">
        <f>IF(AA10="","",IFERROR(INDEX(tblAssessments[Code],MATCH(SelYear&amp;"|"&amp;8,tblAssessments[Seq Key],0))&amp;"",""))</f>
        <v/>
      </c>
      <c r="AK10" t="str">
        <f>IF(AA10="","",IF(AD10&lt;&gt;"",AD10,LEFT(AA10,14)))</f>
        <v/>
      </c>
      <c r="AL10" t="e">
        <f>IF(AA10="",NA(),IFERROR(AVERAGE(INDEX(dData,0,MATCH(AA10&amp;CHAR(10)&amp;"Stanine",dHdr,0))),NA()))</f>
        <v>#N/A</v>
      </c>
      <c r="AM10" t="e">
        <f>IF(OR(AA10="",SelClass=""),NA(),IFERROR(AVERAGEIFS(INDEX(dData,0,MATCH(AA10&amp;CHAR(10)&amp;"Stanine",dHdr,0)),dClass,SelClass),NA()))</f>
        <v>#N/A</v>
      </c>
      <c r="AO10" t="str">
        <f>Y9</f>
        <v/>
      </c>
      <c r="AP10" s="84" t="e">
        <f>IF(AO10="",NA(),IFERROR(AVERAGEIFS(dRaw,dClass,AO10)/dMax,NA()))</f>
        <v>#N/A</v>
      </c>
      <c r="AR10" t="n">
        <v>8</v>
      </c>
      <c r="AS10" s="84">
        <f>IFERROR(COUNTIF(dStn,AR10)/COUNT(dStn),0)</f>
        <v>0.09</v>
      </c>
      <c r="AT10" s="84" t="n">
        <v>0.07000000000000001</v>
      </c>
      <c r="BL10">
        <f>IFERROR(MATCH(SMALL($BJ$70:$BJ$669,8),$BJ$70:$BJ$669,0),"")</f>
        <v>37</v>
      </c>
      <c r="BW10" t="str">
        <f>IF(OR($AA10="",$Y$3=""),"",IFERROR((COUNTIFS(dClass,$Y$3,INDEX(dData,0,MATCH($AA10&amp;CHAR(10)&amp;"Raw Score",dHdr,0)),"&gt;=0")+COUNTIFS(dClass,$Y$3,INDEX(dData,0,MATCH($AA10&amp;CHAR(10)&amp;"Raw Score",dHdr,0)),"A"))/COUNTIF(dClass,$Y$3),""))</f>
        <v/>
      </c>
      <c r="BX10" t="str">
        <f>IF(OR($AA10="",$Y$4=""),"",IFERROR((COUNTIFS(dClass,$Y$4,INDEX(dData,0,MATCH($AA10&amp;CHAR(10)&amp;"Raw Score",dHdr,0)),"&gt;=0")+COUNTIFS(dClass,$Y$4,INDEX(dData,0,MATCH($AA10&amp;CHAR(10)&amp;"Raw Score",dHdr,0)),"A"))/COUNTIF(dClass,$Y$4),""))</f>
        <v/>
      </c>
      <c r="BY10" t="str">
        <f>IF(OR($AA10="",$Y$5=""),"",IFERROR((COUNTIFS(dClass,$Y$5,INDEX(dData,0,MATCH($AA10&amp;CHAR(10)&amp;"Raw Score",dHdr,0)),"&gt;=0")+COUNTIFS(dClass,$Y$5,INDEX(dData,0,MATCH($AA10&amp;CHAR(10)&amp;"Raw Score",dHdr,0)),"A"))/COUNTIF(dClass,$Y$5),""))</f>
        <v/>
      </c>
      <c r="BZ10" t="str">
        <f>IF(OR($AA10="",$Y$6=""),"",IFERROR((COUNTIFS(dClass,$Y$6,INDEX(dData,0,MATCH($AA10&amp;CHAR(10)&amp;"Raw Score",dHdr,0)),"&gt;=0")+COUNTIFS(dClass,$Y$6,INDEX(dData,0,MATCH($AA10&amp;CHAR(10)&amp;"Raw Score",dHdr,0)),"A"))/COUNTIF(dClass,$Y$6),""))</f>
        <v/>
      </c>
      <c r="CA10" t="str">
        <f>IF(OR($AA10="",$Y$7=""),"",IFERROR((COUNTIFS(dClass,$Y$7,INDEX(dData,0,MATCH($AA10&amp;CHAR(10)&amp;"Raw Score",dHdr,0)),"&gt;=0")+COUNTIFS(dClass,$Y$7,INDEX(dData,0,MATCH($AA10&amp;CHAR(10)&amp;"Raw Score",dHdr,0)),"A"))/COUNTIF(dClass,$Y$7),""))</f>
        <v/>
      </c>
      <c r="CB10" t="str">
        <f>IF(OR($AA10="",$Y$8=""),"",IFERROR((COUNTIFS(dClass,$Y$8,INDEX(dData,0,MATCH($AA10&amp;CHAR(10)&amp;"Raw Score",dHdr,0)),"&gt;=0")+COUNTIFS(dClass,$Y$8,INDEX(dData,0,MATCH($AA10&amp;CHAR(10)&amp;"Raw Score",dHdr,0)),"A"))/COUNTIF(dClass,$Y$8),""))</f>
        <v/>
      </c>
      <c r="CC10" t="str">
        <f>IF(OR($AA10="",$Y$9=""),"",IFERROR((COUNTIFS(dClass,$Y$9,INDEX(dData,0,MATCH($AA10&amp;CHAR(10)&amp;"Raw Score",dHdr,0)),"&gt;=0")+COUNTIFS(dClass,$Y$9,INDEX(dData,0,MATCH($AA10&amp;CHAR(10)&amp;"Raw Score",dHdr,0)),"A"))/COUNTIF(dClass,$Y$9),""))</f>
        <v/>
      </c>
      <c r="CD10" t="str">
        <f>IF(OR($AA10="",$Y$10=""),"",IFERROR((COUNTIFS(dClass,$Y$10,INDEX(dData,0,MATCH($AA10&amp;CHAR(10)&amp;"Raw Score",dHdr,0)),"&gt;=0")+COUNTIFS(dClass,$Y$10,INDEX(dData,0,MATCH($AA10&amp;CHAR(10)&amp;"Raw Score",dHdr,0)),"A"))/COUNTIF(dClass,$Y$10),""))</f>
        <v/>
      </c>
    </row>
    <row r="11">
      <c r="H11" t="str">
        <f>IFERROR(INDEX(tblY7[Class],ROWS(H$10:H11))&amp;"","")</f>
        <v>7A/Sc1</v>
      </c>
      <c r="I11" t="str">
        <f>IF(H11="","",IF(COUNTIF(H$10:H11,H11)=1,COUNTIF(H$10:H$609,"&lt;"&amp;H11)+1,""))</f>
        <v/>
      </c>
      <c r="J11" t="str">
        <f>IFERROR(INDEX(tblY8[Class],ROWS(J$10:J11))&amp;"","")</f>
        <v>8A/Sc1</v>
      </c>
      <c r="K11" t="str">
        <f>IF(J11="","",IF(COUNTIF(J$10:J11,J11)=1,COUNTIF(J$10:J$609,"&lt;"&amp;J11)+1,""))</f>
        <v/>
      </c>
      <c r="L11" t="str">
        <f>IFERROR(INDEX(tblY9[Class],ROWS(L$10:L11))&amp;"","")</f>
        <v>9A/Sc1</v>
      </c>
      <c r="M11" t="str">
        <f>IF(L11="","",IF(COUNTIF(L$10:L11,L11)=1,COUNTIF(L$10:L$609,"&lt;"&amp;L11)+1,""))</f>
        <v/>
      </c>
      <c r="N11" t="str">
        <f>IFERROR(INDEX(tblY10[Class],ROWS(N$10:N11))&amp;"","")</f>
        <v>10S/Sc1</v>
      </c>
      <c r="O11" t="str">
        <f>IF(N11="","",IF(COUNTIF(N$10:N11,N11)=1,COUNTIF(N$10:N$609,"&lt;"&amp;N11)+1,""))</f>
        <v/>
      </c>
      <c r="P11" t="str">
        <f>IFERROR(INDEX(tblY11[Class],ROWS(P$10:P11))&amp;"","")</f>
        <v>11S/Sc1</v>
      </c>
      <c r="Q11" t="str">
        <f>IF(P11="","",IF(COUNTIF(P$10:P11,P11)=1,COUNTIF(P$10:P$609,"&lt;"&amp;P11)+1,""))</f>
        <v/>
      </c>
      <c r="AA11" t="str">
        <f>IFERROR(INDEX(tblAssessments[Test Name],MATCH(SelYear&amp;"|"&amp;9,tblAssessments[Seq Key],0))&amp;"","")</f>
        <v/>
      </c>
      <c r="AB11" t="str">
        <f>IF(AA11="","",IFERROR(INDEX(tblAssessments[Max Marks],MATCH(SelYear&amp;"|"&amp;9,tblAssessments[Seq Key],0)),""))</f>
        <v/>
      </c>
      <c r="AC11" s="83" t="str">
        <f>IF(AA11="","",IFERROR(IF(INDEX(tblAssessments[Date],MATCH(SelYear&amp;"|"&amp;9,tblAssessments[Seq Key],0))="","",INDEX(tblAssessments[Date],MATCH(SelYear&amp;"|"&amp;9,tblAssessments[Seq Key],0))),""))</f>
        <v/>
      </c>
      <c r="AD11" t="str">
        <f>IF(AA11="","",IFERROR(INDEX(tblAssessments[Code],MATCH(SelYear&amp;"|"&amp;9,tblAssessments[Seq Key],0))&amp;"",""))</f>
        <v/>
      </c>
      <c r="AK11" t="str">
        <f>IF(AA11="","",IF(AD11&lt;&gt;"",AD11,LEFT(AA11,14)))</f>
        <v/>
      </c>
      <c r="AL11" t="e">
        <f>IF(AA11="",NA(),IFERROR(AVERAGE(INDEX(dData,0,MATCH(AA11&amp;CHAR(10)&amp;"Stanine",dHdr,0))),NA()))</f>
        <v>#N/A</v>
      </c>
      <c r="AM11" t="e">
        <f>IF(OR(AA11="",SelClass=""),NA(),IFERROR(AVERAGEIFS(INDEX(dData,0,MATCH(AA11&amp;CHAR(10)&amp;"Stanine",dHdr,0)),dClass,SelClass),NA()))</f>
        <v>#N/A</v>
      </c>
      <c r="AO11" t="str">
        <f>Y10</f>
        <v/>
      </c>
      <c r="AP11" s="84" t="e">
        <f>IF(AO11="",NA(),IFERROR(AVERAGEIFS(dRaw,dClass,AO11)/dMax,NA()))</f>
        <v>#N/A</v>
      </c>
      <c r="AR11" t="n">
        <v>9</v>
      </c>
      <c r="AS11" s="84">
        <f>IFERROR(COUNTIF(dStn,AR11)/COUNT(dStn),0)</f>
        <v>0.05</v>
      </c>
      <c r="AT11" s="84" t="n">
        <v>0.04</v>
      </c>
      <c r="BL11">
        <f>IFERROR(MATCH(SMALL($BJ$70:$BJ$669,9),$BJ$70:$BJ$669,0),"")</f>
        <v>53</v>
      </c>
      <c r="BW11" t="str">
        <f>IF(OR($AA11="",$Y$3=""),"",IFERROR((COUNTIFS(dClass,$Y$3,INDEX(dData,0,MATCH($AA11&amp;CHAR(10)&amp;"Raw Score",dHdr,0)),"&gt;=0")+COUNTIFS(dClass,$Y$3,INDEX(dData,0,MATCH($AA11&amp;CHAR(10)&amp;"Raw Score",dHdr,0)),"A"))/COUNTIF(dClass,$Y$3),""))</f>
        <v/>
      </c>
      <c r="BX11" t="str">
        <f>IF(OR($AA11="",$Y$4=""),"",IFERROR((COUNTIFS(dClass,$Y$4,INDEX(dData,0,MATCH($AA11&amp;CHAR(10)&amp;"Raw Score",dHdr,0)),"&gt;=0")+COUNTIFS(dClass,$Y$4,INDEX(dData,0,MATCH($AA11&amp;CHAR(10)&amp;"Raw Score",dHdr,0)),"A"))/COUNTIF(dClass,$Y$4),""))</f>
        <v/>
      </c>
      <c r="BY11" t="str">
        <f>IF(OR($AA11="",$Y$5=""),"",IFERROR((COUNTIFS(dClass,$Y$5,INDEX(dData,0,MATCH($AA11&amp;CHAR(10)&amp;"Raw Score",dHdr,0)),"&gt;=0")+COUNTIFS(dClass,$Y$5,INDEX(dData,0,MATCH($AA11&amp;CHAR(10)&amp;"Raw Score",dHdr,0)),"A"))/COUNTIF(dClass,$Y$5),""))</f>
        <v/>
      </c>
      <c r="BZ11" t="str">
        <f>IF(OR($AA11="",$Y$6=""),"",IFERROR((COUNTIFS(dClass,$Y$6,INDEX(dData,0,MATCH($AA11&amp;CHAR(10)&amp;"Raw Score",dHdr,0)),"&gt;=0")+COUNTIFS(dClass,$Y$6,INDEX(dData,0,MATCH($AA11&amp;CHAR(10)&amp;"Raw Score",dHdr,0)),"A"))/COUNTIF(dClass,$Y$6),""))</f>
        <v/>
      </c>
      <c r="CA11" t="str">
        <f>IF(OR($AA11="",$Y$7=""),"",IFERROR((COUNTIFS(dClass,$Y$7,INDEX(dData,0,MATCH($AA11&amp;CHAR(10)&amp;"Raw Score",dHdr,0)),"&gt;=0")+COUNTIFS(dClass,$Y$7,INDEX(dData,0,MATCH($AA11&amp;CHAR(10)&amp;"Raw Score",dHdr,0)),"A"))/COUNTIF(dClass,$Y$7),""))</f>
        <v/>
      </c>
      <c r="CB11" t="str">
        <f>IF(OR($AA11="",$Y$8=""),"",IFERROR((COUNTIFS(dClass,$Y$8,INDEX(dData,0,MATCH($AA11&amp;CHAR(10)&amp;"Raw Score",dHdr,0)),"&gt;=0")+COUNTIFS(dClass,$Y$8,INDEX(dData,0,MATCH($AA11&amp;CHAR(10)&amp;"Raw Score",dHdr,0)),"A"))/COUNTIF(dClass,$Y$8),""))</f>
        <v/>
      </c>
      <c r="CC11" t="str">
        <f>IF(OR($AA11="",$Y$9=""),"",IFERROR((COUNTIFS(dClass,$Y$9,INDEX(dData,0,MATCH($AA11&amp;CHAR(10)&amp;"Raw Score",dHdr,0)),"&gt;=0")+COUNTIFS(dClass,$Y$9,INDEX(dData,0,MATCH($AA11&amp;CHAR(10)&amp;"Raw Score",dHdr,0)),"A"))/COUNTIF(dClass,$Y$9),""))</f>
        <v/>
      </c>
      <c r="CD11" t="str">
        <f>IF(OR($AA11="",$Y$10=""),"",IFERROR((COUNTIFS(dClass,$Y$10,INDEX(dData,0,MATCH($AA11&amp;CHAR(10)&amp;"Raw Score",dHdr,0)),"&gt;=0")+COUNTIFS(dClass,$Y$10,INDEX(dData,0,MATCH($AA11&amp;CHAR(10)&amp;"Raw Score",dHdr,0)),"A"))/COUNTIF(dClass,$Y$10),""))</f>
        <v/>
      </c>
    </row>
    <row r="12">
      <c r="H12" t="str">
        <f>IFERROR(INDEX(tblY7[Class],ROWS(H$10:H12))&amp;"","")</f>
        <v>7A/Sc1</v>
      </c>
      <c r="I12" t="str">
        <f>IF(H12="","",IF(COUNTIF(H$10:H12,H12)=1,COUNTIF(H$10:H$609,"&lt;"&amp;H12)+1,""))</f>
        <v/>
      </c>
      <c r="J12" t="str">
        <f>IFERROR(INDEX(tblY8[Class],ROWS(J$10:J12))&amp;"","")</f>
        <v>8A/Sc1</v>
      </c>
      <c r="K12" t="str">
        <f>IF(J12="","",IF(COUNTIF(J$10:J12,J12)=1,COUNTIF(J$10:J$609,"&lt;"&amp;J12)+1,""))</f>
        <v/>
      </c>
      <c r="L12" t="str">
        <f>IFERROR(INDEX(tblY9[Class],ROWS(L$10:L12))&amp;"","")</f>
        <v>9A/Sc1</v>
      </c>
      <c r="M12" t="str">
        <f>IF(L12="","",IF(COUNTIF(L$10:L12,L12)=1,COUNTIF(L$10:L$609,"&lt;"&amp;L12)+1,""))</f>
        <v/>
      </c>
      <c r="N12" t="str">
        <f>IFERROR(INDEX(tblY10[Class],ROWS(N$10:N12))&amp;"","")</f>
        <v>10S/Sc1</v>
      </c>
      <c r="O12" t="str">
        <f>IF(N12="","",IF(COUNTIF(N$10:N12,N12)=1,COUNTIF(N$10:N$609,"&lt;"&amp;N12)+1,""))</f>
        <v/>
      </c>
      <c r="P12" t="str">
        <f>IFERROR(INDEX(tblY11[Class],ROWS(P$10:P12))&amp;"","")</f>
        <v>11S/Sc1</v>
      </c>
      <c r="Q12" t="str">
        <f>IF(P12="","",IF(COUNTIF(P$10:P12,P12)=1,COUNTIF(P$10:P$609,"&lt;"&amp;P12)+1,""))</f>
        <v/>
      </c>
      <c r="S12">
        <f>COUNT(I$10:I$609)</f>
        <v>5</v>
      </c>
      <c r="T12">
        <f>COUNT(K$10:K$609)</f>
        <v>5</v>
      </c>
      <c r="U12">
        <f>COUNT(M$10:M$609)</f>
        <v>6</v>
      </c>
      <c r="V12">
        <f>COUNT(O$10:O$609)</f>
        <v>6</v>
      </c>
      <c r="W12">
        <f>COUNT(Q$10:Q$609)</f>
        <v>6</v>
      </c>
      <c r="Y12">
        <f>IFERROR(INDEX($S$12:$W$12,dYear),0)</f>
        <v>6</v>
      </c>
      <c r="AA12" t="str">
        <f>IFERROR(INDEX(tblAssessments[Test Name],MATCH(SelYear&amp;"|"&amp;10,tblAssessments[Seq Key],0))&amp;"","")</f>
        <v/>
      </c>
      <c r="AB12" t="str">
        <f>IF(AA12="","",IFERROR(INDEX(tblAssessments[Max Marks],MATCH(SelYear&amp;"|"&amp;10,tblAssessments[Seq Key],0)),""))</f>
        <v/>
      </c>
      <c r="AC12" s="83" t="str">
        <f>IF(AA12="","",IFERROR(IF(INDEX(tblAssessments[Date],MATCH(SelYear&amp;"|"&amp;10,tblAssessments[Seq Key],0))="","",INDEX(tblAssessments[Date],MATCH(SelYear&amp;"|"&amp;10,tblAssessments[Seq Key],0))),""))</f>
        <v/>
      </c>
      <c r="AD12" t="str">
        <f>IF(AA12="","",IFERROR(INDEX(tblAssessments[Code],MATCH(SelYear&amp;"|"&amp;10,tblAssessments[Seq Key],0))&amp;"",""))</f>
        <v/>
      </c>
      <c r="AK12" t="str">
        <f>IF(AA12="","",IF(AD12&lt;&gt;"",AD12,LEFT(AA12,14)))</f>
        <v/>
      </c>
      <c r="AL12" t="e">
        <f>IF(AA12="",NA(),IFERROR(AVERAGE(INDEX(dData,0,MATCH(AA12&amp;CHAR(10)&amp;"Stanine",dHdr,0))),NA()))</f>
        <v>#N/A</v>
      </c>
      <c r="AM12" t="e">
        <f>IF(OR(AA12="",SelClass=""),NA(),IFERROR(AVERAGEIFS(INDEX(dData,0,MATCH(AA12&amp;CHAR(10)&amp;"Stanine",dHdr,0)),dClass,SelClass),NA()))</f>
        <v>#N/A</v>
      </c>
      <c r="BL12" t="str">
        <f>IFERROR(MATCH(SMALL($BJ$70:$BJ$669,10),$BJ$70:$BJ$669,0),"")</f>
        <v/>
      </c>
      <c r="BW12" t="str">
        <f>IF(OR($AA12="",$Y$3=""),"",IFERROR((COUNTIFS(dClass,$Y$3,INDEX(dData,0,MATCH($AA12&amp;CHAR(10)&amp;"Raw Score",dHdr,0)),"&gt;=0")+COUNTIFS(dClass,$Y$3,INDEX(dData,0,MATCH($AA12&amp;CHAR(10)&amp;"Raw Score",dHdr,0)),"A"))/COUNTIF(dClass,$Y$3),""))</f>
        <v/>
      </c>
      <c r="BX12" t="str">
        <f>IF(OR($AA12="",$Y$4=""),"",IFERROR((COUNTIFS(dClass,$Y$4,INDEX(dData,0,MATCH($AA12&amp;CHAR(10)&amp;"Raw Score",dHdr,0)),"&gt;=0")+COUNTIFS(dClass,$Y$4,INDEX(dData,0,MATCH($AA12&amp;CHAR(10)&amp;"Raw Score",dHdr,0)),"A"))/COUNTIF(dClass,$Y$4),""))</f>
        <v/>
      </c>
      <c r="BY12" t="str">
        <f>IF(OR($AA12="",$Y$5=""),"",IFERROR((COUNTIFS(dClass,$Y$5,INDEX(dData,0,MATCH($AA12&amp;CHAR(10)&amp;"Raw Score",dHdr,0)),"&gt;=0")+COUNTIFS(dClass,$Y$5,INDEX(dData,0,MATCH($AA12&amp;CHAR(10)&amp;"Raw Score",dHdr,0)),"A"))/COUNTIF(dClass,$Y$5),""))</f>
        <v/>
      </c>
      <c r="BZ12" t="str">
        <f>IF(OR($AA12="",$Y$6=""),"",IFERROR((COUNTIFS(dClass,$Y$6,INDEX(dData,0,MATCH($AA12&amp;CHAR(10)&amp;"Raw Score",dHdr,0)),"&gt;=0")+COUNTIFS(dClass,$Y$6,INDEX(dData,0,MATCH($AA12&amp;CHAR(10)&amp;"Raw Score",dHdr,0)),"A"))/COUNTIF(dClass,$Y$6),""))</f>
        <v/>
      </c>
      <c r="CA12" t="str">
        <f>IF(OR($AA12="",$Y$7=""),"",IFERROR((COUNTIFS(dClass,$Y$7,INDEX(dData,0,MATCH($AA12&amp;CHAR(10)&amp;"Raw Score",dHdr,0)),"&gt;=0")+COUNTIFS(dClass,$Y$7,INDEX(dData,0,MATCH($AA12&amp;CHAR(10)&amp;"Raw Score",dHdr,0)),"A"))/COUNTIF(dClass,$Y$7),""))</f>
        <v/>
      </c>
      <c r="CB12" t="str">
        <f>IF(OR($AA12="",$Y$8=""),"",IFERROR((COUNTIFS(dClass,$Y$8,INDEX(dData,0,MATCH($AA12&amp;CHAR(10)&amp;"Raw Score",dHdr,0)),"&gt;=0")+COUNTIFS(dClass,$Y$8,INDEX(dData,0,MATCH($AA12&amp;CHAR(10)&amp;"Raw Score",dHdr,0)),"A"))/COUNTIF(dClass,$Y$8),""))</f>
        <v/>
      </c>
      <c r="CC12" t="str">
        <f>IF(OR($AA12="",$Y$9=""),"",IFERROR((COUNTIFS(dClass,$Y$9,INDEX(dData,0,MATCH($AA12&amp;CHAR(10)&amp;"Raw Score",dHdr,0)),"&gt;=0")+COUNTIFS(dClass,$Y$9,INDEX(dData,0,MATCH($AA12&amp;CHAR(10)&amp;"Raw Score",dHdr,0)),"A"))/COUNTIF(dClass,$Y$9),""))</f>
        <v/>
      </c>
      <c r="CD12" t="str">
        <f>IF(OR($AA12="",$Y$10=""),"",IFERROR((COUNTIFS(dClass,$Y$10,INDEX(dData,0,MATCH($AA12&amp;CHAR(10)&amp;"Raw Score",dHdr,0)),"&gt;=0")+COUNTIFS(dClass,$Y$10,INDEX(dData,0,MATCH($AA12&amp;CHAR(10)&amp;"Raw Score",dHdr,0)),"A"))/COUNTIF(dClass,$Y$10),""))</f>
        <v/>
      </c>
    </row>
    <row r="13">
      <c r="H13" t="str">
        <f>IFERROR(INDEX(tblY7[Class],ROWS(H$10:H13))&amp;"","")</f>
        <v>7A/Sc1</v>
      </c>
      <c r="I13" t="str">
        <f>IF(H13="","",IF(COUNTIF(H$10:H13,H13)=1,COUNTIF(H$10:H$609,"&lt;"&amp;H13)+1,""))</f>
        <v/>
      </c>
      <c r="J13" t="str">
        <f>IFERROR(INDEX(tblY8[Class],ROWS(J$10:J13))&amp;"","")</f>
        <v>8A/Sc1</v>
      </c>
      <c r="K13" t="str">
        <f>IF(J13="","",IF(COUNTIF(J$10:J13,J13)=1,COUNTIF(J$10:J$609,"&lt;"&amp;J13)+1,""))</f>
        <v/>
      </c>
      <c r="L13" t="str">
        <f>IFERROR(INDEX(tblY9[Class],ROWS(L$10:L13))&amp;"","")</f>
        <v>9A/Sc1</v>
      </c>
      <c r="M13" t="str">
        <f>IF(L13="","",IF(COUNTIF(L$10:L13,L13)=1,COUNTIF(L$10:L$609,"&lt;"&amp;L13)+1,""))</f>
        <v/>
      </c>
      <c r="N13" t="str">
        <f>IFERROR(INDEX(tblY10[Class],ROWS(N$10:N13))&amp;"","")</f>
        <v>10S/Sc1</v>
      </c>
      <c r="O13" t="str">
        <f>IF(N13="","",IF(COUNTIF(N$10:N13,N13)=1,COUNTIF(N$10:N$609,"&lt;"&amp;N13)+1,""))</f>
        <v/>
      </c>
      <c r="P13" t="str">
        <f>IFERROR(INDEX(tblY11[Class],ROWS(P$10:P13))&amp;"","")</f>
        <v>11S/Sc1</v>
      </c>
      <c r="Q13" t="str">
        <f>IF(P13="","",IF(COUNTIF(P$10:P13,P13)=1,COUNTIF(P$10:P$609,"&lt;"&amp;P13)+1,""))</f>
        <v/>
      </c>
      <c r="AA13" t="str">
        <f>IFERROR(INDEX(tblAssessments[Test Name],MATCH(SelYear&amp;"|"&amp;11,tblAssessments[Seq Key],0))&amp;"","")</f>
        <v/>
      </c>
      <c r="AB13" t="str">
        <f>IF(AA13="","",IFERROR(INDEX(tblAssessments[Max Marks],MATCH(SelYear&amp;"|"&amp;11,tblAssessments[Seq Key],0)),""))</f>
        <v/>
      </c>
      <c r="AC13" s="83" t="str">
        <f>IF(AA13="","",IFERROR(IF(INDEX(tblAssessments[Date],MATCH(SelYear&amp;"|"&amp;11,tblAssessments[Seq Key],0))="","",INDEX(tblAssessments[Date],MATCH(SelYear&amp;"|"&amp;11,tblAssessments[Seq Key],0))),""))</f>
        <v/>
      </c>
      <c r="AD13" t="str">
        <f>IF(AA13="","",IFERROR(INDEX(tblAssessments[Code],MATCH(SelYear&amp;"|"&amp;11,tblAssessments[Seq Key],0))&amp;"",""))</f>
        <v/>
      </c>
      <c r="AK13" t="str">
        <f>IF(AA13="","",IF(AD13&lt;&gt;"",AD13,LEFT(AA13,14)))</f>
        <v/>
      </c>
      <c r="AL13" t="e">
        <f>IF(AA13="",NA(),IFERROR(AVERAGE(INDEX(dData,0,MATCH(AA13&amp;CHAR(10)&amp;"Stanine",dHdr,0))),NA()))</f>
        <v>#N/A</v>
      </c>
      <c r="AM13" t="e">
        <f>IF(OR(AA13="",SelClass=""),NA(),IFERROR(AVERAGEIFS(INDEX(dData,0,MATCH(AA13&amp;CHAR(10)&amp;"Stanine",dHdr,0)),dClass,SelClass),NA()))</f>
        <v>#N/A</v>
      </c>
      <c r="BL13" t="str">
        <f>IFERROR(MATCH(SMALL($BJ$70:$BJ$669,11),$BJ$70:$BJ$669,0),"")</f>
        <v/>
      </c>
      <c r="BW13" t="str">
        <f>IF(OR($AA13="",$Y$3=""),"",IFERROR((COUNTIFS(dClass,$Y$3,INDEX(dData,0,MATCH($AA13&amp;CHAR(10)&amp;"Raw Score",dHdr,0)),"&gt;=0")+COUNTIFS(dClass,$Y$3,INDEX(dData,0,MATCH($AA13&amp;CHAR(10)&amp;"Raw Score",dHdr,0)),"A"))/COUNTIF(dClass,$Y$3),""))</f>
        <v/>
      </c>
      <c r="BX13" t="str">
        <f>IF(OR($AA13="",$Y$4=""),"",IFERROR((COUNTIFS(dClass,$Y$4,INDEX(dData,0,MATCH($AA13&amp;CHAR(10)&amp;"Raw Score",dHdr,0)),"&gt;=0")+COUNTIFS(dClass,$Y$4,INDEX(dData,0,MATCH($AA13&amp;CHAR(10)&amp;"Raw Score",dHdr,0)),"A"))/COUNTIF(dClass,$Y$4),""))</f>
        <v/>
      </c>
      <c r="BY13" t="str">
        <f>IF(OR($AA13="",$Y$5=""),"",IFERROR((COUNTIFS(dClass,$Y$5,INDEX(dData,0,MATCH($AA13&amp;CHAR(10)&amp;"Raw Score",dHdr,0)),"&gt;=0")+COUNTIFS(dClass,$Y$5,INDEX(dData,0,MATCH($AA13&amp;CHAR(10)&amp;"Raw Score",dHdr,0)),"A"))/COUNTIF(dClass,$Y$5),""))</f>
        <v/>
      </c>
      <c r="BZ13" t="str">
        <f>IF(OR($AA13="",$Y$6=""),"",IFERROR((COUNTIFS(dClass,$Y$6,INDEX(dData,0,MATCH($AA13&amp;CHAR(10)&amp;"Raw Score",dHdr,0)),"&gt;=0")+COUNTIFS(dClass,$Y$6,INDEX(dData,0,MATCH($AA13&amp;CHAR(10)&amp;"Raw Score",dHdr,0)),"A"))/COUNTIF(dClass,$Y$6),""))</f>
        <v/>
      </c>
      <c r="CA13" t="str">
        <f>IF(OR($AA13="",$Y$7=""),"",IFERROR((COUNTIFS(dClass,$Y$7,INDEX(dData,0,MATCH($AA13&amp;CHAR(10)&amp;"Raw Score",dHdr,0)),"&gt;=0")+COUNTIFS(dClass,$Y$7,INDEX(dData,0,MATCH($AA13&amp;CHAR(10)&amp;"Raw Score",dHdr,0)),"A"))/COUNTIF(dClass,$Y$7),""))</f>
        <v/>
      </c>
      <c r="CB13" t="str">
        <f>IF(OR($AA13="",$Y$8=""),"",IFERROR((COUNTIFS(dClass,$Y$8,INDEX(dData,0,MATCH($AA13&amp;CHAR(10)&amp;"Raw Score",dHdr,0)),"&gt;=0")+COUNTIFS(dClass,$Y$8,INDEX(dData,0,MATCH($AA13&amp;CHAR(10)&amp;"Raw Score",dHdr,0)),"A"))/COUNTIF(dClass,$Y$8),""))</f>
        <v/>
      </c>
      <c r="CC13" t="str">
        <f>IF(OR($AA13="",$Y$9=""),"",IFERROR((COUNTIFS(dClass,$Y$9,INDEX(dData,0,MATCH($AA13&amp;CHAR(10)&amp;"Raw Score",dHdr,0)),"&gt;=0")+COUNTIFS(dClass,$Y$9,INDEX(dData,0,MATCH($AA13&amp;CHAR(10)&amp;"Raw Score",dHdr,0)),"A"))/COUNTIF(dClass,$Y$9),""))</f>
        <v/>
      </c>
      <c r="CD13" t="str">
        <f>IF(OR($AA13="",$Y$10=""),"",IFERROR((COUNTIFS(dClass,$Y$10,INDEX(dData,0,MATCH($AA13&amp;CHAR(10)&amp;"Raw Score",dHdr,0)),"&gt;=0")+COUNTIFS(dClass,$Y$10,INDEX(dData,0,MATCH($AA13&amp;CHAR(10)&amp;"Raw Score",dHdr,0)),"A"))/COUNTIF(dClass,$Y$10),""))</f>
        <v/>
      </c>
    </row>
    <row r="14">
      <c r="H14" t="str">
        <f>IFERROR(INDEX(tblY7[Class],ROWS(H$10:H14))&amp;"","")</f>
        <v>7A/Sc1</v>
      </c>
      <c r="I14" t="str">
        <f>IF(H14="","",IF(COUNTIF(H$10:H14,H14)=1,COUNTIF(H$10:H$609,"&lt;"&amp;H14)+1,""))</f>
        <v/>
      </c>
      <c r="J14" t="str">
        <f>IFERROR(INDEX(tblY8[Class],ROWS(J$10:J14))&amp;"","")</f>
        <v>8A/Sc1</v>
      </c>
      <c r="K14" t="str">
        <f>IF(J14="","",IF(COUNTIF(J$10:J14,J14)=1,COUNTIF(J$10:J$609,"&lt;"&amp;J14)+1,""))</f>
        <v/>
      </c>
      <c r="L14" t="str">
        <f>IFERROR(INDEX(tblY9[Class],ROWS(L$10:L14))&amp;"","")</f>
        <v>9A/Sc1</v>
      </c>
      <c r="M14" t="str">
        <f>IF(L14="","",IF(COUNTIF(L$10:L14,L14)=1,COUNTIF(L$10:L$609,"&lt;"&amp;L14)+1,""))</f>
        <v/>
      </c>
      <c r="N14" t="str">
        <f>IFERROR(INDEX(tblY10[Class],ROWS(N$10:N14))&amp;"","")</f>
        <v>10S/Sc1</v>
      </c>
      <c r="O14" t="str">
        <f>IF(N14="","",IF(COUNTIF(N$10:N14,N14)=1,COUNTIF(N$10:N$609,"&lt;"&amp;N14)+1,""))</f>
        <v/>
      </c>
      <c r="P14" t="str">
        <f>IFERROR(INDEX(tblY11[Class],ROWS(P$10:P14))&amp;"","")</f>
        <v>11S/Sc1</v>
      </c>
      <c r="Q14" t="str">
        <f>IF(P14="","",IF(COUNTIF(P$10:P14,P14)=1,COUNTIF(P$10:P$609,"&lt;"&amp;P14)+1,""))</f>
        <v/>
      </c>
      <c r="AA14" t="str">
        <f>IFERROR(INDEX(tblAssessments[Test Name],MATCH(SelYear&amp;"|"&amp;12,tblAssessments[Seq Key],0))&amp;"","")</f>
        <v/>
      </c>
      <c r="AB14" t="str">
        <f>IF(AA14="","",IFERROR(INDEX(tblAssessments[Max Marks],MATCH(SelYear&amp;"|"&amp;12,tblAssessments[Seq Key],0)),""))</f>
        <v/>
      </c>
      <c r="AC14" s="83" t="str">
        <f>IF(AA14="","",IFERROR(IF(INDEX(tblAssessments[Date],MATCH(SelYear&amp;"|"&amp;12,tblAssessments[Seq Key],0))="","",INDEX(tblAssessments[Date],MATCH(SelYear&amp;"|"&amp;12,tblAssessments[Seq Key],0))),""))</f>
        <v/>
      </c>
      <c r="AD14" t="str">
        <f>IF(AA14="","",IFERROR(INDEX(tblAssessments[Code],MATCH(SelYear&amp;"|"&amp;12,tblAssessments[Seq Key],0))&amp;"",""))</f>
        <v/>
      </c>
      <c r="AK14" t="str">
        <f>IF(AA14="","",IF(AD14&lt;&gt;"",AD14,LEFT(AA14,14)))</f>
        <v/>
      </c>
      <c r="AL14" t="e">
        <f>IF(AA14="",NA(),IFERROR(AVERAGE(INDEX(dData,0,MATCH(AA14&amp;CHAR(10)&amp;"Stanine",dHdr,0))),NA()))</f>
        <v>#N/A</v>
      </c>
      <c r="AM14" t="e">
        <f>IF(OR(AA14="",SelClass=""),NA(),IFERROR(AVERAGEIFS(INDEX(dData,0,MATCH(AA14&amp;CHAR(10)&amp;"Stanine",dHdr,0)),dClass,SelClass),NA()))</f>
        <v>#N/A</v>
      </c>
      <c r="BL14" t="str">
        <f>IFERROR(MATCH(SMALL($BJ$70:$BJ$669,12),$BJ$70:$BJ$669,0),"")</f>
        <v/>
      </c>
      <c r="BW14" t="str">
        <f>IF(OR($AA14="",$Y$3=""),"",IFERROR((COUNTIFS(dClass,$Y$3,INDEX(dData,0,MATCH($AA14&amp;CHAR(10)&amp;"Raw Score",dHdr,0)),"&gt;=0")+COUNTIFS(dClass,$Y$3,INDEX(dData,0,MATCH($AA14&amp;CHAR(10)&amp;"Raw Score",dHdr,0)),"A"))/COUNTIF(dClass,$Y$3),""))</f>
        <v/>
      </c>
      <c r="BX14" t="str">
        <f>IF(OR($AA14="",$Y$4=""),"",IFERROR((COUNTIFS(dClass,$Y$4,INDEX(dData,0,MATCH($AA14&amp;CHAR(10)&amp;"Raw Score",dHdr,0)),"&gt;=0")+COUNTIFS(dClass,$Y$4,INDEX(dData,0,MATCH($AA14&amp;CHAR(10)&amp;"Raw Score",dHdr,0)),"A"))/COUNTIF(dClass,$Y$4),""))</f>
        <v/>
      </c>
      <c r="BY14" t="str">
        <f>IF(OR($AA14="",$Y$5=""),"",IFERROR((COUNTIFS(dClass,$Y$5,INDEX(dData,0,MATCH($AA14&amp;CHAR(10)&amp;"Raw Score",dHdr,0)),"&gt;=0")+COUNTIFS(dClass,$Y$5,INDEX(dData,0,MATCH($AA14&amp;CHAR(10)&amp;"Raw Score",dHdr,0)),"A"))/COUNTIF(dClass,$Y$5),""))</f>
        <v/>
      </c>
      <c r="BZ14" t="str">
        <f>IF(OR($AA14="",$Y$6=""),"",IFERROR((COUNTIFS(dClass,$Y$6,INDEX(dData,0,MATCH($AA14&amp;CHAR(10)&amp;"Raw Score",dHdr,0)),"&gt;=0")+COUNTIFS(dClass,$Y$6,INDEX(dData,0,MATCH($AA14&amp;CHAR(10)&amp;"Raw Score",dHdr,0)),"A"))/COUNTIF(dClass,$Y$6),""))</f>
        <v/>
      </c>
      <c r="CA14" t="str">
        <f>IF(OR($AA14="",$Y$7=""),"",IFERROR((COUNTIFS(dClass,$Y$7,INDEX(dData,0,MATCH($AA14&amp;CHAR(10)&amp;"Raw Score",dHdr,0)),"&gt;=0")+COUNTIFS(dClass,$Y$7,INDEX(dData,0,MATCH($AA14&amp;CHAR(10)&amp;"Raw Score",dHdr,0)),"A"))/COUNTIF(dClass,$Y$7),""))</f>
        <v/>
      </c>
      <c r="CB14" t="str">
        <f>IF(OR($AA14="",$Y$8=""),"",IFERROR((COUNTIFS(dClass,$Y$8,INDEX(dData,0,MATCH($AA14&amp;CHAR(10)&amp;"Raw Score",dHdr,0)),"&gt;=0")+COUNTIFS(dClass,$Y$8,INDEX(dData,0,MATCH($AA14&amp;CHAR(10)&amp;"Raw Score",dHdr,0)),"A"))/COUNTIF(dClass,$Y$8),""))</f>
        <v/>
      </c>
      <c r="CC14" t="str">
        <f>IF(OR($AA14="",$Y$9=""),"",IFERROR((COUNTIFS(dClass,$Y$9,INDEX(dData,0,MATCH($AA14&amp;CHAR(10)&amp;"Raw Score",dHdr,0)),"&gt;=0")+COUNTIFS(dClass,$Y$9,INDEX(dData,0,MATCH($AA14&amp;CHAR(10)&amp;"Raw Score",dHdr,0)),"A"))/COUNTIF(dClass,$Y$9),""))</f>
        <v/>
      </c>
      <c r="CD14" t="str">
        <f>IF(OR($AA14="",$Y$10=""),"",IFERROR((COUNTIFS(dClass,$Y$10,INDEX(dData,0,MATCH($AA14&amp;CHAR(10)&amp;"Raw Score",dHdr,0)),"&gt;=0")+COUNTIFS(dClass,$Y$10,INDEX(dData,0,MATCH($AA14&amp;CHAR(10)&amp;"Raw Score",dHdr,0)),"A"))/COUNTIF(dClass,$Y$10),""))</f>
        <v/>
      </c>
    </row>
    <row r="15">
      <c r="H15" t="str">
        <f>IFERROR(INDEX(tblY7[Class],ROWS(H$10:H15))&amp;"","")</f>
        <v>7A/Sc1</v>
      </c>
      <c r="I15" t="str">
        <f>IF(H15="","",IF(COUNTIF(H$10:H15,H15)=1,COUNTIF(H$10:H$609,"&lt;"&amp;H15)+1,""))</f>
        <v/>
      </c>
      <c r="J15" t="str">
        <f>IFERROR(INDEX(tblY8[Class],ROWS(J$10:J15))&amp;"","")</f>
        <v>8A/Sc1</v>
      </c>
      <c r="K15" t="str">
        <f>IF(J15="","",IF(COUNTIF(J$10:J15,J15)=1,COUNTIF(J$10:J$609,"&lt;"&amp;J15)+1,""))</f>
        <v/>
      </c>
      <c r="L15" t="str">
        <f>IFERROR(INDEX(tblY9[Class],ROWS(L$10:L15))&amp;"","")</f>
        <v>9A/Sc1</v>
      </c>
      <c r="M15" t="str">
        <f>IF(L15="","",IF(COUNTIF(L$10:L15,L15)=1,COUNTIF(L$10:L$609,"&lt;"&amp;L15)+1,""))</f>
        <v/>
      </c>
      <c r="N15" t="str">
        <f>IFERROR(INDEX(tblY10[Class],ROWS(N$10:N15))&amp;"","")</f>
        <v>10S/Sc1</v>
      </c>
      <c r="O15" t="str">
        <f>IF(N15="","",IF(COUNTIF(N$10:N15,N15)=1,COUNTIF(N$10:N$609,"&lt;"&amp;N15)+1,""))</f>
        <v/>
      </c>
      <c r="P15" t="str">
        <f>IFERROR(INDEX(tblY11[Class],ROWS(P$10:P15))&amp;"","")</f>
        <v>11S/Sc1</v>
      </c>
      <c r="Q15" t="str">
        <f>IF(P15="","",IF(COUNTIF(P$10:P15,P15)=1,COUNTIF(P$10:P$609,"&lt;"&amp;P15)+1,""))</f>
        <v/>
      </c>
      <c r="AA15" t="str">
        <f>IFERROR(INDEX(tblAssessments[Test Name],MATCH(SelYear&amp;"|"&amp;13,tblAssessments[Seq Key],0))&amp;"","")</f>
        <v/>
      </c>
      <c r="AB15" t="str">
        <f>IF(AA15="","",IFERROR(INDEX(tblAssessments[Max Marks],MATCH(SelYear&amp;"|"&amp;13,tblAssessments[Seq Key],0)),""))</f>
        <v/>
      </c>
      <c r="AC15" s="83" t="str">
        <f>IF(AA15="","",IFERROR(IF(INDEX(tblAssessments[Date],MATCH(SelYear&amp;"|"&amp;13,tblAssessments[Seq Key],0))="","",INDEX(tblAssessments[Date],MATCH(SelYear&amp;"|"&amp;13,tblAssessments[Seq Key],0))),""))</f>
        <v/>
      </c>
      <c r="AD15" t="str">
        <f>IF(AA15="","",IFERROR(INDEX(tblAssessments[Code],MATCH(SelYear&amp;"|"&amp;13,tblAssessments[Seq Key],0))&amp;"",""))</f>
        <v/>
      </c>
      <c r="AK15" t="str">
        <f>IF(AA15="","",IF(AD15&lt;&gt;"",AD15,LEFT(AA15,14)))</f>
        <v/>
      </c>
      <c r="AL15" t="e">
        <f>IF(AA15="",NA(),IFERROR(AVERAGE(INDEX(dData,0,MATCH(AA15&amp;CHAR(10)&amp;"Stanine",dHdr,0))),NA()))</f>
        <v>#N/A</v>
      </c>
      <c r="AM15" t="e">
        <f>IF(OR(AA15="",SelClass=""),NA(),IFERROR(AVERAGEIFS(INDEX(dData,0,MATCH(AA15&amp;CHAR(10)&amp;"Stanine",dHdr,0)),dClass,SelClass),NA()))</f>
        <v>#N/A</v>
      </c>
      <c r="BL15" t="str">
        <f>IFERROR(MATCH(SMALL($BJ$70:$BJ$669,13),$BJ$70:$BJ$669,0),"")</f>
        <v/>
      </c>
      <c r="BW15" t="str">
        <f>IF(OR($AA15="",$Y$3=""),"",IFERROR((COUNTIFS(dClass,$Y$3,INDEX(dData,0,MATCH($AA15&amp;CHAR(10)&amp;"Raw Score",dHdr,0)),"&gt;=0")+COUNTIFS(dClass,$Y$3,INDEX(dData,0,MATCH($AA15&amp;CHAR(10)&amp;"Raw Score",dHdr,0)),"A"))/COUNTIF(dClass,$Y$3),""))</f>
        <v/>
      </c>
      <c r="BX15" t="str">
        <f>IF(OR($AA15="",$Y$4=""),"",IFERROR((COUNTIFS(dClass,$Y$4,INDEX(dData,0,MATCH($AA15&amp;CHAR(10)&amp;"Raw Score",dHdr,0)),"&gt;=0")+COUNTIFS(dClass,$Y$4,INDEX(dData,0,MATCH($AA15&amp;CHAR(10)&amp;"Raw Score",dHdr,0)),"A"))/COUNTIF(dClass,$Y$4),""))</f>
        <v/>
      </c>
      <c r="BY15" t="str">
        <f>IF(OR($AA15="",$Y$5=""),"",IFERROR((COUNTIFS(dClass,$Y$5,INDEX(dData,0,MATCH($AA15&amp;CHAR(10)&amp;"Raw Score",dHdr,0)),"&gt;=0")+COUNTIFS(dClass,$Y$5,INDEX(dData,0,MATCH($AA15&amp;CHAR(10)&amp;"Raw Score",dHdr,0)),"A"))/COUNTIF(dClass,$Y$5),""))</f>
        <v/>
      </c>
      <c r="BZ15" t="str">
        <f>IF(OR($AA15="",$Y$6=""),"",IFERROR((COUNTIFS(dClass,$Y$6,INDEX(dData,0,MATCH($AA15&amp;CHAR(10)&amp;"Raw Score",dHdr,0)),"&gt;=0")+COUNTIFS(dClass,$Y$6,INDEX(dData,0,MATCH($AA15&amp;CHAR(10)&amp;"Raw Score",dHdr,0)),"A"))/COUNTIF(dClass,$Y$6),""))</f>
        <v/>
      </c>
      <c r="CA15" t="str">
        <f>IF(OR($AA15="",$Y$7=""),"",IFERROR((COUNTIFS(dClass,$Y$7,INDEX(dData,0,MATCH($AA15&amp;CHAR(10)&amp;"Raw Score",dHdr,0)),"&gt;=0")+COUNTIFS(dClass,$Y$7,INDEX(dData,0,MATCH($AA15&amp;CHAR(10)&amp;"Raw Score",dHdr,0)),"A"))/COUNTIF(dClass,$Y$7),""))</f>
        <v/>
      </c>
      <c r="CB15" t="str">
        <f>IF(OR($AA15="",$Y$8=""),"",IFERROR((COUNTIFS(dClass,$Y$8,INDEX(dData,0,MATCH($AA15&amp;CHAR(10)&amp;"Raw Score",dHdr,0)),"&gt;=0")+COUNTIFS(dClass,$Y$8,INDEX(dData,0,MATCH($AA15&amp;CHAR(10)&amp;"Raw Score",dHdr,0)),"A"))/COUNTIF(dClass,$Y$8),""))</f>
        <v/>
      </c>
      <c r="CC15" t="str">
        <f>IF(OR($AA15="",$Y$9=""),"",IFERROR((COUNTIFS(dClass,$Y$9,INDEX(dData,0,MATCH($AA15&amp;CHAR(10)&amp;"Raw Score",dHdr,0)),"&gt;=0")+COUNTIFS(dClass,$Y$9,INDEX(dData,0,MATCH($AA15&amp;CHAR(10)&amp;"Raw Score",dHdr,0)),"A"))/COUNTIF(dClass,$Y$9),""))</f>
        <v/>
      </c>
      <c r="CD15" t="str">
        <f>IF(OR($AA15="",$Y$10=""),"",IFERROR((COUNTIFS(dClass,$Y$10,INDEX(dData,0,MATCH($AA15&amp;CHAR(10)&amp;"Raw Score",dHdr,0)),"&gt;=0")+COUNTIFS(dClass,$Y$10,INDEX(dData,0,MATCH($AA15&amp;CHAR(10)&amp;"Raw Score",dHdr,0)),"A"))/COUNTIF(dClass,$Y$10),""))</f>
        <v/>
      </c>
    </row>
    <row r="16">
      <c r="H16" t="str">
        <f>IFERROR(INDEX(tblY7[Class],ROWS(H$10:H16))&amp;"","")</f>
        <v>7A/Sc1</v>
      </c>
      <c r="I16" t="str">
        <f>IF(H16="","",IF(COUNTIF(H$10:H16,H16)=1,COUNTIF(H$10:H$609,"&lt;"&amp;H16)+1,""))</f>
        <v/>
      </c>
      <c r="J16" t="str">
        <f>IFERROR(INDEX(tblY8[Class],ROWS(J$10:J16))&amp;"","")</f>
        <v>8A/Sc1</v>
      </c>
      <c r="K16" t="str">
        <f>IF(J16="","",IF(COUNTIF(J$10:J16,J16)=1,COUNTIF(J$10:J$609,"&lt;"&amp;J16)+1,""))</f>
        <v/>
      </c>
      <c r="L16" t="str">
        <f>IFERROR(INDEX(tblY9[Class],ROWS(L$10:L16))&amp;"","")</f>
        <v>9A/Sc1</v>
      </c>
      <c r="M16" t="str">
        <f>IF(L16="","",IF(COUNTIF(L$10:L16,L16)=1,COUNTIF(L$10:L$609,"&lt;"&amp;L16)+1,""))</f>
        <v/>
      </c>
      <c r="N16" t="str">
        <f>IFERROR(INDEX(tblY10[Class],ROWS(N$10:N16))&amp;"","")</f>
        <v>10S/Sc1</v>
      </c>
      <c r="O16" t="str">
        <f>IF(N16="","",IF(COUNTIF(N$10:N16,N16)=1,COUNTIF(N$10:N$609,"&lt;"&amp;N16)+1,""))</f>
        <v/>
      </c>
      <c r="P16" t="str">
        <f>IFERROR(INDEX(tblY11[Class],ROWS(P$10:P16))&amp;"","")</f>
        <v>11S/Sc1</v>
      </c>
      <c r="Q16" t="str">
        <f>IF(P16="","",IF(COUNTIF(P$10:P16,P16)=1,COUNTIF(P$10:P$609,"&lt;"&amp;P16)+1,""))</f>
        <v/>
      </c>
      <c r="AA16" t="str">
        <f>IFERROR(INDEX(tblAssessments[Test Name],MATCH(SelYear&amp;"|"&amp;14,tblAssessments[Seq Key],0))&amp;"","")</f>
        <v/>
      </c>
      <c r="AB16" t="str">
        <f>IF(AA16="","",IFERROR(INDEX(tblAssessments[Max Marks],MATCH(SelYear&amp;"|"&amp;14,tblAssessments[Seq Key],0)),""))</f>
        <v/>
      </c>
      <c r="AC16" s="83" t="str">
        <f>IF(AA16="","",IFERROR(IF(INDEX(tblAssessments[Date],MATCH(SelYear&amp;"|"&amp;14,tblAssessments[Seq Key],0))="","",INDEX(tblAssessments[Date],MATCH(SelYear&amp;"|"&amp;14,tblAssessments[Seq Key],0))),""))</f>
        <v/>
      </c>
      <c r="AD16" t="str">
        <f>IF(AA16="","",IFERROR(INDEX(tblAssessments[Code],MATCH(SelYear&amp;"|"&amp;14,tblAssessments[Seq Key],0))&amp;"",""))</f>
        <v/>
      </c>
      <c r="AK16" t="str">
        <f>IF(AA16="","",IF(AD16&lt;&gt;"",AD16,LEFT(AA16,14)))</f>
        <v/>
      </c>
      <c r="AL16" t="e">
        <f>IF(AA16="",NA(),IFERROR(AVERAGE(INDEX(dData,0,MATCH(AA16&amp;CHAR(10)&amp;"Stanine",dHdr,0))),NA()))</f>
        <v>#N/A</v>
      </c>
      <c r="AM16" t="e">
        <f>IF(OR(AA16="",SelClass=""),NA(),IFERROR(AVERAGEIFS(INDEX(dData,0,MATCH(AA16&amp;CHAR(10)&amp;"Stanine",dHdr,0)),dClass,SelClass),NA()))</f>
        <v>#N/A</v>
      </c>
      <c r="BL16" t="str">
        <f>IFERROR(MATCH(SMALL($BJ$70:$BJ$669,14),$BJ$70:$BJ$669,0),"")</f>
        <v/>
      </c>
      <c r="BW16" t="str">
        <f>IF(OR($AA16="",$Y$3=""),"",IFERROR((COUNTIFS(dClass,$Y$3,INDEX(dData,0,MATCH($AA16&amp;CHAR(10)&amp;"Raw Score",dHdr,0)),"&gt;=0")+COUNTIFS(dClass,$Y$3,INDEX(dData,0,MATCH($AA16&amp;CHAR(10)&amp;"Raw Score",dHdr,0)),"A"))/COUNTIF(dClass,$Y$3),""))</f>
        <v/>
      </c>
      <c r="BX16" t="str">
        <f>IF(OR($AA16="",$Y$4=""),"",IFERROR((COUNTIFS(dClass,$Y$4,INDEX(dData,0,MATCH($AA16&amp;CHAR(10)&amp;"Raw Score",dHdr,0)),"&gt;=0")+COUNTIFS(dClass,$Y$4,INDEX(dData,0,MATCH($AA16&amp;CHAR(10)&amp;"Raw Score",dHdr,0)),"A"))/COUNTIF(dClass,$Y$4),""))</f>
        <v/>
      </c>
      <c r="BY16" t="str">
        <f>IF(OR($AA16="",$Y$5=""),"",IFERROR((COUNTIFS(dClass,$Y$5,INDEX(dData,0,MATCH($AA16&amp;CHAR(10)&amp;"Raw Score",dHdr,0)),"&gt;=0")+COUNTIFS(dClass,$Y$5,INDEX(dData,0,MATCH($AA16&amp;CHAR(10)&amp;"Raw Score",dHdr,0)),"A"))/COUNTIF(dClass,$Y$5),""))</f>
        <v/>
      </c>
      <c r="BZ16" t="str">
        <f>IF(OR($AA16="",$Y$6=""),"",IFERROR((COUNTIFS(dClass,$Y$6,INDEX(dData,0,MATCH($AA16&amp;CHAR(10)&amp;"Raw Score",dHdr,0)),"&gt;=0")+COUNTIFS(dClass,$Y$6,INDEX(dData,0,MATCH($AA16&amp;CHAR(10)&amp;"Raw Score",dHdr,0)),"A"))/COUNTIF(dClass,$Y$6),""))</f>
        <v/>
      </c>
      <c r="CA16" t="str">
        <f>IF(OR($AA16="",$Y$7=""),"",IFERROR((COUNTIFS(dClass,$Y$7,INDEX(dData,0,MATCH($AA16&amp;CHAR(10)&amp;"Raw Score",dHdr,0)),"&gt;=0")+COUNTIFS(dClass,$Y$7,INDEX(dData,0,MATCH($AA16&amp;CHAR(10)&amp;"Raw Score",dHdr,0)),"A"))/COUNTIF(dClass,$Y$7),""))</f>
        <v/>
      </c>
      <c r="CB16" t="str">
        <f>IF(OR($AA16="",$Y$8=""),"",IFERROR((COUNTIFS(dClass,$Y$8,INDEX(dData,0,MATCH($AA16&amp;CHAR(10)&amp;"Raw Score",dHdr,0)),"&gt;=0")+COUNTIFS(dClass,$Y$8,INDEX(dData,0,MATCH($AA16&amp;CHAR(10)&amp;"Raw Score",dHdr,0)),"A"))/COUNTIF(dClass,$Y$8),""))</f>
        <v/>
      </c>
      <c r="CC16" t="str">
        <f>IF(OR($AA16="",$Y$9=""),"",IFERROR((COUNTIFS(dClass,$Y$9,INDEX(dData,0,MATCH($AA16&amp;CHAR(10)&amp;"Raw Score",dHdr,0)),"&gt;=0")+COUNTIFS(dClass,$Y$9,INDEX(dData,0,MATCH($AA16&amp;CHAR(10)&amp;"Raw Score",dHdr,0)),"A"))/COUNTIF(dClass,$Y$9),""))</f>
        <v/>
      </c>
      <c r="CD16" t="str">
        <f>IF(OR($AA16="",$Y$10=""),"",IFERROR((COUNTIFS(dClass,$Y$10,INDEX(dData,0,MATCH($AA16&amp;CHAR(10)&amp;"Raw Score",dHdr,0)),"&gt;=0")+COUNTIFS(dClass,$Y$10,INDEX(dData,0,MATCH($AA16&amp;CHAR(10)&amp;"Raw Score",dHdr,0)),"A"))/COUNTIF(dClass,$Y$10),""))</f>
        <v/>
      </c>
    </row>
    <row r="17">
      <c r="H17" t="str">
        <f>IFERROR(INDEX(tblY7[Class],ROWS(H$10:H17))&amp;"","")</f>
        <v>7A/Sc1</v>
      </c>
      <c r="I17" t="str">
        <f>IF(H17="","",IF(COUNTIF(H$10:H17,H17)=1,COUNTIF(H$10:H$609,"&lt;"&amp;H17)+1,""))</f>
        <v/>
      </c>
      <c r="J17" t="str">
        <f>IFERROR(INDEX(tblY8[Class],ROWS(J$10:J17))&amp;"","")</f>
        <v>8A/Sc1</v>
      </c>
      <c r="K17" t="str">
        <f>IF(J17="","",IF(COUNTIF(J$10:J17,J17)=1,COUNTIF(J$10:J$609,"&lt;"&amp;J17)+1,""))</f>
        <v/>
      </c>
      <c r="L17" t="str">
        <f>IFERROR(INDEX(tblY9[Class],ROWS(L$10:L17))&amp;"","")</f>
        <v>9A/Sc1</v>
      </c>
      <c r="M17" t="str">
        <f>IF(L17="","",IF(COUNTIF(L$10:L17,L17)=1,COUNTIF(L$10:L$609,"&lt;"&amp;L17)+1,""))</f>
        <v/>
      </c>
      <c r="N17" t="str">
        <f>IFERROR(INDEX(tblY10[Class],ROWS(N$10:N17))&amp;"","")</f>
        <v>10S/Sc1</v>
      </c>
      <c r="O17" t="str">
        <f>IF(N17="","",IF(COUNTIF(N$10:N17,N17)=1,COUNTIF(N$10:N$609,"&lt;"&amp;N17)+1,""))</f>
        <v/>
      </c>
      <c r="P17" t="str">
        <f>IFERROR(INDEX(tblY11[Class],ROWS(P$10:P17))&amp;"","")</f>
        <v>11S/Sc1</v>
      </c>
      <c r="Q17" t="str">
        <f>IF(P17="","",IF(COUNTIF(P$10:P17,P17)=1,COUNTIF(P$10:P$609,"&lt;"&amp;P17)+1,""))</f>
        <v/>
      </c>
      <c r="AA17" t="str">
        <f>IFERROR(INDEX(tblAssessments[Test Name],MATCH(SelYear&amp;"|"&amp;15,tblAssessments[Seq Key],0))&amp;"","")</f>
        <v/>
      </c>
      <c r="AB17" t="str">
        <f>IF(AA17="","",IFERROR(INDEX(tblAssessments[Max Marks],MATCH(SelYear&amp;"|"&amp;15,tblAssessments[Seq Key],0)),""))</f>
        <v/>
      </c>
      <c r="AC17" s="83" t="str">
        <f>IF(AA17="","",IFERROR(IF(INDEX(tblAssessments[Date],MATCH(SelYear&amp;"|"&amp;15,tblAssessments[Seq Key],0))="","",INDEX(tblAssessments[Date],MATCH(SelYear&amp;"|"&amp;15,tblAssessments[Seq Key],0))),""))</f>
        <v/>
      </c>
      <c r="AD17" t="str">
        <f>IF(AA17="","",IFERROR(INDEX(tblAssessments[Code],MATCH(SelYear&amp;"|"&amp;15,tblAssessments[Seq Key],0))&amp;"",""))</f>
        <v/>
      </c>
      <c r="AK17" t="str">
        <f>IF(AA17="","",IF(AD17&lt;&gt;"",AD17,LEFT(AA17,14)))</f>
        <v/>
      </c>
      <c r="AL17" t="e">
        <f>IF(AA17="",NA(),IFERROR(AVERAGE(INDEX(dData,0,MATCH(AA17&amp;CHAR(10)&amp;"Stanine",dHdr,0))),NA()))</f>
        <v>#N/A</v>
      </c>
      <c r="AM17" t="e">
        <f>IF(OR(AA17="",SelClass=""),NA(),IFERROR(AVERAGEIFS(INDEX(dData,0,MATCH(AA17&amp;CHAR(10)&amp;"Stanine",dHdr,0)),dClass,SelClass),NA()))</f>
        <v>#N/A</v>
      </c>
      <c r="BL17" t="str">
        <f>IFERROR(MATCH(SMALL($BJ$70:$BJ$669,15),$BJ$70:$BJ$669,0),"")</f>
        <v/>
      </c>
      <c r="BW17" t="str">
        <f>IF(OR($AA17="",$Y$3=""),"",IFERROR((COUNTIFS(dClass,$Y$3,INDEX(dData,0,MATCH($AA17&amp;CHAR(10)&amp;"Raw Score",dHdr,0)),"&gt;=0")+COUNTIFS(dClass,$Y$3,INDEX(dData,0,MATCH($AA17&amp;CHAR(10)&amp;"Raw Score",dHdr,0)),"A"))/COUNTIF(dClass,$Y$3),""))</f>
        <v/>
      </c>
      <c r="BX17" t="str">
        <f>IF(OR($AA17="",$Y$4=""),"",IFERROR((COUNTIFS(dClass,$Y$4,INDEX(dData,0,MATCH($AA17&amp;CHAR(10)&amp;"Raw Score",dHdr,0)),"&gt;=0")+COUNTIFS(dClass,$Y$4,INDEX(dData,0,MATCH($AA17&amp;CHAR(10)&amp;"Raw Score",dHdr,0)),"A"))/COUNTIF(dClass,$Y$4),""))</f>
        <v/>
      </c>
      <c r="BY17" t="str">
        <f>IF(OR($AA17="",$Y$5=""),"",IFERROR((COUNTIFS(dClass,$Y$5,INDEX(dData,0,MATCH($AA17&amp;CHAR(10)&amp;"Raw Score",dHdr,0)),"&gt;=0")+COUNTIFS(dClass,$Y$5,INDEX(dData,0,MATCH($AA17&amp;CHAR(10)&amp;"Raw Score",dHdr,0)),"A"))/COUNTIF(dClass,$Y$5),""))</f>
        <v/>
      </c>
      <c r="BZ17" t="str">
        <f>IF(OR($AA17="",$Y$6=""),"",IFERROR((COUNTIFS(dClass,$Y$6,INDEX(dData,0,MATCH($AA17&amp;CHAR(10)&amp;"Raw Score",dHdr,0)),"&gt;=0")+COUNTIFS(dClass,$Y$6,INDEX(dData,0,MATCH($AA17&amp;CHAR(10)&amp;"Raw Score",dHdr,0)),"A"))/COUNTIF(dClass,$Y$6),""))</f>
        <v/>
      </c>
      <c r="CA17" t="str">
        <f>IF(OR($AA17="",$Y$7=""),"",IFERROR((COUNTIFS(dClass,$Y$7,INDEX(dData,0,MATCH($AA17&amp;CHAR(10)&amp;"Raw Score",dHdr,0)),"&gt;=0")+COUNTIFS(dClass,$Y$7,INDEX(dData,0,MATCH($AA17&amp;CHAR(10)&amp;"Raw Score",dHdr,0)),"A"))/COUNTIF(dClass,$Y$7),""))</f>
        <v/>
      </c>
      <c r="CB17" t="str">
        <f>IF(OR($AA17="",$Y$8=""),"",IFERROR((COUNTIFS(dClass,$Y$8,INDEX(dData,0,MATCH($AA17&amp;CHAR(10)&amp;"Raw Score",dHdr,0)),"&gt;=0")+COUNTIFS(dClass,$Y$8,INDEX(dData,0,MATCH($AA17&amp;CHAR(10)&amp;"Raw Score",dHdr,0)),"A"))/COUNTIF(dClass,$Y$8),""))</f>
        <v/>
      </c>
      <c r="CC17" t="str">
        <f>IF(OR($AA17="",$Y$9=""),"",IFERROR((COUNTIFS(dClass,$Y$9,INDEX(dData,0,MATCH($AA17&amp;CHAR(10)&amp;"Raw Score",dHdr,0)),"&gt;=0")+COUNTIFS(dClass,$Y$9,INDEX(dData,0,MATCH($AA17&amp;CHAR(10)&amp;"Raw Score",dHdr,0)),"A"))/COUNTIF(dClass,$Y$9),""))</f>
        <v/>
      </c>
      <c r="CD17" t="str">
        <f>IF(OR($AA17="",$Y$10=""),"",IFERROR((COUNTIFS(dClass,$Y$10,INDEX(dData,0,MATCH($AA17&amp;CHAR(10)&amp;"Raw Score",dHdr,0)),"&gt;=0")+COUNTIFS(dClass,$Y$10,INDEX(dData,0,MATCH($AA17&amp;CHAR(10)&amp;"Raw Score",dHdr,0)),"A"))/COUNTIF(dClass,$Y$10),""))</f>
        <v/>
      </c>
    </row>
    <row r="18">
      <c r="H18" t="str">
        <f>IFERROR(INDEX(tblY7[Class],ROWS(H$10:H18))&amp;"","")</f>
        <v>7A/Sc1</v>
      </c>
      <c r="I18" t="str">
        <f>IF(H18="","",IF(COUNTIF(H$10:H18,H18)=1,COUNTIF(H$10:H$609,"&lt;"&amp;H18)+1,""))</f>
        <v/>
      </c>
      <c r="J18" t="str">
        <f>IFERROR(INDEX(tblY8[Class],ROWS(J$10:J18))&amp;"","")</f>
        <v>8A/Sc1</v>
      </c>
      <c r="K18" t="str">
        <f>IF(J18="","",IF(COUNTIF(J$10:J18,J18)=1,COUNTIF(J$10:J$609,"&lt;"&amp;J18)+1,""))</f>
        <v/>
      </c>
      <c r="L18" t="str">
        <f>IFERROR(INDEX(tblY9[Class],ROWS(L$10:L18))&amp;"","")</f>
        <v>9A/Sc1</v>
      </c>
      <c r="M18" t="str">
        <f>IF(L18="","",IF(COUNTIF(L$10:L18,L18)=1,COUNTIF(L$10:L$609,"&lt;"&amp;L18)+1,""))</f>
        <v/>
      </c>
      <c r="N18" t="str">
        <f>IFERROR(INDEX(tblY10[Class],ROWS(N$10:N18))&amp;"","")</f>
        <v>10S/Sc1</v>
      </c>
      <c r="O18" t="str">
        <f>IF(N18="","",IF(COUNTIF(N$10:N18,N18)=1,COUNTIF(N$10:N$609,"&lt;"&amp;N18)+1,""))</f>
        <v/>
      </c>
      <c r="P18" t="str">
        <f>IFERROR(INDEX(tblY11[Class],ROWS(P$10:P18))&amp;"","")</f>
        <v>11S/Sc1</v>
      </c>
      <c r="Q18" t="str">
        <f>IF(P18="","",IF(COUNTIF(P$10:P18,P18)=1,COUNTIF(P$10:P$609,"&lt;"&amp;P18)+1,""))</f>
        <v/>
      </c>
      <c r="AA18" t="str">
        <f>IFERROR(INDEX(tblAssessments[Test Name],MATCH(SelYear&amp;"|"&amp;16,tblAssessments[Seq Key],0))&amp;"","")</f>
        <v/>
      </c>
      <c r="AB18" t="str">
        <f>IF(AA18="","",IFERROR(INDEX(tblAssessments[Max Marks],MATCH(SelYear&amp;"|"&amp;16,tblAssessments[Seq Key],0)),""))</f>
        <v/>
      </c>
      <c r="AC18" s="83" t="str">
        <f>IF(AA18="","",IFERROR(IF(INDEX(tblAssessments[Date],MATCH(SelYear&amp;"|"&amp;16,tblAssessments[Seq Key],0))="","",INDEX(tblAssessments[Date],MATCH(SelYear&amp;"|"&amp;16,tblAssessments[Seq Key],0))),""))</f>
        <v/>
      </c>
      <c r="AD18" t="str">
        <f>IF(AA18="","",IFERROR(INDEX(tblAssessments[Code],MATCH(SelYear&amp;"|"&amp;16,tblAssessments[Seq Key],0))&amp;"",""))</f>
        <v/>
      </c>
      <c r="AK18" t="str">
        <f>IF(AA18="","",IF(AD18&lt;&gt;"",AD18,LEFT(AA18,14)))</f>
        <v/>
      </c>
      <c r="AL18" t="e">
        <f>IF(AA18="",NA(),IFERROR(AVERAGE(INDEX(dData,0,MATCH(AA18&amp;CHAR(10)&amp;"Stanine",dHdr,0))),NA()))</f>
        <v>#N/A</v>
      </c>
      <c r="AM18" t="e">
        <f>IF(OR(AA18="",SelClass=""),NA(),IFERROR(AVERAGEIFS(INDEX(dData,0,MATCH(AA18&amp;CHAR(10)&amp;"Stanine",dHdr,0)),dClass,SelClass),NA()))</f>
        <v>#N/A</v>
      </c>
      <c r="BL18" t="str">
        <f>IFERROR(MATCH(SMALL($BJ$70:$BJ$669,16),$BJ$70:$BJ$669,0),"")</f>
        <v/>
      </c>
      <c r="BW18" t="str">
        <f>IF(OR($AA18="",$Y$3=""),"",IFERROR((COUNTIFS(dClass,$Y$3,INDEX(dData,0,MATCH($AA18&amp;CHAR(10)&amp;"Raw Score",dHdr,0)),"&gt;=0")+COUNTIFS(dClass,$Y$3,INDEX(dData,0,MATCH($AA18&amp;CHAR(10)&amp;"Raw Score",dHdr,0)),"A"))/COUNTIF(dClass,$Y$3),""))</f>
        <v/>
      </c>
      <c r="BX18" t="str">
        <f>IF(OR($AA18="",$Y$4=""),"",IFERROR((COUNTIFS(dClass,$Y$4,INDEX(dData,0,MATCH($AA18&amp;CHAR(10)&amp;"Raw Score",dHdr,0)),"&gt;=0")+COUNTIFS(dClass,$Y$4,INDEX(dData,0,MATCH($AA18&amp;CHAR(10)&amp;"Raw Score",dHdr,0)),"A"))/COUNTIF(dClass,$Y$4),""))</f>
        <v/>
      </c>
      <c r="BY18" t="str">
        <f>IF(OR($AA18="",$Y$5=""),"",IFERROR((COUNTIFS(dClass,$Y$5,INDEX(dData,0,MATCH($AA18&amp;CHAR(10)&amp;"Raw Score",dHdr,0)),"&gt;=0")+COUNTIFS(dClass,$Y$5,INDEX(dData,0,MATCH($AA18&amp;CHAR(10)&amp;"Raw Score",dHdr,0)),"A"))/COUNTIF(dClass,$Y$5),""))</f>
        <v/>
      </c>
      <c r="BZ18" t="str">
        <f>IF(OR($AA18="",$Y$6=""),"",IFERROR((COUNTIFS(dClass,$Y$6,INDEX(dData,0,MATCH($AA18&amp;CHAR(10)&amp;"Raw Score",dHdr,0)),"&gt;=0")+COUNTIFS(dClass,$Y$6,INDEX(dData,0,MATCH($AA18&amp;CHAR(10)&amp;"Raw Score",dHdr,0)),"A"))/COUNTIF(dClass,$Y$6),""))</f>
        <v/>
      </c>
      <c r="CA18" t="str">
        <f>IF(OR($AA18="",$Y$7=""),"",IFERROR((COUNTIFS(dClass,$Y$7,INDEX(dData,0,MATCH($AA18&amp;CHAR(10)&amp;"Raw Score",dHdr,0)),"&gt;=0")+COUNTIFS(dClass,$Y$7,INDEX(dData,0,MATCH($AA18&amp;CHAR(10)&amp;"Raw Score",dHdr,0)),"A"))/COUNTIF(dClass,$Y$7),""))</f>
        <v/>
      </c>
      <c r="CB18" t="str">
        <f>IF(OR($AA18="",$Y$8=""),"",IFERROR((COUNTIFS(dClass,$Y$8,INDEX(dData,0,MATCH($AA18&amp;CHAR(10)&amp;"Raw Score",dHdr,0)),"&gt;=0")+COUNTIFS(dClass,$Y$8,INDEX(dData,0,MATCH($AA18&amp;CHAR(10)&amp;"Raw Score",dHdr,0)),"A"))/COUNTIF(dClass,$Y$8),""))</f>
        <v/>
      </c>
      <c r="CC18" t="str">
        <f>IF(OR($AA18="",$Y$9=""),"",IFERROR((COUNTIFS(dClass,$Y$9,INDEX(dData,0,MATCH($AA18&amp;CHAR(10)&amp;"Raw Score",dHdr,0)),"&gt;=0")+COUNTIFS(dClass,$Y$9,INDEX(dData,0,MATCH($AA18&amp;CHAR(10)&amp;"Raw Score",dHdr,0)),"A"))/COUNTIF(dClass,$Y$9),""))</f>
        <v/>
      </c>
      <c r="CD18" t="str">
        <f>IF(OR($AA18="",$Y$10=""),"",IFERROR((COUNTIFS(dClass,$Y$10,INDEX(dData,0,MATCH($AA18&amp;CHAR(10)&amp;"Raw Score",dHdr,0)),"&gt;=0")+COUNTIFS(dClass,$Y$10,INDEX(dData,0,MATCH($AA18&amp;CHAR(10)&amp;"Raw Score",dHdr,0)),"A"))/COUNTIF(dClass,$Y$10),""))</f>
        <v/>
      </c>
    </row>
    <row r="19">
      <c r="H19" t="str">
        <f>IFERROR(INDEX(tblY7[Class],ROWS(H$10:H19))&amp;"","")</f>
        <v>7A/Sc1</v>
      </c>
      <c r="I19" t="str">
        <f>IF(H19="","",IF(COUNTIF(H$10:H19,H19)=1,COUNTIF(H$10:H$609,"&lt;"&amp;H19)+1,""))</f>
        <v/>
      </c>
      <c r="J19" t="str">
        <f>IFERROR(INDEX(tblY8[Class],ROWS(J$10:J19))&amp;"","")</f>
        <v>8A/Sc1</v>
      </c>
      <c r="K19" t="str">
        <f>IF(J19="","",IF(COUNTIF(J$10:J19,J19)=1,COUNTIF(J$10:J$609,"&lt;"&amp;J19)+1,""))</f>
        <v/>
      </c>
      <c r="L19" t="str">
        <f>IFERROR(INDEX(tblY9[Class],ROWS(L$10:L19))&amp;"","")</f>
        <v>9A/Sc1</v>
      </c>
      <c r="M19" t="str">
        <f>IF(L19="","",IF(COUNTIF(L$10:L19,L19)=1,COUNTIF(L$10:L$609,"&lt;"&amp;L19)+1,""))</f>
        <v/>
      </c>
      <c r="N19" t="str">
        <f>IFERROR(INDEX(tblY10[Class],ROWS(N$10:N19))&amp;"","")</f>
        <v>10S/Sc1</v>
      </c>
      <c r="O19" t="str">
        <f>IF(N19="","",IF(COUNTIF(N$10:N19,N19)=1,COUNTIF(N$10:N$609,"&lt;"&amp;N19)+1,""))</f>
        <v/>
      </c>
      <c r="P19" t="str">
        <f>IFERROR(INDEX(tblY11[Class],ROWS(P$10:P19))&amp;"","")</f>
        <v>11S/Sc1</v>
      </c>
      <c r="Q19" t="str">
        <f>IF(P19="","",IF(COUNTIF(P$10:P19,P19)=1,COUNTIF(P$10:P$609,"&lt;"&amp;P19)+1,""))</f>
        <v/>
      </c>
      <c r="AA19" t="str">
        <f>IFERROR(INDEX(tblAssessments[Test Name],MATCH(SelYear&amp;"|"&amp;17,tblAssessments[Seq Key],0))&amp;"","")</f>
        <v/>
      </c>
      <c r="AB19" t="str">
        <f>IF(AA19="","",IFERROR(INDEX(tblAssessments[Max Marks],MATCH(SelYear&amp;"|"&amp;17,tblAssessments[Seq Key],0)),""))</f>
        <v/>
      </c>
      <c r="AC19" s="83" t="str">
        <f>IF(AA19="","",IFERROR(IF(INDEX(tblAssessments[Date],MATCH(SelYear&amp;"|"&amp;17,tblAssessments[Seq Key],0))="","",INDEX(tblAssessments[Date],MATCH(SelYear&amp;"|"&amp;17,tblAssessments[Seq Key],0))),""))</f>
        <v/>
      </c>
      <c r="AD19" t="str">
        <f>IF(AA19="","",IFERROR(INDEX(tblAssessments[Code],MATCH(SelYear&amp;"|"&amp;17,tblAssessments[Seq Key],0))&amp;"",""))</f>
        <v/>
      </c>
      <c r="AK19" t="str">
        <f>IF(AA19="","",IF(AD19&lt;&gt;"",AD19,LEFT(AA19,14)))</f>
        <v/>
      </c>
      <c r="AL19" t="e">
        <f>IF(AA19="",NA(),IFERROR(AVERAGE(INDEX(dData,0,MATCH(AA19&amp;CHAR(10)&amp;"Stanine",dHdr,0))),NA()))</f>
        <v>#N/A</v>
      </c>
      <c r="AM19" t="e">
        <f>IF(OR(AA19="",SelClass=""),NA(),IFERROR(AVERAGEIFS(INDEX(dData,0,MATCH(AA19&amp;CHAR(10)&amp;"Stanine",dHdr,0)),dClass,SelClass),NA()))</f>
        <v>#N/A</v>
      </c>
      <c r="BL19" t="str">
        <f>IFERROR(MATCH(SMALL($BJ$70:$BJ$669,17),$BJ$70:$BJ$669,0),"")</f>
        <v/>
      </c>
      <c r="BW19" t="str">
        <f>IF(OR($AA19="",$Y$3=""),"",IFERROR((COUNTIFS(dClass,$Y$3,INDEX(dData,0,MATCH($AA19&amp;CHAR(10)&amp;"Raw Score",dHdr,0)),"&gt;=0")+COUNTIFS(dClass,$Y$3,INDEX(dData,0,MATCH($AA19&amp;CHAR(10)&amp;"Raw Score",dHdr,0)),"A"))/COUNTIF(dClass,$Y$3),""))</f>
        <v/>
      </c>
      <c r="BX19" t="str">
        <f>IF(OR($AA19="",$Y$4=""),"",IFERROR((COUNTIFS(dClass,$Y$4,INDEX(dData,0,MATCH($AA19&amp;CHAR(10)&amp;"Raw Score",dHdr,0)),"&gt;=0")+COUNTIFS(dClass,$Y$4,INDEX(dData,0,MATCH($AA19&amp;CHAR(10)&amp;"Raw Score",dHdr,0)),"A"))/COUNTIF(dClass,$Y$4),""))</f>
        <v/>
      </c>
      <c r="BY19" t="str">
        <f>IF(OR($AA19="",$Y$5=""),"",IFERROR((COUNTIFS(dClass,$Y$5,INDEX(dData,0,MATCH($AA19&amp;CHAR(10)&amp;"Raw Score",dHdr,0)),"&gt;=0")+COUNTIFS(dClass,$Y$5,INDEX(dData,0,MATCH($AA19&amp;CHAR(10)&amp;"Raw Score",dHdr,0)),"A"))/COUNTIF(dClass,$Y$5),""))</f>
        <v/>
      </c>
      <c r="BZ19" t="str">
        <f>IF(OR($AA19="",$Y$6=""),"",IFERROR((COUNTIFS(dClass,$Y$6,INDEX(dData,0,MATCH($AA19&amp;CHAR(10)&amp;"Raw Score",dHdr,0)),"&gt;=0")+COUNTIFS(dClass,$Y$6,INDEX(dData,0,MATCH($AA19&amp;CHAR(10)&amp;"Raw Score",dHdr,0)),"A"))/COUNTIF(dClass,$Y$6),""))</f>
        <v/>
      </c>
      <c r="CA19" t="str">
        <f>IF(OR($AA19="",$Y$7=""),"",IFERROR((COUNTIFS(dClass,$Y$7,INDEX(dData,0,MATCH($AA19&amp;CHAR(10)&amp;"Raw Score",dHdr,0)),"&gt;=0")+COUNTIFS(dClass,$Y$7,INDEX(dData,0,MATCH($AA19&amp;CHAR(10)&amp;"Raw Score",dHdr,0)),"A"))/COUNTIF(dClass,$Y$7),""))</f>
        <v/>
      </c>
      <c r="CB19" t="str">
        <f>IF(OR($AA19="",$Y$8=""),"",IFERROR((COUNTIFS(dClass,$Y$8,INDEX(dData,0,MATCH($AA19&amp;CHAR(10)&amp;"Raw Score",dHdr,0)),"&gt;=0")+COUNTIFS(dClass,$Y$8,INDEX(dData,0,MATCH($AA19&amp;CHAR(10)&amp;"Raw Score",dHdr,0)),"A"))/COUNTIF(dClass,$Y$8),""))</f>
        <v/>
      </c>
      <c r="CC19" t="str">
        <f>IF(OR($AA19="",$Y$9=""),"",IFERROR((COUNTIFS(dClass,$Y$9,INDEX(dData,0,MATCH($AA19&amp;CHAR(10)&amp;"Raw Score",dHdr,0)),"&gt;=0")+COUNTIFS(dClass,$Y$9,INDEX(dData,0,MATCH($AA19&amp;CHAR(10)&amp;"Raw Score",dHdr,0)),"A"))/COUNTIF(dClass,$Y$9),""))</f>
        <v/>
      </c>
      <c r="CD19" t="str">
        <f>IF(OR($AA19="",$Y$10=""),"",IFERROR((COUNTIFS(dClass,$Y$10,INDEX(dData,0,MATCH($AA19&amp;CHAR(10)&amp;"Raw Score",dHdr,0)),"&gt;=0")+COUNTIFS(dClass,$Y$10,INDEX(dData,0,MATCH($AA19&amp;CHAR(10)&amp;"Raw Score",dHdr,0)),"A"))/COUNTIF(dClass,$Y$10),""))</f>
        <v/>
      </c>
    </row>
    <row r="20">
      <c r="H20" t="str">
        <f>IFERROR(INDEX(tblY7[Class],ROWS(H$10:H20))&amp;"","")</f>
        <v>7A/Sc1</v>
      </c>
      <c r="I20" t="str">
        <f>IF(H20="","",IF(COUNTIF(H$10:H20,H20)=1,COUNTIF(H$10:H$609,"&lt;"&amp;H20)+1,""))</f>
        <v/>
      </c>
      <c r="J20" t="str">
        <f>IFERROR(INDEX(tblY8[Class],ROWS(J$10:J20))&amp;"","")</f>
        <v>8A/Sc1</v>
      </c>
      <c r="K20" t="str">
        <f>IF(J20="","",IF(COUNTIF(J$10:J20,J20)=1,COUNTIF(J$10:J$609,"&lt;"&amp;J20)+1,""))</f>
        <v/>
      </c>
      <c r="L20" t="str">
        <f>IFERROR(INDEX(tblY9[Class],ROWS(L$10:L20))&amp;"","")</f>
        <v>9A/Sc1</v>
      </c>
      <c r="M20" t="str">
        <f>IF(L20="","",IF(COUNTIF(L$10:L20,L20)=1,COUNTIF(L$10:L$609,"&lt;"&amp;L20)+1,""))</f>
        <v/>
      </c>
      <c r="N20" t="str">
        <f>IFERROR(INDEX(tblY10[Class],ROWS(N$10:N20))&amp;"","")</f>
        <v>10S/Sc1</v>
      </c>
      <c r="O20" t="str">
        <f>IF(N20="","",IF(COUNTIF(N$10:N20,N20)=1,COUNTIF(N$10:N$609,"&lt;"&amp;N20)+1,""))</f>
        <v/>
      </c>
      <c r="P20" t="str">
        <f>IFERROR(INDEX(tblY11[Class],ROWS(P$10:P20))&amp;"","")</f>
        <v>11S/Sc1</v>
      </c>
      <c r="Q20" t="str">
        <f>IF(P20="","",IF(COUNTIF(P$10:P20,P20)=1,COUNTIF(P$10:P$609,"&lt;"&amp;P20)+1,""))</f>
        <v/>
      </c>
      <c r="AA20" t="str">
        <f>IFERROR(INDEX(tblAssessments[Test Name],MATCH(SelYear&amp;"|"&amp;18,tblAssessments[Seq Key],0))&amp;"","")</f>
        <v/>
      </c>
      <c r="AB20" t="str">
        <f>IF(AA20="","",IFERROR(INDEX(tblAssessments[Max Marks],MATCH(SelYear&amp;"|"&amp;18,tblAssessments[Seq Key],0)),""))</f>
        <v/>
      </c>
      <c r="AC20" s="83" t="str">
        <f>IF(AA20="","",IFERROR(IF(INDEX(tblAssessments[Date],MATCH(SelYear&amp;"|"&amp;18,tblAssessments[Seq Key],0))="","",INDEX(tblAssessments[Date],MATCH(SelYear&amp;"|"&amp;18,tblAssessments[Seq Key],0))),""))</f>
        <v/>
      </c>
      <c r="AD20" t="str">
        <f>IF(AA20="","",IFERROR(INDEX(tblAssessments[Code],MATCH(SelYear&amp;"|"&amp;18,tblAssessments[Seq Key],0))&amp;"",""))</f>
        <v/>
      </c>
      <c r="AK20" t="str">
        <f>IF(AA20="","",IF(AD20&lt;&gt;"",AD20,LEFT(AA20,14)))</f>
        <v/>
      </c>
      <c r="AL20" t="e">
        <f>IF(AA20="",NA(),IFERROR(AVERAGE(INDEX(dData,0,MATCH(AA20&amp;CHAR(10)&amp;"Stanine",dHdr,0))),NA()))</f>
        <v>#N/A</v>
      </c>
      <c r="AM20" t="e">
        <f>IF(OR(AA20="",SelClass=""),NA(),IFERROR(AVERAGEIFS(INDEX(dData,0,MATCH(AA20&amp;CHAR(10)&amp;"Stanine",dHdr,0)),dClass,SelClass),NA()))</f>
        <v>#N/A</v>
      </c>
      <c r="BL20" t="str">
        <f>IFERROR(MATCH(SMALL($BJ$70:$BJ$669,18),$BJ$70:$BJ$669,0),"")</f>
        <v/>
      </c>
      <c r="BW20" t="str">
        <f>IF(OR($AA20="",$Y$3=""),"",IFERROR((COUNTIFS(dClass,$Y$3,INDEX(dData,0,MATCH($AA20&amp;CHAR(10)&amp;"Raw Score",dHdr,0)),"&gt;=0")+COUNTIFS(dClass,$Y$3,INDEX(dData,0,MATCH($AA20&amp;CHAR(10)&amp;"Raw Score",dHdr,0)),"A"))/COUNTIF(dClass,$Y$3),""))</f>
        <v/>
      </c>
      <c r="BX20" t="str">
        <f>IF(OR($AA20="",$Y$4=""),"",IFERROR((COUNTIFS(dClass,$Y$4,INDEX(dData,0,MATCH($AA20&amp;CHAR(10)&amp;"Raw Score",dHdr,0)),"&gt;=0")+COUNTIFS(dClass,$Y$4,INDEX(dData,0,MATCH($AA20&amp;CHAR(10)&amp;"Raw Score",dHdr,0)),"A"))/COUNTIF(dClass,$Y$4),""))</f>
        <v/>
      </c>
      <c r="BY20" t="str">
        <f>IF(OR($AA20="",$Y$5=""),"",IFERROR((COUNTIFS(dClass,$Y$5,INDEX(dData,0,MATCH($AA20&amp;CHAR(10)&amp;"Raw Score",dHdr,0)),"&gt;=0")+COUNTIFS(dClass,$Y$5,INDEX(dData,0,MATCH($AA20&amp;CHAR(10)&amp;"Raw Score",dHdr,0)),"A"))/COUNTIF(dClass,$Y$5),""))</f>
        <v/>
      </c>
      <c r="BZ20" t="str">
        <f>IF(OR($AA20="",$Y$6=""),"",IFERROR((COUNTIFS(dClass,$Y$6,INDEX(dData,0,MATCH($AA20&amp;CHAR(10)&amp;"Raw Score",dHdr,0)),"&gt;=0")+COUNTIFS(dClass,$Y$6,INDEX(dData,0,MATCH($AA20&amp;CHAR(10)&amp;"Raw Score",dHdr,0)),"A"))/COUNTIF(dClass,$Y$6),""))</f>
        <v/>
      </c>
      <c r="CA20" t="str">
        <f>IF(OR($AA20="",$Y$7=""),"",IFERROR((COUNTIFS(dClass,$Y$7,INDEX(dData,0,MATCH($AA20&amp;CHAR(10)&amp;"Raw Score",dHdr,0)),"&gt;=0")+COUNTIFS(dClass,$Y$7,INDEX(dData,0,MATCH($AA20&amp;CHAR(10)&amp;"Raw Score",dHdr,0)),"A"))/COUNTIF(dClass,$Y$7),""))</f>
        <v/>
      </c>
      <c r="CB20" t="str">
        <f>IF(OR($AA20="",$Y$8=""),"",IFERROR((COUNTIFS(dClass,$Y$8,INDEX(dData,0,MATCH($AA20&amp;CHAR(10)&amp;"Raw Score",dHdr,0)),"&gt;=0")+COUNTIFS(dClass,$Y$8,INDEX(dData,0,MATCH($AA20&amp;CHAR(10)&amp;"Raw Score",dHdr,0)),"A"))/COUNTIF(dClass,$Y$8),""))</f>
        <v/>
      </c>
      <c r="CC20" t="str">
        <f>IF(OR($AA20="",$Y$9=""),"",IFERROR((COUNTIFS(dClass,$Y$9,INDEX(dData,0,MATCH($AA20&amp;CHAR(10)&amp;"Raw Score",dHdr,0)),"&gt;=0")+COUNTIFS(dClass,$Y$9,INDEX(dData,0,MATCH($AA20&amp;CHAR(10)&amp;"Raw Score",dHdr,0)),"A"))/COUNTIF(dClass,$Y$9),""))</f>
        <v/>
      </c>
      <c r="CD20" t="str">
        <f>IF(OR($AA20="",$Y$10=""),"",IFERROR((COUNTIFS(dClass,$Y$10,INDEX(dData,0,MATCH($AA20&amp;CHAR(10)&amp;"Raw Score",dHdr,0)),"&gt;=0")+COUNTIFS(dClass,$Y$10,INDEX(dData,0,MATCH($AA20&amp;CHAR(10)&amp;"Raw Score",dHdr,0)),"A"))/COUNTIF(dClass,$Y$10),""))</f>
        <v/>
      </c>
    </row>
    <row r="21">
      <c r="H21" t="str">
        <f>IFERROR(INDEX(tblY7[Class],ROWS(H$10:H21))&amp;"","")</f>
        <v>7A/Sc1</v>
      </c>
      <c r="I21" t="str">
        <f>IF(H21="","",IF(COUNTIF(H$10:H21,H21)=1,COUNTIF(H$10:H$609,"&lt;"&amp;H21)+1,""))</f>
        <v/>
      </c>
      <c r="J21" t="str">
        <f>IFERROR(INDEX(tblY8[Class],ROWS(J$10:J21))&amp;"","")</f>
        <v>8A/Sc1</v>
      </c>
      <c r="K21" t="str">
        <f>IF(J21="","",IF(COUNTIF(J$10:J21,J21)=1,COUNTIF(J$10:J$609,"&lt;"&amp;J21)+1,""))</f>
        <v/>
      </c>
      <c r="L21" t="str">
        <f>IFERROR(INDEX(tblY9[Class],ROWS(L$10:L21))&amp;"","")</f>
        <v>9A/Sc1</v>
      </c>
      <c r="M21" t="str">
        <f>IF(L21="","",IF(COUNTIF(L$10:L21,L21)=1,COUNTIF(L$10:L$609,"&lt;"&amp;L21)+1,""))</f>
        <v/>
      </c>
      <c r="N21" t="str">
        <f>IFERROR(INDEX(tblY10[Class],ROWS(N$10:N21))&amp;"","")</f>
        <v>10S/Sc1</v>
      </c>
      <c r="O21" t="str">
        <f>IF(N21="","",IF(COUNTIF(N$10:N21,N21)=1,COUNTIF(N$10:N$609,"&lt;"&amp;N21)+1,""))</f>
        <v/>
      </c>
      <c r="P21" t="str">
        <f>IFERROR(INDEX(tblY11[Class],ROWS(P$10:P21))&amp;"","")</f>
        <v>11S/Sc1</v>
      </c>
      <c r="Q21" t="str">
        <f>IF(P21="","",IF(COUNTIF(P$10:P21,P21)=1,COUNTIF(P$10:P$609,"&lt;"&amp;P21)+1,""))</f>
        <v/>
      </c>
      <c r="AA21" t="str">
        <f>IFERROR(INDEX(tblAssessments[Test Name],MATCH(SelYear&amp;"|"&amp;19,tblAssessments[Seq Key],0))&amp;"","")</f>
        <v/>
      </c>
      <c r="AB21" t="str">
        <f>IF(AA21="","",IFERROR(INDEX(tblAssessments[Max Marks],MATCH(SelYear&amp;"|"&amp;19,tblAssessments[Seq Key],0)),""))</f>
        <v/>
      </c>
      <c r="AC21" s="83" t="str">
        <f>IF(AA21="","",IFERROR(IF(INDEX(tblAssessments[Date],MATCH(SelYear&amp;"|"&amp;19,tblAssessments[Seq Key],0))="","",INDEX(tblAssessments[Date],MATCH(SelYear&amp;"|"&amp;19,tblAssessments[Seq Key],0))),""))</f>
        <v/>
      </c>
      <c r="AD21" t="str">
        <f>IF(AA21="","",IFERROR(INDEX(tblAssessments[Code],MATCH(SelYear&amp;"|"&amp;19,tblAssessments[Seq Key],0))&amp;"",""))</f>
        <v/>
      </c>
      <c r="AK21" t="str">
        <f>IF(AA21="","",IF(AD21&lt;&gt;"",AD21,LEFT(AA21,14)))</f>
        <v/>
      </c>
      <c r="AL21" t="e">
        <f>IF(AA21="",NA(),IFERROR(AVERAGE(INDEX(dData,0,MATCH(AA21&amp;CHAR(10)&amp;"Stanine",dHdr,0))),NA()))</f>
        <v>#N/A</v>
      </c>
      <c r="AM21" t="e">
        <f>IF(OR(AA21="",SelClass=""),NA(),IFERROR(AVERAGEIFS(INDEX(dData,0,MATCH(AA21&amp;CHAR(10)&amp;"Stanine",dHdr,0)),dClass,SelClass),NA()))</f>
        <v>#N/A</v>
      </c>
      <c r="BL21" t="str">
        <f>IFERROR(MATCH(SMALL($BJ$70:$BJ$669,19),$BJ$70:$BJ$669,0),"")</f>
        <v/>
      </c>
      <c r="BW21" t="str">
        <f>IF(OR($AA21="",$Y$3=""),"",IFERROR((COUNTIFS(dClass,$Y$3,INDEX(dData,0,MATCH($AA21&amp;CHAR(10)&amp;"Raw Score",dHdr,0)),"&gt;=0")+COUNTIFS(dClass,$Y$3,INDEX(dData,0,MATCH($AA21&amp;CHAR(10)&amp;"Raw Score",dHdr,0)),"A"))/COUNTIF(dClass,$Y$3),""))</f>
        <v/>
      </c>
      <c r="BX21" t="str">
        <f>IF(OR($AA21="",$Y$4=""),"",IFERROR((COUNTIFS(dClass,$Y$4,INDEX(dData,0,MATCH($AA21&amp;CHAR(10)&amp;"Raw Score",dHdr,0)),"&gt;=0")+COUNTIFS(dClass,$Y$4,INDEX(dData,0,MATCH($AA21&amp;CHAR(10)&amp;"Raw Score",dHdr,0)),"A"))/COUNTIF(dClass,$Y$4),""))</f>
        <v/>
      </c>
      <c r="BY21" t="str">
        <f>IF(OR($AA21="",$Y$5=""),"",IFERROR((COUNTIFS(dClass,$Y$5,INDEX(dData,0,MATCH($AA21&amp;CHAR(10)&amp;"Raw Score",dHdr,0)),"&gt;=0")+COUNTIFS(dClass,$Y$5,INDEX(dData,0,MATCH($AA21&amp;CHAR(10)&amp;"Raw Score",dHdr,0)),"A"))/COUNTIF(dClass,$Y$5),""))</f>
        <v/>
      </c>
      <c r="BZ21" t="str">
        <f>IF(OR($AA21="",$Y$6=""),"",IFERROR((COUNTIFS(dClass,$Y$6,INDEX(dData,0,MATCH($AA21&amp;CHAR(10)&amp;"Raw Score",dHdr,0)),"&gt;=0")+COUNTIFS(dClass,$Y$6,INDEX(dData,0,MATCH($AA21&amp;CHAR(10)&amp;"Raw Score",dHdr,0)),"A"))/COUNTIF(dClass,$Y$6),""))</f>
        <v/>
      </c>
      <c r="CA21" t="str">
        <f>IF(OR($AA21="",$Y$7=""),"",IFERROR((COUNTIFS(dClass,$Y$7,INDEX(dData,0,MATCH($AA21&amp;CHAR(10)&amp;"Raw Score",dHdr,0)),"&gt;=0")+COUNTIFS(dClass,$Y$7,INDEX(dData,0,MATCH($AA21&amp;CHAR(10)&amp;"Raw Score",dHdr,0)),"A"))/COUNTIF(dClass,$Y$7),""))</f>
        <v/>
      </c>
      <c r="CB21" t="str">
        <f>IF(OR($AA21="",$Y$8=""),"",IFERROR((COUNTIFS(dClass,$Y$8,INDEX(dData,0,MATCH($AA21&amp;CHAR(10)&amp;"Raw Score",dHdr,0)),"&gt;=0")+COUNTIFS(dClass,$Y$8,INDEX(dData,0,MATCH($AA21&amp;CHAR(10)&amp;"Raw Score",dHdr,0)),"A"))/COUNTIF(dClass,$Y$8),""))</f>
        <v/>
      </c>
      <c r="CC21" t="str">
        <f>IF(OR($AA21="",$Y$9=""),"",IFERROR((COUNTIFS(dClass,$Y$9,INDEX(dData,0,MATCH($AA21&amp;CHAR(10)&amp;"Raw Score",dHdr,0)),"&gt;=0")+COUNTIFS(dClass,$Y$9,INDEX(dData,0,MATCH($AA21&amp;CHAR(10)&amp;"Raw Score",dHdr,0)),"A"))/COUNTIF(dClass,$Y$9),""))</f>
        <v/>
      </c>
      <c r="CD21" t="str">
        <f>IF(OR($AA21="",$Y$10=""),"",IFERROR((COUNTIFS(dClass,$Y$10,INDEX(dData,0,MATCH($AA21&amp;CHAR(10)&amp;"Raw Score",dHdr,0)),"&gt;=0")+COUNTIFS(dClass,$Y$10,INDEX(dData,0,MATCH($AA21&amp;CHAR(10)&amp;"Raw Score",dHdr,0)),"A"))/COUNTIF(dClass,$Y$10),""))</f>
        <v/>
      </c>
    </row>
    <row r="22">
      <c r="H22" t="str">
        <f>IFERROR(INDEX(tblY7[Class],ROWS(H$10:H22))&amp;"","")</f>
        <v>7A/Sc1</v>
      </c>
      <c r="I22" t="str">
        <f>IF(H22="","",IF(COUNTIF(H$10:H22,H22)=1,COUNTIF(H$10:H$609,"&lt;"&amp;H22)+1,""))</f>
        <v/>
      </c>
      <c r="J22" t="str">
        <f>IFERROR(INDEX(tblY8[Class],ROWS(J$10:J22))&amp;"","")</f>
        <v>8A/Sc1</v>
      </c>
      <c r="K22" t="str">
        <f>IF(J22="","",IF(COUNTIF(J$10:J22,J22)=1,COUNTIF(J$10:J$609,"&lt;"&amp;J22)+1,""))</f>
        <v/>
      </c>
      <c r="L22" t="str">
        <f>IFERROR(INDEX(tblY9[Class],ROWS(L$10:L22))&amp;"","")</f>
        <v>9A/Sc1</v>
      </c>
      <c r="M22" t="str">
        <f>IF(L22="","",IF(COUNTIF(L$10:L22,L22)=1,COUNTIF(L$10:L$609,"&lt;"&amp;L22)+1,""))</f>
        <v/>
      </c>
      <c r="N22" t="str">
        <f>IFERROR(INDEX(tblY10[Class],ROWS(N$10:N22))&amp;"","")</f>
        <v>10S/Sc1</v>
      </c>
      <c r="O22" t="str">
        <f>IF(N22="","",IF(COUNTIF(N$10:N22,N22)=1,COUNTIF(N$10:N$609,"&lt;"&amp;N22)+1,""))</f>
        <v/>
      </c>
      <c r="P22" t="str">
        <f>IFERROR(INDEX(tblY11[Class],ROWS(P$10:P22))&amp;"","")</f>
        <v>11S/Sc1</v>
      </c>
      <c r="Q22" t="str">
        <f>IF(P22="","",IF(COUNTIF(P$10:P22,P22)=1,COUNTIF(P$10:P$609,"&lt;"&amp;P22)+1,""))</f>
        <v/>
      </c>
      <c r="AA22" t="str">
        <f>IFERROR(INDEX(tblAssessments[Test Name],MATCH(SelYear&amp;"|"&amp;20,tblAssessments[Seq Key],0))&amp;"","")</f>
        <v/>
      </c>
      <c r="AB22" t="str">
        <f>IF(AA22="","",IFERROR(INDEX(tblAssessments[Max Marks],MATCH(SelYear&amp;"|"&amp;20,tblAssessments[Seq Key],0)),""))</f>
        <v/>
      </c>
      <c r="AC22" s="83" t="str">
        <f>IF(AA22="","",IFERROR(IF(INDEX(tblAssessments[Date],MATCH(SelYear&amp;"|"&amp;20,tblAssessments[Seq Key],0))="","",INDEX(tblAssessments[Date],MATCH(SelYear&amp;"|"&amp;20,tblAssessments[Seq Key],0))),""))</f>
        <v/>
      </c>
      <c r="AD22" t="str">
        <f>IF(AA22="","",IFERROR(INDEX(tblAssessments[Code],MATCH(SelYear&amp;"|"&amp;20,tblAssessments[Seq Key],0))&amp;"",""))</f>
        <v/>
      </c>
      <c r="AK22" t="str">
        <f>IF(AA22="","",IF(AD22&lt;&gt;"",AD22,LEFT(AA22,14)))</f>
        <v/>
      </c>
      <c r="AL22" t="e">
        <f>IF(AA22="",NA(),IFERROR(AVERAGE(INDEX(dData,0,MATCH(AA22&amp;CHAR(10)&amp;"Stanine",dHdr,0))),NA()))</f>
        <v>#N/A</v>
      </c>
      <c r="AM22" t="e">
        <f>IF(OR(AA22="",SelClass=""),NA(),IFERROR(AVERAGEIFS(INDEX(dData,0,MATCH(AA22&amp;CHAR(10)&amp;"Stanine",dHdr,0)),dClass,SelClass),NA()))</f>
        <v>#N/A</v>
      </c>
      <c r="BL22" t="str">
        <f>IFERROR(MATCH(SMALL($BJ$70:$BJ$669,20),$BJ$70:$BJ$669,0),"")</f>
        <v/>
      </c>
      <c r="BW22" t="str">
        <f>IF(OR($AA22="",$Y$3=""),"",IFERROR((COUNTIFS(dClass,$Y$3,INDEX(dData,0,MATCH($AA22&amp;CHAR(10)&amp;"Raw Score",dHdr,0)),"&gt;=0")+COUNTIFS(dClass,$Y$3,INDEX(dData,0,MATCH($AA22&amp;CHAR(10)&amp;"Raw Score",dHdr,0)),"A"))/COUNTIF(dClass,$Y$3),""))</f>
        <v/>
      </c>
      <c r="BX22" t="str">
        <f>IF(OR($AA22="",$Y$4=""),"",IFERROR((COUNTIFS(dClass,$Y$4,INDEX(dData,0,MATCH($AA22&amp;CHAR(10)&amp;"Raw Score",dHdr,0)),"&gt;=0")+COUNTIFS(dClass,$Y$4,INDEX(dData,0,MATCH($AA22&amp;CHAR(10)&amp;"Raw Score",dHdr,0)),"A"))/COUNTIF(dClass,$Y$4),""))</f>
        <v/>
      </c>
      <c r="BY22" t="str">
        <f>IF(OR($AA22="",$Y$5=""),"",IFERROR((COUNTIFS(dClass,$Y$5,INDEX(dData,0,MATCH($AA22&amp;CHAR(10)&amp;"Raw Score",dHdr,0)),"&gt;=0")+COUNTIFS(dClass,$Y$5,INDEX(dData,0,MATCH($AA22&amp;CHAR(10)&amp;"Raw Score",dHdr,0)),"A"))/COUNTIF(dClass,$Y$5),""))</f>
        <v/>
      </c>
      <c r="BZ22" t="str">
        <f>IF(OR($AA22="",$Y$6=""),"",IFERROR((COUNTIFS(dClass,$Y$6,INDEX(dData,0,MATCH($AA22&amp;CHAR(10)&amp;"Raw Score",dHdr,0)),"&gt;=0")+COUNTIFS(dClass,$Y$6,INDEX(dData,0,MATCH($AA22&amp;CHAR(10)&amp;"Raw Score",dHdr,0)),"A"))/COUNTIF(dClass,$Y$6),""))</f>
        <v/>
      </c>
      <c r="CA22" t="str">
        <f>IF(OR($AA22="",$Y$7=""),"",IFERROR((COUNTIFS(dClass,$Y$7,INDEX(dData,0,MATCH($AA22&amp;CHAR(10)&amp;"Raw Score",dHdr,0)),"&gt;=0")+COUNTIFS(dClass,$Y$7,INDEX(dData,0,MATCH($AA22&amp;CHAR(10)&amp;"Raw Score",dHdr,0)),"A"))/COUNTIF(dClass,$Y$7),""))</f>
        <v/>
      </c>
      <c r="CB22" t="str">
        <f>IF(OR($AA22="",$Y$8=""),"",IFERROR((COUNTIFS(dClass,$Y$8,INDEX(dData,0,MATCH($AA22&amp;CHAR(10)&amp;"Raw Score",dHdr,0)),"&gt;=0")+COUNTIFS(dClass,$Y$8,INDEX(dData,0,MATCH($AA22&amp;CHAR(10)&amp;"Raw Score",dHdr,0)),"A"))/COUNTIF(dClass,$Y$8),""))</f>
        <v/>
      </c>
      <c r="CC22" t="str">
        <f>IF(OR($AA22="",$Y$9=""),"",IFERROR((COUNTIFS(dClass,$Y$9,INDEX(dData,0,MATCH($AA22&amp;CHAR(10)&amp;"Raw Score",dHdr,0)),"&gt;=0")+COUNTIFS(dClass,$Y$9,INDEX(dData,0,MATCH($AA22&amp;CHAR(10)&amp;"Raw Score",dHdr,0)),"A"))/COUNTIF(dClass,$Y$9),""))</f>
        <v/>
      </c>
      <c r="CD22" t="str">
        <f>IF(OR($AA22="",$Y$10=""),"",IFERROR((COUNTIFS(dClass,$Y$10,INDEX(dData,0,MATCH($AA22&amp;CHAR(10)&amp;"Raw Score",dHdr,0)),"&gt;=0")+COUNTIFS(dClass,$Y$10,INDEX(dData,0,MATCH($AA22&amp;CHAR(10)&amp;"Raw Score",dHdr,0)),"A"))/COUNTIF(dClass,$Y$10),""))</f>
        <v/>
      </c>
    </row>
    <row r="23">
      <c r="H23" t="str">
        <f>IFERROR(INDEX(tblY7[Class],ROWS(H$10:H23))&amp;"","")</f>
        <v>7A/Sc1</v>
      </c>
      <c r="I23" t="str">
        <f>IF(H23="","",IF(COUNTIF(H$10:H23,H23)=1,COUNTIF(H$10:H$609,"&lt;"&amp;H23)+1,""))</f>
        <v/>
      </c>
      <c r="J23" t="str">
        <f>IFERROR(INDEX(tblY8[Class],ROWS(J$10:J23))&amp;"","")</f>
        <v>8A/Sc1</v>
      </c>
      <c r="K23" t="str">
        <f>IF(J23="","",IF(COUNTIF(J$10:J23,J23)=1,COUNTIF(J$10:J$609,"&lt;"&amp;J23)+1,""))</f>
        <v/>
      </c>
      <c r="L23" t="str">
        <f>IFERROR(INDEX(tblY9[Class],ROWS(L$10:L23))&amp;"","")</f>
        <v>9A/Sc1</v>
      </c>
      <c r="M23" t="str">
        <f>IF(L23="","",IF(COUNTIF(L$10:L23,L23)=1,COUNTIF(L$10:L$609,"&lt;"&amp;L23)+1,""))</f>
        <v/>
      </c>
      <c r="N23" t="str">
        <f>IFERROR(INDEX(tblY10[Class],ROWS(N$10:N23))&amp;"","")</f>
        <v>10S/Sc1</v>
      </c>
      <c r="O23" t="str">
        <f>IF(N23="","",IF(COUNTIF(N$10:N23,N23)=1,COUNTIF(N$10:N$609,"&lt;"&amp;N23)+1,""))</f>
        <v/>
      </c>
      <c r="P23" t="str">
        <f>IFERROR(INDEX(tblY11[Class],ROWS(P$10:P23))&amp;"","")</f>
        <v>11S/Sc1</v>
      </c>
      <c r="Q23" t="str">
        <f>IF(P23="","",IF(COUNTIF(P$10:P23,P23)=1,COUNTIF(P$10:P$609,"&lt;"&amp;P23)+1,""))</f>
        <v/>
      </c>
      <c r="AA23" t="str">
        <f>IFERROR(INDEX(tblAssessments[Test Name],MATCH(SelYear&amp;"|"&amp;21,tblAssessments[Seq Key],0))&amp;"","")</f>
        <v/>
      </c>
      <c r="AB23" t="str">
        <f>IF(AA23="","",IFERROR(INDEX(tblAssessments[Max Marks],MATCH(SelYear&amp;"|"&amp;21,tblAssessments[Seq Key],0)),""))</f>
        <v/>
      </c>
      <c r="AC23" s="83" t="str">
        <f>IF(AA23="","",IFERROR(IF(INDEX(tblAssessments[Date],MATCH(SelYear&amp;"|"&amp;21,tblAssessments[Seq Key],0))="","",INDEX(tblAssessments[Date],MATCH(SelYear&amp;"|"&amp;21,tblAssessments[Seq Key],0))),""))</f>
        <v/>
      </c>
      <c r="AD23" t="str">
        <f>IF(AA23="","",IFERROR(INDEX(tblAssessments[Code],MATCH(SelYear&amp;"|"&amp;21,tblAssessments[Seq Key],0))&amp;"",""))</f>
        <v/>
      </c>
      <c r="AK23" t="str">
        <f>IF(AA23="","",IF(AD23&lt;&gt;"",AD23,LEFT(AA23,14)))</f>
        <v/>
      </c>
      <c r="AL23" t="e">
        <f>IF(AA23="",NA(),IFERROR(AVERAGE(INDEX(dData,0,MATCH(AA23&amp;CHAR(10)&amp;"Stanine",dHdr,0))),NA()))</f>
        <v>#N/A</v>
      </c>
      <c r="AM23" t="e">
        <f>IF(OR(AA23="",SelClass=""),NA(),IFERROR(AVERAGEIFS(INDEX(dData,0,MATCH(AA23&amp;CHAR(10)&amp;"Stanine",dHdr,0)),dClass,SelClass),NA()))</f>
        <v>#N/A</v>
      </c>
      <c r="BL23" t="str">
        <f>IFERROR(MATCH(SMALL($BJ$70:$BJ$669,21),$BJ$70:$BJ$669,0),"")</f>
        <v/>
      </c>
      <c r="BW23" t="str">
        <f>IF(OR($AA23="",$Y$3=""),"",IFERROR((COUNTIFS(dClass,$Y$3,INDEX(dData,0,MATCH($AA23&amp;CHAR(10)&amp;"Raw Score",dHdr,0)),"&gt;=0")+COUNTIFS(dClass,$Y$3,INDEX(dData,0,MATCH($AA23&amp;CHAR(10)&amp;"Raw Score",dHdr,0)),"A"))/COUNTIF(dClass,$Y$3),""))</f>
        <v/>
      </c>
      <c r="BX23" t="str">
        <f>IF(OR($AA23="",$Y$4=""),"",IFERROR((COUNTIFS(dClass,$Y$4,INDEX(dData,0,MATCH($AA23&amp;CHAR(10)&amp;"Raw Score",dHdr,0)),"&gt;=0")+COUNTIFS(dClass,$Y$4,INDEX(dData,0,MATCH($AA23&amp;CHAR(10)&amp;"Raw Score",dHdr,0)),"A"))/COUNTIF(dClass,$Y$4),""))</f>
        <v/>
      </c>
      <c r="BY23" t="str">
        <f>IF(OR($AA23="",$Y$5=""),"",IFERROR((COUNTIFS(dClass,$Y$5,INDEX(dData,0,MATCH($AA23&amp;CHAR(10)&amp;"Raw Score",dHdr,0)),"&gt;=0")+COUNTIFS(dClass,$Y$5,INDEX(dData,0,MATCH($AA23&amp;CHAR(10)&amp;"Raw Score",dHdr,0)),"A"))/COUNTIF(dClass,$Y$5),""))</f>
        <v/>
      </c>
      <c r="BZ23" t="str">
        <f>IF(OR($AA23="",$Y$6=""),"",IFERROR((COUNTIFS(dClass,$Y$6,INDEX(dData,0,MATCH($AA23&amp;CHAR(10)&amp;"Raw Score",dHdr,0)),"&gt;=0")+COUNTIFS(dClass,$Y$6,INDEX(dData,0,MATCH($AA23&amp;CHAR(10)&amp;"Raw Score",dHdr,0)),"A"))/COUNTIF(dClass,$Y$6),""))</f>
        <v/>
      </c>
      <c r="CA23" t="str">
        <f>IF(OR($AA23="",$Y$7=""),"",IFERROR((COUNTIFS(dClass,$Y$7,INDEX(dData,0,MATCH($AA23&amp;CHAR(10)&amp;"Raw Score",dHdr,0)),"&gt;=0")+COUNTIFS(dClass,$Y$7,INDEX(dData,0,MATCH($AA23&amp;CHAR(10)&amp;"Raw Score",dHdr,0)),"A"))/COUNTIF(dClass,$Y$7),""))</f>
        <v/>
      </c>
      <c r="CB23" t="str">
        <f>IF(OR($AA23="",$Y$8=""),"",IFERROR((COUNTIFS(dClass,$Y$8,INDEX(dData,0,MATCH($AA23&amp;CHAR(10)&amp;"Raw Score",dHdr,0)),"&gt;=0")+COUNTIFS(dClass,$Y$8,INDEX(dData,0,MATCH($AA23&amp;CHAR(10)&amp;"Raw Score",dHdr,0)),"A"))/COUNTIF(dClass,$Y$8),""))</f>
        <v/>
      </c>
      <c r="CC23" t="str">
        <f>IF(OR($AA23="",$Y$9=""),"",IFERROR((COUNTIFS(dClass,$Y$9,INDEX(dData,0,MATCH($AA23&amp;CHAR(10)&amp;"Raw Score",dHdr,0)),"&gt;=0")+COUNTIFS(dClass,$Y$9,INDEX(dData,0,MATCH($AA23&amp;CHAR(10)&amp;"Raw Score",dHdr,0)),"A"))/COUNTIF(dClass,$Y$9),""))</f>
        <v/>
      </c>
      <c r="CD23" t="str">
        <f>IF(OR($AA23="",$Y$10=""),"",IFERROR((COUNTIFS(dClass,$Y$10,INDEX(dData,0,MATCH($AA23&amp;CHAR(10)&amp;"Raw Score",dHdr,0)),"&gt;=0")+COUNTIFS(dClass,$Y$10,INDEX(dData,0,MATCH($AA23&amp;CHAR(10)&amp;"Raw Score",dHdr,0)),"A"))/COUNTIF(dClass,$Y$10),""))</f>
        <v/>
      </c>
    </row>
    <row r="24">
      <c r="H24" t="str">
        <f>IFERROR(INDEX(tblY7[Class],ROWS(H$10:H24))&amp;"","")</f>
        <v>7A/Sc1</v>
      </c>
      <c r="I24" t="str">
        <f>IF(H24="","",IF(COUNTIF(H$10:H24,H24)=1,COUNTIF(H$10:H$609,"&lt;"&amp;H24)+1,""))</f>
        <v/>
      </c>
      <c r="J24" t="str">
        <f>IFERROR(INDEX(tblY8[Class],ROWS(J$10:J24))&amp;"","")</f>
        <v>8A/Sc1</v>
      </c>
      <c r="K24" t="str">
        <f>IF(J24="","",IF(COUNTIF(J$10:J24,J24)=1,COUNTIF(J$10:J$609,"&lt;"&amp;J24)+1,""))</f>
        <v/>
      </c>
      <c r="L24" t="str">
        <f>IFERROR(INDEX(tblY9[Class],ROWS(L$10:L24))&amp;"","")</f>
        <v>9A/Sc1</v>
      </c>
      <c r="M24" t="str">
        <f>IF(L24="","",IF(COUNTIF(L$10:L24,L24)=1,COUNTIF(L$10:L$609,"&lt;"&amp;L24)+1,""))</f>
        <v/>
      </c>
      <c r="N24" t="str">
        <f>IFERROR(INDEX(tblY10[Class],ROWS(N$10:N24))&amp;"","")</f>
        <v>10S/Sc1</v>
      </c>
      <c r="O24" t="str">
        <f>IF(N24="","",IF(COUNTIF(N$10:N24,N24)=1,COUNTIF(N$10:N$609,"&lt;"&amp;N24)+1,""))</f>
        <v/>
      </c>
      <c r="P24" t="str">
        <f>IFERROR(INDEX(tblY11[Class],ROWS(P$10:P24))&amp;"","")</f>
        <v>11S/Sc1</v>
      </c>
      <c r="Q24" t="str">
        <f>IF(P24="","",IF(COUNTIF(P$10:P24,P24)=1,COUNTIF(P$10:P$609,"&lt;"&amp;P24)+1,""))</f>
        <v/>
      </c>
      <c r="AA24" t="str">
        <f>IFERROR(INDEX(tblAssessments[Test Name],MATCH(SelYear&amp;"|"&amp;22,tblAssessments[Seq Key],0))&amp;"","")</f>
        <v/>
      </c>
      <c r="AB24" t="str">
        <f>IF(AA24="","",IFERROR(INDEX(tblAssessments[Max Marks],MATCH(SelYear&amp;"|"&amp;22,tblAssessments[Seq Key],0)),""))</f>
        <v/>
      </c>
      <c r="AC24" s="83" t="str">
        <f>IF(AA24="","",IFERROR(IF(INDEX(tblAssessments[Date],MATCH(SelYear&amp;"|"&amp;22,tblAssessments[Seq Key],0))="","",INDEX(tblAssessments[Date],MATCH(SelYear&amp;"|"&amp;22,tblAssessments[Seq Key],0))),""))</f>
        <v/>
      </c>
      <c r="AD24" t="str">
        <f>IF(AA24="","",IFERROR(INDEX(tblAssessments[Code],MATCH(SelYear&amp;"|"&amp;22,tblAssessments[Seq Key],0))&amp;"",""))</f>
        <v/>
      </c>
      <c r="AK24" t="str">
        <f>IF(AA24="","",IF(AD24&lt;&gt;"",AD24,LEFT(AA24,14)))</f>
        <v/>
      </c>
      <c r="AL24" t="e">
        <f>IF(AA24="",NA(),IFERROR(AVERAGE(INDEX(dData,0,MATCH(AA24&amp;CHAR(10)&amp;"Stanine",dHdr,0))),NA()))</f>
        <v>#N/A</v>
      </c>
      <c r="AM24" t="e">
        <f>IF(OR(AA24="",SelClass=""),NA(),IFERROR(AVERAGEIFS(INDEX(dData,0,MATCH(AA24&amp;CHAR(10)&amp;"Stanine",dHdr,0)),dClass,SelClass),NA()))</f>
        <v>#N/A</v>
      </c>
      <c r="BL24" t="str">
        <f>IFERROR(MATCH(SMALL($BJ$70:$BJ$669,22),$BJ$70:$BJ$669,0),"")</f>
        <v/>
      </c>
      <c r="BW24" t="str">
        <f>IF(OR($AA24="",$Y$3=""),"",IFERROR((COUNTIFS(dClass,$Y$3,INDEX(dData,0,MATCH($AA24&amp;CHAR(10)&amp;"Raw Score",dHdr,0)),"&gt;=0")+COUNTIFS(dClass,$Y$3,INDEX(dData,0,MATCH($AA24&amp;CHAR(10)&amp;"Raw Score",dHdr,0)),"A"))/COUNTIF(dClass,$Y$3),""))</f>
        <v/>
      </c>
      <c r="BX24" t="str">
        <f>IF(OR($AA24="",$Y$4=""),"",IFERROR((COUNTIFS(dClass,$Y$4,INDEX(dData,0,MATCH($AA24&amp;CHAR(10)&amp;"Raw Score",dHdr,0)),"&gt;=0")+COUNTIFS(dClass,$Y$4,INDEX(dData,0,MATCH($AA24&amp;CHAR(10)&amp;"Raw Score",dHdr,0)),"A"))/COUNTIF(dClass,$Y$4),""))</f>
        <v/>
      </c>
      <c r="BY24" t="str">
        <f>IF(OR($AA24="",$Y$5=""),"",IFERROR((COUNTIFS(dClass,$Y$5,INDEX(dData,0,MATCH($AA24&amp;CHAR(10)&amp;"Raw Score",dHdr,0)),"&gt;=0")+COUNTIFS(dClass,$Y$5,INDEX(dData,0,MATCH($AA24&amp;CHAR(10)&amp;"Raw Score",dHdr,0)),"A"))/COUNTIF(dClass,$Y$5),""))</f>
        <v/>
      </c>
      <c r="BZ24" t="str">
        <f>IF(OR($AA24="",$Y$6=""),"",IFERROR((COUNTIFS(dClass,$Y$6,INDEX(dData,0,MATCH($AA24&amp;CHAR(10)&amp;"Raw Score",dHdr,0)),"&gt;=0")+COUNTIFS(dClass,$Y$6,INDEX(dData,0,MATCH($AA24&amp;CHAR(10)&amp;"Raw Score",dHdr,0)),"A"))/COUNTIF(dClass,$Y$6),""))</f>
        <v/>
      </c>
      <c r="CA24" t="str">
        <f>IF(OR($AA24="",$Y$7=""),"",IFERROR((COUNTIFS(dClass,$Y$7,INDEX(dData,0,MATCH($AA24&amp;CHAR(10)&amp;"Raw Score",dHdr,0)),"&gt;=0")+COUNTIFS(dClass,$Y$7,INDEX(dData,0,MATCH($AA24&amp;CHAR(10)&amp;"Raw Score",dHdr,0)),"A"))/COUNTIF(dClass,$Y$7),""))</f>
        <v/>
      </c>
      <c r="CB24" t="str">
        <f>IF(OR($AA24="",$Y$8=""),"",IFERROR((COUNTIFS(dClass,$Y$8,INDEX(dData,0,MATCH($AA24&amp;CHAR(10)&amp;"Raw Score",dHdr,0)),"&gt;=0")+COUNTIFS(dClass,$Y$8,INDEX(dData,0,MATCH($AA24&amp;CHAR(10)&amp;"Raw Score",dHdr,0)),"A"))/COUNTIF(dClass,$Y$8),""))</f>
        <v/>
      </c>
      <c r="CC24" t="str">
        <f>IF(OR($AA24="",$Y$9=""),"",IFERROR((COUNTIFS(dClass,$Y$9,INDEX(dData,0,MATCH($AA24&amp;CHAR(10)&amp;"Raw Score",dHdr,0)),"&gt;=0")+COUNTIFS(dClass,$Y$9,INDEX(dData,0,MATCH($AA24&amp;CHAR(10)&amp;"Raw Score",dHdr,0)),"A"))/COUNTIF(dClass,$Y$9),""))</f>
        <v/>
      </c>
      <c r="CD24" t="str">
        <f>IF(OR($AA24="",$Y$10=""),"",IFERROR((COUNTIFS(dClass,$Y$10,INDEX(dData,0,MATCH($AA24&amp;CHAR(10)&amp;"Raw Score",dHdr,0)),"&gt;=0")+COUNTIFS(dClass,$Y$10,INDEX(dData,0,MATCH($AA24&amp;CHAR(10)&amp;"Raw Score",dHdr,0)),"A"))/COUNTIF(dClass,$Y$10),""))</f>
        <v/>
      </c>
    </row>
    <row r="25">
      <c r="H25" t="str">
        <f>IFERROR(INDEX(tblY7[Class],ROWS(H$10:H25))&amp;"","")</f>
        <v>7A/Sc1</v>
      </c>
      <c r="I25" t="str">
        <f>IF(H25="","",IF(COUNTIF(H$10:H25,H25)=1,COUNTIF(H$10:H$609,"&lt;"&amp;H25)+1,""))</f>
        <v/>
      </c>
      <c r="J25" t="str">
        <f>IFERROR(INDEX(tblY8[Class],ROWS(J$10:J25))&amp;"","")</f>
        <v>8A/Sc1</v>
      </c>
      <c r="K25" t="str">
        <f>IF(J25="","",IF(COUNTIF(J$10:J25,J25)=1,COUNTIF(J$10:J$609,"&lt;"&amp;J25)+1,""))</f>
        <v/>
      </c>
      <c r="L25" t="str">
        <f>IFERROR(INDEX(tblY9[Class],ROWS(L$10:L25))&amp;"","")</f>
        <v>9A/Sc1</v>
      </c>
      <c r="M25" t="str">
        <f>IF(L25="","",IF(COUNTIF(L$10:L25,L25)=1,COUNTIF(L$10:L$609,"&lt;"&amp;L25)+1,""))</f>
        <v/>
      </c>
      <c r="N25" t="str">
        <f>IFERROR(INDEX(tblY10[Class],ROWS(N$10:N25))&amp;"","")</f>
        <v>10S/Sc1</v>
      </c>
      <c r="O25" t="str">
        <f>IF(N25="","",IF(COUNTIF(N$10:N25,N25)=1,COUNTIF(N$10:N$609,"&lt;"&amp;N25)+1,""))</f>
        <v/>
      </c>
      <c r="P25" t="str">
        <f>IFERROR(INDEX(tblY11[Class],ROWS(P$10:P25))&amp;"","")</f>
        <v>11S/Sc1</v>
      </c>
      <c r="Q25" t="str">
        <f>IF(P25="","",IF(COUNTIF(P$10:P25,P25)=1,COUNTIF(P$10:P$609,"&lt;"&amp;P25)+1,""))</f>
        <v/>
      </c>
      <c r="AA25" t="str">
        <f>IFERROR(INDEX(tblAssessments[Test Name],MATCH(SelYear&amp;"|"&amp;23,tblAssessments[Seq Key],0))&amp;"","")</f>
        <v/>
      </c>
      <c r="AB25" t="str">
        <f>IF(AA25="","",IFERROR(INDEX(tblAssessments[Max Marks],MATCH(SelYear&amp;"|"&amp;23,tblAssessments[Seq Key],0)),""))</f>
        <v/>
      </c>
      <c r="AC25" s="83" t="str">
        <f>IF(AA25="","",IFERROR(IF(INDEX(tblAssessments[Date],MATCH(SelYear&amp;"|"&amp;23,tblAssessments[Seq Key],0))="","",INDEX(tblAssessments[Date],MATCH(SelYear&amp;"|"&amp;23,tblAssessments[Seq Key],0))),""))</f>
        <v/>
      </c>
      <c r="AD25" t="str">
        <f>IF(AA25="","",IFERROR(INDEX(tblAssessments[Code],MATCH(SelYear&amp;"|"&amp;23,tblAssessments[Seq Key],0))&amp;"",""))</f>
        <v/>
      </c>
      <c r="AK25" t="str">
        <f>IF(AA25="","",IF(AD25&lt;&gt;"",AD25,LEFT(AA25,14)))</f>
        <v/>
      </c>
      <c r="AL25" t="e">
        <f>IF(AA25="",NA(),IFERROR(AVERAGE(INDEX(dData,0,MATCH(AA25&amp;CHAR(10)&amp;"Stanine",dHdr,0))),NA()))</f>
        <v>#N/A</v>
      </c>
      <c r="AM25" t="e">
        <f>IF(OR(AA25="",SelClass=""),NA(),IFERROR(AVERAGEIFS(INDEX(dData,0,MATCH(AA25&amp;CHAR(10)&amp;"Stanine",dHdr,0)),dClass,SelClass),NA()))</f>
        <v>#N/A</v>
      </c>
      <c r="BL25" t="str">
        <f>IFERROR(MATCH(SMALL($BJ$70:$BJ$669,23),$BJ$70:$BJ$669,0),"")</f>
        <v/>
      </c>
      <c r="BW25" t="str">
        <f>IF(OR($AA25="",$Y$3=""),"",IFERROR((COUNTIFS(dClass,$Y$3,INDEX(dData,0,MATCH($AA25&amp;CHAR(10)&amp;"Raw Score",dHdr,0)),"&gt;=0")+COUNTIFS(dClass,$Y$3,INDEX(dData,0,MATCH($AA25&amp;CHAR(10)&amp;"Raw Score",dHdr,0)),"A"))/COUNTIF(dClass,$Y$3),""))</f>
        <v/>
      </c>
      <c r="BX25" t="str">
        <f>IF(OR($AA25="",$Y$4=""),"",IFERROR((COUNTIFS(dClass,$Y$4,INDEX(dData,0,MATCH($AA25&amp;CHAR(10)&amp;"Raw Score",dHdr,0)),"&gt;=0")+COUNTIFS(dClass,$Y$4,INDEX(dData,0,MATCH($AA25&amp;CHAR(10)&amp;"Raw Score",dHdr,0)),"A"))/COUNTIF(dClass,$Y$4),""))</f>
        <v/>
      </c>
      <c r="BY25" t="str">
        <f>IF(OR($AA25="",$Y$5=""),"",IFERROR((COUNTIFS(dClass,$Y$5,INDEX(dData,0,MATCH($AA25&amp;CHAR(10)&amp;"Raw Score",dHdr,0)),"&gt;=0")+COUNTIFS(dClass,$Y$5,INDEX(dData,0,MATCH($AA25&amp;CHAR(10)&amp;"Raw Score",dHdr,0)),"A"))/COUNTIF(dClass,$Y$5),""))</f>
        <v/>
      </c>
      <c r="BZ25" t="str">
        <f>IF(OR($AA25="",$Y$6=""),"",IFERROR((COUNTIFS(dClass,$Y$6,INDEX(dData,0,MATCH($AA25&amp;CHAR(10)&amp;"Raw Score",dHdr,0)),"&gt;=0")+COUNTIFS(dClass,$Y$6,INDEX(dData,0,MATCH($AA25&amp;CHAR(10)&amp;"Raw Score",dHdr,0)),"A"))/COUNTIF(dClass,$Y$6),""))</f>
        <v/>
      </c>
      <c r="CA25" t="str">
        <f>IF(OR($AA25="",$Y$7=""),"",IFERROR((COUNTIFS(dClass,$Y$7,INDEX(dData,0,MATCH($AA25&amp;CHAR(10)&amp;"Raw Score",dHdr,0)),"&gt;=0")+COUNTIFS(dClass,$Y$7,INDEX(dData,0,MATCH($AA25&amp;CHAR(10)&amp;"Raw Score",dHdr,0)),"A"))/COUNTIF(dClass,$Y$7),""))</f>
        <v/>
      </c>
      <c r="CB25" t="str">
        <f>IF(OR($AA25="",$Y$8=""),"",IFERROR((COUNTIFS(dClass,$Y$8,INDEX(dData,0,MATCH($AA25&amp;CHAR(10)&amp;"Raw Score",dHdr,0)),"&gt;=0")+COUNTIFS(dClass,$Y$8,INDEX(dData,0,MATCH($AA25&amp;CHAR(10)&amp;"Raw Score",dHdr,0)),"A"))/COUNTIF(dClass,$Y$8),""))</f>
        <v/>
      </c>
      <c r="CC25" t="str">
        <f>IF(OR($AA25="",$Y$9=""),"",IFERROR((COUNTIFS(dClass,$Y$9,INDEX(dData,0,MATCH($AA25&amp;CHAR(10)&amp;"Raw Score",dHdr,0)),"&gt;=0")+COUNTIFS(dClass,$Y$9,INDEX(dData,0,MATCH($AA25&amp;CHAR(10)&amp;"Raw Score",dHdr,0)),"A"))/COUNTIF(dClass,$Y$9),""))</f>
        <v/>
      </c>
      <c r="CD25" t="str">
        <f>IF(OR($AA25="",$Y$10=""),"",IFERROR((COUNTIFS(dClass,$Y$10,INDEX(dData,0,MATCH($AA25&amp;CHAR(10)&amp;"Raw Score",dHdr,0)),"&gt;=0")+COUNTIFS(dClass,$Y$10,INDEX(dData,0,MATCH($AA25&amp;CHAR(10)&amp;"Raw Score",dHdr,0)),"A"))/COUNTIF(dClass,$Y$10),""))</f>
        <v/>
      </c>
    </row>
    <row r="26">
      <c r="H26" t="str">
        <f>IFERROR(INDEX(tblY7[Class],ROWS(H$10:H26))&amp;"","")</f>
        <v>7A/Sc1</v>
      </c>
      <c r="I26" t="str">
        <f>IF(H26="","",IF(COUNTIF(H$10:H26,H26)=1,COUNTIF(H$10:H$609,"&lt;"&amp;H26)+1,""))</f>
        <v/>
      </c>
      <c r="J26" t="str">
        <f>IFERROR(INDEX(tblY8[Class],ROWS(J$10:J26))&amp;"","")</f>
        <v>8A/Sc1</v>
      </c>
      <c r="K26" t="str">
        <f>IF(J26="","",IF(COUNTIF(J$10:J26,J26)=1,COUNTIF(J$10:J$609,"&lt;"&amp;J26)+1,""))</f>
        <v/>
      </c>
      <c r="L26" t="str">
        <f>IFERROR(INDEX(tblY9[Class],ROWS(L$10:L26))&amp;"","")</f>
        <v>9A/Sc1</v>
      </c>
      <c r="M26" t="str">
        <f>IF(L26="","",IF(COUNTIF(L$10:L26,L26)=1,COUNTIF(L$10:L$609,"&lt;"&amp;L26)+1,""))</f>
        <v/>
      </c>
      <c r="N26" t="str">
        <f>IFERROR(INDEX(tblY10[Class],ROWS(N$10:N26))&amp;"","")</f>
        <v>10S/Sc1</v>
      </c>
      <c r="O26" t="str">
        <f>IF(N26="","",IF(COUNTIF(N$10:N26,N26)=1,COUNTIF(N$10:N$609,"&lt;"&amp;N26)+1,""))</f>
        <v/>
      </c>
      <c r="P26" t="str">
        <f>IFERROR(INDEX(tblY11[Class],ROWS(P$10:P26))&amp;"","")</f>
        <v>11S/Sc1</v>
      </c>
      <c r="Q26" t="str">
        <f>IF(P26="","",IF(COUNTIF(P$10:P26,P26)=1,COUNTIF(P$10:P$609,"&lt;"&amp;P26)+1,""))</f>
        <v/>
      </c>
      <c r="AA26" t="str">
        <f>IFERROR(INDEX(tblAssessments[Test Name],MATCH(SelYear&amp;"|"&amp;24,tblAssessments[Seq Key],0))&amp;"","")</f>
        <v/>
      </c>
      <c r="AB26" t="str">
        <f>IF(AA26="","",IFERROR(INDEX(tblAssessments[Max Marks],MATCH(SelYear&amp;"|"&amp;24,tblAssessments[Seq Key],0)),""))</f>
        <v/>
      </c>
      <c r="AC26" s="83" t="str">
        <f>IF(AA26="","",IFERROR(IF(INDEX(tblAssessments[Date],MATCH(SelYear&amp;"|"&amp;24,tblAssessments[Seq Key],0))="","",INDEX(tblAssessments[Date],MATCH(SelYear&amp;"|"&amp;24,tblAssessments[Seq Key],0))),""))</f>
        <v/>
      </c>
      <c r="AD26" t="str">
        <f>IF(AA26="","",IFERROR(INDEX(tblAssessments[Code],MATCH(SelYear&amp;"|"&amp;24,tblAssessments[Seq Key],0))&amp;"",""))</f>
        <v/>
      </c>
      <c r="AK26" t="str">
        <f>IF(AA26="","",IF(AD26&lt;&gt;"",AD26,LEFT(AA26,14)))</f>
        <v/>
      </c>
      <c r="AL26" t="e">
        <f>IF(AA26="",NA(),IFERROR(AVERAGE(INDEX(dData,0,MATCH(AA26&amp;CHAR(10)&amp;"Stanine",dHdr,0))),NA()))</f>
        <v>#N/A</v>
      </c>
      <c r="AM26" t="e">
        <f>IF(OR(AA26="",SelClass=""),NA(),IFERROR(AVERAGEIFS(INDEX(dData,0,MATCH(AA26&amp;CHAR(10)&amp;"Stanine",dHdr,0)),dClass,SelClass),NA()))</f>
        <v>#N/A</v>
      </c>
      <c r="BL26" t="str">
        <f>IFERROR(MATCH(SMALL($BJ$70:$BJ$669,24),$BJ$70:$BJ$669,0),"")</f>
        <v/>
      </c>
      <c r="BW26" t="str">
        <f>IF(OR($AA26="",$Y$3=""),"",IFERROR((COUNTIFS(dClass,$Y$3,INDEX(dData,0,MATCH($AA26&amp;CHAR(10)&amp;"Raw Score",dHdr,0)),"&gt;=0")+COUNTIFS(dClass,$Y$3,INDEX(dData,0,MATCH($AA26&amp;CHAR(10)&amp;"Raw Score",dHdr,0)),"A"))/COUNTIF(dClass,$Y$3),""))</f>
        <v/>
      </c>
      <c r="BX26" t="str">
        <f>IF(OR($AA26="",$Y$4=""),"",IFERROR((COUNTIFS(dClass,$Y$4,INDEX(dData,0,MATCH($AA26&amp;CHAR(10)&amp;"Raw Score",dHdr,0)),"&gt;=0")+COUNTIFS(dClass,$Y$4,INDEX(dData,0,MATCH($AA26&amp;CHAR(10)&amp;"Raw Score",dHdr,0)),"A"))/COUNTIF(dClass,$Y$4),""))</f>
        <v/>
      </c>
      <c r="BY26" t="str">
        <f>IF(OR($AA26="",$Y$5=""),"",IFERROR((COUNTIFS(dClass,$Y$5,INDEX(dData,0,MATCH($AA26&amp;CHAR(10)&amp;"Raw Score",dHdr,0)),"&gt;=0")+COUNTIFS(dClass,$Y$5,INDEX(dData,0,MATCH($AA26&amp;CHAR(10)&amp;"Raw Score",dHdr,0)),"A"))/COUNTIF(dClass,$Y$5),""))</f>
        <v/>
      </c>
      <c r="BZ26" t="str">
        <f>IF(OR($AA26="",$Y$6=""),"",IFERROR((COUNTIFS(dClass,$Y$6,INDEX(dData,0,MATCH($AA26&amp;CHAR(10)&amp;"Raw Score",dHdr,0)),"&gt;=0")+COUNTIFS(dClass,$Y$6,INDEX(dData,0,MATCH($AA26&amp;CHAR(10)&amp;"Raw Score",dHdr,0)),"A"))/COUNTIF(dClass,$Y$6),""))</f>
        <v/>
      </c>
      <c r="CA26" t="str">
        <f>IF(OR($AA26="",$Y$7=""),"",IFERROR((COUNTIFS(dClass,$Y$7,INDEX(dData,0,MATCH($AA26&amp;CHAR(10)&amp;"Raw Score",dHdr,0)),"&gt;=0")+COUNTIFS(dClass,$Y$7,INDEX(dData,0,MATCH($AA26&amp;CHAR(10)&amp;"Raw Score",dHdr,0)),"A"))/COUNTIF(dClass,$Y$7),""))</f>
        <v/>
      </c>
      <c r="CB26" t="str">
        <f>IF(OR($AA26="",$Y$8=""),"",IFERROR((COUNTIFS(dClass,$Y$8,INDEX(dData,0,MATCH($AA26&amp;CHAR(10)&amp;"Raw Score",dHdr,0)),"&gt;=0")+COUNTIFS(dClass,$Y$8,INDEX(dData,0,MATCH($AA26&amp;CHAR(10)&amp;"Raw Score",dHdr,0)),"A"))/COUNTIF(dClass,$Y$8),""))</f>
        <v/>
      </c>
      <c r="CC26" t="str">
        <f>IF(OR($AA26="",$Y$9=""),"",IFERROR((COUNTIFS(dClass,$Y$9,INDEX(dData,0,MATCH($AA26&amp;CHAR(10)&amp;"Raw Score",dHdr,0)),"&gt;=0")+COUNTIFS(dClass,$Y$9,INDEX(dData,0,MATCH($AA26&amp;CHAR(10)&amp;"Raw Score",dHdr,0)),"A"))/COUNTIF(dClass,$Y$9),""))</f>
        <v/>
      </c>
      <c r="CD26" t="str">
        <f>IF(OR($AA26="",$Y$10=""),"",IFERROR((COUNTIFS(dClass,$Y$10,INDEX(dData,0,MATCH($AA26&amp;CHAR(10)&amp;"Raw Score",dHdr,0)),"&gt;=0")+COUNTIFS(dClass,$Y$10,INDEX(dData,0,MATCH($AA26&amp;CHAR(10)&amp;"Raw Score",dHdr,0)),"A"))/COUNTIF(dClass,$Y$10),""))</f>
        <v/>
      </c>
    </row>
    <row r="27">
      <c r="H27" t="str">
        <f>IFERROR(INDEX(tblY7[Class],ROWS(H$10:H27))&amp;"","")</f>
        <v>7A/Sc1</v>
      </c>
      <c r="I27" t="str">
        <f>IF(H27="","",IF(COUNTIF(H$10:H27,H27)=1,COUNTIF(H$10:H$609,"&lt;"&amp;H27)+1,""))</f>
        <v/>
      </c>
      <c r="J27" t="str">
        <f>IFERROR(INDEX(tblY8[Class],ROWS(J$10:J27))&amp;"","")</f>
        <v>8A/Sc1</v>
      </c>
      <c r="K27" t="str">
        <f>IF(J27="","",IF(COUNTIF(J$10:J27,J27)=1,COUNTIF(J$10:J$609,"&lt;"&amp;J27)+1,""))</f>
        <v/>
      </c>
      <c r="L27" t="str">
        <f>IFERROR(INDEX(tblY9[Class],ROWS(L$10:L27))&amp;"","")</f>
        <v>9A/Sc1</v>
      </c>
      <c r="M27" t="str">
        <f>IF(L27="","",IF(COUNTIF(L$10:L27,L27)=1,COUNTIF(L$10:L$609,"&lt;"&amp;L27)+1,""))</f>
        <v/>
      </c>
      <c r="N27" t="str">
        <f>IFERROR(INDEX(tblY10[Class],ROWS(N$10:N27))&amp;"","")</f>
        <v>10S/Sc1</v>
      </c>
      <c r="O27" t="str">
        <f>IF(N27="","",IF(COUNTIF(N$10:N27,N27)=1,COUNTIF(N$10:N$609,"&lt;"&amp;N27)+1,""))</f>
        <v/>
      </c>
      <c r="P27" t="str">
        <f>IFERROR(INDEX(tblY11[Class],ROWS(P$10:P27))&amp;"","")</f>
        <v>11S/Sc1</v>
      </c>
      <c r="Q27" t="str">
        <f>IF(P27="","",IF(COUNTIF(P$10:P27,P27)=1,COUNTIF(P$10:P$609,"&lt;"&amp;P27)+1,""))</f>
        <v/>
      </c>
      <c r="AA27" t="str">
        <f>IFERROR(INDEX(tblAssessments[Test Name],MATCH(SelYear&amp;"|"&amp;25,tblAssessments[Seq Key],0))&amp;"","")</f>
        <v/>
      </c>
      <c r="AB27" t="str">
        <f>IF(AA27="","",IFERROR(INDEX(tblAssessments[Max Marks],MATCH(SelYear&amp;"|"&amp;25,tblAssessments[Seq Key],0)),""))</f>
        <v/>
      </c>
      <c r="AC27" s="83" t="str">
        <f>IF(AA27="","",IFERROR(IF(INDEX(tblAssessments[Date],MATCH(SelYear&amp;"|"&amp;25,tblAssessments[Seq Key],0))="","",INDEX(tblAssessments[Date],MATCH(SelYear&amp;"|"&amp;25,tblAssessments[Seq Key],0))),""))</f>
        <v/>
      </c>
      <c r="AD27" t="str">
        <f>IF(AA27="","",IFERROR(INDEX(tblAssessments[Code],MATCH(SelYear&amp;"|"&amp;25,tblAssessments[Seq Key],0))&amp;"",""))</f>
        <v/>
      </c>
      <c r="AK27" t="str">
        <f>IF(AA27="","",IF(AD27&lt;&gt;"",AD27,LEFT(AA27,14)))</f>
        <v/>
      </c>
      <c r="AL27" t="e">
        <f>IF(AA27="",NA(),IFERROR(AVERAGE(INDEX(dData,0,MATCH(AA27&amp;CHAR(10)&amp;"Stanine",dHdr,0))),NA()))</f>
        <v>#N/A</v>
      </c>
      <c r="AM27" t="e">
        <f>IF(OR(AA27="",SelClass=""),NA(),IFERROR(AVERAGEIFS(INDEX(dData,0,MATCH(AA27&amp;CHAR(10)&amp;"Stanine",dHdr,0)),dClass,SelClass),NA()))</f>
        <v>#N/A</v>
      </c>
      <c r="BL27" t="str">
        <f>IFERROR(MATCH(SMALL($BJ$70:$BJ$669,25),$BJ$70:$BJ$669,0),"")</f>
        <v/>
      </c>
      <c r="BW27" t="str">
        <f>IF(OR($AA27="",$Y$3=""),"",IFERROR((COUNTIFS(dClass,$Y$3,INDEX(dData,0,MATCH($AA27&amp;CHAR(10)&amp;"Raw Score",dHdr,0)),"&gt;=0")+COUNTIFS(dClass,$Y$3,INDEX(dData,0,MATCH($AA27&amp;CHAR(10)&amp;"Raw Score",dHdr,0)),"A"))/COUNTIF(dClass,$Y$3),""))</f>
        <v/>
      </c>
      <c r="BX27" t="str">
        <f>IF(OR($AA27="",$Y$4=""),"",IFERROR((COUNTIFS(dClass,$Y$4,INDEX(dData,0,MATCH($AA27&amp;CHAR(10)&amp;"Raw Score",dHdr,0)),"&gt;=0")+COUNTIFS(dClass,$Y$4,INDEX(dData,0,MATCH($AA27&amp;CHAR(10)&amp;"Raw Score",dHdr,0)),"A"))/COUNTIF(dClass,$Y$4),""))</f>
        <v/>
      </c>
      <c r="BY27" t="str">
        <f>IF(OR($AA27="",$Y$5=""),"",IFERROR((COUNTIFS(dClass,$Y$5,INDEX(dData,0,MATCH($AA27&amp;CHAR(10)&amp;"Raw Score",dHdr,0)),"&gt;=0")+COUNTIFS(dClass,$Y$5,INDEX(dData,0,MATCH($AA27&amp;CHAR(10)&amp;"Raw Score",dHdr,0)),"A"))/COUNTIF(dClass,$Y$5),""))</f>
        <v/>
      </c>
      <c r="BZ27" t="str">
        <f>IF(OR($AA27="",$Y$6=""),"",IFERROR((COUNTIFS(dClass,$Y$6,INDEX(dData,0,MATCH($AA27&amp;CHAR(10)&amp;"Raw Score",dHdr,0)),"&gt;=0")+COUNTIFS(dClass,$Y$6,INDEX(dData,0,MATCH($AA27&amp;CHAR(10)&amp;"Raw Score",dHdr,0)),"A"))/COUNTIF(dClass,$Y$6),""))</f>
        <v/>
      </c>
      <c r="CA27" t="str">
        <f>IF(OR($AA27="",$Y$7=""),"",IFERROR((COUNTIFS(dClass,$Y$7,INDEX(dData,0,MATCH($AA27&amp;CHAR(10)&amp;"Raw Score",dHdr,0)),"&gt;=0")+COUNTIFS(dClass,$Y$7,INDEX(dData,0,MATCH($AA27&amp;CHAR(10)&amp;"Raw Score",dHdr,0)),"A"))/COUNTIF(dClass,$Y$7),""))</f>
        <v/>
      </c>
      <c r="CB27" t="str">
        <f>IF(OR($AA27="",$Y$8=""),"",IFERROR((COUNTIFS(dClass,$Y$8,INDEX(dData,0,MATCH($AA27&amp;CHAR(10)&amp;"Raw Score",dHdr,0)),"&gt;=0")+COUNTIFS(dClass,$Y$8,INDEX(dData,0,MATCH($AA27&amp;CHAR(10)&amp;"Raw Score",dHdr,0)),"A"))/COUNTIF(dClass,$Y$8),""))</f>
        <v/>
      </c>
      <c r="CC27" t="str">
        <f>IF(OR($AA27="",$Y$9=""),"",IFERROR((COUNTIFS(dClass,$Y$9,INDEX(dData,0,MATCH($AA27&amp;CHAR(10)&amp;"Raw Score",dHdr,0)),"&gt;=0")+COUNTIFS(dClass,$Y$9,INDEX(dData,0,MATCH($AA27&amp;CHAR(10)&amp;"Raw Score",dHdr,0)),"A"))/COUNTIF(dClass,$Y$9),""))</f>
        <v/>
      </c>
      <c r="CD27" t="str">
        <f>IF(OR($AA27="",$Y$10=""),"",IFERROR((COUNTIFS(dClass,$Y$10,INDEX(dData,0,MATCH($AA27&amp;CHAR(10)&amp;"Raw Score",dHdr,0)),"&gt;=0")+COUNTIFS(dClass,$Y$10,INDEX(dData,0,MATCH($AA27&amp;CHAR(10)&amp;"Raw Score",dHdr,0)),"A"))/COUNTIF(dClass,$Y$10),""))</f>
        <v/>
      </c>
    </row>
    <row r="28">
      <c r="H28" t="str">
        <f>IFERROR(INDEX(tblY7[Class],ROWS(H$10:H28))&amp;"","")</f>
        <v>7A/Sc1</v>
      </c>
      <c r="I28" t="str">
        <f>IF(H28="","",IF(COUNTIF(H$10:H28,H28)=1,COUNTIF(H$10:H$609,"&lt;"&amp;H28)+1,""))</f>
        <v/>
      </c>
      <c r="J28" t="str">
        <f>IFERROR(INDEX(tblY8[Class],ROWS(J$10:J28))&amp;"","")</f>
        <v>8A/Sc1</v>
      </c>
      <c r="K28" t="str">
        <f>IF(J28="","",IF(COUNTIF(J$10:J28,J28)=1,COUNTIF(J$10:J$609,"&lt;"&amp;J28)+1,""))</f>
        <v/>
      </c>
      <c r="L28" t="str">
        <f>IFERROR(INDEX(tblY9[Class],ROWS(L$10:L28))&amp;"","")</f>
        <v>9A/Sc1</v>
      </c>
      <c r="M28" t="str">
        <f>IF(L28="","",IF(COUNTIF(L$10:L28,L28)=1,COUNTIF(L$10:L$609,"&lt;"&amp;L28)+1,""))</f>
        <v/>
      </c>
      <c r="N28" t="str">
        <f>IFERROR(INDEX(tblY10[Class],ROWS(N$10:N28))&amp;"","")</f>
        <v>10S/Sc1</v>
      </c>
      <c r="O28" t="str">
        <f>IF(N28="","",IF(COUNTIF(N$10:N28,N28)=1,COUNTIF(N$10:N$609,"&lt;"&amp;N28)+1,""))</f>
        <v/>
      </c>
      <c r="P28" t="str">
        <f>IFERROR(INDEX(tblY11[Class],ROWS(P$10:P28))&amp;"","")</f>
        <v>11S/Sc1</v>
      </c>
      <c r="Q28" t="str">
        <f>IF(P28="","",IF(COUNTIF(P$10:P28,P28)=1,COUNTIF(P$10:P$609,"&lt;"&amp;P28)+1,""))</f>
        <v/>
      </c>
      <c r="AA28" t="str">
        <f>IFERROR(INDEX(tblAssessments[Test Name],MATCH(SelYear&amp;"|"&amp;26,tblAssessments[Seq Key],0))&amp;"","")</f>
        <v/>
      </c>
      <c r="AB28" t="str">
        <f>IF(AA28="","",IFERROR(INDEX(tblAssessments[Max Marks],MATCH(SelYear&amp;"|"&amp;26,tblAssessments[Seq Key],0)),""))</f>
        <v/>
      </c>
      <c r="AC28" s="83" t="str">
        <f>IF(AA28="","",IFERROR(IF(INDEX(tblAssessments[Date],MATCH(SelYear&amp;"|"&amp;26,tblAssessments[Seq Key],0))="","",INDEX(tblAssessments[Date],MATCH(SelYear&amp;"|"&amp;26,tblAssessments[Seq Key],0))),""))</f>
        <v/>
      </c>
      <c r="AD28" t="str">
        <f>IF(AA28="","",IFERROR(INDEX(tblAssessments[Code],MATCH(SelYear&amp;"|"&amp;26,tblAssessments[Seq Key],0))&amp;"",""))</f>
        <v/>
      </c>
      <c r="AK28" t="str">
        <f>IF(AA28="","",IF(AD28&lt;&gt;"",AD28,LEFT(AA28,14)))</f>
        <v/>
      </c>
      <c r="AL28" t="e">
        <f>IF(AA28="",NA(),IFERROR(AVERAGE(INDEX(dData,0,MATCH(AA28&amp;CHAR(10)&amp;"Stanine",dHdr,0))),NA()))</f>
        <v>#N/A</v>
      </c>
      <c r="AM28" t="e">
        <f>IF(OR(AA28="",SelClass=""),NA(),IFERROR(AVERAGEIFS(INDEX(dData,0,MATCH(AA28&amp;CHAR(10)&amp;"Stanine",dHdr,0)),dClass,SelClass),NA()))</f>
        <v>#N/A</v>
      </c>
      <c r="BL28" t="str">
        <f>IFERROR(MATCH(SMALL($BJ$70:$BJ$669,26),$BJ$70:$BJ$669,0),"")</f>
        <v/>
      </c>
      <c r="BW28" t="str">
        <f>IF(OR($AA28="",$Y$3=""),"",IFERROR((COUNTIFS(dClass,$Y$3,INDEX(dData,0,MATCH($AA28&amp;CHAR(10)&amp;"Raw Score",dHdr,0)),"&gt;=0")+COUNTIFS(dClass,$Y$3,INDEX(dData,0,MATCH($AA28&amp;CHAR(10)&amp;"Raw Score",dHdr,0)),"A"))/COUNTIF(dClass,$Y$3),""))</f>
        <v/>
      </c>
      <c r="BX28" t="str">
        <f>IF(OR($AA28="",$Y$4=""),"",IFERROR((COUNTIFS(dClass,$Y$4,INDEX(dData,0,MATCH($AA28&amp;CHAR(10)&amp;"Raw Score",dHdr,0)),"&gt;=0")+COUNTIFS(dClass,$Y$4,INDEX(dData,0,MATCH($AA28&amp;CHAR(10)&amp;"Raw Score",dHdr,0)),"A"))/COUNTIF(dClass,$Y$4),""))</f>
        <v/>
      </c>
      <c r="BY28" t="str">
        <f>IF(OR($AA28="",$Y$5=""),"",IFERROR((COUNTIFS(dClass,$Y$5,INDEX(dData,0,MATCH($AA28&amp;CHAR(10)&amp;"Raw Score",dHdr,0)),"&gt;=0")+COUNTIFS(dClass,$Y$5,INDEX(dData,0,MATCH($AA28&amp;CHAR(10)&amp;"Raw Score",dHdr,0)),"A"))/COUNTIF(dClass,$Y$5),""))</f>
        <v/>
      </c>
      <c r="BZ28" t="str">
        <f>IF(OR($AA28="",$Y$6=""),"",IFERROR((COUNTIFS(dClass,$Y$6,INDEX(dData,0,MATCH($AA28&amp;CHAR(10)&amp;"Raw Score",dHdr,0)),"&gt;=0")+COUNTIFS(dClass,$Y$6,INDEX(dData,0,MATCH($AA28&amp;CHAR(10)&amp;"Raw Score",dHdr,0)),"A"))/COUNTIF(dClass,$Y$6),""))</f>
        <v/>
      </c>
      <c r="CA28" t="str">
        <f>IF(OR($AA28="",$Y$7=""),"",IFERROR((COUNTIFS(dClass,$Y$7,INDEX(dData,0,MATCH($AA28&amp;CHAR(10)&amp;"Raw Score",dHdr,0)),"&gt;=0")+COUNTIFS(dClass,$Y$7,INDEX(dData,0,MATCH($AA28&amp;CHAR(10)&amp;"Raw Score",dHdr,0)),"A"))/COUNTIF(dClass,$Y$7),""))</f>
        <v/>
      </c>
      <c r="CB28" t="str">
        <f>IF(OR($AA28="",$Y$8=""),"",IFERROR((COUNTIFS(dClass,$Y$8,INDEX(dData,0,MATCH($AA28&amp;CHAR(10)&amp;"Raw Score",dHdr,0)),"&gt;=0")+COUNTIFS(dClass,$Y$8,INDEX(dData,0,MATCH($AA28&amp;CHAR(10)&amp;"Raw Score",dHdr,0)),"A"))/COUNTIF(dClass,$Y$8),""))</f>
        <v/>
      </c>
      <c r="CC28" t="str">
        <f>IF(OR($AA28="",$Y$9=""),"",IFERROR((COUNTIFS(dClass,$Y$9,INDEX(dData,0,MATCH($AA28&amp;CHAR(10)&amp;"Raw Score",dHdr,0)),"&gt;=0")+COUNTIFS(dClass,$Y$9,INDEX(dData,0,MATCH($AA28&amp;CHAR(10)&amp;"Raw Score",dHdr,0)),"A"))/COUNTIF(dClass,$Y$9),""))</f>
        <v/>
      </c>
      <c r="CD28" t="str">
        <f>IF(OR($AA28="",$Y$10=""),"",IFERROR((COUNTIFS(dClass,$Y$10,INDEX(dData,0,MATCH($AA28&amp;CHAR(10)&amp;"Raw Score",dHdr,0)),"&gt;=0")+COUNTIFS(dClass,$Y$10,INDEX(dData,0,MATCH($AA28&amp;CHAR(10)&amp;"Raw Score",dHdr,0)),"A"))/COUNTIF(dClass,$Y$10),""))</f>
        <v/>
      </c>
    </row>
    <row r="29">
      <c r="H29" t="str">
        <f>IFERROR(INDEX(tblY7[Class],ROWS(H$10:H29))&amp;"","")</f>
        <v>7A/Sc1</v>
      </c>
      <c r="I29" t="str">
        <f>IF(H29="","",IF(COUNTIF(H$10:H29,H29)=1,COUNTIF(H$10:H$609,"&lt;"&amp;H29)+1,""))</f>
        <v/>
      </c>
      <c r="J29" t="str">
        <f>IFERROR(INDEX(tblY8[Class],ROWS(J$10:J29))&amp;"","")</f>
        <v>8A/Sc1</v>
      </c>
      <c r="K29" t="str">
        <f>IF(J29="","",IF(COUNTIF(J$10:J29,J29)=1,COUNTIF(J$10:J$609,"&lt;"&amp;J29)+1,""))</f>
        <v/>
      </c>
      <c r="L29" t="str">
        <f>IFERROR(INDEX(tblY9[Class],ROWS(L$10:L29))&amp;"","")</f>
        <v>9A/Sc1</v>
      </c>
      <c r="M29" t="str">
        <f>IF(L29="","",IF(COUNTIF(L$10:L29,L29)=1,COUNTIF(L$10:L$609,"&lt;"&amp;L29)+1,""))</f>
        <v/>
      </c>
      <c r="N29" t="str">
        <f>IFERROR(INDEX(tblY10[Class],ROWS(N$10:N29))&amp;"","")</f>
        <v>10S/Sc1</v>
      </c>
      <c r="O29" t="str">
        <f>IF(N29="","",IF(COUNTIF(N$10:N29,N29)=1,COUNTIF(N$10:N$609,"&lt;"&amp;N29)+1,""))</f>
        <v/>
      </c>
      <c r="P29" t="str">
        <f>IFERROR(INDEX(tblY11[Class],ROWS(P$10:P29))&amp;"","")</f>
        <v>11S/Sc1</v>
      </c>
      <c r="Q29" t="str">
        <f>IF(P29="","",IF(COUNTIF(P$10:P29,P29)=1,COUNTIF(P$10:P$609,"&lt;"&amp;P29)+1,""))</f>
        <v/>
      </c>
      <c r="AA29" t="str">
        <f>IFERROR(INDEX(tblAssessments[Test Name],MATCH(SelYear&amp;"|"&amp;27,tblAssessments[Seq Key],0))&amp;"","")</f>
        <v/>
      </c>
      <c r="AB29" t="str">
        <f>IF(AA29="","",IFERROR(INDEX(tblAssessments[Max Marks],MATCH(SelYear&amp;"|"&amp;27,tblAssessments[Seq Key],0)),""))</f>
        <v/>
      </c>
      <c r="AC29" s="83" t="str">
        <f>IF(AA29="","",IFERROR(IF(INDEX(tblAssessments[Date],MATCH(SelYear&amp;"|"&amp;27,tblAssessments[Seq Key],0))="","",INDEX(tblAssessments[Date],MATCH(SelYear&amp;"|"&amp;27,tblAssessments[Seq Key],0))),""))</f>
        <v/>
      </c>
      <c r="AD29" t="str">
        <f>IF(AA29="","",IFERROR(INDEX(tblAssessments[Code],MATCH(SelYear&amp;"|"&amp;27,tblAssessments[Seq Key],0))&amp;"",""))</f>
        <v/>
      </c>
      <c r="AK29" t="str">
        <f>IF(AA29="","",IF(AD29&lt;&gt;"",AD29,LEFT(AA29,14)))</f>
        <v/>
      </c>
      <c r="AL29" t="e">
        <f>IF(AA29="",NA(),IFERROR(AVERAGE(INDEX(dData,0,MATCH(AA29&amp;CHAR(10)&amp;"Stanine",dHdr,0))),NA()))</f>
        <v>#N/A</v>
      </c>
      <c r="AM29" t="e">
        <f>IF(OR(AA29="",SelClass=""),NA(),IFERROR(AVERAGEIFS(INDEX(dData,0,MATCH(AA29&amp;CHAR(10)&amp;"Stanine",dHdr,0)),dClass,SelClass),NA()))</f>
        <v>#N/A</v>
      </c>
      <c r="BL29" t="str">
        <f>IFERROR(MATCH(SMALL($BJ$70:$BJ$669,27),$BJ$70:$BJ$669,0),"")</f>
        <v/>
      </c>
      <c r="BW29" t="str">
        <f>IF(OR($AA29="",$Y$3=""),"",IFERROR((COUNTIFS(dClass,$Y$3,INDEX(dData,0,MATCH($AA29&amp;CHAR(10)&amp;"Raw Score",dHdr,0)),"&gt;=0")+COUNTIFS(dClass,$Y$3,INDEX(dData,0,MATCH($AA29&amp;CHAR(10)&amp;"Raw Score",dHdr,0)),"A"))/COUNTIF(dClass,$Y$3),""))</f>
        <v/>
      </c>
      <c r="BX29" t="str">
        <f>IF(OR($AA29="",$Y$4=""),"",IFERROR((COUNTIFS(dClass,$Y$4,INDEX(dData,0,MATCH($AA29&amp;CHAR(10)&amp;"Raw Score",dHdr,0)),"&gt;=0")+COUNTIFS(dClass,$Y$4,INDEX(dData,0,MATCH($AA29&amp;CHAR(10)&amp;"Raw Score",dHdr,0)),"A"))/COUNTIF(dClass,$Y$4),""))</f>
        <v/>
      </c>
      <c r="BY29" t="str">
        <f>IF(OR($AA29="",$Y$5=""),"",IFERROR((COUNTIFS(dClass,$Y$5,INDEX(dData,0,MATCH($AA29&amp;CHAR(10)&amp;"Raw Score",dHdr,0)),"&gt;=0")+COUNTIFS(dClass,$Y$5,INDEX(dData,0,MATCH($AA29&amp;CHAR(10)&amp;"Raw Score",dHdr,0)),"A"))/COUNTIF(dClass,$Y$5),""))</f>
        <v/>
      </c>
      <c r="BZ29" t="str">
        <f>IF(OR($AA29="",$Y$6=""),"",IFERROR((COUNTIFS(dClass,$Y$6,INDEX(dData,0,MATCH($AA29&amp;CHAR(10)&amp;"Raw Score",dHdr,0)),"&gt;=0")+COUNTIFS(dClass,$Y$6,INDEX(dData,0,MATCH($AA29&amp;CHAR(10)&amp;"Raw Score",dHdr,0)),"A"))/COUNTIF(dClass,$Y$6),""))</f>
        <v/>
      </c>
      <c r="CA29" t="str">
        <f>IF(OR($AA29="",$Y$7=""),"",IFERROR((COUNTIFS(dClass,$Y$7,INDEX(dData,0,MATCH($AA29&amp;CHAR(10)&amp;"Raw Score",dHdr,0)),"&gt;=0")+COUNTIFS(dClass,$Y$7,INDEX(dData,0,MATCH($AA29&amp;CHAR(10)&amp;"Raw Score",dHdr,0)),"A"))/COUNTIF(dClass,$Y$7),""))</f>
        <v/>
      </c>
      <c r="CB29" t="str">
        <f>IF(OR($AA29="",$Y$8=""),"",IFERROR((COUNTIFS(dClass,$Y$8,INDEX(dData,0,MATCH($AA29&amp;CHAR(10)&amp;"Raw Score",dHdr,0)),"&gt;=0")+COUNTIFS(dClass,$Y$8,INDEX(dData,0,MATCH($AA29&amp;CHAR(10)&amp;"Raw Score",dHdr,0)),"A"))/COUNTIF(dClass,$Y$8),""))</f>
        <v/>
      </c>
      <c r="CC29" t="str">
        <f>IF(OR($AA29="",$Y$9=""),"",IFERROR((COUNTIFS(dClass,$Y$9,INDEX(dData,0,MATCH($AA29&amp;CHAR(10)&amp;"Raw Score",dHdr,0)),"&gt;=0")+COUNTIFS(dClass,$Y$9,INDEX(dData,0,MATCH($AA29&amp;CHAR(10)&amp;"Raw Score",dHdr,0)),"A"))/COUNTIF(dClass,$Y$9),""))</f>
        <v/>
      </c>
      <c r="CD29" t="str">
        <f>IF(OR($AA29="",$Y$10=""),"",IFERROR((COUNTIFS(dClass,$Y$10,INDEX(dData,0,MATCH($AA29&amp;CHAR(10)&amp;"Raw Score",dHdr,0)),"&gt;=0")+COUNTIFS(dClass,$Y$10,INDEX(dData,0,MATCH($AA29&amp;CHAR(10)&amp;"Raw Score",dHdr,0)),"A"))/COUNTIF(dClass,$Y$10),""))</f>
        <v/>
      </c>
    </row>
    <row r="30">
      <c r="H30" t="str">
        <f>IFERROR(INDEX(tblY7[Class],ROWS(H$10:H30))&amp;"","")</f>
        <v>7A/Sc1</v>
      </c>
      <c r="I30" t="str">
        <f>IF(H30="","",IF(COUNTIF(H$10:H30,H30)=1,COUNTIF(H$10:H$609,"&lt;"&amp;H30)+1,""))</f>
        <v/>
      </c>
      <c r="J30" t="str">
        <f>IFERROR(INDEX(tblY8[Class],ROWS(J$10:J30))&amp;"","")</f>
        <v>8A/Sc1</v>
      </c>
      <c r="K30" t="str">
        <f>IF(J30="","",IF(COUNTIF(J$10:J30,J30)=1,COUNTIF(J$10:J$609,"&lt;"&amp;J30)+1,""))</f>
        <v/>
      </c>
      <c r="L30" t="str">
        <f>IFERROR(INDEX(tblY9[Class],ROWS(L$10:L30))&amp;"","")</f>
        <v>9A/Sc1</v>
      </c>
      <c r="M30" t="str">
        <f>IF(L30="","",IF(COUNTIF(L$10:L30,L30)=1,COUNTIF(L$10:L$609,"&lt;"&amp;L30)+1,""))</f>
        <v/>
      </c>
      <c r="N30" t="str">
        <f>IFERROR(INDEX(tblY10[Class],ROWS(N$10:N30))&amp;"","")</f>
        <v>10S/Sc1</v>
      </c>
      <c r="O30" t="str">
        <f>IF(N30="","",IF(COUNTIF(N$10:N30,N30)=1,COUNTIF(N$10:N$609,"&lt;"&amp;N30)+1,""))</f>
        <v/>
      </c>
      <c r="P30" t="str">
        <f>IFERROR(INDEX(tblY11[Class],ROWS(P$10:P30))&amp;"","")</f>
        <v>11S/Sc1</v>
      </c>
      <c r="Q30" t="str">
        <f>IF(P30="","",IF(COUNTIF(P$10:P30,P30)=1,COUNTIF(P$10:P$609,"&lt;"&amp;P30)+1,""))</f>
        <v/>
      </c>
      <c r="AA30" t="str">
        <f>IFERROR(INDEX(tblAssessments[Test Name],MATCH(SelYear&amp;"|"&amp;28,tblAssessments[Seq Key],0))&amp;"","")</f>
        <v/>
      </c>
      <c r="AB30" t="str">
        <f>IF(AA30="","",IFERROR(INDEX(tblAssessments[Max Marks],MATCH(SelYear&amp;"|"&amp;28,tblAssessments[Seq Key],0)),""))</f>
        <v/>
      </c>
      <c r="AC30" s="83" t="str">
        <f>IF(AA30="","",IFERROR(IF(INDEX(tblAssessments[Date],MATCH(SelYear&amp;"|"&amp;28,tblAssessments[Seq Key],0))="","",INDEX(tblAssessments[Date],MATCH(SelYear&amp;"|"&amp;28,tblAssessments[Seq Key],0))),""))</f>
        <v/>
      </c>
      <c r="AD30" t="str">
        <f>IF(AA30="","",IFERROR(INDEX(tblAssessments[Code],MATCH(SelYear&amp;"|"&amp;28,tblAssessments[Seq Key],0))&amp;"",""))</f>
        <v/>
      </c>
      <c r="AK30" t="str">
        <f>IF(AA30="","",IF(AD30&lt;&gt;"",AD30,LEFT(AA30,14)))</f>
        <v/>
      </c>
      <c r="AL30" t="e">
        <f>IF(AA30="",NA(),IFERROR(AVERAGE(INDEX(dData,0,MATCH(AA30&amp;CHAR(10)&amp;"Stanine",dHdr,0))),NA()))</f>
        <v>#N/A</v>
      </c>
      <c r="AM30" t="e">
        <f>IF(OR(AA30="",SelClass=""),NA(),IFERROR(AVERAGEIFS(INDEX(dData,0,MATCH(AA30&amp;CHAR(10)&amp;"Stanine",dHdr,0)),dClass,SelClass),NA()))</f>
        <v>#N/A</v>
      </c>
      <c r="BL30" t="str">
        <f>IFERROR(MATCH(SMALL($BJ$70:$BJ$669,28),$BJ$70:$BJ$669,0),"")</f>
        <v/>
      </c>
      <c r="BW30" t="str">
        <f>IF(OR($AA30="",$Y$3=""),"",IFERROR((COUNTIFS(dClass,$Y$3,INDEX(dData,0,MATCH($AA30&amp;CHAR(10)&amp;"Raw Score",dHdr,0)),"&gt;=0")+COUNTIFS(dClass,$Y$3,INDEX(dData,0,MATCH($AA30&amp;CHAR(10)&amp;"Raw Score",dHdr,0)),"A"))/COUNTIF(dClass,$Y$3),""))</f>
        <v/>
      </c>
      <c r="BX30" t="str">
        <f>IF(OR($AA30="",$Y$4=""),"",IFERROR((COUNTIFS(dClass,$Y$4,INDEX(dData,0,MATCH($AA30&amp;CHAR(10)&amp;"Raw Score",dHdr,0)),"&gt;=0")+COUNTIFS(dClass,$Y$4,INDEX(dData,0,MATCH($AA30&amp;CHAR(10)&amp;"Raw Score",dHdr,0)),"A"))/COUNTIF(dClass,$Y$4),""))</f>
        <v/>
      </c>
      <c r="BY30" t="str">
        <f>IF(OR($AA30="",$Y$5=""),"",IFERROR((COUNTIFS(dClass,$Y$5,INDEX(dData,0,MATCH($AA30&amp;CHAR(10)&amp;"Raw Score",dHdr,0)),"&gt;=0")+COUNTIFS(dClass,$Y$5,INDEX(dData,0,MATCH($AA30&amp;CHAR(10)&amp;"Raw Score",dHdr,0)),"A"))/COUNTIF(dClass,$Y$5),""))</f>
        <v/>
      </c>
      <c r="BZ30" t="str">
        <f>IF(OR($AA30="",$Y$6=""),"",IFERROR((COUNTIFS(dClass,$Y$6,INDEX(dData,0,MATCH($AA30&amp;CHAR(10)&amp;"Raw Score",dHdr,0)),"&gt;=0")+COUNTIFS(dClass,$Y$6,INDEX(dData,0,MATCH($AA30&amp;CHAR(10)&amp;"Raw Score",dHdr,0)),"A"))/COUNTIF(dClass,$Y$6),""))</f>
        <v/>
      </c>
      <c r="CA30" t="str">
        <f>IF(OR($AA30="",$Y$7=""),"",IFERROR((COUNTIFS(dClass,$Y$7,INDEX(dData,0,MATCH($AA30&amp;CHAR(10)&amp;"Raw Score",dHdr,0)),"&gt;=0")+COUNTIFS(dClass,$Y$7,INDEX(dData,0,MATCH($AA30&amp;CHAR(10)&amp;"Raw Score",dHdr,0)),"A"))/COUNTIF(dClass,$Y$7),""))</f>
        <v/>
      </c>
      <c r="CB30" t="str">
        <f>IF(OR($AA30="",$Y$8=""),"",IFERROR((COUNTIFS(dClass,$Y$8,INDEX(dData,0,MATCH($AA30&amp;CHAR(10)&amp;"Raw Score",dHdr,0)),"&gt;=0")+COUNTIFS(dClass,$Y$8,INDEX(dData,0,MATCH($AA30&amp;CHAR(10)&amp;"Raw Score",dHdr,0)),"A"))/COUNTIF(dClass,$Y$8),""))</f>
        <v/>
      </c>
      <c r="CC30" t="str">
        <f>IF(OR($AA30="",$Y$9=""),"",IFERROR((COUNTIFS(dClass,$Y$9,INDEX(dData,0,MATCH($AA30&amp;CHAR(10)&amp;"Raw Score",dHdr,0)),"&gt;=0")+COUNTIFS(dClass,$Y$9,INDEX(dData,0,MATCH($AA30&amp;CHAR(10)&amp;"Raw Score",dHdr,0)),"A"))/COUNTIF(dClass,$Y$9),""))</f>
        <v/>
      </c>
      <c r="CD30" t="str">
        <f>IF(OR($AA30="",$Y$10=""),"",IFERROR((COUNTIFS(dClass,$Y$10,INDEX(dData,0,MATCH($AA30&amp;CHAR(10)&amp;"Raw Score",dHdr,0)),"&gt;=0")+COUNTIFS(dClass,$Y$10,INDEX(dData,0,MATCH($AA30&amp;CHAR(10)&amp;"Raw Score",dHdr,0)),"A"))/COUNTIF(dClass,$Y$10),""))</f>
        <v/>
      </c>
    </row>
    <row r="31">
      <c r="H31" t="str">
        <f>IFERROR(INDEX(tblY7[Class],ROWS(H$10:H31))&amp;"","")</f>
        <v>7A/Sc1</v>
      </c>
      <c r="I31" t="str">
        <f>IF(H31="","",IF(COUNTIF(H$10:H31,H31)=1,COUNTIF(H$10:H$609,"&lt;"&amp;H31)+1,""))</f>
        <v/>
      </c>
      <c r="J31" t="str">
        <f>IFERROR(INDEX(tblY8[Class],ROWS(J$10:J31))&amp;"","")</f>
        <v>8A/Sc1</v>
      </c>
      <c r="K31" t="str">
        <f>IF(J31="","",IF(COUNTIF(J$10:J31,J31)=1,COUNTIF(J$10:J$609,"&lt;"&amp;J31)+1,""))</f>
        <v/>
      </c>
      <c r="L31" t="str">
        <f>IFERROR(INDEX(tblY9[Class],ROWS(L$10:L31))&amp;"","")</f>
        <v>9A/Sc1</v>
      </c>
      <c r="M31" t="str">
        <f>IF(L31="","",IF(COUNTIF(L$10:L31,L31)=1,COUNTIF(L$10:L$609,"&lt;"&amp;L31)+1,""))</f>
        <v/>
      </c>
      <c r="N31" t="str">
        <f>IFERROR(INDEX(tblY10[Class],ROWS(N$10:N31))&amp;"","")</f>
        <v>10S/Sc1</v>
      </c>
      <c r="O31" t="str">
        <f>IF(N31="","",IF(COUNTIF(N$10:N31,N31)=1,COUNTIF(N$10:N$609,"&lt;"&amp;N31)+1,""))</f>
        <v/>
      </c>
      <c r="P31" t="str">
        <f>IFERROR(INDEX(tblY11[Class],ROWS(P$10:P31))&amp;"","")</f>
        <v>11S/Sc1</v>
      </c>
      <c r="Q31" t="str">
        <f>IF(P31="","",IF(COUNTIF(P$10:P31,P31)=1,COUNTIF(P$10:P$609,"&lt;"&amp;P31)+1,""))</f>
        <v/>
      </c>
      <c r="AA31" t="str">
        <f>IFERROR(INDEX(tblAssessments[Test Name],MATCH(SelYear&amp;"|"&amp;29,tblAssessments[Seq Key],0))&amp;"","")</f>
        <v/>
      </c>
      <c r="AB31" t="str">
        <f>IF(AA31="","",IFERROR(INDEX(tblAssessments[Max Marks],MATCH(SelYear&amp;"|"&amp;29,tblAssessments[Seq Key],0)),""))</f>
        <v/>
      </c>
      <c r="AC31" s="83" t="str">
        <f>IF(AA31="","",IFERROR(IF(INDEX(tblAssessments[Date],MATCH(SelYear&amp;"|"&amp;29,tblAssessments[Seq Key],0))="","",INDEX(tblAssessments[Date],MATCH(SelYear&amp;"|"&amp;29,tblAssessments[Seq Key],0))),""))</f>
        <v/>
      </c>
      <c r="AD31" t="str">
        <f>IF(AA31="","",IFERROR(INDEX(tblAssessments[Code],MATCH(SelYear&amp;"|"&amp;29,tblAssessments[Seq Key],0))&amp;"",""))</f>
        <v/>
      </c>
      <c r="AK31" t="str">
        <f>IF(AA31="","",IF(AD31&lt;&gt;"",AD31,LEFT(AA31,14)))</f>
        <v/>
      </c>
      <c r="AL31" t="e">
        <f>IF(AA31="",NA(),IFERROR(AVERAGE(INDEX(dData,0,MATCH(AA31&amp;CHAR(10)&amp;"Stanine",dHdr,0))),NA()))</f>
        <v>#N/A</v>
      </c>
      <c r="AM31" t="e">
        <f>IF(OR(AA31="",SelClass=""),NA(),IFERROR(AVERAGEIFS(INDEX(dData,0,MATCH(AA31&amp;CHAR(10)&amp;"Stanine",dHdr,0)),dClass,SelClass),NA()))</f>
        <v>#N/A</v>
      </c>
      <c r="BL31" t="str">
        <f>IFERROR(MATCH(SMALL($BJ$70:$BJ$669,29),$BJ$70:$BJ$669,0),"")</f>
        <v/>
      </c>
      <c r="BW31" t="str">
        <f>IF(OR($AA31="",$Y$3=""),"",IFERROR((COUNTIFS(dClass,$Y$3,INDEX(dData,0,MATCH($AA31&amp;CHAR(10)&amp;"Raw Score",dHdr,0)),"&gt;=0")+COUNTIFS(dClass,$Y$3,INDEX(dData,0,MATCH($AA31&amp;CHAR(10)&amp;"Raw Score",dHdr,0)),"A"))/COUNTIF(dClass,$Y$3),""))</f>
        <v/>
      </c>
      <c r="BX31" t="str">
        <f>IF(OR($AA31="",$Y$4=""),"",IFERROR((COUNTIFS(dClass,$Y$4,INDEX(dData,0,MATCH($AA31&amp;CHAR(10)&amp;"Raw Score",dHdr,0)),"&gt;=0")+COUNTIFS(dClass,$Y$4,INDEX(dData,0,MATCH($AA31&amp;CHAR(10)&amp;"Raw Score",dHdr,0)),"A"))/COUNTIF(dClass,$Y$4),""))</f>
        <v/>
      </c>
      <c r="BY31" t="str">
        <f>IF(OR($AA31="",$Y$5=""),"",IFERROR((COUNTIFS(dClass,$Y$5,INDEX(dData,0,MATCH($AA31&amp;CHAR(10)&amp;"Raw Score",dHdr,0)),"&gt;=0")+COUNTIFS(dClass,$Y$5,INDEX(dData,0,MATCH($AA31&amp;CHAR(10)&amp;"Raw Score",dHdr,0)),"A"))/COUNTIF(dClass,$Y$5),""))</f>
        <v/>
      </c>
      <c r="BZ31" t="str">
        <f>IF(OR($AA31="",$Y$6=""),"",IFERROR((COUNTIFS(dClass,$Y$6,INDEX(dData,0,MATCH($AA31&amp;CHAR(10)&amp;"Raw Score",dHdr,0)),"&gt;=0")+COUNTIFS(dClass,$Y$6,INDEX(dData,0,MATCH($AA31&amp;CHAR(10)&amp;"Raw Score",dHdr,0)),"A"))/COUNTIF(dClass,$Y$6),""))</f>
        <v/>
      </c>
      <c r="CA31" t="str">
        <f>IF(OR($AA31="",$Y$7=""),"",IFERROR((COUNTIFS(dClass,$Y$7,INDEX(dData,0,MATCH($AA31&amp;CHAR(10)&amp;"Raw Score",dHdr,0)),"&gt;=0")+COUNTIFS(dClass,$Y$7,INDEX(dData,0,MATCH($AA31&amp;CHAR(10)&amp;"Raw Score",dHdr,0)),"A"))/COUNTIF(dClass,$Y$7),""))</f>
        <v/>
      </c>
      <c r="CB31" t="str">
        <f>IF(OR($AA31="",$Y$8=""),"",IFERROR((COUNTIFS(dClass,$Y$8,INDEX(dData,0,MATCH($AA31&amp;CHAR(10)&amp;"Raw Score",dHdr,0)),"&gt;=0")+COUNTIFS(dClass,$Y$8,INDEX(dData,0,MATCH($AA31&amp;CHAR(10)&amp;"Raw Score",dHdr,0)),"A"))/COUNTIF(dClass,$Y$8),""))</f>
        <v/>
      </c>
      <c r="CC31" t="str">
        <f>IF(OR($AA31="",$Y$9=""),"",IFERROR((COUNTIFS(dClass,$Y$9,INDEX(dData,0,MATCH($AA31&amp;CHAR(10)&amp;"Raw Score",dHdr,0)),"&gt;=0")+COUNTIFS(dClass,$Y$9,INDEX(dData,0,MATCH($AA31&amp;CHAR(10)&amp;"Raw Score",dHdr,0)),"A"))/COUNTIF(dClass,$Y$9),""))</f>
        <v/>
      </c>
      <c r="CD31" t="str">
        <f>IF(OR($AA31="",$Y$10=""),"",IFERROR((COUNTIFS(dClass,$Y$10,INDEX(dData,0,MATCH($AA31&amp;CHAR(10)&amp;"Raw Score",dHdr,0)),"&gt;=0")+COUNTIFS(dClass,$Y$10,INDEX(dData,0,MATCH($AA31&amp;CHAR(10)&amp;"Raw Score",dHdr,0)),"A"))/COUNTIF(dClass,$Y$10),""))</f>
        <v/>
      </c>
    </row>
    <row r="32">
      <c r="H32" t="str">
        <f>IFERROR(INDEX(tblY7[Class],ROWS(H$10:H32))&amp;"","")</f>
        <v>7A/Sc1</v>
      </c>
      <c r="I32" t="str">
        <f>IF(H32="","",IF(COUNTIF(H$10:H32,H32)=1,COUNTIF(H$10:H$609,"&lt;"&amp;H32)+1,""))</f>
        <v/>
      </c>
      <c r="J32" t="str">
        <f>IFERROR(INDEX(tblY8[Class],ROWS(J$10:J32))&amp;"","")</f>
        <v>8A/Sc1</v>
      </c>
      <c r="K32" t="str">
        <f>IF(J32="","",IF(COUNTIF(J$10:J32,J32)=1,COUNTIF(J$10:J$609,"&lt;"&amp;J32)+1,""))</f>
        <v/>
      </c>
      <c r="L32" t="str">
        <f>IFERROR(INDEX(tblY9[Class],ROWS(L$10:L32))&amp;"","")</f>
        <v>9A/Sc2</v>
      </c>
      <c r="M32">
        <f>IF(L32="","",IF(COUNTIF(L$10:L32,L32)=1,COUNTIF(L$10:L$609,"&lt;"&amp;L32)+1,""))</f>
        <v>498</v>
      </c>
      <c r="N32" t="str">
        <f>IFERROR(INDEX(tblY10[Class],ROWS(N$10:N32))&amp;"","")</f>
        <v>10S/Sc1</v>
      </c>
      <c r="O32" t="str">
        <f>IF(N32="","",IF(COUNTIF(N$10:N32,N32)=1,COUNTIF(N$10:N$609,"&lt;"&amp;N32)+1,""))</f>
        <v/>
      </c>
      <c r="P32" t="str">
        <f>IFERROR(INDEX(tblY11[Class],ROWS(P$10:P32))&amp;"","")</f>
        <v>11S/Sc1</v>
      </c>
      <c r="Q32" t="str">
        <f>IF(P32="","",IF(COUNTIF(P$10:P32,P32)=1,COUNTIF(P$10:P$609,"&lt;"&amp;P32)+1,""))</f>
        <v/>
      </c>
      <c r="AA32" t="str">
        <f>IFERROR(INDEX(tblAssessments[Test Name],MATCH(SelYear&amp;"|"&amp;30,tblAssessments[Seq Key],0))&amp;"","")</f>
        <v/>
      </c>
      <c r="AB32" t="str">
        <f>IF(AA32="","",IFERROR(INDEX(tblAssessments[Max Marks],MATCH(SelYear&amp;"|"&amp;30,tblAssessments[Seq Key],0)),""))</f>
        <v/>
      </c>
      <c r="AC32" s="83" t="str">
        <f>IF(AA32="","",IFERROR(IF(INDEX(tblAssessments[Date],MATCH(SelYear&amp;"|"&amp;30,tblAssessments[Seq Key],0))="","",INDEX(tblAssessments[Date],MATCH(SelYear&amp;"|"&amp;30,tblAssessments[Seq Key],0))),""))</f>
        <v/>
      </c>
      <c r="AD32" t="str">
        <f>IF(AA32="","",IFERROR(INDEX(tblAssessments[Code],MATCH(SelYear&amp;"|"&amp;30,tblAssessments[Seq Key],0))&amp;"",""))</f>
        <v/>
      </c>
      <c r="AK32" t="str">
        <f>IF(AA32="","",IF(AD32&lt;&gt;"",AD32,LEFT(AA32,14)))</f>
        <v/>
      </c>
      <c r="AL32" t="e">
        <f>IF(AA32="",NA(),IFERROR(AVERAGE(INDEX(dData,0,MATCH(AA32&amp;CHAR(10)&amp;"Stanine",dHdr,0))),NA()))</f>
        <v>#N/A</v>
      </c>
      <c r="AM32" t="e">
        <f>IF(OR(AA32="",SelClass=""),NA(),IFERROR(AVERAGEIFS(INDEX(dData,0,MATCH(AA32&amp;CHAR(10)&amp;"Stanine",dHdr,0)),dClass,SelClass),NA()))</f>
        <v>#N/A</v>
      </c>
      <c r="BL32" t="str">
        <f>IFERROR(MATCH(SMALL($BJ$70:$BJ$669,30),$BJ$70:$BJ$669,0),"")</f>
        <v/>
      </c>
      <c r="BW32" t="str">
        <f>IF(OR($AA32="",$Y$3=""),"",IFERROR((COUNTIFS(dClass,$Y$3,INDEX(dData,0,MATCH($AA32&amp;CHAR(10)&amp;"Raw Score",dHdr,0)),"&gt;=0")+COUNTIFS(dClass,$Y$3,INDEX(dData,0,MATCH($AA32&amp;CHAR(10)&amp;"Raw Score",dHdr,0)),"A"))/COUNTIF(dClass,$Y$3),""))</f>
        <v/>
      </c>
      <c r="BX32" t="str">
        <f>IF(OR($AA32="",$Y$4=""),"",IFERROR((COUNTIFS(dClass,$Y$4,INDEX(dData,0,MATCH($AA32&amp;CHAR(10)&amp;"Raw Score",dHdr,0)),"&gt;=0")+COUNTIFS(dClass,$Y$4,INDEX(dData,0,MATCH($AA32&amp;CHAR(10)&amp;"Raw Score",dHdr,0)),"A"))/COUNTIF(dClass,$Y$4),""))</f>
        <v/>
      </c>
      <c r="BY32" t="str">
        <f>IF(OR($AA32="",$Y$5=""),"",IFERROR((COUNTIFS(dClass,$Y$5,INDEX(dData,0,MATCH($AA32&amp;CHAR(10)&amp;"Raw Score",dHdr,0)),"&gt;=0")+COUNTIFS(dClass,$Y$5,INDEX(dData,0,MATCH($AA32&amp;CHAR(10)&amp;"Raw Score",dHdr,0)),"A"))/COUNTIF(dClass,$Y$5),""))</f>
        <v/>
      </c>
      <c r="BZ32" t="str">
        <f>IF(OR($AA32="",$Y$6=""),"",IFERROR((COUNTIFS(dClass,$Y$6,INDEX(dData,0,MATCH($AA32&amp;CHAR(10)&amp;"Raw Score",dHdr,0)),"&gt;=0")+COUNTIFS(dClass,$Y$6,INDEX(dData,0,MATCH($AA32&amp;CHAR(10)&amp;"Raw Score",dHdr,0)),"A"))/COUNTIF(dClass,$Y$6),""))</f>
        <v/>
      </c>
      <c r="CA32" t="str">
        <f>IF(OR($AA32="",$Y$7=""),"",IFERROR((COUNTIFS(dClass,$Y$7,INDEX(dData,0,MATCH($AA32&amp;CHAR(10)&amp;"Raw Score",dHdr,0)),"&gt;=0")+COUNTIFS(dClass,$Y$7,INDEX(dData,0,MATCH($AA32&amp;CHAR(10)&amp;"Raw Score",dHdr,0)),"A"))/COUNTIF(dClass,$Y$7),""))</f>
        <v/>
      </c>
      <c r="CB32" t="str">
        <f>IF(OR($AA32="",$Y$8=""),"",IFERROR((COUNTIFS(dClass,$Y$8,INDEX(dData,0,MATCH($AA32&amp;CHAR(10)&amp;"Raw Score",dHdr,0)),"&gt;=0")+COUNTIFS(dClass,$Y$8,INDEX(dData,0,MATCH($AA32&amp;CHAR(10)&amp;"Raw Score",dHdr,0)),"A"))/COUNTIF(dClass,$Y$8),""))</f>
        <v/>
      </c>
      <c r="CC32" t="str">
        <f>IF(OR($AA32="",$Y$9=""),"",IFERROR((COUNTIFS(dClass,$Y$9,INDEX(dData,0,MATCH($AA32&amp;CHAR(10)&amp;"Raw Score",dHdr,0)),"&gt;=0")+COUNTIFS(dClass,$Y$9,INDEX(dData,0,MATCH($AA32&amp;CHAR(10)&amp;"Raw Score",dHdr,0)),"A"))/COUNTIF(dClass,$Y$9),""))</f>
        <v/>
      </c>
      <c r="CD32" t="str">
        <f>IF(OR($AA32="",$Y$10=""),"",IFERROR((COUNTIFS(dClass,$Y$10,INDEX(dData,0,MATCH($AA32&amp;CHAR(10)&amp;"Raw Score",dHdr,0)),"&gt;=0")+COUNTIFS(dClass,$Y$10,INDEX(dData,0,MATCH($AA32&amp;CHAR(10)&amp;"Raw Score",dHdr,0)),"A"))/COUNTIF(dClass,$Y$10),""))</f>
        <v/>
      </c>
    </row>
    <row r="33">
      <c r="H33" t="str">
        <f>IFERROR(INDEX(tblY7[Class],ROWS(H$10:H33))&amp;"","")</f>
        <v>7A/Sc1</v>
      </c>
      <c r="I33" t="str">
        <f>IF(H33="","",IF(COUNTIF(H$10:H33,H33)=1,COUNTIF(H$10:H$609,"&lt;"&amp;H33)+1,""))</f>
        <v/>
      </c>
      <c r="J33" t="str">
        <f>IFERROR(INDEX(tblY8[Class],ROWS(J$10:J33))&amp;"","")</f>
        <v>8A/Sc1</v>
      </c>
      <c r="K33" t="str">
        <f>IF(J33="","",IF(COUNTIF(J$10:J33,J33)=1,COUNTIF(J$10:J$609,"&lt;"&amp;J33)+1,""))</f>
        <v/>
      </c>
      <c r="L33" t="str">
        <f>IFERROR(INDEX(tblY9[Class],ROWS(L$10:L33))&amp;"","")</f>
        <v>9A/Sc2</v>
      </c>
      <c r="M33" t="str">
        <f>IF(L33="","",IF(COUNTIF(L$10:L33,L33)=1,COUNTIF(L$10:L$609,"&lt;"&amp;L33)+1,""))</f>
        <v/>
      </c>
      <c r="N33" t="str">
        <f>IFERROR(INDEX(tblY10[Class],ROWS(N$10:N33))&amp;"","")</f>
        <v>10S/Sc1</v>
      </c>
      <c r="O33" t="str">
        <f>IF(N33="","",IF(COUNTIF(N$10:N33,N33)=1,COUNTIF(N$10:N$609,"&lt;"&amp;N33)+1,""))</f>
        <v/>
      </c>
      <c r="P33" t="str">
        <f>IFERROR(INDEX(tblY11[Class],ROWS(P$10:P33))&amp;"","")</f>
        <v>11S/Sc1</v>
      </c>
      <c r="Q33" t="str">
        <f>IF(P33="","",IF(COUNTIF(P$10:P33,P33)=1,COUNTIF(P$10:P$609,"&lt;"&amp;P33)+1,""))</f>
        <v/>
      </c>
      <c r="AA33" t="str">
        <f>IFERROR(INDEX(tblAssessments[Test Name],MATCH(SelYear&amp;"|"&amp;31,tblAssessments[Seq Key],0))&amp;"","")</f>
        <v/>
      </c>
      <c r="AB33" t="str">
        <f>IF(AA33="","",IFERROR(INDEX(tblAssessments[Max Marks],MATCH(SelYear&amp;"|"&amp;31,tblAssessments[Seq Key],0)),""))</f>
        <v/>
      </c>
      <c r="AC33" s="83" t="str">
        <f>IF(AA33="","",IFERROR(IF(INDEX(tblAssessments[Date],MATCH(SelYear&amp;"|"&amp;31,tblAssessments[Seq Key],0))="","",INDEX(tblAssessments[Date],MATCH(SelYear&amp;"|"&amp;31,tblAssessments[Seq Key],0))),""))</f>
        <v/>
      </c>
      <c r="AD33" t="str">
        <f>IF(AA33="","",IFERROR(INDEX(tblAssessments[Code],MATCH(SelYear&amp;"|"&amp;31,tblAssessments[Seq Key],0))&amp;"",""))</f>
        <v/>
      </c>
      <c r="AK33" t="str">
        <f>IF(AA33="","",IF(AD33&lt;&gt;"",AD33,LEFT(AA33,14)))</f>
        <v/>
      </c>
      <c r="AL33" t="e">
        <f>IF(AA33="",NA(),IFERROR(AVERAGE(INDEX(dData,0,MATCH(AA33&amp;CHAR(10)&amp;"Stanine",dHdr,0))),NA()))</f>
        <v>#N/A</v>
      </c>
      <c r="AM33" t="e">
        <f>IF(OR(AA33="",SelClass=""),NA(),IFERROR(AVERAGEIFS(INDEX(dData,0,MATCH(AA33&amp;CHAR(10)&amp;"Stanine",dHdr,0)),dClass,SelClass),NA()))</f>
        <v>#N/A</v>
      </c>
      <c r="BL33" t="str">
        <f>IFERROR(MATCH(SMALL($BJ$70:$BJ$669,31),$BJ$70:$BJ$669,0),"")</f>
        <v/>
      </c>
      <c r="BW33" t="str">
        <f>IF(OR($AA33="",$Y$3=""),"",IFERROR((COUNTIFS(dClass,$Y$3,INDEX(dData,0,MATCH($AA33&amp;CHAR(10)&amp;"Raw Score",dHdr,0)),"&gt;=0")+COUNTIFS(dClass,$Y$3,INDEX(dData,0,MATCH($AA33&amp;CHAR(10)&amp;"Raw Score",dHdr,0)),"A"))/COUNTIF(dClass,$Y$3),""))</f>
        <v/>
      </c>
      <c r="BX33" t="str">
        <f>IF(OR($AA33="",$Y$4=""),"",IFERROR((COUNTIFS(dClass,$Y$4,INDEX(dData,0,MATCH($AA33&amp;CHAR(10)&amp;"Raw Score",dHdr,0)),"&gt;=0")+COUNTIFS(dClass,$Y$4,INDEX(dData,0,MATCH($AA33&amp;CHAR(10)&amp;"Raw Score",dHdr,0)),"A"))/COUNTIF(dClass,$Y$4),""))</f>
        <v/>
      </c>
      <c r="BY33" t="str">
        <f>IF(OR($AA33="",$Y$5=""),"",IFERROR((COUNTIFS(dClass,$Y$5,INDEX(dData,0,MATCH($AA33&amp;CHAR(10)&amp;"Raw Score",dHdr,0)),"&gt;=0")+COUNTIFS(dClass,$Y$5,INDEX(dData,0,MATCH($AA33&amp;CHAR(10)&amp;"Raw Score",dHdr,0)),"A"))/COUNTIF(dClass,$Y$5),""))</f>
        <v/>
      </c>
      <c r="BZ33" t="str">
        <f>IF(OR($AA33="",$Y$6=""),"",IFERROR((COUNTIFS(dClass,$Y$6,INDEX(dData,0,MATCH($AA33&amp;CHAR(10)&amp;"Raw Score",dHdr,0)),"&gt;=0")+COUNTIFS(dClass,$Y$6,INDEX(dData,0,MATCH($AA33&amp;CHAR(10)&amp;"Raw Score",dHdr,0)),"A"))/COUNTIF(dClass,$Y$6),""))</f>
        <v/>
      </c>
      <c r="CA33" t="str">
        <f>IF(OR($AA33="",$Y$7=""),"",IFERROR((COUNTIFS(dClass,$Y$7,INDEX(dData,0,MATCH($AA33&amp;CHAR(10)&amp;"Raw Score",dHdr,0)),"&gt;=0")+COUNTIFS(dClass,$Y$7,INDEX(dData,0,MATCH($AA33&amp;CHAR(10)&amp;"Raw Score",dHdr,0)),"A"))/COUNTIF(dClass,$Y$7),""))</f>
        <v/>
      </c>
      <c r="CB33" t="str">
        <f>IF(OR($AA33="",$Y$8=""),"",IFERROR((COUNTIFS(dClass,$Y$8,INDEX(dData,0,MATCH($AA33&amp;CHAR(10)&amp;"Raw Score",dHdr,0)),"&gt;=0")+COUNTIFS(dClass,$Y$8,INDEX(dData,0,MATCH($AA33&amp;CHAR(10)&amp;"Raw Score",dHdr,0)),"A"))/COUNTIF(dClass,$Y$8),""))</f>
        <v/>
      </c>
      <c r="CC33" t="str">
        <f>IF(OR($AA33="",$Y$9=""),"",IFERROR((COUNTIFS(dClass,$Y$9,INDEX(dData,0,MATCH($AA33&amp;CHAR(10)&amp;"Raw Score",dHdr,0)),"&gt;=0")+COUNTIFS(dClass,$Y$9,INDEX(dData,0,MATCH($AA33&amp;CHAR(10)&amp;"Raw Score",dHdr,0)),"A"))/COUNTIF(dClass,$Y$9),""))</f>
        <v/>
      </c>
      <c r="CD33" t="str">
        <f>IF(OR($AA33="",$Y$10=""),"",IFERROR((COUNTIFS(dClass,$Y$10,INDEX(dData,0,MATCH($AA33&amp;CHAR(10)&amp;"Raw Score",dHdr,0)),"&gt;=0")+COUNTIFS(dClass,$Y$10,INDEX(dData,0,MATCH($AA33&amp;CHAR(10)&amp;"Raw Score",dHdr,0)),"A"))/COUNTIF(dClass,$Y$10),""))</f>
        <v/>
      </c>
    </row>
    <row r="34">
      <c r="H34" t="str">
        <f>IFERROR(INDEX(tblY7[Class],ROWS(H$10:H34))&amp;"","")</f>
        <v>7A/Sc1</v>
      </c>
      <c r="I34" t="str">
        <f>IF(H34="","",IF(COUNTIF(H$10:H34,H34)=1,COUNTIF(H$10:H$609,"&lt;"&amp;H34)+1,""))</f>
        <v/>
      </c>
      <c r="J34" t="str">
        <f>IFERROR(INDEX(tblY8[Class],ROWS(J$10:J34))&amp;"","")</f>
        <v>8A/Sc1</v>
      </c>
      <c r="K34" t="str">
        <f>IF(J34="","",IF(COUNTIF(J$10:J34,J34)=1,COUNTIF(J$10:J$609,"&lt;"&amp;J34)+1,""))</f>
        <v/>
      </c>
      <c r="L34" t="str">
        <f>IFERROR(INDEX(tblY9[Class],ROWS(L$10:L34))&amp;"","")</f>
        <v>9A/Sc2</v>
      </c>
      <c r="M34" t="str">
        <f>IF(L34="","",IF(COUNTIF(L$10:L34,L34)=1,COUNTIF(L$10:L$609,"&lt;"&amp;L34)+1,""))</f>
        <v/>
      </c>
      <c r="N34" t="str">
        <f>IFERROR(INDEX(tblY10[Class],ROWS(N$10:N34))&amp;"","")</f>
        <v>10S/Sc1</v>
      </c>
      <c r="O34" t="str">
        <f>IF(N34="","",IF(COUNTIF(N$10:N34,N34)=1,COUNTIF(N$10:N$609,"&lt;"&amp;N34)+1,""))</f>
        <v/>
      </c>
      <c r="P34" t="str">
        <f>IFERROR(INDEX(tblY11[Class],ROWS(P$10:P34))&amp;"","")</f>
        <v>11S/Sc1</v>
      </c>
      <c r="Q34" t="str">
        <f>IF(P34="","",IF(COUNTIF(P$10:P34,P34)=1,COUNTIF(P$10:P$609,"&lt;"&amp;P34)+1,""))</f>
        <v/>
      </c>
      <c r="AA34" t="str">
        <f>IFERROR(INDEX(tblAssessments[Test Name],MATCH(SelYear&amp;"|"&amp;32,tblAssessments[Seq Key],0))&amp;"","")</f>
        <v/>
      </c>
      <c r="AB34" t="str">
        <f>IF(AA34="","",IFERROR(INDEX(tblAssessments[Max Marks],MATCH(SelYear&amp;"|"&amp;32,tblAssessments[Seq Key],0)),""))</f>
        <v/>
      </c>
      <c r="AC34" s="83" t="str">
        <f>IF(AA34="","",IFERROR(IF(INDEX(tblAssessments[Date],MATCH(SelYear&amp;"|"&amp;32,tblAssessments[Seq Key],0))="","",INDEX(tblAssessments[Date],MATCH(SelYear&amp;"|"&amp;32,tblAssessments[Seq Key],0))),""))</f>
        <v/>
      </c>
      <c r="AD34" t="str">
        <f>IF(AA34="","",IFERROR(INDEX(tblAssessments[Code],MATCH(SelYear&amp;"|"&amp;32,tblAssessments[Seq Key],0))&amp;"",""))</f>
        <v/>
      </c>
      <c r="AK34" t="str">
        <f>IF(AA34="","",IF(AD34&lt;&gt;"",AD34,LEFT(AA34,14)))</f>
        <v/>
      </c>
      <c r="AL34" t="e">
        <f>IF(AA34="",NA(),IFERROR(AVERAGE(INDEX(dData,0,MATCH(AA34&amp;CHAR(10)&amp;"Stanine",dHdr,0))),NA()))</f>
        <v>#N/A</v>
      </c>
      <c r="AM34" t="e">
        <f>IF(OR(AA34="",SelClass=""),NA(),IFERROR(AVERAGEIFS(INDEX(dData,0,MATCH(AA34&amp;CHAR(10)&amp;"Stanine",dHdr,0)),dClass,SelClass),NA()))</f>
        <v>#N/A</v>
      </c>
      <c r="BL34" t="str">
        <f>IFERROR(MATCH(SMALL($BJ$70:$BJ$669,32),$BJ$70:$BJ$669,0),"")</f>
        <v/>
      </c>
      <c r="BW34" t="str">
        <f>IF(OR($AA34="",$Y$3=""),"",IFERROR((COUNTIFS(dClass,$Y$3,INDEX(dData,0,MATCH($AA34&amp;CHAR(10)&amp;"Raw Score",dHdr,0)),"&gt;=0")+COUNTIFS(dClass,$Y$3,INDEX(dData,0,MATCH($AA34&amp;CHAR(10)&amp;"Raw Score",dHdr,0)),"A"))/COUNTIF(dClass,$Y$3),""))</f>
        <v/>
      </c>
      <c r="BX34" t="str">
        <f>IF(OR($AA34="",$Y$4=""),"",IFERROR((COUNTIFS(dClass,$Y$4,INDEX(dData,0,MATCH($AA34&amp;CHAR(10)&amp;"Raw Score",dHdr,0)),"&gt;=0")+COUNTIFS(dClass,$Y$4,INDEX(dData,0,MATCH($AA34&amp;CHAR(10)&amp;"Raw Score",dHdr,0)),"A"))/COUNTIF(dClass,$Y$4),""))</f>
        <v/>
      </c>
      <c r="BY34" t="str">
        <f>IF(OR($AA34="",$Y$5=""),"",IFERROR((COUNTIFS(dClass,$Y$5,INDEX(dData,0,MATCH($AA34&amp;CHAR(10)&amp;"Raw Score",dHdr,0)),"&gt;=0")+COUNTIFS(dClass,$Y$5,INDEX(dData,0,MATCH($AA34&amp;CHAR(10)&amp;"Raw Score",dHdr,0)),"A"))/COUNTIF(dClass,$Y$5),""))</f>
        <v/>
      </c>
      <c r="BZ34" t="str">
        <f>IF(OR($AA34="",$Y$6=""),"",IFERROR((COUNTIFS(dClass,$Y$6,INDEX(dData,0,MATCH($AA34&amp;CHAR(10)&amp;"Raw Score",dHdr,0)),"&gt;=0")+COUNTIFS(dClass,$Y$6,INDEX(dData,0,MATCH($AA34&amp;CHAR(10)&amp;"Raw Score",dHdr,0)),"A"))/COUNTIF(dClass,$Y$6),""))</f>
        <v/>
      </c>
      <c r="CA34" t="str">
        <f>IF(OR($AA34="",$Y$7=""),"",IFERROR((COUNTIFS(dClass,$Y$7,INDEX(dData,0,MATCH($AA34&amp;CHAR(10)&amp;"Raw Score",dHdr,0)),"&gt;=0")+COUNTIFS(dClass,$Y$7,INDEX(dData,0,MATCH($AA34&amp;CHAR(10)&amp;"Raw Score",dHdr,0)),"A"))/COUNTIF(dClass,$Y$7),""))</f>
        <v/>
      </c>
      <c r="CB34" t="str">
        <f>IF(OR($AA34="",$Y$8=""),"",IFERROR((COUNTIFS(dClass,$Y$8,INDEX(dData,0,MATCH($AA34&amp;CHAR(10)&amp;"Raw Score",dHdr,0)),"&gt;=0")+COUNTIFS(dClass,$Y$8,INDEX(dData,0,MATCH($AA34&amp;CHAR(10)&amp;"Raw Score",dHdr,0)),"A"))/COUNTIF(dClass,$Y$8),""))</f>
        <v/>
      </c>
      <c r="CC34" t="str">
        <f>IF(OR($AA34="",$Y$9=""),"",IFERROR((COUNTIFS(dClass,$Y$9,INDEX(dData,0,MATCH($AA34&amp;CHAR(10)&amp;"Raw Score",dHdr,0)),"&gt;=0")+COUNTIFS(dClass,$Y$9,INDEX(dData,0,MATCH($AA34&amp;CHAR(10)&amp;"Raw Score",dHdr,0)),"A"))/COUNTIF(dClass,$Y$9),""))</f>
        <v/>
      </c>
      <c r="CD34" t="str">
        <f>IF(OR($AA34="",$Y$10=""),"",IFERROR((COUNTIFS(dClass,$Y$10,INDEX(dData,0,MATCH($AA34&amp;CHAR(10)&amp;"Raw Score",dHdr,0)),"&gt;=0")+COUNTIFS(dClass,$Y$10,INDEX(dData,0,MATCH($AA34&amp;CHAR(10)&amp;"Raw Score",dHdr,0)),"A"))/COUNTIF(dClass,$Y$10),""))</f>
        <v/>
      </c>
    </row>
    <row r="35">
      <c r="H35" t="str">
        <f>IFERROR(INDEX(tblY7[Class],ROWS(H$10:H35))&amp;"","")</f>
        <v>7A/Sc1</v>
      </c>
      <c r="I35" t="str">
        <f>IF(H35="","",IF(COUNTIF(H$10:H35,H35)=1,COUNTIF(H$10:H$609,"&lt;"&amp;H35)+1,""))</f>
        <v/>
      </c>
      <c r="J35" t="str">
        <f>IFERROR(INDEX(tblY8[Class],ROWS(J$10:J35))&amp;"","")</f>
        <v>8A/Sc1</v>
      </c>
      <c r="K35" t="str">
        <f>IF(J35="","",IF(COUNTIF(J$10:J35,J35)=1,COUNTIF(J$10:J$609,"&lt;"&amp;J35)+1,""))</f>
        <v/>
      </c>
      <c r="L35" t="str">
        <f>IFERROR(INDEX(tblY9[Class],ROWS(L$10:L35))&amp;"","")</f>
        <v>9A/Sc2</v>
      </c>
      <c r="M35" t="str">
        <f>IF(L35="","",IF(COUNTIF(L$10:L35,L35)=1,COUNTIF(L$10:L$609,"&lt;"&amp;L35)+1,""))</f>
        <v/>
      </c>
      <c r="N35" t="str">
        <f>IFERROR(INDEX(tblY10[Class],ROWS(N$10:N35))&amp;"","")</f>
        <v>10S/Sc1</v>
      </c>
      <c r="O35" t="str">
        <f>IF(N35="","",IF(COUNTIF(N$10:N35,N35)=1,COUNTIF(N$10:N$609,"&lt;"&amp;N35)+1,""))</f>
        <v/>
      </c>
      <c r="P35" t="str">
        <f>IFERROR(INDEX(tblY11[Class],ROWS(P$10:P35))&amp;"","")</f>
        <v>11S/Sc1</v>
      </c>
      <c r="Q35" t="str">
        <f>IF(P35="","",IF(COUNTIF(P$10:P35,P35)=1,COUNTIF(P$10:P$609,"&lt;"&amp;P35)+1,""))</f>
        <v/>
      </c>
      <c r="AA35" t="str">
        <f>IFERROR(INDEX(tblAssessments[Test Name],MATCH(SelYear&amp;"|"&amp;33,tblAssessments[Seq Key],0))&amp;"","")</f>
        <v/>
      </c>
      <c r="AB35" t="str">
        <f>IF(AA35="","",IFERROR(INDEX(tblAssessments[Max Marks],MATCH(SelYear&amp;"|"&amp;33,tblAssessments[Seq Key],0)),""))</f>
        <v/>
      </c>
      <c r="AC35" s="83" t="str">
        <f>IF(AA35="","",IFERROR(IF(INDEX(tblAssessments[Date],MATCH(SelYear&amp;"|"&amp;33,tblAssessments[Seq Key],0))="","",INDEX(tblAssessments[Date],MATCH(SelYear&amp;"|"&amp;33,tblAssessments[Seq Key],0))),""))</f>
        <v/>
      </c>
      <c r="AD35" t="str">
        <f>IF(AA35="","",IFERROR(INDEX(tblAssessments[Code],MATCH(SelYear&amp;"|"&amp;33,tblAssessments[Seq Key],0))&amp;"",""))</f>
        <v/>
      </c>
      <c r="AK35" t="str">
        <f>IF(AA35="","",IF(AD35&lt;&gt;"",AD35,LEFT(AA35,14)))</f>
        <v/>
      </c>
      <c r="AL35" t="e">
        <f>IF(AA35="",NA(),IFERROR(AVERAGE(INDEX(dData,0,MATCH(AA35&amp;CHAR(10)&amp;"Stanine",dHdr,0))),NA()))</f>
        <v>#N/A</v>
      </c>
      <c r="AM35" t="e">
        <f>IF(OR(AA35="",SelClass=""),NA(),IFERROR(AVERAGEIFS(INDEX(dData,0,MATCH(AA35&amp;CHAR(10)&amp;"Stanine",dHdr,0)),dClass,SelClass),NA()))</f>
        <v>#N/A</v>
      </c>
      <c r="BL35" t="str">
        <f>IFERROR(MATCH(SMALL($BJ$70:$BJ$669,33),$BJ$70:$BJ$669,0),"")</f>
        <v/>
      </c>
      <c r="BW35" t="str">
        <f>IF(OR($AA35="",$Y$3=""),"",IFERROR((COUNTIFS(dClass,$Y$3,INDEX(dData,0,MATCH($AA35&amp;CHAR(10)&amp;"Raw Score",dHdr,0)),"&gt;=0")+COUNTIFS(dClass,$Y$3,INDEX(dData,0,MATCH($AA35&amp;CHAR(10)&amp;"Raw Score",dHdr,0)),"A"))/COUNTIF(dClass,$Y$3),""))</f>
        <v/>
      </c>
      <c r="BX35" t="str">
        <f>IF(OR($AA35="",$Y$4=""),"",IFERROR((COUNTIFS(dClass,$Y$4,INDEX(dData,0,MATCH($AA35&amp;CHAR(10)&amp;"Raw Score",dHdr,0)),"&gt;=0")+COUNTIFS(dClass,$Y$4,INDEX(dData,0,MATCH($AA35&amp;CHAR(10)&amp;"Raw Score",dHdr,0)),"A"))/COUNTIF(dClass,$Y$4),""))</f>
        <v/>
      </c>
      <c r="BY35" t="str">
        <f>IF(OR($AA35="",$Y$5=""),"",IFERROR((COUNTIFS(dClass,$Y$5,INDEX(dData,0,MATCH($AA35&amp;CHAR(10)&amp;"Raw Score",dHdr,0)),"&gt;=0")+COUNTIFS(dClass,$Y$5,INDEX(dData,0,MATCH($AA35&amp;CHAR(10)&amp;"Raw Score",dHdr,0)),"A"))/COUNTIF(dClass,$Y$5),""))</f>
        <v/>
      </c>
      <c r="BZ35" t="str">
        <f>IF(OR($AA35="",$Y$6=""),"",IFERROR((COUNTIFS(dClass,$Y$6,INDEX(dData,0,MATCH($AA35&amp;CHAR(10)&amp;"Raw Score",dHdr,0)),"&gt;=0")+COUNTIFS(dClass,$Y$6,INDEX(dData,0,MATCH($AA35&amp;CHAR(10)&amp;"Raw Score",dHdr,0)),"A"))/COUNTIF(dClass,$Y$6),""))</f>
        <v/>
      </c>
      <c r="CA35" t="str">
        <f>IF(OR($AA35="",$Y$7=""),"",IFERROR((COUNTIFS(dClass,$Y$7,INDEX(dData,0,MATCH($AA35&amp;CHAR(10)&amp;"Raw Score",dHdr,0)),"&gt;=0")+COUNTIFS(dClass,$Y$7,INDEX(dData,0,MATCH($AA35&amp;CHAR(10)&amp;"Raw Score",dHdr,0)),"A"))/COUNTIF(dClass,$Y$7),""))</f>
        <v/>
      </c>
      <c r="CB35" t="str">
        <f>IF(OR($AA35="",$Y$8=""),"",IFERROR((COUNTIFS(dClass,$Y$8,INDEX(dData,0,MATCH($AA35&amp;CHAR(10)&amp;"Raw Score",dHdr,0)),"&gt;=0")+COUNTIFS(dClass,$Y$8,INDEX(dData,0,MATCH($AA35&amp;CHAR(10)&amp;"Raw Score",dHdr,0)),"A"))/COUNTIF(dClass,$Y$8),""))</f>
        <v/>
      </c>
      <c r="CC35" t="str">
        <f>IF(OR($AA35="",$Y$9=""),"",IFERROR((COUNTIFS(dClass,$Y$9,INDEX(dData,0,MATCH($AA35&amp;CHAR(10)&amp;"Raw Score",dHdr,0)),"&gt;=0")+COUNTIFS(dClass,$Y$9,INDEX(dData,0,MATCH($AA35&amp;CHAR(10)&amp;"Raw Score",dHdr,0)),"A"))/COUNTIF(dClass,$Y$9),""))</f>
        <v/>
      </c>
      <c r="CD35" t="str">
        <f>IF(OR($AA35="",$Y$10=""),"",IFERROR((COUNTIFS(dClass,$Y$10,INDEX(dData,0,MATCH($AA35&amp;CHAR(10)&amp;"Raw Score",dHdr,0)),"&gt;=0")+COUNTIFS(dClass,$Y$10,INDEX(dData,0,MATCH($AA35&amp;CHAR(10)&amp;"Raw Score",dHdr,0)),"A"))/COUNTIF(dClass,$Y$10),""))</f>
        <v/>
      </c>
    </row>
    <row r="36">
      <c r="H36" t="str">
        <f>IFERROR(INDEX(tblY7[Class],ROWS(H$10:H36))&amp;"","")</f>
        <v>7A/Sc1</v>
      </c>
      <c r="I36" t="str">
        <f>IF(H36="","",IF(COUNTIF(H$10:H36,H36)=1,COUNTIF(H$10:H$609,"&lt;"&amp;H36)+1,""))</f>
        <v/>
      </c>
      <c r="J36" t="str">
        <f>IFERROR(INDEX(tblY8[Class],ROWS(J$10:J36))&amp;"","")</f>
        <v>8A/Sc1</v>
      </c>
      <c r="K36" t="str">
        <f>IF(J36="","",IF(COUNTIF(J$10:J36,J36)=1,COUNTIF(J$10:J$609,"&lt;"&amp;J36)+1,""))</f>
        <v/>
      </c>
      <c r="L36" t="str">
        <f>IFERROR(INDEX(tblY9[Class],ROWS(L$10:L36))&amp;"","")</f>
        <v>9A/Sc2</v>
      </c>
      <c r="M36" t="str">
        <f>IF(L36="","",IF(COUNTIF(L$10:L36,L36)=1,COUNTIF(L$10:L$609,"&lt;"&amp;L36)+1,""))</f>
        <v/>
      </c>
      <c r="N36" t="str">
        <f>IFERROR(INDEX(tblY10[Class],ROWS(N$10:N36))&amp;"","")</f>
        <v>10S/Sc1</v>
      </c>
      <c r="O36" t="str">
        <f>IF(N36="","",IF(COUNTIF(N$10:N36,N36)=1,COUNTIF(N$10:N$609,"&lt;"&amp;N36)+1,""))</f>
        <v/>
      </c>
      <c r="P36" t="str">
        <f>IFERROR(INDEX(tblY11[Class],ROWS(P$10:P36))&amp;"","")</f>
        <v>11S/Sc1</v>
      </c>
      <c r="Q36" t="str">
        <f>IF(P36="","",IF(COUNTIF(P$10:P36,P36)=1,COUNTIF(P$10:P$609,"&lt;"&amp;P36)+1,""))</f>
        <v/>
      </c>
      <c r="AA36" t="str">
        <f>IFERROR(INDEX(tblAssessments[Test Name],MATCH(SelYear&amp;"|"&amp;34,tblAssessments[Seq Key],0))&amp;"","")</f>
        <v/>
      </c>
      <c r="AB36" t="str">
        <f>IF(AA36="","",IFERROR(INDEX(tblAssessments[Max Marks],MATCH(SelYear&amp;"|"&amp;34,tblAssessments[Seq Key],0)),""))</f>
        <v/>
      </c>
      <c r="AC36" s="83" t="str">
        <f>IF(AA36="","",IFERROR(IF(INDEX(tblAssessments[Date],MATCH(SelYear&amp;"|"&amp;34,tblAssessments[Seq Key],0))="","",INDEX(tblAssessments[Date],MATCH(SelYear&amp;"|"&amp;34,tblAssessments[Seq Key],0))),""))</f>
        <v/>
      </c>
      <c r="AD36" t="str">
        <f>IF(AA36="","",IFERROR(INDEX(tblAssessments[Code],MATCH(SelYear&amp;"|"&amp;34,tblAssessments[Seq Key],0))&amp;"",""))</f>
        <v/>
      </c>
      <c r="AK36" t="str">
        <f>IF(AA36="","",IF(AD36&lt;&gt;"",AD36,LEFT(AA36,14)))</f>
        <v/>
      </c>
      <c r="AL36" t="e">
        <f>IF(AA36="",NA(),IFERROR(AVERAGE(INDEX(dData,0,MATCH(AA36&amp;CHAR(10)&amp;"Stanine",dHdr,0))),NA()))</f>
        <v>#N/A</v>
      </c>
      <c r="AM36" t="e">
        <f>IF(OR(AA36="",SelClass=""),NA(),IFERROR(AVERAGEIFS(INDEX(dData,0,MATCH(AA36&amp;CHAR(10)&amp;"Stanine",dHdr,0)),dClass,SelClass),NA()))</f>
        <v>#N/A</v>
      </c>
      <c r="BL36" t="str">
        <f>IFERROR(MATCH(SMALL($BJ$70:$BJ$669,34),$BJ$70:$BJ$669,0),"")</f>
        <v/>
      </c>
      <c r="BW36" t="str">
        <f>IF(OR($AA36="",$Y$3=""),"",IFERROR((COUNTIFS(dClass,$Y$3,INDEX(dData,0,MATCH($AA36&amp;CHAR(10)&amp;"Raw Score",dHdr,0)),"&gt;=0")+COUNTIFS(dClass,$Y$3,INDEX(dData,0,MATCH($AA36&amp;CHAR(10)&amp;"Raw Score",dHdr,0)),"A"))/COUNTIF(dClass,$Y$3),""))</f>
        <v/>
      </c>
      <c r="BX36" t="str">
        <f>IF(OR($AA36="",$Y$4=""),"",IFERROR((COUNTIFS(dClass,$Y$4,INDEX(dData,0,MATCH($AA36&amp;CHAR(10)&amp;"Raw Score",dHdr,0)),"&gt;=0")+COUNTIFS(dClass,$Y$4,INDEX(dData,0,MATCH($AA36&amp;CHAR(10)&amp;"Raw Score",dHdr,0)),"A"))/COUNTIF(dClass,$Y$4),""))</f>
        <v/>
      </c>
      <c r="BY36" t="str">
        <f>IF(OR($AA36="",$Y$5=""),"",IFERROR((COUNTIFS(dClass,$Y$5,INDEX(dData,0,MATCH($AA36&amp;CHAR(10)&amp;"Raw Score",dHdr,0)),"&gt;=0")+COUNTIFS(dClass,$Y$5,INDEX(dData,0,MATCH($AA36&amp;CHAR(10)&amp;"Raw Score",dHdr,0)),"A"))/COUNTIF(dClass,$Y$5),""))</f>
        <v/>
      </c>
      <c r="BZ36" t="str">
        <f>IF(OR($AA36="",$Y$6=""),"",IFERROR((COUNTIFS(dClass,$Y$6,INDEX(dData,0,MATCH($AA36&amp;CHAR(10)&amp;"Raw Score",dHdr,0)),"&gt;=0")+COUNTIFS(dClass,$Y$6,INDEX(dData,0,MATCH($AA36&amp;CHAR(10)&amp;"Raw Score",dHdr,0)),"A"))/COUNTIF(dClass,$Y$6),""))</f>
        <v/>
      </c>
      <c r="CA36" t="str">
        <f>IF(OR($AA36="",$Y$7=""),"",IFERROR((COUNTIFS(dClass,$Y$7,INDEX(dData,0,MATCH($AA36&amp;CHAR(10)&amp;"Raw Score",dHdr,0)),"&gt;=0")+COUNTIFS(dClass,$Y$7,INDEX(dData,0,MATCH($AA36&amp;CHAR(10)&amp;"Raw Score",dHdr,0)),"A"))/COUNTIF(dClass,$Y$7),""))</f>
        <v/>
      </c>
      <c r="CB36" t="str">
        <f>IF(OR($AA36="",$Y$8=""),"",IFERROR((COUNTIFS(dClass,$Y$8,INDEX(dData,0,MATCH($AA36&amp;CHAR(10)&amp;"Raw Score",dHdr,0)),"&gt;=0")+COUNTIFS(dClass,$Y$8,INDEX(dData,0,MATCH($AA36&amp;CHAR(10)&amp;"Raw Score",dHdr,0)),"A"))/COUNTIF(dClass,$Y$8),""))</f>
        <v/>
      </c>
      <c r="CC36" t="str">
        <f>IF(OR($AA36="",$Y$9=""),"",IFERROR((COUNTIFS(dClass,$Y$9,INDEX(dData,0,MATCH($AA36&amp;CHAR(10)&amp;"Raw Score",dHdr,0)),"&gt;=0")+COUNTIFS(dClass,$Y$9,INDEX(dData,0,MATCH($AA36&amp;CHAR(10)&amp;"Raw Score",dHdr,0)),"A"))/COUNTIF(dClass,$Y$9),""))</f>
        <v/>
      </c>
      <c r="CD36" t="str">
        <f>IF(OR($AA36="",$Y$10=""),"",IFERROR((COUNTIFS(dClass,$Y$10,INDEX(dData,0,MATCH($AA36&amp;CHAR(10)&amp;"Raw Score",dHdr,0)),"&gt;=0")+COUNTIFS(dClass,$Y$10,INDEX(dData,0,MATCH($AA36&amp;CHAR(10)&amp;"Raw Score",dHdr,0)),"A"))/COUNTIF(dClass,$Y$10),""))</f>
        <v/>
      </c>
    </row>
    <row r="37">
      <c r="H37" t="str">
        <f>IFERROR(INDEX(tblY7[Class],ROWS(H$10:H37))&amp;"","")</f>
        <v>7A/Sc1</v>
      </c>
      <c r="I37" t="str">
        <f>IF(H37="","",IF(COUNTIF(H$10:H37,H37)=1,COUNTIF(H$10:H$609,"&lt;"&amp;H37)+1,""))</f>
        <v/>
      </c>
      <c r="J37" t="str">
        <f>IFERROR(INDEX(tblY8[Class],ROWS(J$10:J37))&amp;"","")</f>
        <v>8A/Sc1</v>
      </c>
      <c r="K37" t="str">
        <f>IF(J37="","",IF(COUNTIF(J$10:J37,J37)=1,COUNTIF(J$10:J$609,"&lt;"&amp;J37)+1,""))</f>
        <v/>
      </c>
      <c r="L37" t="str">
        <f>IFERROR(INDEX(tblY9[Class],ROWS(L$10:L37))&amp;"","")</f>
        <v>9A/Sc2</v>
      </c>
      <c r="M37" t="str">
        <f>IF(L37="","",IF(COUNTIF(L$10:L37,L37)=1,COUNTIF(L$10:L$609,"&lt;"&amp;L37)+1,""))</f>
        <v/>
      </c>
      <c r="N37" t="str">
        <f>IFERROR(INDEX(tblY10[Class],ROWS(N$10:N37))&amp;"","")</f>
        <v>10S/Sc1</v>
      </c>
      <c r="O37" t="str">
        <f>IF(N37="","",IF(COUNTIF(N$10:N37,N37)=1,COUNTIF(N$10:N$609,"&lt;"&amp;N37)+1,""))</f>
        <v/>
      </c>
      <c r="P37" t="str">
        <f>IFERROR(INDEX(tblY11[Class],ROWS(P$10:P37))&amp;"","")</f>
        <v>11S/Sc1</v>
      </c>
      <c r="Q37" t="str">
        <f>IF(P37="","",IF(COUNTIF(P$10:P37,P37)=1,COUNTIF(P$10:P$609,"&lt;"&amp;P37)+1,""))</f>
        <v/>
      </c>
      <c r="AA37" t="str">
        <f>IFERROR(INDEX(tblAssessments[Test Name],MATCH(SelYear&amp;"|"&amp;35,tblAssessments[Seq Key],0))&amp;"","")</f>
        <v/>
      </c>
      <c r="AB37" t="str">
        <f>IF(AA37="","",IFERROR(INDEX(tblAssessments[Max Marks],MATCH(SelYear&amp;"|"&amp;35,tblAssessments[Seq Key],0)),""))</f>
        <v/>
      </c>
      <c r="AC37" s="83" t="str">
        <f>IF(AA37="","",IFERROR(IF(INDEX(tblAssessments[Date],MATCH(SelYear&amp;"|"&amp;35,tblAssessments[Seq Key],0))="","",INDEX(tblAssessments[Date],MATCH(SelYear&amp;"|"&amp;35,tblAssessments[Seq Key],0))),""))</f>
        <v/>
      </c>
      <c r="AD37" t="str">
        <f>IF(AA37="","",IFERROR(INDEX(tblAssessments[Code],MATCH(SelYear&amp;"|"&amp;35,tblAssessments[Seq Key],0))&amp;"",""))</f>
        <v/>
      </c>
      <c r="AK37" t="str">
        <f>IF(AA37="","",IF(AD37&lt;&gt;"",AD37,LEFT(AA37,14)))</f>
        <v/>
      </c>
      <c r="AL37" t="e">
        <f>IF(AA37="",NA(),IFERROR(AVERAGE(INDEX(dData,0,MATCH(AA37&amp;CHAR(10)&amp;"Stanine",dHdr,0))),NA()))</f>
        <v>#N/A</v>
      </c>
      <c r="AM37" t="e">
        <f>IF(OR(AA37="",SelClass=""),NA(),IFERROR(AVERAGEIFS(INDEX(dData,0,MATCH(AA37&amp;CHAR(10)&amp;"Stanine",dHdr,0)),dClass,SelClass),NA()))</f>
        <v>#N/A</v>
      </c>
      <c r="BL37" t="str">
        <f>IFERROR(MATCH(SMALL($BJ$70:$BJ$669,35),$BJ$70:$BJ$669,0),"")</f>
        <v/>
      </c>
      <c r="BW37" t="str">
        <f>IF(OR($AA37="",$Y$3=""),"",IFERROR((COUNTIFS(dClass,$Y$3,INDEX(dData,0,MATCH($AA37&amp;CHAR(10)&amp;"Raw Score",dHdr,0)),"&gt;=0")+COUNTIFS(dClass,$Y$3,INDEX(dData,0,MATCH($AA37&amp;CHAR(10)&amp;"Raw Score",dHdr,0)),"A"))/COUNTIF(dClass,$Y$3),""))</f>
        <v/>
      </c>
      <c r="BX37" t="str">
        <f>IF(OR($AA37="",$Y$4=""),"",IFERROR((COUNTIFS(dClass,$Y$4,INDEX(dData,0,MATCH($AA37&amp;CHAR(10)&amp;"Raw Score",dHdr,0)),"&gt;=0")+COUNTIFS(dClass,$Y$4,INDEX(dData,0,MATCH($AA37&amp;CHAR(10)&amp;"Raw Score",dHdr,0)),"A"))/COUNTIF(dClass,$Y$4),""))</f>
        <v/>
      </c>
      <c r="BY37" t="str">
        <f>IF(OR($AA37="",$Y$5=""),"",IFERROR((COUNTIFS(dClass,$Y$5,INDEX(dData,0,MATCH($AA37&amp;CHAR(10)&amp;"Raw Score",dHdr,0)),"&gt;=0")+COUNTIFS(dClass,$Y$5,INDEX(dData,0,MATCH($AA37&amp;CHAR(10)&amp;"Raw Score",dHdr,0)),"A"))/COUNTIF(dClass,$Y$5),""))</f>
        <v/>
      </c>
      <c r="BZ37" t="str">
        <f>IF(OR($AA37="",$Y$6=""),"",IFERROR((COUNTIFS(dClass,$Y$6,INDEX(dData,0,MATCH($AA37&amp;CHAR(10)&amp;"Raw Score",dHdr,0)),"&gt;=0")+COUNTIFS(dClass,$Y$6,INDEX(dData,0,MATCH($AA37&amp;CHAR(10)&amp;"Raw Score",dHdr,0)),"A"))/COUNTIF(dClass,$Y$6),""))</f>
        <v/>
      </c>
      <c r="CA37" t="str">
        <f>IF(OR($AA37="",$Y$7=""),"",IFERROR((COUNTIFS(dClass,$Y$7,INDEX(dData,0,MATCH($AA37&amp;CHAR(10)&amp;"Raw Score",dHdr,0)),"&gt;=0")+COUNTIFS(dClass,$Y$7,INDEX(dData,0,MATCH($AA37&amp;CHAR(10)&amp;"Raw Score",dHdr,0)),"A"))/COUNTIF(dClass,$Y$7),""))</f>
        <v/>
      </c>
      <c r="CB37" t="str">
        <f>IF(OR($AA37="",$Y$8=""),"",IFERROR((COUNTIFS(dClass,$Y$8,INDEX(dData,0,MATCH($AA37&amp;CHAR(10)&amp;"Raw Score",dHdr,0)),"&gt;=0")+COUNTIFS(dClass,$Y$8,INDEX(dData,0,MATCH($AA37&amp;CHAR(10)&amp;"Raw Score",dHdr,0)),"A"))/COUNTIF(dClass,$Y$8),""))</f>
        <v/>
      </c>
      <c r="CC37" t="str">
        <f>IF(OR($AA37="",$Y$9=""),"",IFERROR((COUNTIFS(dClass,$Y$9,INDEX(dData,0,MATCH($AA37&amp;CHAR(10)&amp;"Raw Score",dHdr,0)),"&gt;=0")+COUNTIFS(dClass,$Y$9,INDEX(dData,0,MATCH($AA37&amp;CHAR(10)&amp;"Raw Score",dHdr,0)),"A"))/COUNTIF(dClass,$Y$9),""))</f>
        <v/>
      </c>
      <c r="CD37" t="str">
        <f>IF(OR($AA37="",$Y$10=""),"",IFERROR((COUNTIFS(dClass,$Y$10,INDEX(dData,0,MATCH($AA37&amp;CHAR(10)&amp;"Raw Score",dHdr,0)),"&gt;=0")+COUNTIFS(dClass,$Y$10,INDEX(dData,0,MATCH($AA37&amp;CHAR(10)&amp;"Raw Score",dHdr,0)),"A"))/COUNTIF(dClass,$Y$10),""))</f>
        <v/>
      </c>
    </row>
    <row r="38">
      <c r="H38" t="str">
        <f>IFERROR(INDEX(tblY7[Class],ROWS(H$10:H38))&amp;"","")</f>
        <v>7A/Sc1</v>
      </c>
      <c r="I38" t="str">
        <f>IF(H38="","",IF(COUNTIF(H$10:H38,H38)=1,COUNTIF(H$10:H$609,"&lt;"&amp;H38)+1,""))</f>
        <v/>
      </c>
      <c r="J38" t="str">
        <f>IFERROR(INDEX(tblY8[Class],ROWS(J$10:J38))&amp;"","")</f>
        <v>8A/Sc2</v>
      </c>
      <c r="K38">
        <f>IF(J38="","",IF(COUNTIF(J$10:J38,J38)=1,COUNTIF(J$10:J$609,"&lt;"&amp;J38)+1,""))</f>
        <v>536</v>
      </c>
      <c r="L38" t="str">
        <f>IFERROR(INDEX(tblY9[Class],ROWS(L$10:L38))&amp;"","")</f>
        <v>9A/Sc2</v>
      </c>
      <c r="M38" t="str">
        <f>IF(L38="","",IF(COUNTIF(L$10:L38,L38)=1,COUNTIF(L$10:L$609,"&lt;"&amp;L38)+1,""))</f>
        <v/>
      </c>
      <c r="N38" t="str">
        <f>IFERROR(INDEX(tblY10[Class],ROWS(N$10:N38))&amp;"","")</f>
        <v>10S/Sc1</v>
      </c>
      <c r="O38" t="str">
        <f>IF(N38="","",IF(COUNTIF(N$10:N38,N38)=1,COUNTIF(N$10:N$609,"&lt;"&amp;N38)+1,""))</f>
        <v/>
      </c>
      <c r="P38" t="str">
        <f>IFERROR(INDEX(tblY11[Class],ROWS(P$10:P38))&amp;"","")</f>
        <v>11S/Sc2</v>
      </c>
      <c r="Q38">
        <f>IF(P38="","",IF(COUNTIF(P$10:P38,P38)=1,COUNTIF(P$10:P$609,"&lt;"&amp;P38)+1,""))</f>
        <v>523</v>
      </c>
      <c r="AA38" t="str">
        <f>IFERROR(INDEX(tblAssessments[Test Name],MATCH(SelYear&amp;"|"&amp;36,tblAssessments[Seq Key],0))&amp;"","")</f>
        <v/>
      </c>
      <c r="AB38" t="str">
        <f>IF(AA38="","",IFERROR(INDEX(tblAssessments[Max Marks],MATCH(SelYear&amp;"|"&amp;36,tblAssessments[Seq Key],0)),""))</f>
        <v/>
      </c>
      <c r="AC38" s="83" t="str">
        <f>IF(AA38="","",IFERROR(IF(INDEX(tblAssessments[Date],MATCH(SelYear&amp;"|"&amp;36,tblAssessments[Seq Key],0))="","",INDEX(tblAssessments[Date],MATCH(SelYear&amp;"|"&amp;36,tblAssessments[Seq Key],0))),""))</f>
        <v/>
      </c>
      <c r="AD38" t="str">
        <f>IF(AA38="","",IFERROR(INDEX(tblAssessments[Code],MATCH(SelYear&amp;"|"&amp;36,tblAssessments[Seq Key],0))&amp;"",""))</f>
        <v/>
      </c>
      <c r="AK38" t="str">
        <f>IF(AA38="","",IF(AD38&lt;&gt;"",AD38,LEFT(AA38,14)))</f>
        <v/>
      </c>
      <c r="AL38" t="e">
        <f>IF(AA38="",NA(),IFERROR(AVERAGE(INDEX(dData,0,MATCH(AA38&amp;CHAR(10)&amp;"Stanine",dHdr,0))),NA()))</f>
        <v>#N/A</v>
      </c>
      <c r="AM38" t="e">
        <f>IF(OR(AA38="",SelClass=""),NA(),IFERROR(AVERAGEIFS(INDEX(dData,0,MATCH(AA38&amp;CHAR(10)&amp;"Stanine",dHdr,0)),dClass,SelClass),NA()))</f>
        <v>#N/A</v>
      </c>
      <c r="BL38" t="str">
        <f>IFERROR(MATCH(SMALL($BJ$70:$BJ$669,36),$BJ$70:$BJ$669,0),"")</f>
        <v/>
      </c>
      <c r="BW38" t="str">
        <f>IF(OR($AA38="",$Y$3=""),"",IFERROR((COUNTIFS(dClass,$Y$3,INDEX(dData,0,MATCH($AA38&amp;CHAR(10)&amp;"Raw Score",dHdr,0)),"&gt;=0")+COUNTIFS(dClass,$Y$3,INDEX(dData,0,MATCH($AA38&amp;CHAR(10)&amp;"Raw Score",dHdr,0)),"A"))/COUNTIF(dClass,$Y$3),""))</f>
        <v/>
      </c>
      <c r="BX38" t="str">
        <f>IF(OR($AA38="",$Y$4=""),"",IFERROR((COUNTIFS(dClass,$Y$4,INDEX(dData,0,MATCH($AA38&amp;CHAR(10)&amp;"Raw Score",dHdr,0)),"&gt;=0")+COUNTIFS(dClass,$Y$4,INDEX(dData,0,MATCH($AA38&amp;CHAR(10)&amp;"Raw Score",dHdr,0)),"A"))/COUNTIF(dClass,$Y$4),""))</f>
        <v/>
      </c>
      <c r="BY38" t="str">
        <f>IF(OR($AA38="",$Y$5=""),"",IFERROR((COUNTIFS(dClass,$Y$5,INDEX(dData,0,MATCH($AA38&amp;CHAR(10)&amp;"Raw Score",dHdr,0)),"&gt;=0")+COUNTIFS(dClass,$Y$5,INDEX(dData,0,MATCH($AA38&amp;CHAR(10)&amp;"Raw Score",dHdr,0)),"A"))/COUNTIF(dClass,$Y$5),""))</f>
        <v/>
      </c>
      <c r="BZ38" t="str">
        <f>IF(OR($AA38="",$Y$6=""),"",IFERROR((COUNTIFS(dClass,$Y$6,INDEX(dData,0,MATCH($AA38&amp;CHAR(10)&amp;"Raw Score",dHdr,0)),"&gt;=0")+COUNTIFS(dClass,$Y$6,INDEX(dData,0,MATCH($AA38&amp;CHAR(10)&amp;"Raw Score",dHdr,0)),"A"))/COUNTIF(dClass,$Y$6),""))</f>
        <v/>
      </c>
      <c r="CA38" t="str">
        <f>IF(OR($AA38="",$Y$7=""),"",IFERROR((COUNTIFS(dClass,$Y$7,INDEX(dData,0,MATCH($AA38&amp;CHAR(10)&amp;"Raw Score",dHdr,0)),"&gt;=0")+COUNTIFS(dClass,$Y$7,INDEX(dData,0,MATCH($AA38&amp;CHAR(10)&amp;"Raw Score",dHdr,0)),"A"))/COUNTIF(dClass,$Y$7),""))</f>
        <v/>
      </c>
      <c r="CB38" t="str">
        <f>IF(OR($AA38="",$Y$8=""),"",IFERROR((COUNTIFS(dClass,$Y$8,INDEX(dData,0,MATCH($AA38&amp;CHAR(10)&amp;"Raw Score",dHdr,0)),"&gt;=0")+COUNTIFS(dClass,$Y$8,INDEX(dData,0,MATCH($AA38&amp;CHAR(10)&amp;"Raw Score",dHdr,0)),"A"))/COUNTIF(dClass,$Y$8),""))</f>
        <v/>
      </c>
      <c r="CC38" t="str">
        <f>IF(OR($AA38="",$Y$9=""),"",IFERROR((COUNTIFS(dClass,$Y$9,INDEX(dData,0,MATCH($AA38&amp;CHAR(10)&amp;"Raw Score",dHdr,0)),"&gt;=0")+COUNTIFS(dClass,$Y$9,INDEX(dData,0,MATCH($AA38&amp;CHAR(10)&amp;"Raw Score",dHdr,0)),"A"))/COUNTIF(dClass,$Y$9),""))</f>
        <v/>
      </c>
      <c r="CD38" t="str">
        <f>IF(OR($AA38="",$Y$10=""),"",IFERROR((COUNTIFS(dClass,$Y$10,INDEX(dData,0,MATCH($AA38&amp;CHAR(10)&amp;"Raw Score",dHdr,0)),"&gt;=0")+COUNTIFS(dClass,$Y$10,INDEX(dData,0,MATCH($AA38&amp;CHAR(10)&amp;"Raw Score",dHdr,0)),"A"))/COUNTIF(dClass,$Y$10),""))</f>
        <v/>
      </c>
    </row>
    <row r="39">
      <c r="H39" t="str">
        <f>IFERROR(INDEX(tblY7[Class],ROWS(H$10:H39))&amp;"","")</f>
        <v>7A/Sc1</v>
      </c>
      <c r="I39" t="str">
        <f>IF(H39="","",IF(COUNTIF(H$10:H39,H39)=1,COUNTIF(H$10:H$609,"&lt;"&amp;H39)+1,""))</f>
        <v/>
      </c>
      <c r="J39" t="str">
        <f>IFERROR(INDEX(tblY8[Class],ROWS(J$10:J39))&amp;"","")</f>
        <v>8A/Sc2</v>
      </c>
      <c r="K39" t="str">
        <f>IF(J39="","",IF(COUNTIF(J$10:J39,J39)=1,COUNTIF(J$10:J$609,"&lt;"&amp;J39)+1,""))</f>
        <v/>
      </c>
      <c r="L39" t="str">
        <f>IFERROR(INDEX(tblY9[Class],ROWS(L$10:L39))&amp;"","")</f>
        <v>9A/Sc2</v>
      </c>
      <c r="M39" t="str">
        <f>IF(L39="","",IF(COUNTIF(L$10:L39,L39)=1,COUNTIF(L$10:L$609,"&lt;"&amp;L39)+1,""))</f>
        <v/>
      </c>
      <c r="N39" t="str">
        <f>IFERROR(INDEX(tblY10[Class],ROWS(N$10:N39))&amp;"","")</f>
        <v>10S/Sc2</v>
      </c>
      <c r="O39">
        <f>IF(N39="","",IF(COUNTIF(N$10:N39,N39)=1,COUNTIF(N$10:N$609,"&lt;"&amp;N39)+1,""))</f>
        <v>513</v>
      </c>
      <c r="P39" t="str">
        <f>IFERROR(INDEX(tblY11[Class],ROWS(P$10:P39))&amp;"","")</f>
        <v>11S/Sc2</v>
      </c>
      <c r="Q39" t="str">
        <f>IF(P39="","",IF(COUNTIF(P$10:P39,P39)=1,COUNTIF(P$10:P$609,"&lt;"&amp;P39)+1,""))</f>
        <v/>
      </c>
      <c r="AA39" t="str">
        <f>IFERROR(INDEX(tblAssessments[Test Name],MATCH(SelYear&amp;"|"&amp;37,tblAssessments[Seq Key],0))&amp;"","")</f>
        <v/>
      </c>
      <c r="AB39" t="str">
        <f>IF(AA39="","",IFERROR(INDEX(tblAssessments[Max Marks],MATCH(SelYear&amp;"|"&amp;37,tblAssessments[Seq Key],0)),""))</f>
        <v/>
      </c>
      <c r="AC39" s="83" t="str">
        <f>IF(AA39="","",IFERROR(IF(INDEX(tblAssessments[Date],MATCH(SelYear&amp;"|"&amp;37,tblAssessments[Seq Key],0))="","",INDEX(tblAssessments[Date],MATCH(SelYear&amp;"|"&amp;37,tblAssessments[Seq Key],0))),""))</f>
        <v/>
      </c>
      <c r="AD39" t="str">
        <f>IF(AA39="","",IFERROR(INDEX(tblAssessments[Code],MATCH(SelYear&amp;"|"&amp;37,tblAssessments[Seq Key],0))&amp;"",""))</f>
        <v/>
      </c>
      <c r="AK39" t="str">
        <f>IF(AA39="","",IF(AD39&lt;&gt;"",AD39,LEFT(AA39,14)))</f>
        <v/>
      </c>
      <c r="AL39" t="e">
        <f>IF(AA39="",NA(),IFERROR(AVERAGE(INDEX(dData,0,MATCH(AA39&amp;CHAR(10)&amp;"Stanine",dHdr,0))),NA()))</f>
        <v>#N/A</v>
      </c>
      <c r="AM39" t="e">
        <f>IF(OR(AA39="",SelClass=""),NA(),IFERROR(AVERAGEIFS(INDEX(dData,0,MATCH(AA39&amp;CHAR(10)&amp;"Stanine",dHdr,0)),dClass,SelClass),NA()))</f>
        <v>#N/A</v>
      </c>
      <c r="BL39" t="str">
        <f>IFERROR(MATCH(SMALL($BJ$70:$BJ$669,37),$BJ$70:$BJ$669,0),"")</f>
        <v/>
      </c>
      <c r="BW39" t="str">
        <f>IF(OR($AA39="",$Y$3=""),"",IFERROR((COUNTIFS(dClass,$Y$3,INDEX(dData,0,MATCH($AA39&amp;CHAR(10)&amp;"Raw Score",dHdr,0)),"&gt;=0")+COUNTIFS(dClass,$Y$3,INDEX(dData,0,MATCH($AA39&amp;CHAR(10)&amp;"Raw Score",dHdr,0)),"A"))/COUNTIF(dClass,$Y$3),""))</f>
        <v/>
      </c>
      <c r="BX39" t="str">
        <f>IF(OR($AA39="",$Y$4=""),"",IFERROR((COUNTIFS(dClass,$Y$4,INDEX(dData,0,MATCH($AA39&amp;CHAR(10)&amp;"Raw Score",dHdr,0)),"&gt;=0")+COUNTIFS(dClass,$Y$4,INDEX(dData,0,MATCH($AA39&amp;CHAR(10)&amp;"Raw Score",dHdr,0)),"A"))/COUNTIF(dClass,$Y$4),""))</f>
        <v/>
      </c>
      <c r="BY39" t="str">
        <f>IF(OR($AA39="",$Y$5=""),"",IFERROR((COUNTIFS(dClass,$Y$5,INDEX(dData,0,MATCH($AA39&amp;CHAR(10)&amp;"Raw Score",dHdr,0)),"&gt;=0")+COUNTIFS(dClass,$Y$5,INDEX(dData,0,MATCH($AA39&amp;CHAR(10)&amp;"Raw Score",dHdr,0)),"A"))/COUNTIF(dClass,$Y$5),""))</f>
        <v/>
      </c>
      <c r="BZ39" t="str">
        <f>IF(OR($AA39="",$Y$6=""),"",IFERROR((COUNTIFS(dClass,$Y$6,INDEX(dData,0,MATCH($AA39&amp;CHAR(10)&amp;"Raw Score",dHdr,0)),"&gt;=0")+COUNTIFS(dClass,$Y$6,INDEX(dData,0,MATCH($AA39&amp;CHAR(10)&amp;"Raw Score",dHdr,0)),"A"))/COUNTIF(dClass,$Y$6),""))</f>
        <v/>
      </c>
      <c r="CA39" t="str">
        <f>IF(OR($AA39="",$Y$7=""),"",IFERROR((COUNTIFS(dClass,$Y$7,INDEX(dData,0,MATCH($AA39&amp;CHAR(10)&amp;"Raw Score",dHdr,0)),"&gt;=0")+COUNTIFS(dClass,$Y$7,INDEX(dData,0,MATCH($AA39&amp;CHAR(10)&amp;"Raw Score",dHdr,0)),"A"))/COUNTIF(dClass,$Y$7),""))</f>
        <v/>
      </c>
      <c r="CB39" t="str">
        <f>IF(OR($AA39="",$Y$8=""),"",IFERROR((COUNTIFS(dClass,$Y$8,INDEX(dData,0,MATCH($AA39&amp;CHAR(10)&amp;"Raw Score",dHdr,0)),"&gt;=0")+COUNTIFS(dClass,$Y$8,INDEX(dData,0,MATCH($AA39&amp;CHAR(10)&amp;"Raw Score",dHdr,0)),"A"))/COUNTIF(dClass,$Y$8),""))</f>
        <v/>
      </c>
      <c r="CC39" t="str">
        <f>IF(OR($AA39="",$Y$9=""),"",IFERROR((COUNTIFS(dClass,$Y$9,INDEX(dData,0,MATCH($AA39&amp;CHAR(10)&amp;"Raw Score",dHdr,0)),"&gt;=0")+COUNTIFS(dClass,$Y$9,INDEX(dData,0,MATCH($AA39&amp;CHAR(10)&amp;"Raw Score",dHdr,0)),"A"))/COUNTIF(dClass,$Y$9),""))</f>
        <v/>
      </c>
      <c r="CD39" t="str">
        <f>IF(OR($AA39="",$Y$10=""),"",IFERROR((COUNTIFS(dClass,$Y$10,INDEX(dData,0,MATCH($AA39&amp;CHAR(10)&amp;"Raw Score",dHdr,0)),"&gt;=0")+COUNTIFS(dClass,$Y$10,INDEX(dData,0,MATCH($AA39&amp;CHAR(10)&amp;"Raw Score",dHdr,0)),"A"))/COUNTIF(dClass,$Y$10),""))</f>
        <v/>
      </c>
    </row>
    <row r="40">
      <c r="H40" t="str">
        <f>IFERROR(INDEX(tblY7[Class],ROWS(H$10:H40))&amp;"","")</f>
        <v>7A/Sc2</v>
      </c>
      <c r="I40">
        <f>IF(H40="","",IF(COUNTIF(H$10:H40,H40)=1,COUNTIF(H$10:H$609,"&lt;"&amp;H40)+1,""))</f>
        <v>500</v>
      </c>
      <c r="J40" t="str">
        <f>IFERROR(INDEX(tblY8[Class],ROWS(J$10:J40))&amp;"","")</f>
        <v>8A/Sc2</v>
      </c>
      <c r="K40" t="str">
        <f>IF(J40="","",IF(COUNTIF(J$10:J40,J40)=1,COUNTIF(J$10:J$609,"&lt;"&amp;J40)+1,""))</f>
        <v/>
      </c>
      <c r="L40" t="str">
        <f>IFERROR(INDEX(tblY9[Class],ROWS(L$10:L40))&amp;"","")</f>
        <v>9A/Sc2</v>
      </c>
      <c r="M40" t="str">
        <f>IF(L40="","",IF(COUNTIF(L$10:L40,L40)=1,COUNTIF(L$10:L$609,"&lt;"&amp;L40)+1,""))</f>
        <v/>
      </c>
      <c r="N40" t="str">
        <f>IFERROR(INDEX(tblY10[Class],ROWS(N$10:N40))&amp;"","")</f>
        <v>10S/Sc2</v>
      </c>
      <c r="O40" t="str">
        <f>IF(N40="","",IF(COUNTIF(N$10:N40,N40)=1,COUNTIF(N$10:N$609,"&lt;"&amp;N40)+1,""))</f>
        <v/>
      </c>
      <c r="P40" t="str">
        <f>IFERROR(INDEX(tblY11[Class],ROWS(P$10:P40))&amp;"","")</f>
        <v>11S/Sc2</v>
      </c>
      <c r="Q40" t="str">
        <f>IF(P40="","",IF(COUNTIF(P$10:P40,P40)=1,COUNTIF(P$10:P$609,"&lt;"&amp;P40)+1,""))</f>
        <v/>
      </c>
      <c r="AA40" t="str">
        <f>IFERROR(INDEX(tblAssessments[Test Name],MATCH(SelYear&amp;"|"&amp;38,tblAssessments[Seq Key],0))&amp;"","")</f>
        <v/>
      </c>
      <c r="AB40" t="str">
        <f>IF(AA40="","",IFERROR(INDEX(tblAssessments[Max Marks],MATCH(SelYear&amp;"|"&amp;38,tblAssessments[Seq Key],0)),""))</f>
        <v/>
      </c>
      <c r="AC40" s="83" t="str">
        <f>IF(AA40="","",IFERROR(IF(INDEX(tblAssessments[Date],MATCH(SelYear&amp;"|"&amp;38,tblAssessments[Seq Key],0))="","",INDEX(tblAssessments[Date],MATCH(SelYear&amp;"|"&amp;38,tblAssessments[Seq Key],0))),""))</f>
        <v/>
      </c>
      <c r="AD40" t="str">
        <f>IF(AA40="","",IFERROR(INDEX(tblAssessments[Code],MATCH(SelYear&amp;"|"&amp;38,tblAssessments[Seq Key],0))&amp;"",""))</f>
        <v/>
      </c>
      <c r="AK40" t="str">
        <f>IF(AA40="","",IF(AD40&lt;&gt;"",AD40,LEFT(AA40,14)))</f>
        <v/>
      </c>
      <c r="AL40" t="e">
        <f>IF(AA40="",NA(),IFERROR(AVERAGE(INDEX(dData,0,MATCH(AA40&amp;CHAR(10)&amp;"Stanine",dHdr,0))),NA()))</f>
        <v>#N/A</v>
      </c>
      <c r="AM40" t="e">
        <f>IF(OR(AA40="",SelClass=""),NA(),IFERROR(AVERAGEIFS(INDEX(dData,0,MATCH(AA40&amp;CHAR(10)&amp;"Stanine",dHdr,0)),dClass,SelClass),NA()))</f>
        <v>#N/A</v>
      </c>
      <c r="BL40" t="str">
        <f>IFERROR(MATCH(SMALL($BJ$70:$BJ$669,38),$BJ$70:$BJ$669,0),"")</f>
        <v/>
      </c>
      <c r="BW40" t="str">
        <f>IF(OR($AA40="",$Y$3=""),"",IFERROR((COUNTIFS(dClass,$Y$3,INDEX(dData,0,MATCH($AA40&amp;CHAR(10)&amp;"Raw Score",dHdr,0)),"&gt;=0")+COUNTIFS(dClass,$Y$3,INDEX(dData,0,MATCH($AA40&amp;CHAR(10)&amp;"Raw Score",dHdr,0)),"A"))/COUNTIF(dClass,$Y$3),""))</f>
        <v/>
      </c>
      <c r="BX40" t="str">
        <f>IF(OR($AA40="",$Y$4=""),"",IFERROR((COUNTIFS(dClass,$Y$4,INDEX(dData,0,MATCH($AA40&amp;CHAR(10)&amp;"Raw Score",dHdr,0)),"&gt;=0")+COUNTIFS(dClass,$Y$4,INDEX(dData,0,MATCH($AA40&amp;CHAR(10)&amp;"Raw Score",dHdr,0)),"A"))/COUNTIF(dClass,$Y$4),""))</f>
        <v/>
      </c>
      <c r="BY40" t="str">
        <f>IF(OR($AA40="",$Y$5=""),"",IFERROR((COUNTIFS(dClass,$Y$5,INDEX(dData,0,MATCH($AA40&amp;CHAR(10)&amp;"Raw Score",dHdr,0)),"&gt;=0")+COUNTIFS(dClass,$Y$5,INDEX(dData,0,MATCH($AA40&amp;CHAR(10)&amp;"Raw Score",dHdr,0)),"A"))/COUNTIF(dClass,$Y$5),""))</f>
        <v/>
      </c>
      <c r="BZ40" t="str">
        <f>IF(OR($AA40="",$Y$6=""),"",IFERROR((COUNTIFS(dClass,$Y$6,INDEX(dData,0,MATCH($AA40&amp;CHAR(10)&amp;"Raw Score",dHdr,0)),"&gt;=0")+COUNTIFS(dClass,$Y$6,INDEX(dData,0,MATCH($AA40&amp;CHAR(10)&amp;"Raw Score",dHdr,0)),"A"))/COUNTIF(dClass,$Y$6),""))</f>
        <v/>
      </c>
      <c r="CA40" t="str">
        <f>IF(OR($AA40="",$Y$7=""),"",IFERROR((COUNTIFS(dClass,$Y$7,INDEX(dData,0,MATCH($AA40&amp;CHAR(10)&amp;"Raw Score",dHdr,0)),"&gt;=0")+COUNTIFS(dClass,$Y$7,INDEX(dData,0,MATCH($AA40&amp;CHAR(10)&amp;"Raw Score",dHdr,0)),"A"))/COUNTIF(dClass,$Y$7),""))</f>
        <v/>
      </c>
      <c r="CB40" t="str">
        <f>IF(OR($AA40="",$Y$8=""),"",IFERROR((COUNTIFS(dClass,$Y$8,INDEX(dData,0,MATCH($AA40&amp;CHAR(10)&amp;"Raw Score",dHdr,0)),"&gt;=0")+COUNTIFS(dClass,$Y$8,INDEX(dData,0,MATCH($AA40&amp;CHAR(10)&amp;"Raw Score",dHdr,0)),"A"))/COUNTIF(dClass,$Y$8),""))</f>
        <v/>
      </c>
      <c r="CC40" t="str">
        <f>IF(OR($AA40="",$Y$9=""),"",IFERROR((COUNTIFS(dClass,$Y$9,INDEX(dData,0,MATCH($AA40&amp;CHAR(10)&amp;"Raw Score",dHdr,0)),"&gt;=0")+COUNTIFS(dClass,$Y$9,INDEX(dData,0,MATCH($AA40&amp;CHAR(10)&amp;"Raw Score",dHdr,0)),"A"))/COUNTIF(dClass,$Y$9),""))</f>
        <v/>
      </c>
      <c r="CD40" t="str">
        <f>IF(OR($AA40="",$Y$10=""),"",IFERROR((COUNTIFS(dClass,$Y$10,INDEX(dData,0,MATCH($AA40&amp;CHAR(10)&amp;"Raw Score",dHdr,0)),"&gt;=0")+COUNTIFS(dClass,$Y$10,INDEX(dData,0,MATCH($AA40&amp;CHAR(10)&amp;"Raw Score",dHdr,0)),"A"))/COUNTIF(dClass,$Y$10),""))</f>
        <v/>
      </c>
    </row>
    <row r="41">
      <c r="H41" t="str">
        <f>IFERROR(INDEX(tblY7[Class],ROWS(H$10:H41))&amp;"","")</f>
        <v>7A/Sc2</v>
      </c>
      <c r="I41" t="str">
        <f>IF(H41="","",IF(COUNTIF(H$10:H41,H41)=1,COUNTIF(H$10:H$609,"&lt;"&amp;H41)+1,""))</f>
        <v/>
      </c>
      <c r="J41" t="str">
        <f>IFERROR(INDEX(tblY8[Class],ROWS(J$10:J41))&amp;"","")</f>
        <v>8A/Sc2</v>
      </c>
      <c r="K41" t="str">
        <f>IF(J41="","",IF(COUNTIF(J$10:J41,J41)=1,COUNTIF(J$10:J$609,"&lt;"&amp;J41)+1,""))</f>
        <v/>
      </c>
      <c r="L41" t="str">
        <f>IFERROR(INDEX(tblY9[Class],ROWS(L$10:L41))&amp;"","")</f>
        <v>9A/Sc2</v>
      </c>
      <c r="M41" t="str">
        <f>IF(L41="","",IF(COUNTIF(L$10:L41,L41)=1,COUNTIF(L$10:L$609,"&lt;"&amp;L41)+1,""))</f>
        <v/>
      </c>
      <c r="N41" t="str">
        <f>IFERROR(INDEX(tblY10[Class],ROWS(N$10:N41))&amp;"","")</f>
        <v>10S/Sc2</v>
      </c>
      <c r="O41" t="str">
        <f>IF(N41="","",IF(COUNTIF(N$10:N41,N41)=1,COUNTIF(N$10:N$609,"&lt;"&amp;N41)+1,""))</f>
        <v/>
      </c>
      <c r="P41" t="str">
        <f>IFERROR(INDEX(tblY11[Class],ROWS(P$10:P41))&amp;"","")</f>
        <v>11S/Sc2</v>
      </c>
      <c r="Q41" t="str">
        <f>IF(P41="","",IF(COUNTIF(P$10:P41,P41)=1,COUNTIF(P$10:P$609,"&lt;"&amp;P41)+1,""))</f>
        <v/>
      </c>
      <c r="AA41" t="str">
        <f>IFERROR(INDEX(tblAssessments[Test Name],MATCH(SelYear&amp;"|"&amp;39,tblAssessments[Seq Key],0))&amp;"","")</f>
        <v/>
      </c>
      <c r="AB41" t="str">
        <f>IF(AA41="","",IFERROR(INDEX(tblAssessments[Max Marks],MATCH(SelYear&amp;"|"&amp;39,tblAssessments[Seq Key],0)),""))</f>
        <v/>
      </c>
      <c r="AC41" s="83" t="str">
        <f>IF(AA41="","",IFERROR(IF(INDEX(tblAssessments[Date],MATCH(SelYear&amp;"|"&amp;39,tblAssessments[Seq Key],0))="","",INDEX(tblAssessments[Date],MATCH(SelYear&amp;"|"&amp;39,tblAssessments[Seq Key],0))),""))</f>
        <v/>
      </c>
      <c r="AD41" t="str">
        <f>IF(AA41="","",IFERROR(INDEX(tblAssessments[Code],MATCH(SelYear&amp;"|"&amp;39,tblAssessments[Seq Key],0))&amp;"",""))</f>
        <v/>
      </c>
      <c r="AK41" t="str">
        <f>IF(AA41="","",IF(AD41&lt;&gt;"",AD41,LEFT(AA41,14)))</f>
        <v/>
      </c>
      <c r="AL41" t="e">
        <f>IF(AA41="",NA(),IFERROR(AVERAGE(INDEX(dData,0,MATCH(AA41&amp;CHAR(10)&amp;"Stanine",dHdr,0))),NA()))</f>
        <v>#N/A</v>
      </c>
      <c r="AM41" t="e">
        <f>IF(OR(AA41="",SelClass=""),NA(),IFERROR(AVERAGEIFS(INDEX(dData,0,MATCH(AA41&amp;CHAR(10)&amp;"Stanine",dHdr,0)),dClass,SelClass),NA()))</f>
        <v>#N/A</v>
      </c>
      <c r="BL41" t="str">
        <f>IFERROR(MATCH(SMALL($BJ$70:$BJ$669,39),$BJ$70:$BJ$669,0),"")</f>
        <v/>
      </c>
      <c r="BW41" t="str">
        <f>IF(OR($AA41="",$Y$3=""),"",IFERROR((COUNTIFS(dClass,$Y$3,INDEX(dData,0,MATCH($AA41&amp;CHAR(10)&amp;"Raw Score",dHdr,0)),"&gt;=0")+COUNTIFS(dClass,$Y$3,INDEX(dData,0,MATCH($AA41&amp;CHAR(10)&amp;"Raw Score",dHdr,0)),"A"))/COUNTIF(dClass,$Y$3),""))</f>
        <v/>
      </c>
      <c r="BX41" t="str">
        <f>IF(OR($AA41="",$Y$4=""),"",IFERROR((COUNTIFS(dClass,$Y$4,INDEX(dData,0,MATCH($AA41&amp;CHAR(10)&amp;"Raw Score",dHdr,0)),"&gt;=0")+COUNTIFS(dClass,$Y$4,INDEX(dData,0,MATCH($AA41&amp;CHAR(10)&amp;"Raw Score",dHdr,0)),"A"))/COUNTIF(dClass,$Y$4),""))</f>
        <v/>
      </c>
      <c r="BY41" t="str">
        <f>IF(OR($AA41="",$Y$5=""),"",IFERROR((COUNTIFS(dClass,$Y$5,INDEX(dData,0,MATCH($AA41&amp;CHAR(10)&amp;"Raw Score",dHdr,0)),"&gt;=0")+COUNTIFS(dClass,$Y$5,INDEX(dData,0,MATCH($AA41&amp;CHAR(10)&amp;"Raw Score",dHdr,0)),"A"))/COUNTIF(dClass,$Y$5),""))</f>
        <v/>
      </c>
      <c r="BZ41" t="str">
        <f>IF(OR($AA41="",$Y$6=""),"",IFERROR((COUNTIFS(dClass,$Y$6,INDEX(dData,0,MATCH($AA41&amp;CHAR(10)&amp;"Raw Score",dHdr,0)),"&gt;=0")+COUNTIFS(dClass,$Y$6,INDEX(dData,0,MATCH($AA41&amp;CHAR(10)&amp;"Raw Score",dHdr,0)),"A"))/COUNTIF(dClass,$Y$6),""))</f>
        <v/>
      </c>
      <c r="CA41" t="str">
        <f>IF(OR($AA41="",$Y$7=""),"",IFERROR((COUNTIFS(dClass,$Y$7,INDEX(dData,0,MATCH($AA41&amp;CHAR(10)&amp;"Raw Score",dHdr,0)),"&gt;=0")+COUNTIFS(dClass,$Y$7,INDEX(dData,0,MATCH($AA41&amp;CHAR(10)&amp;"Raw Score",dHdr,0)),"A"))/COUNTIF(dClass,$Y$7),""))</f>
        <v/>
      </c>
      <c r="CB41" t="str">
        <f>IF(OR($AA41="",$Y$8=""),"",IFERROR((COUNTIFS(dClass,$Y$8,INDEX(dData,0,MATCH($AA41&amp;CHAR(10)&amp;"Raw Score",dHdr,0)),"&gt;=0")+COUNTIFS(dClass,$Y$8,INDEX(dData,0,MATCH($AA41&amp;CHAR(10)&amp;"Raw Score",dHdr,0)),"A"))/COUNTIF(dClass,$Y$8),""))</f>
        <v/>
      </c>
      <c r="CC41" t="str">
        <f>IF(OR($AA41="",$Y$9=""),"",IFERROR((COUNTIFS(dClass,$Y$9,INDEX(dData,0,MATCH($AA41&amp;CHAR(10)&amp;"Raw Score",dHdr,0)),"&gt;=0")+COUNTIFS(dClass,$Y$9,INDEX(dData,0,MATCH($AA41&amp;CHAR(10)&amp;"Raw Score",dHdr,0)),"A"))/COUNTIF(dClass,$Y$9),""))</f>
        <v/>
      </c>
      <c r="CD41" t="str">
        <f>IF(OR($AA41="",$Y$10=""),"",IFERROR((COUNTIFS(dClass,$Y$10,INDEX(dData,0,MATCH($AA41&amp;CHAR(10)&amp;"Raw Score",dHdr,0)),"&gt;=0")+COUNTIFS(dClass,$Y$10,INDEX(dData,0,MATCH($AA41&amp;CHAR(10)&amp;"Raw Score",dHdr,0)),"A"))/COUNTIF(dClass,$Y$10),""))</f>
        <v/>
      </c>
    </row>
    <row r="42">
      <c r="H42" t="str">
        <f>IFERROR(INDEX(tblY7[Class],ROWS(H$10:H42))&amp;"","")</f>
        <v>7A/Sc2</v>
      </c>
      <c r="I42" t="str">
        <f>IF(H42="","",IF(COUNTIF(H$10:H42,H42)=1,COUNTIF(H$10:H$609,"&lt;"&amp;H42)+1,""))</f>
        <v/>
      </c>
      <c r="J42" t="str">
        <f>IFERROR(INDEX(tblY8[Class],ROWS(J$10:J42))&amp;"","")</f>
        <v>8A/Sc2</v>
      </c>
      <c r="K42" t="str">
        <f>IF(J42="","",IF(COUNTIF(J$10:J42,J42)=1,COUNTIF(J$10:J$609,"&lt;"&amp;J42)+1,""))</f>
        <v/>
      </c>
      <c r="L42" t="str">
        <f>IFERROR(INDEX(tblY9[Class],ROWS(L$10:L42))&amp;"","")</f>
        <v>9A/Sc2</v>
      </c>
      <c r="M42" t="str">
        <f>IF(L42="","",IF(COUNTIF(L$10:L42,L42)=1,COUNTIF(L$10:L$609,"&lt;"&amp;L42)+1,""))</f>
        <v/>
      </c>
      <c r="N42" t="str">
        <f>IFERROR(INDEX(tblY10[Class],ROWS(N$10:N42))&amp;"","")</f>
        <v>10S/Sc2</v>
      </c>
      <c r="O42" t="str">
        <f>IF(N42="","",IF(COUNTIF(N$10:N42,N42)=1,COUNTIF(N$10:N$609,"&lt;"&amp;N42)+1,""))</f>
        <v/>
      </c>
      <c r="P42" t="str">
        <f>IFERROR(INDEX(tblY11[Class],ROWS(P$10:P42))&amp;"","")</f>
        <v>11S/Sc2</v>
      </c>
      <c r="Q42" t="str">
        <f>IF(P42="","",IF(COUNTIF(P$10:P42,P42)=1,COUNTIF(P$10:P$609,"&lt;"&amp;P42)+1,""))</f>
        <v/>
      </c>
      <c r="AA42" t="str">
        <f>IFERROR(INDEX(tblAssessments[Test Name],MATCH(SelYear&amp;"|"&amp;40,tblAssessments[Seq Key],0))&amp;"","")</f>
        <v/>
      </c>
      <c r="AB42" t="str">
        <f>IF(AA42="","",IFERROR(INDEX(tblAssessments[Max Marks],MATCH(SelYear&amp;"|"&amp;40,tblAssessments[Seq Key],0)),""))</f>
        <v/>
      </c>
      <c r="AC42" s="83" t="str">
        <f>IF(AA42="","",IFERROR(IF(INDEX(tblAssessments[Date],MATCH(SelYear&amp;"|"&amp;40,tblAssessments[Seq Key],0))="","",INDEX(tblAssessments[Date],MATCH(SelYear&amp;"|"&amp;40,tblAssessments[Seq Key],0))),""))</f>
        <v/>
      </c>
      <c r="AD42" t="str">
        <f>IF(AA42="","",IFERROR(INDEX(tblAssessments[Code],MATCH(SelYear&amp;"|"&amp;40,tblAssessments[Seq Key],0))&amp;"",""))</f>
        <v/>
      </c>
      <c r="AK42" t="str">
        <f>IF(AA42="","",IF(AD42&lt;&gt;"",AD42,LEFT(AA42,14)))</f>
        <v/>
      </c>
      <c r="AL42" t="e">
        <f>IF(AA42="",NA(),IFERROR(AVERAGE(INDEX(dData,0,MATCH(AA42&amp;CHAR(10)&amp;"Stanine",dHdr,0))),NA()))</f>
        <v>#N/A</v>
      </c>
      <c r="AM42" t="e">
        <f>IF(OR(AA42="",SelClass=""),NA(),IFERROR(AVERAGEIFS(INDEX(dData,0,MATCH(AA42&amp;CHAR(10)&amp;"Stanine",dHdr,0)),dClass,SelClass),NA()))</f>
        <v>#N/A</v>
      </c>
      <c r="BL42" t="str">
        <f>IFERROR(MATCH(SMALL($BJ$70:$BJ$669,40),$BJ$70:$BJ$669,0),"")</f>
        <v/>
      </c>
      <c r="BW42" t="str">
        <f>IF(OR($AA42="",$Y$3=""),"",IFERROR((COUNTIFS(dClass,$Y$3,INDEX(dData,0,MATCH($AA42&amp;CHAR(10)&amp;"Raw Score",dHdr,0)),"&gt;=0")+COUNTIFS(dClass,$Y$3,INDEX(dData,0,MATCH($AA42&amp;CHAR(10)&amp;"Raw Score",dHdr,0)),"A"))/COUNTIF(dClass,$Y$3),""))</f>
        <v/>
      </c>
      <c r="BX42" t="str">
        <f>IF(OR($AA42="",$Y$4=""),"",IFERROR((COUNTIFS(dClass,$Y$4,INDEX(dData,0,MATCH($AA42&amp;CHAR(10)&amp;"Raw Score",dHdr,0)),"&gt;=0")+COUNTIFS(dClass,$Y$4,INDEX(dData,0,MATCH($AA42&amp;CHAR(10)&amp;"Raw Score",dHdr,0)),"A"))/COUNTIF(dClass,$Y$4),""))</f>
        <v/>
      </c>
      <c r="BY42" t="str">
        <f>IF(OR($AA42="",$Y$5=""),"",IFERROR((COUNTIFS(dClass,$Y$5,INDEX(dData,0,MATCH($AA42&amp;CHAR(10)&amp;"Raw Score",dHdr,0)),"&gt;=0")+COUNTIFS(dClass,$Y$5,INDEX(dData,0,MATCH($AA42&amp;CHAR(10)&amp;"Raw Score",dHdr,0)),"A"))/COUNTIF(dClass,$Y$5),""))</f>
        <v/>
      </c>
      <c r="BZ42" t="str">
        <f>IF(OR($AA42="",$Y$6=""),"",IFERROR((COUNTIFS(dClass,$Y$6,INDEX(dData,0,MATCH($AA42&amp;CHAR(10)&amp;"Raw Score",dHdr,0)),"&gt;=0")+COUNTIFS(dClass,$Y$6,INDEX(dData,0,MATCH($AA42&amp;CHAR(10)&amp;"Raw Score",dHdr,0)),"A"))/COUNTIF(dClass,$Y$6),""))</f>
        <v/>
      </c>
      <c r="CA42" t="str">
        <f>IF(OR($AA42="",$Y$7=""),"",IFERROR((COUNTIFS(dClass,$Y$7,INDEX(dData,0,MATCH($AA42&amp;CHAR(10)&amp;"Raw Score",dHdr,0)),"&gt;=0")+COUNTIFS(dClass,$Y$7,INDEX(dData,0,MATCH($AA42&amp;CHAR(10)&amp;"Raw Score",dHdr,0)),"A"))/COUNTIF(dClass,$Y$7),""))</f>
        <v/>
      </c>
      <c r="CB42" t="str">
        <f>IF(OR($AA42="",$Y$8=""),"",IFERROR((COUNTIFS(dClass,$Y$8,INDEX(dData,0,MATCH($AA42&amp;CHAR(10)&amp;"Raw Score",dHdr,0)),"&gt;=0")+COUNTIFS(dClass,$Y$8,INDEX(dData,0,MATCH($AA42&amp;CHAR(10)&amp;"Raw Score",dHdr,0)),"A"))/COUNTIF(dClass,$Y$8),""))</f>
        <v/>
      </c>
      <c r="CC42" t="str">
        <f>IF(OR($AA42="",$Y$9=""),"",IFERROR((COUNTIFS(dClass,$Y$9,INDEX(dData,0,MATCH($AA42&amp;CHAR(10)&amp;"Raw Score",dHdr,0)),"&gt;=0")+COUNTIFS(dClass,$Y$9,INDEX(dData,0,MATCH($AA42&amp;CHAR(10)&amp;"Raw Score",dHdr,0)),"A"))/COUNTIF(dClass,$Y$9),""))</f>
        <v/>
      </c>
      <c r="CD42" t="str">
        <f>IF(OR($AA42="",$Y$10=""),"",IFERROR((COUNTIFS(dClass,$Y$10,INDEX(dData,0,MATCH($AA42&amp;CHAR(10)&amp;"Raw Score",dHdr,0)),"&gt;=0")+COUNTIFS(dClass,$Y$10,INDEX(dData,0,MATCH($AA42&amp;CHAR(10)&amp;"Raw Score",dHdr,0)),"A"))/COUNTIF(dClass,$Y$10),""))</f>
        <v/>
      </c>
    </row>
    <row r="43">
      <c r="H43" t="str">
        <f>IFERROR(INDEX(tblY7[Class],ROWS(H$10:H43))&amp;"","")</f>
        <v>7A/Sc2</v>
      </c>
      <c r="I43" t="str">
        <f>IF(H43="","",IF(COUNTIF(H$10:H43,H43)=1,COUNTIF(H$10:H$609,"&lt;"&amp;H43)+1,""))</f>
        <v/>
      </c>
      <c r="J43" t="str">
        <f>IFERROR(INDEX(tblY8[Class],ROWS(J$10:J43))&amp;"","")</f>
        <v>8A/Sc2</v>
      </c>
      <c r="K43" t="str">
        <f>IF(J43="","",IF(COUNTIF(J$10:J43,J43)=1,COUNTIF(J$10:J$609,"&lt;"&amp;J43)+1,""))</f>
        <v/>
      </c>
      <c r="L43" t="str">
        <f>IFERROR(INDEX(tblY9[Class],ROWS(L$10:L43))&amp;"","")</f>
        <v>9A/Sc2</v>
      </c>
      <c r="M43" t="str">
        <f>IF(L43="","",IF(COUNTIF(L$10:L43,L43)=1,COUNTIF(L$10:L$609,"&lt;"&amp;L43)+1,""))</f>
        <v/>
      </c>
      <c r="N43" t="str">
        <f>IFERROR(INDEX(tblY10[Class],ROWS(N$10:N43))&amp;"","")</f>
        <v>10S/Sc2</v>
      </c>
      <c r="O43" t="str">
        <f>IF(N43="","",IF(COUNTIF(N$10:N43,N43)=1,COUNTIF(N$10:N$609,"&lt;"&amp;N43)+1,""))</f>
        <v/>
      </c>
      <c r="P43" t="str">
        <f>IFERROR(INDEX(tblY11[Class],ROWS(P$10:P43))&amp;"","")</f>
        <v>11S/Sc2</v>
      </c>
      <c r="Q43" t="str">
        <f>IF(P43="","",IF(COUNTIF(P$10:P43,P43)=1,COUNTIF(P$10:P$609,"&lt;"&amp;P43)+1,""))</f>
        <v/>
      </c>
      <c r="AA43" t="str">
        <f>IFERROR(INDEX(tblAssessments[Test Name],MATCH(SelYear&amp;"|"&amp;41,tblAssessments[Seq Key],0))&amp;"","")</f>
        <v/>
      </c>
      <c r="AB43" t="str">
        <f>IF(AA43="","",IFERROR(INDEX(tblAssessments[Max Marks],MATCH(SelYear&amp;"|"&amp;41,tblAssessments[Seq Key],0)),""))</f>
        <v/>
      </c>
      <c r="AC43" s="83" t="str">
        <f>IF(AA43="","",IFERROR(IF(INDEX(tblAssessments[Date],MATCH(SelYear&amp;"|"&amp;41,tblAssessments[Seq Key],0))="","",INDEX(tblAssessments[Date],MATCH(SelYear&amp;"|"&amp;41,tblAssessments[Seq Key],0))),""))</f>
        <v/>
      </c>
      <c r="AD43" t="str">
        <f>IF(AA43="","",IFERROR(INDEX(tblAssessments[Code],MATCH(SelYear&amp;"|"&amp;41,tblAssessments[Seq Key],0))&amp;"",""))</f>
        <v/>
      </c>
      <c r="AK43" t="str">
        <f>IF(AA43="","",IF(AD43&lt;&gt;"",AD43,LEFT(AA43,14)))</f>
        <v/>
      </c>
      <c r="AL43" t="e">
        <f>IF(AA43="",NA(),IFERROR(AVERAGE(INDEX(dData,0,MATCH(AA43&amp;CHAR(10)&amp;"Stanine",dHdr,0))),NA()))</f>
        <v>#N/A</v>
      </c>
      <c r="AM43" t="e">
        <f>IF(OR(AA43="",SelClass=""),NA(),IFERROR(AVERAGEIFS(INDEX(dData,0,MATCH(AA43&amp;CHAR(10)&amp;"Stanine",dHdr,0)),dClass,SelClass),NA()))</f>
        <v>#N/A</v>
      </c>
      <c r="BL43" t="str">
        <f>IFERROR(MATCH(SMALL($BJ$70:$BJ$669,41),$BJ$70:$BJ$669,0),"")</f>
        <v/>
      </c>
      <c r="BW43" t="str">
        <f>IF(OR($AA43="",$Y$3=""),"",IFERROR((COUNTIFS(dClass,$Y$3,INDEX(dData,0,MATCH($AA43&amp;CHAR(10)&amp;"Raw Score",dHdr,0)),"&gt;=0")+COUNTIFS(dClass,$Y$3,INDEX(dData,0,MATCH($AA43&amp;CHAR(10)&amp;"Raw Score",dHdr,0)),"A"))/COUNTIF(dClass,$Y$3),""))</f>
        <v/>
      </c>
      <c r="BX43" t="str">
        <f>IF(OR($AA43="",$Y$4=""),"",IFERROR((COUNTIFS(dClass,$Y$4,INDEX(dData,0,MATCH($AA43&amp;CHAR(10)&amp;"Raw Score",dHdr,0)),"&gt;=0")+COUNTIFS(dClass,$Y$4,INDEX(dData,0,MATCH($AA43&amp;CHAR(10)&amp;"Raw Score",dHdr,0)),"A"))/COUNTIF(dClass,$Y$4),""))</f>
        <v/>
      </c>
      <c r="BY43" t="str">
        <f>IF(OR($AA43="",$Y$5=""),"",IFERROR((COUNTIFS(dClass,$Y$5,INDEX(dData,0,MATCH($AA43&amp;CHAR(10)&amp;"Raw Score",dHdr,0)),"&gt;=0")+COUNTIFS(dClass,$Y$5,INDEX(dData,0,MATCH($AA43&amp;CHAR(10)&amp;"Raw Score",dHdr,0)),"A"))/COUNTIF(dClass,$Y$5),""))</f>
        <v/>
      </c>
      <c r="BZ43" t="str">
        <f>IF(OR($AA43="",$Y$6=""),"",IFERROR((COUNTIFS(dClass,$Y$6,INDEX(dData,0,MATCH($AA43&amp;CHAR(10)&amp;"Raw Score",dHdr,0)),"&gt;=0")+COUNTIFS(dClass,$Y$6,INDEX(dData,0,MATCH($AA43&amp;CHAR(10)&amp;"Raw Score",dHdr,0)),"A"))/COUNTIF(dClass,$Y$6),""))</f>
        <v/>
      </c>
      <c r="CA43" t="str">
        <f>IF(OR($AA43="",$Y$7=""),"",IFERROR((COUNTIFS(dClass,$Y$7,INDEX(dData,0,MATCH($AA43&amp;CHAR(10)&amp;"Raw Score",dHdr,0)),"&gt;=0")+COUNTIFS(dClass,$Y$7,INDEX(dData,0,MATCH($AA43&amp;CHAR(10)&amp;"Raw Score",dHdr,0)),"A"))/COUNTIF(dClass,$Y$7),""))</f>
        <v/>
      </c>
      <c r="CB43" t="str">
        <f>IF(OR($AA43="",$Y$8=""),"",IFERROR((COUNTIFS(dClass,$Y$8,INDEX(dData,0,MATCH($AA43&amp;CHAR(10)&amp;"Raw Score",dHdr,0)),"&gt;=0")+COUNTIFS(dClass,$Y$8,INDEX(dData,0,MATCH($AA43&amp;CHAR(10)&amp;"Raw Score",dHdr,0)),"A"))/COUNTIF(dClass,$Y$8),""))</f>
        <v/>
      </c>
      <c r="CC43" t="str">
        <f>IF(OR($AA43="",$Y$9=""),"",IFERROR((COUNTIFS(dClass,$Y$9,INDEX(dData,0,MATCH($AA43&amp;CHAR(10)&amp;"Raw Score",dHdr,0)),"&gt;=0")+COUNTIFS(dClass,$Y$9,INDEX(dData,0,MATCH($AA43&amp;CHAR(10)&amp;"Raw Score",dHdr,0)),"A"))/COUNTIF(dClass,$Y$9),""))</f>
        <v/>
      </c>
      <c r="CD43" t="str">
        <f>IF(OR($AA43="",$Y$10=""),"",IFERROR((COUNTIFS(dClass,$Y$10,INDEX(dData,0,MATCH($AA43&amp;CHAR(10)&amp;"Raw Score",dHdr,0)),"&gt;=0")+COUNTIFS(dClass,$Y$10,INDEX(dData,0,MATCH($AA43&amp;CHAR(10)&amp;"Raw Score",dHdr,0)),"A"))/COUNTIF(dClass,$Y$10),""))</f>
        <v/>
      </c>
    </row>
    <row r="44">
      <c r="H44" t="str">
        <f>IFERROR(INDEX(tblY7[Class],ROWS(H$10:H44))&amp;"","")</f>
        <v>7A/Sc2</v>
      </c>
      <c r="I44" t="str">
        <f>IF(H44="","",IF(COUNTIF(H$10:H44,H44)=1,COUNTIF(H$10:H$609,"&lt;"&amp;H44)+1,""))</f>
        <v/>
      </c>
      <c r="J44" t="str">
        <f>IFERROR(INDEX(tblY8[Class],ROWS(J$10:J44))&amp;"","")</f>
        <v>8A/Sc2</v>
      </c>
      <c r="K44" t="str">
        <f>IF(J44="","",IF(COUNTIF(J$10:J44,J44)=1,COUNTIF(J$10:J$609,"&lt;"&amp;J44)+1,""))</f>
        <v/>
      </c>
      <c r="L44" t="str">
        <f>IFERROR(INDEX(tblY9[Class],ROWS(L$10:L44))&amp;"","")</f>
        <v>9A/Sc2</v>
      </c>
      <c r="M44" t="str">
        <f>IF(L44="","",IF(COUNTIF(L$10:L44,L44)=1,COUNTIF(L$10:L$609,"&lt;"&amp;L44)+1,""))</f>
        <v/>
      </c>
      <c r="N44" t="str">
        <f>IFERROR(INDEX(tblY10[Class],ROWS(N$10:N44))&amp;"","")</f>
        <v>10S/Sc2</v>
      </c>
      <c r="O44" t="str">
        <f>IF(N44="","",IF(COUNTIF(N$10:N44,N44)=1,COUNTIF(N$10:N$609,"&lt;"&amp;N44)+1,""))</f>
        <v/>
      </c>
      <c r="P44" t="str">
        <f>IFERROR(INDEX(tblY11[Class],ROWS(P$10:P44))&amp;"","")</f>
        <v>11S/Sc2</v>
      </c>
      <c r="Q44" t="str">
        <f>IF(P44="","",IF(COUNTIF(P$10:P44,P44)=1,COUNTIF(P$10:P$609,"&lt;"&amp;P44)+1,""))</f>
        <v/>
      </c>
      <c r="AA44" t="str">
        <f>IFERROR(INDEX(tblAssessments[Test Name],MATCH(SelYear&amp;"|"&amp;42,tblAssessments[Seq Key],0))&amp;"","")</f>
        <v/>
      </c>
      <c r="AB44" t="str">
        <f>IF(AA44="","",IFERROR(INDEX(tblAssessments[Max Marks],MATCH(SelYear&amp;"|"&amp;42,tblAssessments[Seq Key],0)),""))</f>
        <v/>
      </c>
      <c r="AC44" s="83" t="str">
        <f>IF(AA44="","",IFERROR(IF(INDEX(tblAssessments[Date],MATCH(SelYear&amp;"|"&amp;42,tblAssessments[Seq Key],0))="","",INDEX(tblAssessments[Date],MATCH(SelYear&amp;"|"&amp;42,tblAssessments[Seq Key],0))),""))</f>
        <v/>
      </c>
      <c r="AD44" t="str">
        <f>IF(AA44="","",IFERROR(INDEX(tblAssessments[Code],MATCH(SelYear&amp;"|"&amp;42,tblAssessments[Seq Key],0))&amp;"",""))</f>
        <v/>
      </c>
      <c r="AK44" t="str">
        <f>IF(AA44="","",IF(AD44&lt;&gt;"",AD44,LEFT(AA44,14)))</f>
        <v/>
      </c>
      <c r="AL44" t="e">
        <f>IF(AA44="",NA(),IFERROR(AVERAGE(INDEX(dData,0,MATCH(AA44&amp;CHAR(10)&amp;"Stanine",dHdr,0))),NA()))</f>
        <v>#N/A</v>
      </c>
      <c r="AM44" t="e">
        <f>IF(OR(AA44="",SelClass=""),NA(),IFERROR(AVERAGEIFS(INDEX(dData,0,MATCH(AA44&amp;CHAR(10)&amp;"Stanine",dHdr,0)),dClass,SelClass),NA()))</f>
        <v>#N/A</v>
      </c>
      <c r="BL44" t="str">
        <f>IFERROR(MATCH(SMALL($BJ$70:$BJ$669,42),$BJ$70:$BJ$669,0),"")</f>
        <v/>
      </c>
      <c r="BW44" t="str">
        <f>IF(OR($AA44="",$Y$3=""),"",IFERROR((COUNTIFS(dClass,$Y$3,INDEX(dData,0,MATCH($AA44&amp;CHAR(10)&amp;"Raw Score",dHdr,0)),"&gt;=0")+COUNTIFS(dClass,$Y$3,INDEX(dData,0,MATCH($AA44&amp;CHAR(10)&amp;"Raw Score",dHdr,0)),"A"))/COUNTIF(dClass,$Y$3),""))</f>
        <v/>
      </c>
      <c r="BX44" t="str">
        <f>IF(OR($AA44="",$Y$4=""),"",IFERROR((COUNTIFS(dClass,$Y$4,INDEX(dData,0,MATCH($AA44&amp;CHAR(10)&amp;"Raw Score",dHdr,0)),"&gt;=0")+COUNTIFS(dClass,$Y$4,INDEX(dData,0,MATCH($AA44&amp;CHAR(10)&amp;"Raw Score",dHdr,0)),"A"))/COUNTIF(dClass,$Y$4),""))</f>
        <v/>
      </c>
      <c r="BY44" t="str">
        <f>IF(OR($AA44="",$Y$5=""),"",IFERROR((COUNTIFS(dClass,$Y$5,INDEX(dData,0,MATCH($AA44&amp;CHAR(10)&amp;"Raw Score",dHdr,0)),"&gt;=0")+COUNTIFS(dClass,$Y$5,INDEX(dData,0,MATCH($AA44&amp;CHAR(10)&amp;"Raw Score",dHdr,0)),"A"))/COUNTIF(dClass,$Y$5),""))</f>
        <v/>
      </c>
      <c r="BZ44" t="str">
        <f>IF(OR($AA44="",$Y$6=""),"",IFERROR((COUNTIFS(dClass,$Y$6,INDEX(dData,0,MATCH($AA44&amp;CHAR(10)&amp;"Raw Score",dHdr,0)),"&gt;=0")+COUNTIFS(dClass,$Y$6,INDEX(dData,0,MATCH($AA44&amp;CHAR(10)&amp;"Raw Score",dHdr,0)),"A"))/COUNTIF(dClass,$Y$6),""))</f>
        <v/>
      </c>
      <c r="CA44" t="str">
        <f>IF(OR($AA44="",$Y$7=""),"",IFERROR((COUNTIFS(dClass,$Y$7,INDEX(dData,0,MATCH($AA44&amp;CHAR(10)&amp;"Raw Score",dHdr,0)),"&gt;=0")+COUNTIFS(dClass,$Y$7,INDEX(dData,0,MATCH($AA44&amp;CHAR(10)&amp;"Raw Score",dHdr,0)),"A"))/COUNTIF(dClass,$Y$7),""))</f>
        <v/>
      </c>
      <c r="CB44" t="str">
        <f>IF(OR($AA44="",$Y$8=""),"",IFERROR((COUNTIFS(dClass,$Y$8,INDEX(dData,0,MATCH($AA44&amp;CHAR(10)&amp;"Raw Score",dHdr,0)),"&gt;=0")+COUNTIFS(dClass,$Y$8,INDEX(dData,0,MATCH($AA44&amp;CHAR(10)&amp;"Raw Score",dHdr,0)),"A"))/COUNTIF(dClass,$Y$8),""))</f>
        <v/>
      </c>
      <c r="CC44" t="str">
        <f>IF(OR($AA44="",$Y$9=""),"",IFERROR((COUNTIFS(dClass,$Y$9,INDEX(dData,0,MATCH($AA44&amp;CHAR(10)&amp;"Raw Score",dHdr,0)),"&gt;=0")+COUNTIFS(dClass,$Y$9,INDEX(dData,0,MATCH($AA44&amp;CHAR(10)&amp;"Raw Score",dHdr,0)),"A"))/COUNTIF(dClass,$Y$9),""))</f>
        <v/>
      </c>
      <c r="CD44" t="str">
        <f>IF(OR($AA44="",$Y$10=""),"",IFERROR((COUNTIFS(dClass,$Y$10,INDEX(dData,0,MATCH($AA44&amp;CHAR(10)&amp;"Raw Score",dHdr,0)),"&gt;=0")+COUNTIFS(dClass,$Y$10,INDEX(dData,0,MATCH($AA44&amp;CHAR(10)&amp;"Raw Score",dHdr,0)),"A"))/COUNTIF(dClass,$Y$10),""))</f>
        <v/>
      </c>
    </row>
    <row r="45">
      <c r="H45" t="str">
        <f>IFERROR(INDEX(tblY7[Class],ROWS(H$10:H45))&amp;"","")</f>
        <v>7A/Sc2</v>
      </c>
      <c r="I45" t="str">
        <f>IF(H45="","",IF(COUNTIF(H$10:H45,H45)=1,COUNTIF(H$10:H$609,"&lt;"&amp;H45)+1,""))</f>
        <v/>
      </c>
      <c r="J45" t="str">
        <f>IFERROR(INDEX(tblY8[Class],ROWS(J$10:J45))&amp;"","")</f>
        <v>8A/Sc2</v>
      </c>
      <c r="K45" t="str">
        <f>IF(J45="","",IF(COUNTIF(J$10:J45,J45)=1,COUNTIF(J$10:J$609,"&lt;"&amp;J45)+1,""))</f>
        <v/>
      </c>
      <c r="L45" t="str">
        <f>IFERROR(INDEX(tblY9[Class],ROWS(L$10:L45))&amp;"","")</f>
        <v>9A/Sc2</v>
      </c>
      <c r="M45" t="str">
        <f>IF(L45="","",IF(COUNTIF(L$10:L45,L45)=1,COUNTIF(L$10:L$609,"&lt;"&amp;L45)+1,""))</f>
        <v/>
      </c>
      <c r="N45" t="str">
        <f>IFERROR(INDEX(tblY10[Class],ROWS(N$10:N45))&amp;"","")</f>
        <v>10S/Sc2</v>
      </c>
      <c r="O45" t="str">
        <f>IF(N45="","",IF(COUNTIF(N$10:N45,N45)=1,COUNTIF(N$10:N$609,"&lt;"&amp;N45)+1,""))</f>
        <v/>
      </c>
      <c r="P45" t="str">
        <f>IFERROR(INDEX(tblY11[Class],ROWS(P$10:P45))&amp;"","")</f>
        <v>11S/Sc2</v>
      </c>
      <c r="Q45" t="str">
        <f>IF(P45="","",IF(COUNTIF(P$10:P45,P45)=1,COUNTIF(P$10:P$609,"&lt;"&amp;P45)+1,""))</f>
        <v/>
      </c>
      <c r="AA45" t="str">
        <f>IFERROR(INDEX(tblAssessments[Test Name],MATCH(SelYear&amp;"|"&amp;43,tblAssessments[Seq Key],0))&amp;"","")</f>
        <v/>
      </c>
      <c r="AB45" t="str">
        <f>IF(AA45="","",IFERROR(INDEX(tblAssessments[Max Marks],MATCH(SelYear&amp;"|"&amp;43,tblAssessments[Seq Key],0)),""))</f>
        <v/>
      </c>
      <c r="AC45" s="83" t="str">
        <f>IF(AA45="","",IFERROR(IF(INDEX(tblAssessments[Date],MATCH(SelYear&amp;"|"&amp;43,tblAssessments[Seq Key],0))="","",INDEX(tblAssessments[Date],MATCH(SelYear&amp;"|"&amp;43,tblAssessments[Seq Key],0))),""))</f>
        <v/>
      </c>
      <c r="AD45" t="str">
        <f>IF(AA45="","",IFERROR(INDEX(tblAssessments[Code],MATCH(SelYear&amp;"|"&amp;43,tblAssessments[Seq Key],0))&amp;"",""))</f>
        <v/>
      </c>
      <c r="AK45" t="str">
        <f>IF(AA45="","",IF(AD45&lt;&gt;"",AD45,LEFT(AA45,14)))</f>
        <v/>
      </c>
      <c r="AL45" t="e">
        <f>IF(AA45="",NA(),IFERROR(AVERAGE(INDEX(dData,0,MATCH(AA45&amp;CHAR(10)&amp;"Stanine",dHdr,0))),NA()))</f>
        <v>#N/A</v>
      </c>
      <c r="AM45" t="e">
        <f>IF(OR(AA45="",SelClass=""),NA(),IFERROR(AVERAGEIFS(INDEX(dData,0,MATCH(AA45&amp;CHAR(10)&amp;"Stanine",dHdr,0)),dClass,SelClass),NA()))</f>
        <v>#N/A</v>
      </c>
      <c r="BL45" t="str">
        <f>IFERROR(MATCH(SMALL($BJ$70:$BJ$669,43),$BJ$70:$BJ$669,0),"")</f>
        <v/>
      </c>
      <c r="BW45" t="str">
        <f>IF(OR($AA45="",$Y$3=""),"",IFERROR((COUNTIFS(dClass,$Y$3,INDEX(dData,0,MATCH($AA45&amp;CHAR(10)&amp;"Raw Score",dHdr,0)),"&gt;=0")+COUNTIFS(dClass,$Y$3,INDEX(dData,0,MATCH($AA45&amp;CHAR(10)&amp;"Raw Score",dHdr,0)),"A"))/COUNTIF(dClass,$Y$3),""))</f>
        <v/>
      </c>
      <c r="BX45" t="str">
        <f>IF(OR($AA45="",$Y$4=""),"",IFERROR((COUNTIFS(dClass,$Y$4,INDEX(dData,0,MATCH($AA45&amp;CHAR(10)&amp;"Raw Score",dHdr,0)),"&gt;=0")+COUNTIFS(dClass,$Y$4,INDEX(dData,0,MATCH($AA45&amp;CHAR(10)&amp;"Raw Score",dHdr,0)),"A"))/COUNTIF(dClass,$Y$4),""))</f>
        <v/>
      </c>
      <c r="BY45" t="str">
        <f>IF(OR($AA45="",$Y$5=""),"",IFERROR((COUNTIFS(dClass,$Y$5,INDEX(dData,0,MATCH($AA45&amp;CHAR(10)&amp;"Raw Score",dHdr,0)),"&gt;=0")+COUNTIFS(dClass,$Y$5,INDEX(dData,0,MATCH($AA45&amp;CHAR(10)&amp;"Raw Score",dHdr,0)),"A"))/COUNTIF(dClass,$Y$5),""))</f>
        <v/>
      </c>
      <c r="BZ45" t="str">
        <f>IF(OR($AA45="",$Y$6=""),"",IFERROR((COUNTIFS(dClass,$Y$6,INDEX(dData,0,MATCH($AA45&amp;CHAR(10)&amp;"Raw Score",dHdr,0)),"&gt;=0")+COUNTIFS(dClass,$Y$6,INDEX(dData,0,MATCH($AA45&amp;CHAR(10)&amp;"Raw Score",dHdr,0)),"A"))/COUNTIF(dClass,$Y$6),""))</f>
        <v/>
      </c>
      <c r="CA45" t="str">
        <f>IF(OR($AA45="",$Y$7=""),"",IFERROR((COUNTIFS(dClass,$Y$7,INDEX(dData,0,MATCH($AA45&amp;CHAR(10)&amp;"Raw Score",dHdr,0)),"&gt;=0")+COUNTIFS(dClass,$Y$7,INDEX(dData,0,MATCH($AA45&amp;CHAR(10)&amp;"Raw Score",dHdr,0)),"A"))/COUNTIF(dClass,$Y$7),""))</f>
        <v/>
      </c>
      <c r="CB45" t="str">
        <f>IF(OR($AA45="",$Y$8=""),"",IFERROR((COUNTIFS(dClass,$Y$8,INDEX(dData,0,MATCH($AA45&amp;CHAR(10)&amp;"Raw Score",dHdr,0)),"&gt;=0")+COUNTIFS(dClass,$Y$8,INDEX(dData,0,MATCH($AA45&amp;CHAR(10)&amp;"Raw Score",dHdr,0)),"A"))/COUNTIF(dClass,$Y$8),""))</f>
        <v/>
      </c>
      <c r="CC45" t="str">
        <f>IF(OR($AA45="",$Y$9=""),"",IFERROR((COUNTIFS(dClass,$Y$9,INDEX(dData,0,MATCH($AA45&amp;CHAR(10)&amp;"Raw Score",dHdr,0)),"&gt;=0")+COUNTIFS(dClass,$Y$9,INDEX(dData,0,MATCH($AA45&amp;CHAR(10)&amp;"Raw Score",dHdr,0)),"A"))/COUNTIF(dClass,$Y$9),""))</f>
        <v/>
      </c>
      <c r="CD45" t="str">
        <f>IF(OR($AA45="",$Y$10=""),"",IFERROR((COUNTIFS(dClass,$Y$10,INDEX(dData,0,MATCH($AA45&amp;CHAR(10)&amp;"Raw Score",dHdr,0)),"&gt;=0")+COUNTIFS(dClass,$Y$10,INDEX(dData,0,MATCH($AA45&amp;CHAR(10)&amp;"Raw Score",dHdr,0)),"A"))/COUNTIF(dClass,$Y$10),""))</f>
        <v/>
      </c>
    </row>
    <row r="46">
      <c r="H46" t="str">
        <f>IFERROR(INDEX(tblY7[Class],ROWS(H$10:H46))&amp;"","")</f>
        <v>7A/Sc2</v>
      </c>
      <c r="I46" t="str">
        <f>IF(H46="","",IF(COUNTIF(H$10:H46,H46)=1,COUNTIF(H$10:H$609,"&lt;"&amp;H46)+1,""))</f>
        <v/>
      </c>
      <c r="J46" t="str">
        <f>IFERROR(INDEX(tblY8[Class],ROWS(J$10:J46))&amp;"","")</f>
        <v>8A/Sc2</v>
      </c>
      <c r="K46" t="str">
        <f>IF(J46="","",IF(COUNTIF(J$10:J46,J46)=1,COUNTIF(J$10:J$609,"&lt;"&amp;J46)+1,""))</f>
        <v/>
      </c>
      <c r="L46" t="str">
        <f>IFERROR(INDEX(tblY9[Class],ROWS(L$10:L46))&amp;"","")</f>
        <v>9A/Sc2</v>
      </c>
      <c r="M46" t="str">
        <f>IF(L46="","",IF(COUNTIF(L$10:L46,L46)=1,COUNTIF(L$10:L$609,"&lt;"&amp;L46)+1,""))</f>
        <v/>
      </c>
      <c r="N46" t="str">
        <f>IFERROR(INDEX(tblY10[Class],ROWS(N$10:N46))&amp;"","")</f>
        <v>10S/Sc2</v>
      </c>
      <c r="O46" t="str">
        <f>IF(N46="","",IF(COUNTIF(N$10:N46,N46)=1,COUNTIF(N$10:N$609,"&lt;"&amp;N46)+1,""))</f>
        <v/>
      </c>
      <c r="P46" t="str">
        <f>IFERROR(INDEX(tblY11[Class],ROWS(P$10:P46))&amp;"","")</f>
        <v>11S/Sc2</v>
      </c>
      <c r="Q46" t="str">
        <f>IF(P46="","",IF(COUNTIF(P$10:P46,P46)=1,COUNTIF(P$10:P$609,"&lt;"&amp;P46)+1,""))</f>
        <v/>
      </c>
      <c r="AA46" t="str">
        <f>IFERROR(INDEX(tblAssessments[Test Name],MATCH(SelYear&amp;"|"&amp;44,tblAssessments[Seq Key],0))&amp;"","")</f>
        <v/>
      </c>
      <c r="AB46" t="str">
        <f>IF(AA46="","",IFERROR(INDEX(tblAssessments[Max Marks],MATCH(SelYear&amp;"|"&amp;44,tblAssessments[Seq Key],0)),""))</f>
        <v/>
      </c>
      <c r="AC46" s="83" t="str">
        <f>IF(AA46="","",IFERROR(IF(INDEX(tblAssessments[Date],MATCH(SelYear&amp;"|"&amp;44,tblAssessments[Seq Key],0))="","",INDEX(tblAssessments[Date],MATCH(SelYear&amp;"|"&amp;44,tblAssessments[Seq Key],0))),""))</f>
        <v/>
      </c>
      <c r="AD46" t="str">
        <f>IF(AA46="","",IFERROR(INDEX(tblAssessments[Code],MATCH(SelYear&amp;"|"&amp;44,tblAssessments[Seq Key],0))&amp;"",""))</f>
        <v/>
      </c>
      <c r="AK46" t="str">
        <f>IF(AA46="","",IF(AD46&lt;&gt;"",AD46,LEFT(AA46,14)))</f>
        <v/>
      </c>
      <c r="AL46" t="e">
        <f>IF(AA46="",NA(),IFERROR(AVERAGE(INDEX(dData,0,MATCH(AA46&amp;CHAR(10)&amp;"Stanine",dHdr,0))),NA()))</f>
        <v>#N/A</v>
      </c>
      <c r="AM46" t="e">
        <f>IF(OR(AA46="",SelClass=""),NA(),IFERROR(AVERAGEIFS(INDEX(dData,0,MATCH(AA46&amp;CHAR(10)&amp;"Stanine",dHdr,0)),dClass,SelClass),NA()))</f>
        <v>#N/A</v>
      </c>
      <c r="BL46" t="str">
        <f>IFERROR(MATCH(SMALL($BJ$70:$BJ$669,44),$BJ$70:$BJ$669,0),"")</f>
        <v/>
      </c>
      <c r="BW46" t="str">
        <f>IF(OR($AA46="",$Y$3=""),"",IFERROR((COUNTIFS(dClass,$Y$3,INDEX(dData,0,MATCH($AA46&amp;CHAR(10)&amp;"Raw Score",dHdr,0)),"&gt;=0")+COUNTIFS(dClass,$Y$3,INDEX(dData,0,MATCH($AA46&amp;CHAR(10)&amp;"Raw Score",dHdr,0)),"A"))/COUNTIF(dClass,$Y$3),""))</f>
        <v/>
      </c>
      <c r="BX46" t="str">
        <f>IF(OR($AA46="",$Y$4=""),"",IFERROR((COUNTIFS(dClass,$Y$4,INDEX(dData,0,MATCH($AA46&amp;CHAR(10)&amp;"Raw Score",dHdr,0)),"&gt;=0")+COUNTIFS(dClass,$Y$4,INDEX(dData,0,MATCH($AA46&amp;CHAR(10)&amp;"Raw Score",dHdr,0)),"A"))/COUNTIF(dClass,$Y$4),""))</f>
        <v/>
      </c>
      <c r="BY46" t="str">
        <f>IF(OR($AA46="",$Y$5=""),"",IFERROR((COUNTIFS(dClass,$Y$5,INDEX(dData,0,MATCH($AA46&amp;CHAR(10)&amp;"Raw Score",dHdr,0)),"&gt;=0")+COUNTIFS(dClass,$Y$5,INDEX(dData,0,MATCH($AA46&amp;CHAR(10)&amp;"Raw Score",dHdr,0)),"A"))/COUNTIF(dClass,$Y$5),""))</f>
        <v/>
      </c>
      <c r="BZ46" t="str">
        <f>IF(OR($AA46="",$Y$6=""),"",IFERROR((COUNTIFS(dClass,$Y$6,INDEX(dData,0,MATCH($AA46&amp;CHAR(10)&amp;"Raw Score",dHdr,0)),"&gt;=0")+COUNTIFS(dClass,$Y$6,INDEX(dData,0,MATCH($AA46&amp;CHAR(10)&amp;"Raw Score",dHdr,0)),"A"))/COUNTIF(dClass,$Y$6),""))</f>
        <v/>
      </c>
      <c r="CA46" t="str">
        <f>IF(OR($AA46="",$Y$7=""),"",IFERROR((COUNTIFS(dClass,$Y$7,INDEX(dData,0,MATCH($AA46&amp;CHAR(10)&amp;"Raw Score",dHdr,0)),"&gt;=0")+COUNTIFS(dClass,$Y$7,INDEX(dData,0,MATCH($AA46&amp;CHAR(10)&amp;"Raw Score",dHdr,0)),"A"))/COUNTIF(dClass,$Y$7),""))</f>
        <v/>
      </c>
      <c r="CB46" t="str">
        <f>IF(OR($AA46="",$Y$8=""),"",IFERROR((COUNTIFS(dClass,$Y$8,INDEX(dData,0,MATCH($AA46&amp;CHAR(10)&amp;"Raw Score",dHdr,0)),"&gt;=0")+COUNTIFS(dClass,$Y$8,INDEX(dData,0,MATCH($AA46&amp;CHAR(10)&amp;"Raw Score",dHdr,0)),"A"))/COUNTIF(dClass,$Y$8),""))</f>
        <v/>
      </c>
      <c r="CC46" t="str">
        <f>IF(OR($AA46="",$Y$9=""),"",IFERROR((COUNTIFS(dClass,$Y$9,INDEX(dData,0,MATCH($AA46&amp;CHAR(10)&amp;"Raw Score",dHdr,0)),"&gt;=0")+COUNTIFS(dClass,$Y$9,INDEX(dData,0,MATCH($AA46&amp;CHAR(10)&amp;"Raw Score",dHdr,0)),"A"))/COUNTIF(dClass,$Y$9),""))</f>
        <v/>
      </c>
      <c r="CD46" t="str">
        <f>IF(OR($AA46="",$Y$10=""),"",IFERROR((COUNTIFS(dClass,$Y$10,INDEX(dData,0,MATCH($AA46&amp;CHAR(10)&amp;"Raw Score",dHdr,0)),"&gt;=0")+COUNTIFS(dClass,$Y$10,INDEX(dData,0,MATCH($AA46&amp;CHAR(10)&amp;"Raw Score",dHdr,0)),"A"))/COUNTIF(dClass,$Y$10),""))</f>
        <v/>
      </c>
    </row>
    <row r="47">
      <c r="H47" t="str">
        <f>IFERROR(INDEX(tblY7[Class],ROWS(H$10:H47))&amp;"","")</f>
        <v>7A/Sc2</v>
      </c>
      <c r="I47" t="str">
        <f>IF(H47="","",IF(COUNTIF(H$10:H47,H47)=1,COUNTIF(H$10:H$609,"&lt;"&amp;H47)+1,""))</f>
        <v/>
      </c>
      <c r="J47" t="str">
        <f>IFERROR(INDEX(tblY8[Class],ROWS(J$10:J47))&amp;"","")</f>
        <v>8A/Sc2</v>
      </c>
      <c r="K47" t="str">
        <f>IF(J47="","",IF(COUNTIF(J$10:J47,J47)=1,COUNTIF(J$10:J$609,"&lt;"&amp;J47)+1,""))</f>
        <v/>
      </c>
      <c r="L47" t="str">
        <f>IFERROR(INDEX(tblY9[Class],ROWS(L$10:L47))&amp;"","")</f>
        <v>9A/Sc2</v>
      </c>
      <c r="M47" t="str">
        <f>IF(L47="","",IF(COUNTIF(L$10:L47,L47)=1,COUNTIF(L$10:L$609,"&lt;"&amp;L47)+1,""))</f>
        <v/>
      </c>
      <c r="N47" t="str">
        <f>IFERROR(INDEX(tblY10[Class],ROWS(N$10:N47))&amp;"","")</f>
        <v>10S/Sc2</v>
      </c>
      <c r="O47" t="str">
        <f>IF(N47="","",IF(COUNTIF(N$10:N47,N47)=1,COUNTIF(N$10:N$609,"&lt;"&amp;N47)+1,""))</f>
        <v/>
      </c>
      <c r="P47" t="str">
        <f>IFERROR(INDEX(tblY11[Class],ROWS(P$10:P47))&amp;"","")</f>
        <v>11S/Sc2</v>
      </c>
      <c r="Q47" t="str">
        <f>IF(P47="","",IF(COUNTIF(P$10:P47,P47)=1,COUNTIF(P$10:P$609,"&lt;"&amp;P47)+1,""))</f>
        <v/>
      </c>
      <c r="AA47" t="str">
        <f>IFERROR(INDEX(tblAssessments[Test Name],MATCH(SelYear&amp;"|"&amp;45,tblAssessments[Seq Key],0))&amp;"","")</f>
        <v/>
      </c>
      <c r="AB47" t="str">
        <f>IF(AA47="","",IFERROR(INDEX(tblAssessments[Max Marks],MATCH(SelYear&amp;"|"&amp;45,tblAssessments[Seq Key],0)),""))</f>
        <v/>
      </c>
      <c r="AC47" s="83" t="str">
        <f>IF(AA47="","",IFERROR(IF(INDEX(tblAssessments[Date],MATCH(SelYear&amp;"|"&amp;45,tblAssessments[Seq Key],0))="","",INDEX(tblAssessments[Date],MATCH(SelYear&amp;"|"&amp;45,tblAssessments[Seq Key],0))),""))</f>
        <v/>
      </c>
      <c r="AD47" t="str">
        <f>IF(AA47="","",IFERROR(INDEX(tblAssessments[Code],MATCH(SelYear&amp;"|"&amp;45,tblAssessments[Seq Key],0))&amp;"",""))</f>
        <v/>
      </c>
      <c r="AK47" t="str">
        <f>IF(AA47="","",IF(AD47&lt;&gt;"",AD47,LEFT(AA47,14)))</f>
        <v/>
      </c>
      <c r="AL47" t="e">
        <f>IF(AA47="",NA(),IFERROR(AVERAGE(INDEX(dData,0,MATCH(AA47&amp;CHAR(10)&amp;"Stanine",dHdr,0))),NA()))</f>
        <v>#N/A</v>
      </c>
      <c r="AM47" t="e">
        <f>IF(OR(AA47="",SelClass=""),NA(),IFERROR(AVERAGEIFS(INDEX(dData,0,MATCH(AA47&amp;CHAR(10)&amp;"Stanine",dHdr,0)),dClass,SelClass),NA()))</f>
        <v>#N/A</v>
      </c>
      <c r="BL47" t="str">
        <f>IFERROR(MATCH(SMALL($BJ$70:$BJ$669,45),$BJ$70:$BJ$669,0),"")</f>
        <v/>
      </c>
      <c r="BW47" t="str">
        <f>IF(OR($AA47="",$Y$3=""),"",IFERROR((COUNTIFS(dClass,$Y$3,INDEX(dData,0,MATCH($AA47&amp;CHAR(10)&amp;"Raw Score",dHdr,0)),"&gt;=0")+COUNTIFS(dClass,$Y$3,INDEX(dData,0,MATCH($AA47&amp;CHAR(10)&amp;"Raw Score",dHdr,0)),"A"))/COUNTIF(dClass,$Y$3),""))</f>
        <v/>
      </c>
      <c r="BX47" t="str">
        <f>IF(OR($AA47="",$Y$4=""),"",IFERROR((COUNTIFS(dClass,$Y$4,INDEX(dData,0,MATCH($AA47&amp;CHAR(10)&amp;"Raw Score",dHdr,0)),"&gt;=0")+COUNTIFS(dClass,$Y$4,INDEX(dData,0,MATCH($AA47&amp;CHAR(10)&amp;"Raw Score",dHdr,0)),"A"))/COUNTIF(dClass,$Y$4),""))</f>
        <v/>
      </c>
      <c r="BY47" t="str">
        <f>IF(OR($AA47="",$Y$5=""),"",IFERROR((COUNTIFS(dClass,$Y$5,INDEX(dData,0,MATCH($AA47&amp;CHAR(10)&amp;"Raw Score",dHdr,0)),"&gt;=0")+COUNTIFS(dClass,$Y$5,INDEX(dData,0,MATCH($AA47&amp;CHAR(10)&amp;"Raw Score",dHdr,0)),"A"))/COUNTIF(dClass,$Y$5),""))</f>
        <v/>
      </c>
      <c r="BZ47" t="str">
        <f>IF(OR($AA47="",$Y$6=""),"",IFERROR((COUNTIFS(dClass,$Y$6,INDEX(dData,0,MATCH($AA47&amp;CHAR(10)&amp;"Raw Score",dHdr,0)),"&gt;=0")+COUNTIFS(dClass,$Y$6,INDEX(dData,0,MATCH($AA47&amp;CHAR(10)&amp;"Raw Score",dHdr,0)),"A"))/COUNTIF(dClass,$Y$6),""))</f>
        <v/>
      </c>
      <c r="CA47" t="str">
        <f>IF(OR($AA47="",$Y$7=""),"",IFERROR((COUNTIFS(dClass,$Y$7,INDEX(dData,0,MATCH($AA47&amp;CHAR(10)&amp;"Raw Score",dHdr,0)),"&gt;=0")+COUNTIFS(dClass,$Y$7,INDEX(dData,0,MATCH($AA47&amp;CHAR(10)&amp;"Raw Score",dHdr,0)),"A"))/COUNTIF(dClass,$Y$7),""))</f>
        <v/>
      </c>
      <c r="CB47" t="str">
        <f>IF(OR($AA47="",$Y$8=""),"",IFERROR((COUNTIFS(dClass,$Y$8,INDEX(dData,0,MATCH($AA47&amp;CHAR(10)&amp;"Raw Score",dHdr,0)),"&gt;=0")+COUNTIFS(dClass,$Y$8,INDEX(dData,0,MATCH($AA47&amp;CHAR(10)&amp;"Raw Score",dHdr,0)),"A"))/COUNTIF(dClass,$Y$8),""))</f>
        <v/>
      </c>
      <c r="CC47" t="str">
        <f>IF(OR($AA47="",$Y$9=""),"",IFERROR((COUNTIFS(dClass,$Y$9,INDEX(dData,0,MATCH($AA47&amp;CHAR(10)&amp;"Raw Score",dHdr,0)),"&gt;=0")+COUNTIFS(dClass,$Y$9,INDEX(dData,0,MATCH($AA47&amp;CHAR(10)&amp;"Raw Score",dHdr,0)),"A"))/COUNTIF(dClass,$Y$9),""))</f>
        <v/>
      </c>
      <c r="CD47" t="str">
        <f>IF(OR($AA47="",$Y$10=""),"",IFERROR((COUNTIFS(dClass,$Y$10,INDEX(dData,0,MATCH($AA47&amp;CHAR(10)&amp;"Raw Score",dHdr,0)),"&gt;=0")+COUNTIFS(dClass,$Y$10,INDEX(dData,0,MATCH($AA47&amp;CHAR(10)&amp;"Raw Score",dHdr,0)),"A"))/COUNTIF(dClass,$Y$10),""))</f>
        <v/>
      </c>
    </row>
    <row r="48">
      <c r="H48" t="str">
        <f>IFERROR(INDEX(tblY7[Class],ROWS(H$10:H48))&amp;"","")</f>
        <v>7A/Sc2</v>
      </c>
      <c r="I48" t="str">
        <f>IF(H48="","",IF(COUNTIF(H$10:H48,H48)=1,COUNTIF(H$10:H$609,"&lt;"&amp;H48)+1,""))</f>
        <v/>
      </c>
      <c r="J48" t="str">
        <f>IFERROR(INDEX(tblY8[Class],ROWS(J$10:J48))&amp;"","")</f>
        <v>8A/Sc2</v>
      </c>
      <c r="K48" t="str">
        <f>IF(J48="","",IF(COUNTIF(J$10:J48,J48)=1,COUNTIF(J$10:J$609,"&lt;"&amp;J48)+1,""))</f>
        <v/>
      </c>
      <c r="L48" t="str">
        <f>IFERROR(INDEX(tblY9[Class],ROWS(L$10:L48))&amp;"","")</f>
        <v>9A/Sc2</v>
      </c>
      <c r="M48" t="str">
        <f>IF(L48="","",IF(COUNTIF(L$10:L48,L48)=1,COUNTIF(L$10:L$609,"&lt;"&amp;L48)+1,""))</f>
        <v/>
      </c>
      <c r="N48" t="str">
        <f>IFERROR(INDEX(tblY10[Class],ROWS(N$10:N48))&amp;"","")</f>
        <v>10S/Sc2</v>
      </c>
      <c r="O48" t="str">
        <f>IF(N48="","",IF(COUNTIF(N$10:N48,N48)=1,COUNTIF(N$10:N$609,"&lt;"&amp;N48)+1,""))</f>
        <v/>
      </c>
      <c r="P48" t="str">
        <f>IFERROR(INDEX(tblY11[Class],ROWS(P$10:P48))&amp;"","")</f>
        <v>11S/Sc2</v>
      </c>
      <c r="Q48" t="str">
        <f>IF(P48="","",IF(COUNTIF(P$10:P48,P48)=1,COUNTIF(P$10:P$609,"&lt;"&amp;P48)+1,""))</f>
        <v/>
      </c>
      <c r="AA48" t="str">
        <f>IFERROR(INDEX(tblAssessments[Test Name],MATCH(SelYear&amp;"|"&amp;46,tblAssessments[Seq Key],0))&amp;"","")</f>
        <v/>
      </c>
      <c r="AB48" t="str">
        <f>IF(AA48="","",IFERROR(INDEX(tblAssessments[Max Marks],MATCH(SelYear&amp;"|"&amp;46,tblAssessments[Seq Key],0)),""))</f>
        <v/>
      </c>
      <c r="AC48" s="83" t="str">
        <f>IF(AA48="","",IFERROR(IF(INDEX(tblAssessments[Date],MATCH(SelYear&amp;"|"&amp;46,tblAssessments[Seq Key],0))="","",INDEX(tblAssessments[Date],MATCH(SelYear&amp;"|"&amp;46,tblAssessments[Seq Key],0))),""))</f>
        <v/>
      </c>
      <c r="AD48" t="str">
        <f>IF(AA48="","",IFERROR(INDEX(tblAssessments[Code],MATCH(SelYear&amp;"|"&amp;46,tblAssessments[Seq Key],0))&amp;"",""))</f>
        <v/>
      </c>
      <c r="AK48" t="str">
        <f>IF(AA48="","",IF(AD48&lt;&gt;"",AD48,LEFT(AA48,14)))</f>
        <v/>
      </c>
      <c r="AL48" t="e">
        <f>IF(AA48="",NA(),IFERROR(AVERAGE(INDEX(dData,0,MATCH(AA48&amp;CHAR(10)&amp;"Stanine",dHdr,0))),NA()))</f>
        <v>#N/A</v>
      </c>
      <c r="AM48" t="e">
        <f>IF(OR(AA48="",SelClass=""),NA(),IFERROR(AVERAGEIFS(INDEX(dData,0,MATCH(AA48&amp;CHAR(10)&amp;"Stanine",dHdr,0)),dClass,SelClass),NA()))</f>
        <v>#N/A</v>
      </c>
      <c r="BL48" t="str">
        <f>IFERROR(MATCH(SMALL($BJ$70:$BJ$669,46),$BJ$70:$BJ$669,0),"")</f>
        <v/>
      </c>
      <c r="BW48" t="str">
        <f>IF(OR($AA48="",$Y$3=""),"",IFERROR((COUNTIFS(dClass,$Y$3,INDEX(dData,0,MATCH($AA48&amp;CHAR(10)&amp;"Raw Score",dHdr,0)),"&gt;=0")+COUNTIFS(dClass,$Y$3,INDEX(dData,0,MATCH($AA48&amp;CHAR(10)&amp;"Raw Score",dHdr,0)),"A"))/COUNTIF(dClass,$Y$3),""))</f>
        <v/>
      </c>
      <c r="BX48" t="str">
        <f>IF(OR($AA48="",$Y$4=""),"",IFERROR((COUNTIFS(dClass,$Y$4,INDEX(dData,0,MATCH($AA48&amp;CHAR(10)&amp;"Raw Score",dHdr,0)),"&gt;=0")+COUNTIFS(dClass,$Y$4,INDEX(dData,0,MATCH($AA48&amp;CHAR(10)&amp;"Raw Score",dHdr,0)),"A"))/COUNTIF(dClass,$Y$4),""))</f>
        <v/>
      </c>
      <c r="BY48" t="str">
        <f>IF(OR($AA48="",$Y$5=""),"",IFERROR((COUNTIFS(dClass,$Y$5,INDEX(dData,0,MATCH($AA48&amp;CHAR(10)&amp;"Raw Score",dHdr,0)),"&gt;=0")+COUNTIFS(dClass,$Y$5,INDEX(dData,0,MATCH($AA48&amp;CHAR(10)&amp;"Raw Score",dHdr,0)),"A"))/COUNTIF(dClass,$Y$5),""))</f>
        <v/>
      </c>
      <c r="BZ48" t="str">
        <f>IF(OR($AA48="",$Y$6=""),"",IFERROR((COUNTIFS(dClass,$Y$6,INDEX(dData,0,MATCH($AA48&amp;CHAR(10)&amp;"Raw Score",dHdr,0)),"&gt;=0")+COUNTIFS(dClass,$Y$6,INDEX(dData,0,MATCH($AA48&amp;CHAR(10)&amp;"Raw Score",dHdr,0)),"A"))/COUNTIF(dClass,$Y$6),""))</f>
        <v/>
      </c>
      <c r="CA48" t="str">
        <f>IF(OR($AA48="",$Y$7=""),"",IFERROR((COUNTIFS(dClass,$Y$7,INDEX(dData,0,MATCH($AA48&amp;CHAR(10)&amp;"Raw Score",dHdr,0)),"&gt;=0")+COUNTIFS(dClass,$Y$7,INDEX(dData,0,MATCH($AA48&amp;CHAR(10)&amp;"Raw Score",dHdr,0)),"A"))/COUNTIF(dClass,$Y$7),""))</f>
        <v/>
      </c>
      <c r="CB48" t="str">
        <f>IF(OR($AA48="",$Y$8=""),"",IFERROR((COUNTIFS(dClass,$Y$8,INDEX(dData,0,MATCH($AA48&amp;CHAR(10)&amp;"Raw Score",dHdr,0)),"&gt;=0")+COUNTIFS(dClass,$Y$8,INDEX(dData,0,MATCH($AA48&amp;CHAR(10)&amp;"Raw Score",dHdr,0)),"A"))/COUNTIF(dClass,$Y$8),""))</f>
        <v/>
      </c>
      <c r="CC48" t="str">
        <f>IF(OR($AA48="",$Y$9=""),"",IFERROR((COUNTIFS(dClass,$Y$9,INDEX(dData,0,MATCH($AA48&amp;CHAR(10)&amp;"Raw Score",dHdr,0)),"&gt;=0")+COUNTIFS(dClass,$Y$9,INDEX(dData,0,MATCH($AA48&amp;CHAR(10)&amp;"Raw Score",dHdr,0)),"A"))/COUNTIF(dClass,$Y$9),""))</f>
        <v/>
      </c>
      <c r="CD48" t="str">
        <f>IF(OR($AA48="",$Y$10=""),"",IFERROR((COUNTIFS(dClass,$Y$10,INDEX(dData,0,MATCH($AA48&amp;CHAR(10)&amp;"Raw Score",dHdr,0)),"&gt;=0")+COUNTIFS(dClass,$Y$10,INDEX(dData,0,MATCH($AA48&amp;CHAR(10)&amp;"Raw Score",dHdr,0)),"A"))/COUNTIF(dClass,$Y$10),""))</f>
        <v/>
      </c>
    </row>
    <row r="49">
      <c r="H49" t="str">
        <f>IFERROR(INDEX(tblY7[Class],ROWS(H$10:H49))&amp;"","")</f>
        <v>7A/Sc2</v>
      </c>
      <c r="I49" t="str">
        <f>IF(H49="","",IF(COUNTIF(H$10:H49,H49)=1,COUNTIF(H$10:H$609,"&lt;"&amp;H49)+1,""))</f>
        <v/>
      </c>
      <c r="J49" t="str">
        <f>IFERROR(INDEX(tblY8[Class],ROWS(J$10:J49))&amp;"","")</f>
        <v>8A/Sc2</v>
      </c>
      <c r="K49" t="str">
        <f>IF(J49="","",IF(COUNTIF(J$10:J49,J49)=1,COUNTIF(J$10:J$609,"&lt;"&amp;J49)+1,""))</f>
        <v/>
      </c>
      <c r="L49" t="str">
        <f>IFERROR(INDEX(tblY9[Class],ROWS(L$10:L49))&amp;"","")</f>
        <v>9A/Sc2</v>
      </c>
      <c r="M49" t="str">
        <f>IF(L49="","",IF(COUNTIF(L$10:L49,L49)=1,COUNTIF(L$10:L$609,"&lt;"&amp;L49)+1,""))</f>
        <v/>
      </c>
      <c r="N49" t="str">
        <f>IFERROR(INDEX(tblY10[Class],ROWS(N$10:N49))&amp;"","")</f>
        <v>10S/Sc2</v>
      </c>
      <c r="O49" t="str">
        <f>IF(N49="","",IF(COUNTIF(N$10:N49,N49)=1,COUNTIF(N$10:N$609,"&lt;"&amp;N49)+1,""))</f>
        <v/>
      </c>
      <c r="P49" t="str">
        <f>IFERROR(INDEX(tblY11[Class],ROWS(P$10:P49))&amp;"","")</f>
        <v>11S/Sc2</v>
      </c>
      <c r="Q49" t="str">
        <f>IF(P49="","",IF(COUNTIF(P$10:P49,P49)=1,COUNTIF(P$10:P$609,"&lt;"&amp;P49)+1,""))</f>
        <v/>
      </c>
      <c r="AA49" t="str">
        <f>IFERROR(INDEX(tblAssessments[Test Name],MATCH(SelYear&amp;"|"&amp;47,tblAssessments[Seq Key],0))&amp;"","")</f>
        <v/>
      </c>
      <c r="AB49" t="str">
        <f>IF(AA49="","",IFERROR(INDEX(tblAssessments[Max Marks],MATCH(SelYear&amp;"|"&amp;47,tblAssessments[Seq Key],0)),""))</f>
        <v/>
      </c>
      <c r="AC49" s="83" t="str">
        <f>IF(AA49="","",IFERROR(IF(INDEX(tblAssessments[Date],MATCH(SelYear&amp;"|"&amp;47,tblAssessments[Seq Key],0))="","",INDEX(tblAssessments[Date],MATCH(SelYear&amp;"|"&amp;47,tblAssessments[Seq Key],0))),""))</f>
        <v/>
      </c>
      <c r="AD49" t="str">
        <f>IF(AA49="","",IFERROR(INDEX(tblAssessments[Code],MATCH(SelYear&amp;"|"&amp;47,tblAssessments[Seq Key],0))&amp;"",""))</f>
        <v/>
      </c>
      <c r="AK49" t="str">
        <f>IF(AA49="","",IF(AD49&lt;&gt;"",AD49,LEFT(AA49,14)))</f>
        <v/>
      </c>
      <c r="AL49" t="e">
        <f>IF(AA49="",NA(),IFERROR(AVERAGE(INDEX(dData,0,MATCH(AA49&amp;CHAR(10)&amp;"Stanine",dHdr,0))),NA()))</f>
        <v>#N/A</v>
      </c>
      <c r="AM49" t="e">
        <f>IF(OR(AA49="",SelClass=""),NA(),IFERROR(AVERAGEIFS(INDEX(dData,0,MATCH(AA49&amp;CHAR(10)&amp;"Stanine",dHdr,0)),dClass,SelClass),NA()))</f>
        <v>#N/A</v>
      </c>
      <c r="BL49" t="str">
        <f>IFERROR(MATCH(SMALL($BJ$70:$BJ$669,47),$BJ$70:$BJ$669,0),"")</f>
        <v/>
      </c>
      <c r="BW49" t="str">
        <f>IF(OR($AA49="",$Y$3=""),"",IFERROR((COUNTIFS(dClass,$Y$3,INDEX(dData,0,MATCH($AA49&amp;CHAR(10)&amp;"Raw Score",dHdr,0)),"&gt;=0")+COUNTIFS(dClass,$Y$3,INDEX(dData,0,MATCH($AA49&amp;CHAR(10)&amp;"Raw Score",dHdr,0)),"A"))/COUNTIF(dClass,$Y$3),""))</f>
        <v/>
      </c>
      <c r="BX49" t="str">
        <f>IF(OR($AA49="",$Y$4=""),"",IFERROR((COUNTIFS(dClass,$Y$4,INDEX(dData,0,MATCH($AA49&amp;CHAR(10)&amp;"Raw Score",dHdr,0)),"&gt;=0")+COUNTIFS(dClass,$Y$4,INDEX(dData,0,MATCH($AA49&amp;CHAR(10)&amp;"Raw Score",dHdr,0)),"A"))/COUNTIF(dClass,$Y$4),""))</f>
        <v/>
      </c>
      <c r="BY49" t="str">
        <f>IF(OR($AA49="",$Y$5=""),"",IFERROR((COUNTIFS(dClass,$Y$5,INDEX(dData,0,MATCH($AA49&amp;CHAR(10)&amp;"Raw Score",dHdr,0)),"&gt;=0")+COUNTIFS(dClass,$Y$5,INDEX(dData,0,MATCH($AA49&amp;CHAR(10)&amp;"Raw Score",dHdr,0)),"A"))/COUNTIF(dClass,$Y$5),""))</f>
        <v/>
      </c>
      <c r="BZ49" t="str">
        <f>IF(OR($AA49="",$Y$6=""),"",IFERROR((COUNTIFS(dClass,$Y$6,INDEX(dData,0,MATCH($AA49&amp;CHAR(10)&amp;"Raw Score",dHdr,0)),"&gt;=0")+COUNTIFS(dClass,$Y$6,INDEX(dData,0,MATCH($AA49&amp;CHAR(10)&amp;"Raw Score",dHdr,0)),"A"))/COUNTIF(dClass,$Y$6),""))</f>
        <v/>
      </c>
      <c r="CA49" t="str">
        <f>IF(OR($AA49="",$Y$7=""),"",IFERROR((COUNTIFS(dClass,$Y$7,INDEX(dData,0,MATCH($AA49&amp;CHAR(10)&amp;"Raw Score",dHdr,0)),"&gt;=0")+COUNTIFS(dClass,$Y$7,INDEX(dData,0,MATCH($AA49&amp;CHAR(10)&amp;"Raw Score",dHdr,0)),"A"))/COUNTIF(dClass,$Y$7),""))</f>
        <v/>
      </c>
      <c r="CB49" t="str">
        <f>IF(OR($AA49="",$Y$8=""),"",IFERROR((COUNTIFS(dClass,$Y$8,INDEX(dData,0,MATCH($AA49&amp;CHAR(10)&amp;"Raw Score",dHdr,0)),"&gt;=0")+COUNTIFS(dClass,$Y$8,INDEX(dData,0,MATCH($AA49&amp;CHAR(10)&amp;"Raw Score",dHdr,0)),"A"))/COUNTIF(dClass,$Y$8),""))</f>
        <v/>
      </c>
      <c r="CC49" t="str">
        <f>IF(OR($AA49="",$Y$9=""),"",IFERROR((COUNTIFS(dClass,$Y$9,INDEX(dData,0,MATCH($AA49&amp;CHAR(10)&amp;"Raw Score",dHdr,0)),"&gt;=0")+COUNTIFS(dClass,$Y$9,INDEX(dData,0,MATCH($AA49&amp;CHAR(10)&amp;"Raw Score",dHdr,0)),"A"))/COUNTIF(dClass,$Y$9),""))</f>
        <v/>
      </c>
      <c r="CD49" t="str">
        <f>IF(OR($AA49="",$Y$10=""),"",IFERROR((COUNTIFS(dClass,$Y$10,INDEX(dData,0,MATCH($AA49&amp;CHAR(10)&amp;"Raw Score",dHdr,0)),"&gt;=0")+COUNTIFS(dClass,$Y$10,INDEX(dData,0,MATCH($AA49&amp;CHAR(10)&amp;"Raw Score",dHdr,0)),"A"))/COUNTIF(dClass,$Y$10),""))</f>
        <v/>
      </c>
    </row>
    <row r="50">
      <c r="H50" t="str">
        <f>IFERROR(INDEX(tblY7[Class],ROWS(H$10:H50))&amp;"","")</f>
        <v>7A/Sc2</v>
      </c>
      <c r="I50" t="str">
        <f>IF(H50="","",IF(COUNTIF(H$10:H50,H50)=1,COUNTIF(H$10:H$609,"&lt;"&amp;H50)+1,""))</f>
        <v/>
      </c>
      <c r="J50" t="str">
        <f>IFERROR(INDEX(tblY8[Class],ROWS(J$10:J50))&amp;"","")</f>
        <v>8A/Sc2</v>
      </c>
      <c r="K50" t="str">
        <f>IF(J50="","",IF(COUNTIF(J$10:J50,J50)=1,COUNTIF(J$10:J$609,"&lt;"&amp;J50)+1,""))</f>
        <v/>
      </c>
      <c r="L50" t="str">
        <f>IFERROR(INDEX(tblY9[Class],ROWS(L$10:L50))&amp;"","")</f>
        <v>9A/Sc2</v>
      </c>
      <c r="M50" t="str">
        <f>IF(L50="","",IF(COUNTIF(L$10:L50,L50)=1,COUNTIF(L$10:L$609,"&lt;"&amp;L50)+1,""))</f>
        <v/>
      </c>
      <c r="N50" t="str">
        <f>IFERROR(INDEX(tblY10[Class],ROWS(N$10:N50))&amp;"","")</f>
        <v>10S/Sc2</v>
      </c>
      <c r="O50" t="str">
        <f>IF(N50="","",IF(COUNTIF(N$10:N50,N50)=1,COUNTIF(N$10:N$609,"&lt;"&amp;N50)+1,""))</f>
        <v/>
      </c>
      <c r="P50" t="str">
        <f>IFERROR(INDEX(tblY11[Class],ROWS(P$10:P50))&amp;"","")</f>
        <v>11S/Sc2</v>
      </c>
      <c r="Q50" t="str">
        <f>IF(P50="","",IF(COUNTIF(P$10:P50,P50)=1,COUNTIF(P$10:P$609,"&lt;"&amp;P50)+1,""))</f>
        <v/>
      </c>
      <c r="AA50" t="str">
        <f>IFERROR(INDEX(tblAssessments[Test Name],MATCH(SelYear&amp;"|"&amp;48,tblAssessments[Seq Key],0))&amp;"","")</f>
        <v/>
      </c>
      <c r="AB50" t="str">
        <f>IF(AA50="","",IFERROR(INDEX(tblAssessments[Max Marks],MATCH(SelYear&amp;"|"&amp;48,tblAssessments[Seq Key],0)),""))</f>
        <v/>
      </c>
      <c r="AC50" s="83" t="str">
        <f>IF(AA50="","",IFERROR(IF(INDEX(tblAssessments[Date],MATCH(SelYear&amp;"|"&amp;48,tblAssessments[Seq Key],0))="","",INDEX(tblAssessments[Date],MATCH(SelYear&amp;"|"&amp;48,tblAssessments[Seq Key],0))),""))</f>
        <v/>
      </c>
      <c r="AD50" t="str">
        <f>IF(AA50="","",IFERROR(INDEX(tblAssessments[Code],MATCH(SelYear&amp;"|"&amp;48,tblAssessments[Seq Key],0))&amp;"",""))</f>
        <v/>
      </c>
      <c r="AK50" t="str">
        <f>IF(AA50="","",IF(AD50&lt;&gt;"",AD50,LEFT(AA50,14)))</f>
        <v/>
      </c>
      <c r="AL50" t="e">
        <f>IF(AA50="",NA(),IFERROR(AVERAGE(INDEX(dData,0,MATCH(AA50&amp;CHAR(10)&amp;"Stanine",dHdr,0))),NA()))</f>
        <v>#N/A</v>
      </c>
      <c r="AM50" t="e">
        <f>IF(OR(AA50="",SelClass=""),NA(),IFERROR(AVERAGEIFS(INDEX(dData,0,MATCH(AA50&amp;CHAR(10)&amp;"Stanine",dHdr,0)),dClass,SelClass),NA()))</f>
        <v>#N/A</v>
      </c>
      <c r="BL50" t="str">
        <f>IFERROR(MATCH(SMALL($BJ$70:$BJ$669,48),$BJ$70:$BJ$669,0),"")</f>
        <v/>
      </c>
      <c r="BW50" t="str">
        <f>IF(OR($AA50="",$Y$3=""),"",IFERROR((COUNTIFS(dClass,$Y$3,INDEX(dData,0,MATCH($AA50&amp;CHAR(10)&amp;"Raw Score",dHdr,0)),"&gt;=0")+COUNTIFS(dClass,$Y$3,INDEX(dData,0,MATCH($AA50&amp;CHAR(10)&amp;"Raw Score",dHdr,0)),"A"))/COUNTIF(dClass,$Y$3),""))</f>
        <v/>
      </c>
      <c r="BX50" t="str">
        <f>IF(OR($AA50="",$Y$4=""),"",IFERROR((COUNTIFS(dClass,$Y$4,INDEX(dData,0,MATCH($AA50&amp;CHAR(10)&amp;"Raw Score",dHdr,0)),"&gt;=0")+COUNTIFS(dClass,$Y$4,INDEX(dData,0,MATCH($AA50&amp;CHAR(10)&amp;"Raw Score",dHdr,0)),"A"))/COUNTIF(dClass,$Y$4),""))</f>
        <v/>
      </c>
      <c r="BY50" t="str">
        <f>IF(OR($AA50="",$Y$5=""),"",IFERROR((COUNTIFS(dClass,$Y$5,INDEX(dData,0,MATCH($AA50&amp;CHAR(10)&amp;"Raw Score",dHdr,0)),"&gt;=0")+COUNTIFS(dClass,$Y$5,INDEX(dData,0,MATCH($AA50&amp;CHAR(10)&amp;"Raw Score",dHdr,0)),"A"))/COUNTIF(dClass,$Y$5),""))</f>
        <v/>
      </c>
      <c r="BZ50" t="str">
        <f>IF(OR($AA50="",$Y$6=""),"",IFERROR((COUNTIFS(dClass,$Y$6,INDEX(dData,0,MATCH($AA50&amp;CHAR(10)&amp;"Raw Score",dHdr,0)),"&gt;=0")+COUNTIFS(dClass,$Y$6,INDEX(dData,0,MATCH($AA50&amp;CHAR(10)&amp;"Raw Score",dHdr,0)),"A"))/COUNTIF(dClass,$Y$6),""))</f>
        <v/>
      </c>
      <c r="CA50" t="str">
        <f>IF(OR($AA50="",$Y$7=""),"",IFERROR((COUNTIFS(dClass,$Y$7,INDEX(dData,0,MATCH($AA50&amp;CHAR(10)&amp;"Raw Score",dHdr,0)),"&gt;=0")+COUNTIFS(dClass,$Y$7,INDEX(dData,0,MATCH($AA50&amp;CHAR(10)&amp;"Raw Score",dHdr,0)),"A"))/COUNTIF(dClass,$Y$7),""))</f>
        <v/>
      </c>
      <c r="CB50" t="str">
        <f>IF(OR($AA50="",$Y$8=""),"",IFERROR((COUNTIFS(dClass,$Y$8,INDEX(dData,0,MATCH($AA50&amp;CHAR(10)&amp;"Raw Score",dHdr,0)),"&gt;=0")+COUNTIFS(dClass,$Y$8,INDEX(dData,0,MATCH($AA50&amp;CHAR(10)&amp;"Raw Score",dHdr,0)),"A"))/COUNTIF(dClass,$Y$8),""))</f>
        <v/>
      </c>
      <c r="CC50" t="str">
        <f>IF(OR($AA50="",$Y$9=""),"",IFERROR((COUNTIFS(dClass,$Y$9,INDEX(dData,0,MATCH($AA50&amp;CHAR(10)&amp;"Raw Score",dHdr,0)),"&gt;=0")+COUNTIFS(dClass,$Y$9,INDEX(dData,0,MATCH($AA50&amp;CHAR(10)&amp;"Raw Score",dHdr,0)),"A"))/COUNTIF(dClass,$Y$9),""))</f>
        <v/>
      </c>
      <c r="CD50" t="str">
        <f>IF(OR($AA50="",$Y$10=""),"",IFERROR((COUNTIFS(dClass,$Y$10,INDEX(dData,0,MATCH($AA50&amp;CHAR(10)&amp;"Raw Score",dHdr,0)),"&gt;=0")+COUNTIFS(dClass,$Y$10,INDEX(dData,0,MATCH($AA50&amp;CHAR(10)&amp;"Raw Score",dHdr,0)),"A"))/COUNTIF(dClass,$Y$10),""))</f>
        <v/>
      </c>
    </row>
    <row r="51">
      <c r="H51" t="str">
        <f>IFERROR(INDEX(tblY7[Class],ROWS(H$10:H51))&amp;"","")</f>
        <v>7A/Sc2</v>
      </c>
      <c r="I51" t="str">
        <f>IF(H51="","",IF(COUNTIF(H$10:H51,H51)=1,COUNTIF(H$10:H$609,"&lt;"&amp;H51)+1,""))</f>
        <v/>
      </c>
      <c r="J51" t="str">
        <f>IFERROR(INDEX(tblY8[Class],ROWS(J$10:J51))&amp;"","")</f>
        <v>8A/Sc2</v>
      </c>
      <c r="K51" t="str">
        <f>IF(J51="","",IF(COUNTIF(J$10:J51,J51)=1,COUNTIF(J$10:J$609,"&lt;"&amp;J51)+1,""))</f>
        <v/>
      </c>
      <c r="L51" t="str">
        <f>IFERROR(INDEX(tblY9[Class],ROWS(L$10:L51))&amp;"","")</f>
        <v>9A/Sc2</v>
      </c>
      <c r="M51" t="str">
        <f>IF(L51="","",IF(COUNTIF(L$10:L51,L51)=1,COUNTIF(L$10:L$609,"&lt;"&amp;L51)+1,""))</f>
        <v/>
      </c>
      <c r="N51" t="str">
        <f>IFERROR(INDEX(tblY10[Class],ROWS(N$10:N51))&amp;"","")</f>
        <v>10S/Sc2</v>
      </c>
      <c r="O51" t="str">
        <f>IF(N51="","",IF(COUNTIF(N$10:N51,N51)=1,COUNTIF(N$10:N$609,"&lt;"&amp;N51)+1,""))</f>
        <v/>
      </c>
      <c r="P51" t="str">
        <f>IFERROR(INDEX(tblY11[Class],ROWS(P$10:P51))&amp;"","")</f>
        <v>11S/Sc2</v>
      </c>
      <c r="Q51" t="str">
        <f>IF(P51="","",IF(COUNTIF(P$10:P51,P51)=1,COUNTIF(P$10:P$609,"&lt;"&amp;P51)+1,""))</f>
        <v/>
      </c>
      <c r="AA51" t="str">
        <f>IFERROR(INDEX(tblAssessments[Test Name],MATCH(SelYear&amp;"|"&amp;49,tblAssessments[Seq Key],0))&amp;"","")</f>
        <v/>
      </c>
      <c r="AB51" t="str">
        <f>IF(AA51="","",IFERROR(INDEX(tblAssessments[Max Marks],MATCH(SelYear&amp;"|"&amp;49,tblAssessments[Seq Key],0)),""))</f>
        <v/>
      </c>
      <c r="AC51" s="83" t="str">
        <f>IF(AA51="","",IFERROR(IF(INDEX(tblAssessments[Date],MATCH(SelYear&amp;"|"&amp;49,tblAssessments[Seq Key],0))="","",INDEX(tblAssessments[Date],MATCH(SelYear&amp;"|"&amp;49,tblAssessments[Seq Key],0))),""))</f>
        <v/>
      </c>
      <c r="AD51" t="str">
        <f>IF(AA51="","",IFERROR(INDEX(tblAssessments[Code],MATCH(SelYear&amp;"|"&amp;49,tblAssessments[Seq Key],0))&amp;"",""))</f>
        <v/>
      </c>
      <c r="AK51" t="str">
        <f>IF(AA51="","",IF(AD51&lt;&gt;"",AD51,LEFT(AA51,14)))</f>
        <v/>
      </c>
      <c r="AL51" t="e">
        <f>IF(AA51="",NA(),IFERROR(AVERAGE(INDEX(dData,0,MATCH(AA51&amp;CHAR(10)&amp;"Stanine",dHdr,0))),NA()))</f>
        <v>#N/A</v>
      </c>
      <c r="AM51" t="e">
        <f>IF(OR(AA51="",SelClass=""),NA(),IFERROR(AVERAGEIFS(INDEX(dData,0,MATCH(AA51&amp;CHAR(10)&amp;"Stanine",dHdr,0)),dClass,SelClass),NA()))</f>
        <v>#N/A</v>
      </c>
      <c r="BL51" t="str">
        <f>IFERROR(MATCH(SMALL($BJ$70:$BJ$669,49),$BJ$70:$BJ$669,0),"")</f>
        <v/>
      </c>
      <c r="BW51" t="str">
        <f>IF(OR($AA51="",$Y$3=""),"",IFERROR((COUNTIFS(dClass,$Y$3,INDEX(dData,0,MATCH($AA51&amp;CHAR(10)&amp;"Raw Score",dHdr,0)),"&gt;=0")+COUNTIFS(dClass,$Y$3,INDEX(dData,0,MATCH($AA51&amp;CHAR(10)&amp;"Raw Score",dHdr,0)),"A"))/COUNTIF(dClass,$Y$3),""))</f>
        <v/>
      </c>
      <c r="BX51" t="str">
        <f>IF(OR($AA51="",$Y$4=""),"",IFERROR((COUNTIFS(dClass,$Y$4,INDEX(dData,0,MATCH($AA51&amp;CHAR(10)&amp;"Raw Score",dHdr,0)),"&gt;=0")+COUNTIFS(dClass,$Y$4,INDEX(dData,0,MATCH($AA51&amp;CHAR(10)&amp;"Raw Score",dHdr,0)),"A"))/COUNTIF(dClass,$Y$4),""))</f>
        <v/>
      </c>
      <c r="BY51" t="str">
        <f>IF(OR($AA51="",$Y$5=""),"",IFERROR((COUNTIFS(dClass,$Y$5,INDEX(dData,0,MATCH($AA51&amp;CHAR(10)&amp;"Raw Score",dHdr,0)),"&gt;=0")+COUNTIFS(dClass,$Y$5,INDEX(dData,0,MATCH($AA51&amp;CHAR(10)&amp;"Raw Score",dHdr,0)),"A"))/COUNTIF(dClass,$Y$5),""))</f>
        <v/>
      </c>
      <c r="BZ51" t="str">
        <f>IF(OR($AA51="",$Y$6=""),"",IFERROR((COUNTIFS(dClass,$Y$6,INDEX(dData,0,MATCH($AA51&amp;CHAR(10)&amp;"Raw Score",dHdr,0)),"&gt;=0")+COUNTIFS(dClass,$Y$6,INDEX(dData,0,MATCH($AA51&amp;CHAR(10)&amp;"Raw Score",dHdr,0)),"A"))/COUNTIF(dClass,$Y$6),""))</f>
        <v/>
      </c>
      <c r="CA51" t="str">
        <f>IF(OR($AA51="",$Y$7=""),"",IFERROR((COUNTIFS(dClass,$Y$7,INDEX(dData,0,MATCH($AA51&amp;CHAR(10)&amp;"Raw Score",dHdr,0)),"&gt;=0")+COUNTIFS(dClass,$Y$7,INDEX(dData,0,MATCH($AA51&amp;CHAR(10)&amp;"Raw Score",dHdr,0)),"A"))/COUNTIF(dClass,$Y$7),""))</f>
        <v/>
      </c>
      <c r="CB51" t="str">
        <f>IF(OR($AA51="",$Y$8=""),"",IFERROR((COUNTIFS(dClass,$Y$8,INDEX(dData,0,MATCH($AA51&amp;CHAR(10)&amp;"Raw Score",dHdr,0)),"&gt;=0")+COUNTIFS(dClass,$Y$8,INDEX(dData,0,MATCH($AA51&amp;CHAR(10)&amp;"Raw Score",dHdr,0)),"A"))/COUNTIF(dClass,$Y$8),""))</f>
        <v/>
      </c>
      <c r="CC51" t="str">
        <f>IF(OR($AA51="",$Y$9=""),"",IFERROR((COUNTIFS(dClass,$Y$9,INDEX(dData,0,MATCH($AA51&amp;CHAR(10)&amp;"Raw Score",dHdr,0)),"&gt;=0")+COUNTIFS(dClass,$Y$9,INDEX(dData,0,MATCH($AA51&amp;CHAR(10)&amp;"Raw Score",dHdr,0)),"A"))/COUNTIF(dClass,$Y$9),""))</f>
        <v/>
      </c>
      <c r="CD51" t="str">
        <f>IF(OR($AA51="",$Y$10=""),"",IFERROR((COUNTIFS(dClass,$Y$10,INDEX(dData,0,MATCH($AA51&amp;CHAR(10)&amp;"Raw Score",dHdr,0)),"&gt;=0")+COUNTIFS(dClass,$Y$10,INDEX(dData,0,MATCH($AA51&amp;CHAR(10)&amp;"Raw Score",dHdr,0)),"A"))/COUNTIF(dClass,$Y$10),""))</f>
        <v/>
      </c>
    </row>
    <row r="52">
      <c r="H52" t="str">
        <f>IFERROR(INDEX(tblY7[Class],ROWS(H$10:H52))&amp;"","")</f>
        <v>7A/Sc2</v>
      </c>
      <c r="I52" t="str">
        <f>IF(H52="","",IF(COUNTIF(H$10:H52,H52)=1,COUNTIF(H$10:H$609,"&lt;"&amp;H52)+1,""))</f>
        <v/>
      </c>
      <c r="J52" t="str">
        <f>IFERROR(INDEX(tblY8[Class],ROWS(J$10:J52))&amp;"","")</f>
        <v>8A/Sc2</v>
      </c>
      <c r="K52" t="str">
        <f>IF(J52="","",IF(COUNTIF(J$10:J52,J52)=1,COUNTIF(J$10:J$609,"&lt;"&amp;J52)+1,""))</f>
        <v/>
      </c>
      <c r="L52" t="str">
        <f>IFERROR(INDEX(tblY9[Class],ROWS(L$10:L52))&amp;"","")</f>
        <v>9A/Sc2</v>
      </c>
      <c r="M52" t="str">
        <f>IF(L52="","",IF(COUNTIF(L$10:L52,L52)=1,COUNTIF(L$10:L$609,"&lt;"&amp;L52)+1,""))</f>
        <v/>
      </c>
      <c r="N52" t="str">
        <f>IFERROR(INDEX(tblY10[Class],ROWS(N$10:N52))&amp;"","")</f>
        <v>10S/Sc2</v>
      </c>
      <c r="O52" t="str">
        <f>IF(N52="","",IF(COUNTIF(N$10:N52,N52)=1,COUNTIF(N$10:N$609,"&lt;"&amp;N52)+1,""))</f>
        <v/>
      </c>
      <c r="P52" t="str">
        <f>IFERROR(INDEX(tblY11[Class],ROWS(P$10:P52))&amp;"","")</f>
        <v>11S/Sc2</v>
      </c>
      <c r="Q52" t="str">
        <f>IF(P52="","",IF(COUNTIF(P$10:P52,P52)=1,COUNTIF(P$10:P$609,"&lt;"&amp;P52)+1,""))</f>
        <v/>
      </c>
      <c r="AA52" t="str">
        <f>IFERROR(INDEX(tblAssessments[Test Name],MATCH(SelYear&amp;"|"&amp;50,tblAssessments[Seq Key],0))&amp;"","")</f>
        <v/>
      </c>
      <c r="AB52" t="str">
        <f>IF(AA52="","",IFERROR(INDEX(tblAssessments[Max Marks],MATCH(SelYear&amp;"|"&amp;50,tblAssessments[Seq Key],0)),""))</f>
        <v/>
      </c>
      <c r="AC52" s="83" t="str">
        <f>IF(AA52="","",IFERROR(IF(INDEX(tblAssessments[Date],MATCH(SelYear&amp;"|"&amp;50,tblAssessments[Seq Key],0))="","",INDEX(tblAssessments[Date],MATCH(SelYear&amp;"|"&amp;50,tblAssessments[Seq Key],0))),""))</f>
        <v/>
      </c>
      <c r="AD52" t="str">
        <f>IF(AA52="","",IFERROR(INDEX(tblAssessments[Code],MATCH(SelYear&amp;"|"&amp;50,tblAssessments[Seq Key],0))&amp;"",""))</f>
        <v/>
      </c>
      <c r="AK52" t="str">
        <f>IF(AA52="","",IF(AD52&lt;&gt;"",AD52,LEFT(AA52,14)))</f>
        <v/>
      </c>
      <c r="AL52" t="e">
        <f>IF(AA52="",NA(),IFERROR(AVERAGE(INDEX(dData,0,MATCH(AA52&amp;CHAR(10)&amp;"Stanine",dHdr,0))),NA()))</f>
        <v>#N/A</v>
      </c>
      <c r="AM52" t="e">
        <f>IF(OR(AA52="",SelClass=""),NA(),IFERROR(AVERAGEIFS(INDEX(dData,0,MATCH(AA52&amp;CHAR(10)&amp;"Stanine",dHdr,0)),dClass,SelClass),NA()))</f>
        <v>#N/A</v>
      </c>
      <c r="BL52" t="str">
        <f>IFERROR(MATCH(SMALL($BJ$70:$BJ$669,50),$BJ$70:$BJ$669,0),"")</f>
        <v/>
      </c>
      <c r="BW52" t="str">
        <f>IF(OR($AA52="",$Y$3=""),"",IFERROR((COUNTIFS(dClass,$Y$3,INDEX(dData,0,MATCH($AA52&amp;CHAR(10)&amp;"Raw Score",dHdr,0)),"&gt;=0")+COUNTIFS(dClass,$Y$3,INDEX(dData,0,MATCH($AA52&amp;CHAR(10)&amp;"Raw Score",dHdr,0)),"A"))/COUNTIF(dClass,$Y$3),""))</f>
        <v/>
      </c>
      <c r="BX52" t="str">
        <f>IF(OR($AA52="",$Y$4=""),"",IFERROR((COUNTIFS(dClass,$Y$4,INDEX(dData,0,MATCH($AA52&amp;CHAR(10)&amp;"Raw Score",dHdr,0)),"&gt;=0")+COUNTIFS(dClass,$Y$4,INDEX(dData,0,MATCH($AA52&amp;CHAR(10)&amp;"Raw Score",dHdr,0)),"A"))/COUNTIF(dClass,$Y$4),""))</f>
        <v/>
      </c>
      <c r="BY52" t="str">
        <f>IF(OR($AA52="",$Y$5=""),"",IFERROR((COUNTIFS(dClass,$Y$5,INDEX(dData,0,MATCH($AA52&amp;CHAR(10)&amp;"Raw Score",dHdr,0)),"&gt;=0")+COUNTIFS(dClass,$Y$5,INDEX(dData,0,MATCH($AA52&amp;CHAR(10)&amp;"Raw Score",dHdr,0)),"A"))/COUNTIF(dClass,$Y$5),""))</f>
        <v/>
      </c>
      <c r="BZ52" t="str">
        <f>IF(OR($AA52="",$Y$6=""),"",IFERROR((COUNTIFS(dClass,$Y$6,INDEX(dData,0,MATCH($AA52&amp;CHAR(10)&amp;"Raw Score",dHdr,0)),"&gt;=0")+COUNTIFS(dClass,$Y$6,INDEX(dData,0,MATCH($AA52&amp;CHAR(10)&amp;"Raw Score",dHdr,0)),"A"))/COUNTIF(dClass,$Y$6),""))</f>
        <v/>
      </c>
      <c r="CA52" t="str">
        <f>IF(OR($AA52="",$Y$7=""),"",IFERROR((COUNTIFS(dClass,$Y$7,INDEX(dData,0,MATCH($AA52&amp;CHAR(10)&amp;"Raw Score",dHdr,0)),"&gt;=0")+COUNTIFS(dClass,$Y$7,INDEX(dData,0,MATCH($AA52&amp;CHAR(10)&amp;"Raw Score",dHdr,0)),"A"))/COUNTIF(dClass,$Y$7),""))</f>
        <v/>
      </c>
      <c r="CB52" t="str">
        <f>IF(OR($AA52="",$Y$8=""),"",IFERROR((COUNTIFS(dClass,$Y$8,INDEX(dData,0,MATCH($AA52&amp;CHAR(10)&amp;"Raw Score",dHdr,0)),"&gt;=0")+COUNTIFS(dClass,$Y$8,INDEX(dData,0,MATCH($AA52&amp;CHAR(10)&amp;"Raw Score",dHdr,0)),"A"))/COUNTIF(dClass,$Y$8),""))</f>
        <v/>
      </c>
      <c r="CC52" t="str">
        <f>IF(OR($AA52="",$Y$9=""),"",IFERROR((COUNTIFS(dClass,$Y$9,INDEX(dData,0,MATCH($AA52&amp;CHAR(10)&amp;"Raw Score",dHdr,0)),"&gt;=0")+COUNTIFS(dClass,$Y$9,INDEX(dData,0,MATCH($AA52&amp;CHAR(10)&amp;"Raw Score",dHdr,0)),"A"))/COUNTIF(dClass,$Y$9),""))</f>
        <v/>
      </c>
      <c r="CD52" t="str">
        <f>IF(OR($AA52="",$Y$10=""),"",IFERROR((COUNTIFS(dClass,$Y$10,INDEX(dData,0,MATCH($AA52&amp;CHAR(10)&amp;"Raw Score",dHdr,0)),"&gt;=0")+COUNTIFS(dClass,$Y$10,INDEX(dData,0,MATCH($AA52&amp;CHAR(10)&amp;"Raw Score",dHdr,0)),"A"))/COUNTIF(dClass,$Y$10),""))</f>
        <v/>
      </c>
    </row>
    <row r="53">
      <c r="H53" t="str">
        <f>IFERROR(INDEX(tblY7[Class],ROWS(H$10:H53))&amp;"","")</f>
        <v>7A/Sc2</v>
      </c>
      <c r="I53" t="str">
        <f>IF(H53="","",IF(COUNTIF(H$10:H53,H53)=1,COUNTIF(H$10:H$609,"&lt;"&amp;H53)+1,""))</f>
        <v/>
      </c>
      <c r="J53" t="str">
        <f>IFERROR(INDEX(tblY8[Class],ROWS(J$10:J53))&amp;"","")</f>
        <v>8A/Sc2</v>
      </c>
      <c r="K53" t="str">
        <f>IF(J53="","",IF(COUNTIF(J$10:J53,J53)=1,COUNTIF(J$10:J$609,"&lt;"&amp;J53)+1,""))</f>
        <v/>
      </c>
      <c r="L53" t="str">
        <f>IFERROR(INDEX(tblY9[Class],ROWS(L$10:L53))&amp;"","")</f>
        <v>9A/Sc2</v>
      </c>
      <c r="M53" t="str">
        <f>IF(L53="","",IF(COUNTIF(L$10:L53,L53)=1,COUNTIF(L$10:L$609,"&lt;"&amp;L53)+1,""))</f>
        <v/>
      </c>
      <c r="N53" t="str">
        <f>IFERROR(INDEX(tblY10[Class],ROWS(N$10:N53))&amp;"","")</f>
        <v>10S/Sc2</v>
      </c>
      <c r="O53" t="str">
        <f>IF(N53="","",IF(COUNTIF(N$10:N53,N53)=1,COUNTIF(N$10:N$609,"&lt;"&amp;N53)+1,""))</f>
        <v/>
      </c>
      <c r="P53" t="str">
        <f>IFERROR(INDEX(tblY11[Class],ROWS(P$10:P53))&amp;"","")</f>
        <v>11S/Sc2</v>
      </c>
      <c r="Q53" t="str">
        <f>IF(P53="","",IF(COUNTIF(P$10:P53,P53)=1,COUNTIF(P$10:P$609,"&lt;"&amp;P53)+1,""))</f>
        <v/>
      </c>
      <c r="AA53" t="str">
        <f>IFERROR(INDEX(tblAssessments[Test Name],MATCH(SelYear&amp;"|"&amp;51,tblAssessments[Seq Key],0))&amp;"","")</f>
        <v/>
      </c>
      <c r="AB53" t="str">
        <f>IF(AA53="","",IFERROR(INDEX(tblAssessments[Max Marks],MATCH(SelYear&amp;"|"&amp;51,tblAssessments[Seq Key],0)),""))</f>
        <v/>
      </c>
      <c r="AC53" s="83" t="str">
        <f>IF(AA53="","",IFERROR(IF(INDEX(tblAssessments[Date],MATCH(SelYear&amp;"|"&amp;51,tblAssessments[Seq Key],0))="","",INDEX(tblAssessments[Date],MATCH(SelYear&amp;"|"&amp;51,tblAssessments[Seq Key],0))),""))</f>
        <v/>
      </c>
      <c r="AD53" t="str">
        <f>IF(AA53="","",IFERROR(INDEX(tblAssessments[Code],MATCH(SelYear&amp;"|"&amp;51,tblAssessments[Seq Key],0))&amp;"",""))</f>
        <v/>
      </c>
      <c r="AK53" t="str">
        <f>IF(AA53="","",IF(AD53&lt;&gt;"",AD53,LEFT(AA53,14)))</f>
        <v/>
      </c>
      <c r="AL53" t="e">
        <f>IF(AA53="",NA(),IFERROR(AVERAGE(INDEX(dData,0,MATCH(AA53&amp;CHAR(10)&amp;"Stanine",dHdr,0))),NA()))</f>
        <v>#N/A</v>
      </c>
      <c r="AM53" t="e">
        <f>IF(OR(AA53="",SelClass=""),NA(),IFERROR(AVERAGEIFS(INDEX(dData,0,MATCH(AA53&amp;CHAR(10)&amp;"Stanine",dHdr,0)),dClass,SelClass),NA()))</f>
        <v>#N/A</v>
      </c>
      <c r="BW53" t="str">
        <f>IF(OR($AA53="",$Y$3=""),"",IFERROR((COUNTIFS(dClass,$Y$3,INDEX(dData,0,MATCH($AA53&amp;CHAR(10)&amp;"Raw Score",dHdr,0)),"&gt;=0")+COUNTIFS(dClass,$Y$3,INDEX(dData,0,MATCH($AA53&amp;CHAR(10)&amp;"Raw Score",dHdr,0)),"A"))/COUNTIF(dClass,$Y$3),""))</f>
        <v/>
      </c>
      <c r="BX53" t="str">
        <f>IF(OR($AA53="",$Y$4=""),"",IFERROR((COUNTIFS(dClass,$Y$4,INDEX(dData,0,MATCH($AA53&amp;CHAR(10)&amp;"Raw Score",dHdr,0)),"&gt;=0")+COUNTIFS(dClass,$Y$4,INDEX(dData,0,MATCH($AA53&amp;CHAR(10)&amp;"Raw Score",dHdr,0)),"A"))/COUNTIF(dClass,$Y$4),""))</f>
        <v/>
      </c>
      <c r="BY53" t="str">
        <f>IF(OR($AA53="",$Y$5=""),"",IFERROR((COUNTIFS(dClass,$Y$5,INDEX(dData,0,MATCH($AA53&amp;CHAR(10)&amp;"Raw Score",dHdr,0)),"&gt;=0")+COUNTIFS(dClass,$Y$5,INDEX(dData,0,MATCH($AA53&amp;CHAR(10)&amp;"Raw Score",dHdr,0)),"A"))/COUNTIF(dClass,$Y$5),""))</f>
        <v/>
      </c>
      <c r="BZ53" t="str">
        <f>IF(OR($AA53="",$Y$6=""),"",IFERROR((COUNTIFS(dClass,$Y$6,INDEX(dData,0,MATCH($AA53&amp;CHAR(10)&amp;"Raw Score",dHdr,0)),"&gt;=0")+COUNTIFS(dClass,$Y$6,INDEX(dData,0,MATCH($AA53&amp;CHAR(10)&amp;"Raw Score",dHdr,0)),"A"))/COUNTIF(dClass,$Y$6),""))</f>
        <v/>
      </c>
      <c r="CA53" t="str">
        <f>IF(OR($AA53="",$Y$7=""),"",IFERROR((COUNTIFS(dClass,$Y$7,INDEX(dData,0,MATCH($AA53&amp;CHAR(10)&amp;"Raw Score",dHdr,0)),"&gt;=0")+COUNTIFS(dClass,$Y$7,INDEX(dData,0,MATCH($AA53&amp;CHAR(10)&amp;"Raw Score",dHdr,0)),"A"))/COUNTIF(dClass,$Y$7),""))</f>
        <v/>
      </c>
      <c r="CB53" t="str">
        <f>IF(OR($AA53="",$Y$8=""),"",IFERROR((COUNTIFS(dClass,$Y$8,INDEX(dData,0,MATCH($AA53&amp;CHAR(10)&amp;"Raw Score",dHdr,0)),"&gt;=0")+COUNTIFS(dClass,$Y$8,INDEX(dData,0,MATCH($AA53&amp;CHAR(10)&amp;"Raw Score",dHdr,0)),"A"))/COUNTIF(dClass,$Y$8),""))</f>
        <v/>
      </c>
      <c r="CC53" t="str">
        <f>IF(OR($AA53="",$Y$9=""),"",IFERROR((COUNTIFS(dClass,$Y$9,INDEX(dData,0,MATCH($AA53&amp;CHAR(10)&amp;"Raw Score",dHdr,0)),"&gt;=0")+COUNTIFS(dClass,$Y$9,INDEX(dData,0,MATCH($AA53&amp;CHAR(10)&amp;"Raw Score",dHdr,0)),"A"))/COUNTIF(dClass,$Y$9),""))</f>
        <v/>
      </c>
      <c r="CD53" t="str">
        <f>IF(OR($AA53="",$Y$10=""),"",IFERROR((COUNTIFS(dClass,$Y$10,INDEX(dData,0,MATCH($AA53&amp;CHAR(10)&amp;"Raw Score",dHdr,0)),"&gt;=0")+COUNTIFS(dClass,$Y$10,INDEX(dData,0,MATCH($AA53&amp;CHAR(10)&amp;"Raw Score",dHdr,0)),"A"))/COUNTIF(dClass,$Y$10),""))</f>
        <v/>
      </c>
    </row>
    <row r="54">
      <c r="H54" t="str">
        <f>IFERROR(INDEX(tblY7[Class],ROWS(H$10:H54))&amp;"","")</f>
        <v>7A/Sc2</v>
      </c>
      <c r="I54" t="str">
        <f>IF(H54="","",IF(COUNTIF(H$10:H54,H54)=1,COUNTIF(H$10:H$609,"&lt;"&amp;H54)+1,""))</f>
        <v/>
      </c>
      <c r="J54" t="str">
        <f>IFERROR(INDEX(tblY8[Class],ROWS(J$10:J54))&amp;"","")</f>
        <v>8A/Sc2</v>
      </c>
      <c r="K54" t="str">
        <f>IF(J54="","",IF(COUNTIF(J$10:J54,J54)=1,COUNTIF(J$10:J$609,"&lt;"&amp;J54)+1,""))</f>
        <v/>
      </c>
      <c r="L54" t="str">
        <f>IFERROR(INDEX(tblY9[Class],ROWS(L$10:L54))&amp;"","")</f>
        <v>9A/Sc2</v>
      </c>
      <c r="M54" t="str">
        <f>IF(L54="","",IF(COUNTIF(L$10:L54,L54)=1,COUNTIF(L$10:L$609,"&lt;"&amp;L54)+1,""))</f>
        <v/>
      </c>
      <c r="N54" t="str">
        <f>IFERROR(INDEX(tblY10[Class],ROWS(N$10:N54))&amp;"","")</f>
        <v>10S/Sc2</v>
      </c>
      <c r="O54" t="str">
        <f>IF(N54="","",IF(COUNTIF(N$10:N54,N54)=1,COUNTIF(N$10:N$609,"&lt;"&amp;N54)+1,""))</f>
        <v/>
      </c>
      <c r="P54" t="str">
        <f>IFERROR(INDEX(tblY11[Class],ROWS(P$10:P54))&amp;"","")</f>
        <v>11S/Sc2</v>
      </c>
      <c r="Q54" t="str">
        <f>IF(P54="","",IF(COUNTIF(P$10:P54,P54)=1,COUNTIF(P$10:P$609,"&lt;"&amp;P54)+1,""))</f>
        <v/>
      </c>
      <c r="AA54" t="str">
        <f>IFERROR(INDEX(tblAssessments[Test Name],MATCH(SelYear&amp;"|"&amp;52,tblAssessments[Seq Key],0))&amp;"","")</f>
        <v/>
      </c>
      <c r="AB54" t="str">
        <f>IF(AA54="","",IFERROR(INDEX(tblAssessments[Max Marks],MATCH(SelYear&amp;"|"&amp;52,tblAssessments[Seq Key],0)),""))</f>
        <v/>
      </c>
      <c r="AC54" s="83" t="str">
        <f>IF(AA54="","",IFERROR(IF(INDEX(tblAssessments[Date],MATCH(SelYear&amp;"|"&amp;52,tblAssessments[Seq Key],0))="","",INDEX(tblAssessments[Date],MATCH(SelYear&amp;"|"&amp;52,tblAssessments[Seq Key],0))),""))</f>
        <v/>
      </c>
      <c r="AD54" t="str">
        <f>IF(AA54="","",IFERROR(INDEX(tblAssessments[Code],MATCH(SelYear&amp;"|"&amp;52,tblAssessments[Seq Key],0))&amp;"",""))</f>
        <v/>
      </c>
      <c r="AK54" t="str">
        <f>IF(AA54="","",IF(AD54&lt;&gt;"",AD54,LEFT(AA54,14)))</f>
        <v/>
      </c>
      <c r="AL54" t="e">
        <f>IF(AA54="",NA(),IFERROR(AVERAGE(INDEX(dData,0,MATCH(AA54&amp;CHAR(10)&amp;"Stanine",dHdr,0))),NA()))</f>
        <v>#N/A</v>
      </c>
      <c r="AM54" t="e">
        <f>IF(OR(AA54="",SelClass=""),NA(),IFERROR(AVERAGEIFS(INDEX(dData,0,MATCH(AA54&amp;CHAR(10)&amp;"Stanine",dHdr,0)),dClass,SelClass),NA()))</f>
        <v>#N/A</v>
      </c>
      <c r="BW54" t="str">
        <f>IF(OR($AA54="",$Y$3=""),"",IFERROR((COUNTIFS(dClass,$Y$3,INDEX(dData,0,MATCH($AA54&amp;CHAR(10)&amp;"Raw Score",dHdr,0)),"&gt;=0")+COUNTIFS(dClass,$Y$3,INDEX(dData,0,MATCH($AA54&amp;CHAR(10)&amp;"Raw Score",dHdr,0)),"A"))/COUNTIF(dClass,$Y$3),""))</f>
        <v/>
      </c>
      <c r="BX54" t="str">
        <f>IF(OR($AA54="",$Y$4=""),"",IFERROR((COUNTIFS(dClass,$Y$4,INDEX(dData,0,MATCH($AA54&amp;CHAR(10)&amp;"Raw Score",dHdr,0)),"&gt;=0")+COUNTIFS(dClass,$Y$4,INDEX(dData,0,MATCH($AA54&amp;CHAR(10)&amp;"Raw Score",dHdr,0)),"A"))/COUNTIF(dClass,$Y$4),""))</f>
        <v/>
      </c>
      <c r="BY54" t="str">
        <f>IF(OR($AA54="",$Y$5=""),"",IFERROR((COUNTIFS(dClass,$Y$5,INDEX(dData,0,MATCH($AA54&amp;CHAR(10)&amp;"Raw Score",dHdr,0)),"&gt;=0")+COUNTIFS(dClass,$Y$5,INDEX(dData,0,MATCH($AA54&amp;CHAR(10)&amp;"Raw Score",dHdr,0)),"A"))/COUNTIF(dClass,$Y$5),""))</f>
        <v/>
      </c>
      <c r="BZ54" t="str">
        <f>IF(OR($AA54="",$Y$6=""),"",IFERROR((COUNTIFS(dClass,$Y$6,INDEX(dData,0,MATCH($AA54&amp;CHAR(10)&amp;"Raw Score",dHdr,0)),"&gt;=0")+COUNTIFS(dClass,$Y$6,INDEX(dData,0,MATCH($AA54&amp;CHAR(10)&amp;"Raw Score",dHdr,0)),"A"))/COUNTIF(dClass,$Y$6),""))</f>
        <v/>
      </c>
      <c r="CA54" t="str">
        <f>IF(OR($AA54="",$Y$7=""),"",IFERROR((COUNTIFS(dClass,$Y$7,INDEX(dData,0,MATCH($AA54&amp;CHAR(10)&amp;"Raw Score",dHdr,0)),"&gt;=0")+COUNTIFS(dClass,$Y$7,INDEX(dData,0,MATCH($AA54&amp;CHAR(10)&amp;"Raw Score",dHdr,0)),"A"))/COUNTIF(dClass,$Y$7),""))</f>
        <v/>
      </c>
      <c r="CB54" t="str">
        <f>IF(OR($AA54="",$Y$8=""),"",IFERROR((COUNTIFS(dClass,$Y$8,INDEX(dData,0,MATCH($AA54&amp;CHAR(10)&amp;"Raw Score",dHdr,0)),"&gt;=0")+COUNTIFS(dClass,$Y$8,INDEX(dData,0,MATCH($AA54&amp;CHAR(10)&amp;"Raw Score",dHdr,0)),"A"))/COUNTIF(dClass,$Y$8),""))</f>
        <v/>
      </c>
      <c r="CC54" t="str">
        <f>IF(OR($AA54="",$Y$9=""),"",IFERROR((COUNTIFS(dClass,$Y$9,INDEX(dData,0,MATCH($AA54&amp;CHAR(10)&amp;"Raw Score",dHdr,0)),"&gt;=0")+COUNTIFS(dClass,$Y$9,INDEX(dData,0,MATCH($AA54&amp;CHAR(10)&amp;"Raw Score",dHdr,0)),"A"))/COUNTIF(dClass,$Y$9),""))</f>
        <v/>
      </c>
      <c r="CD54" t="str">
        <f>IF(OR($AA54="",$Y$10=""),"",IFERROR((COUNTIFS(dClass,$Y$10,INDEX(dData,0,MATCH($AA54&amp;CHAR(10)&amp;"Raw Score",dHdr,0)),"&gt;=0")+COUNTIFS(dClass,$Y$10,INDEX(dData,0,MATCH($AA54&amp;CHAR(10)&amp;"Raw Score",dHdr,0)),"A"))/COUNTIF(dClass,$Y$10),""))</f>
        <v/>
      </c>
    </row>
    <row r="55">
      <c r="H55" t="str">
        <f>IFERROR(INDEX(tblY7[Class],ROWS(H$10:H55))&amp;"","")</f>
        <v>7A/Sc2</v>
      </c>
      <c r="I55" t="str">
        <f>IF(H55="","",IF(COUNTIF(H$10:H55,H55)=1,COUNTIF(H$10:H$609,"&lt;"&amp;H55)+1,""))</f>
        <v/>
      </c>
      <c r="J55" t="str">
        <f>IFERROR(INDEX(tblY8[Class],ROWS(J$10:J55))&amp;"","")</f>
        <v>8A/Sc2</v>
      </c>
      <c r="K55" t="str">
        <f>IF(J55="","",IF(COUNTIF(J$10:J55,J55)=1,COUNTIF(J$10:J$609,"&lt;"&amp;J55)+1,""))</f>
        <v/>
      </c>
      <c r="L55" t="str">
        <f>IFERROR(INDEX(tblY9[Class],ROWS(L$10:L55))&amp;"","")</f>
        <v>9A/Sc2</v>
      </c>
      <c r="M55" t="str">
        <f>IF(L55="","",IF(COUNTIF(L$10:L55,L55)=1,COUNTIF(L$10:L$609,"&lt;"&amp;L55)+1,""))</f>
        <v/>
      </c>
      <c r="N55" t="str">
        <f>IFERROR(INDEX(tblY10[Class],ROWS(N$10:N55))&amp;"","")</f>
        <v>10S/Sc2</v>
      </c>
      <c r="O55" t="str">
        <f>IF(N55="","",IF(COUNTIF(N$10:N55,N55)=1,COUNTIF(N$10:N$609,"&lt;"&amp;N55)+1,""))</f>
        <v/>
      </c>
      <c r="P55" t="str">
        <f>IFERROR(INDEX(tblY11[Class],ROWS(P$10:P55))&amp;"","")</f>
        <v>11S/Sc2</v>
      </c>
      <c r="Q55" t="str">
        <f>IF(P55="","",IF(COUNTIF(P$10:P55,P55)=1,COUNTIF(P$10:P$609,"&lt;"&amp;P55)+1,""))</f>
        <v/>
      </c>
      <c r="AA55" t="str">
        <f>IFERROR(INDEX(tblAssessments[Test Name],MATCH(SelYear&amp;"|"&amp;53,tblAssessments[Seq Key],0))&amp;"","")</f>
        <v/>
      </c>
      <c r="AB55" t="str">
        <f>IF(AA55="","",IFERROR(INDEX(tblAssessments[Max Marks],MATCH(SelYear&amp;"|"&amp;53,tblAssessments[Seq Key],0)),""))</f>
        <v/>
      </c>
      <c r="AC55" s="83" t="str">
        <f>IF(AA55="","",IFERROR(IF(INDEX(tblAssessments[Date],MATCH(SelYear&amp;"|"&amp;53,tblAssessments[Seq Key],0))="","",INDEX(tblAssessments[Date],MATCH(SelYear&amp;"|"&amp;53,tblAssessments[Seq Key],0))),""))</f>
        <v/>
      </c>
      <c r="AD55" t="str">
        <f>IF(AA55="","",IFERROR(INDEX(tblAssessments[Code],MATCH(SelYear&amp;"|"&amp;53,tblAssessments[Seq Key],0))&amp;"",""))</f>
        <v/>
      </c>
      <c r="AK55" t="str">
        <f>IF(AA55="","",IF(AD55&lt;&gt;"",AD55,LEFT(AA55,14)))</f>
        <v/>
      </c>
      <c r="AL55" t="e">
        <f>IF(AA55="",NA(),IFERROR(AVERAGE(INDEX(dData,0,MATCH(AA55&amp;CHAR(10)&amp;"Stanine",dHdr,0))),NA()))</f>
        <v>#N/A</v>
      </c>
      <c r="AM55" t="e">
        <f>IF(OR(AA55="",SelClass=""),NA(),IFERROR(AVERAGEIFS(INDEX(dData,0,MATCH(AA55&amp;CHAR(10)&amp;"Stanine",dHdr,0)),dClass,SelClass),NA()))</f>
        <v>#N/A</v>
      </c>
      <c r="BW55" t="str">
        <f>IF(OR($AA55="",$Y$3=""),"",IFERROR((COUNTIFS(dClass,$Y$3,INDEX(dData,0,MATCH($AA55&amp;CHAR(10)&amp;"Raw Score",dHdr,0)),"&gt;=0")+COUNTIFS(dClass,$Y$3,INDEX(dData,0,MATCH($AA55&amp;CHAR(10)&amp;"Raw Score",dHdr,0)),"A"))/COUNTIF(dClass,$Y$3),""))</f>
        <v/>
      </c>
      <c r="BX55" t="str">
        <f>IF(OR($AA55="",$Y$4=""),"",IFERROR((COUNTIFS(dClass,$Y$4,INDEX(dData,0,MATCH($AA55&amp;CHAR(10)&amp;"Raw Score",dHdr,0)),"&gt;=0")+COUNTIFS(dClass,$Y$4,INDEX(dData,0,MATCH($AA55&amp;CHAR(10)&amp;"Raw Score",dHdr,0)),"A"))/COUNTIF(dClass,$Y$4),""))</f>
        <v/>
      </c>
      <c r="BY55" t="str">
        <f>IF(OR($AA55="",$Y$5=""),"",IFERROR((COUNTIFS(dClass,$Y$5,INDEX(dData,0,MATCH($AA55&amp;CHAR(10)&amp;"Raw Score",dHdr,0)),"&gt;=0")+COUNTIFS(dClass,$Y$5,INDEX(dData,0,MATCH($AA55&amp;CHAR(10)&amp;"Raw Score",dHdr,0)),"A"))/COUNTIF(dClass,$Y$5),""))</f>
        <v/>
      </c>
      <c r="BZ55" t="str">
        <f>IF(OR($AA55="",$Y$6=""),"",IFERROR((COUNTIFS(dClass,$Y$6,INDEX(dData,0,MATCH($AA55&amp;CHAR(10)&amp;"Raw Score",dHdr,0)),"&gt;=0")+COUNTIFS(dClass,$Y$6,INDEX(dData,0,MATCH($AA55&amp;CHAR(10)&amp;"Raw Score",dHdr,0)),"A"))/COUNTIF(dClass,$Y$6),""))</f>
        <v/>
      </c>
      <c r="CA55" t="str">
        <f>IF(OR($AA55="",$Y$7=""),"",IFERROR((COUNTIFS(dClass,$Y$7,INDEX(dData,0,MATCH($AA55&amp;CHAR(10)&amp;"Raw Score",dHdr,0)),"&gt;=0")+COUNTIFS(dClass,$Y$7,INDEX(dData,0,MATCH($AA55&amp;CHAR(10)&amp;"Raw Score",dHdr,0)),"A"))/COUNTIF(dClass,$Y$7),""))</f>
        <v/>
      </c>
      <c r="CB55" t="str">
        <f>IF(OR($AA55="",$Y$8=""),"",IFERROR((COUNTIFS(dClass,$Y$8,INDEX(dData,0,MATCH($AA55&amp;CHAR(10)&amp;"Raw Score",dHdr,0)),"&gt;=0")+COUNTIFS(dClass,$Y$8,INDEX(dData,0,MATCH($AA55&amp;CHAR(10)&amp;"Raw Score",dHdr,0)),"A"))/COUNTIF(dClass,$Y$8),""))</f>
        <v/>
      </c>
      <c r="CC55" t="str">
        <f>IF(OR($AA55="",$Y$9=""),"",IFERROR((COUNTIFS(dClass,$Y$9,INDEX(dData,0,MATCH($AA55&amp;CHAR(10)&amp;"Raw Score",dHdr,0)),"&gt;=0")+COUNTIFS(dClass,$Y$9,INDEX(dData,0,MATCH($AA55&amp;CHAR(10)&amp;"Raw Score",dHdr,0)),"A"))/COUNTIF(dClass,$Y$9),""))</f>
        <v/>
      </c>
      <c r="CD55" t="str">
        <f>IF(OR($AA55="",$Y$10=""),"",IFERROR((COUNTIFS(dClass,$Y$10,INDEX(dData,0,MATCH($AA55&amp;CHAR(10)&amp;"Raw Score",dHdr,0)),"&gt;=0")+COUNTIFS(dClass,$Y$10,INDEX(dData,0,MATCH($AA55&amp;CHAR(10)&amp;"Raw Score",dHdr,0)),"A"))/COUNTIF(dClass,$Y$10),""))</f>
        <v/>
      </c>
    </row>
    <row r="56">
      <c r="H56" t="str">
        <f>IFERROR(INDEX(tblY7[Class],ROWS(H$10:H56))&amp;"","")</f>
        <v>7A/Sc2</v>
      </c>
      <c r="I56" t="str">
        <f>IF(H56="","",IF(COUNTIF(H$10:H56,H56)=1,COUNTIF(H$10:H$609,"&lt;"&amp;H56)+1,""))</f>
        <v/>
      </c>
      <c r="J56" t="str">
        <f>IFERROR(INDEX(tblY8[Class],ROWS(J$10:J56))&amp;"","")</f>
        <v>8A/Sc2</v>
      </c>
      <c r="K56" t="str">
        <f>IF(J56="","",IF(COUNTIF(J$10:J56,J56)=1,COUNTIF(J$10:J$609,"&lt;"&amp;J56)+1,""))</f>
        <v/>
      </c>
      <c r="L56" t="str">
        <f>IFERROR(INDEX(tblY9[Class],ROWS(L$10:L56))&amp;"","")</f>
        <v>9A/Sc2</v>
      </c>
      <c r="M56" t="str">
        <f>IF(L56="","",IF(COUNTIF(L$10:L56,L56)=1,COUNTIF(L$10:L$609,"&lt;"&amp;L56)+1,""))</f>
        <v/>
      </c>
      <c r="N56" t="str">
        <f>IFERROR(INDEX(tblY10[Class],ROWS(N$10:N56))&amp;"","")</f>
        <v>10S/Sc2</v>
      </c>
      <c r="O56" t="str">
        <f>IF(N56="","",IF(COUNTIF(N$10:N56,N56)=1,COUNTIF(N$10:N$609,"&lt;"&amp;N56)+1,""))</f>
        <v/>
      </c>
      <c r="P56" t="str">
        <f>IFERROR(INDEX(tblY11[Class],ROWS(P$10:P56))&amp;"","")</f>
        <v>11S/Sc2</v>
      </c>
      <c r="Q56" t="str">
        <f>IF(P56="","",IF(COUNTIF(P$10:P56,P56)=1,COUNTIF(P$10:P$609,"&lt;"&amp;P56)+1,""))</f>
        <v/>
      </c>
      <c r="AA56" t="str">
        <f>IFERROR(INDEX(tblAssessments[Test Name],MATCH(SelYear&amp;"|"&amp;54,tblAssessments[Seq Key],0))&amp;"","")</f>
        <v/>
      </c>
      <c r="AB56" t="str">
        <f>IF(AA56="","",IFERROR(INDEX(tblAssessments[Max Marks],MATCH(SelYear&amp;"|"&amp;54,tblAssessments[Seq Key],0)),""))</f>
        <v/>
      </c>
      <c r="AC56" s="83" t="str">
        <f>IF(AA56="","",IFERROR(IF(INDEX(tblAssessments[Date],MATCH(SelYear&amp;"|"&amp;54,tblAssessments[Seq Key],0))="","",INDEX(tblAssessments[Date],MATCH(SelYear&amp;"|"&amp;54,tblAssessments[Seq Key],0))),""))</f>
        <v/>
      </c>
      <c r="AD56" t="str">
        <f>IF(AA56="","",IFERROR(INDEX(tblAssessments[Code],MATCH(SelYear&amp;"|"&amp;54,tblAssessments[Seq Key],0))&amp;"",""))</f>
        <v/>
      </c>
      <c r="AK56" t="str">
        <f>IF(AA56="","",IF(AD56&lt;&gt;"",AD56,LEFT(AA56,14)))</f>
        <v/>
      </c>
      <c r="AL56" t="e">
        <f>IF(AA56="",NA(),IFERROR(AVERAGE(INDEX(dData,0,MATCH(AA56&amp;CHAR(10)&amp;"Stanine",dHdr,0))),NA()))</f>
        <v>#N/A</v>
      </c>
      <c r="AM56" t="e">
        <f>IF(OR(AA56="",SelClass=""),NA(),IFERROR(AVERAGEIFS(INDEX(dData,0,MATCH(AA56&amp;CHAR(10)&amp;"Stanine",dHdr,0)),dClass,SelClass),NA()))</f>
        <v>#N/A</v>
      </c>
      <c r="BW56" t="str">
        <f>IF(OR($AA56="",$Y$3=""),"",IFERROR((COUNTIFS(dClass,$Y$3,INDEX(dData,0,MATCH($AA56&amp;CHAR(10)&amp;"Raw Score",dHdr,0)),"&gt;=0")+COUNTIFS(dClass,$Y$3,INDEX(dData,0,MATCH($AA56&amp;CHAR(10)&amp;"Raw Score",dHdr,0)),"A"))/COUNTIF(dClass,$Y$3),""))</f>
        <v/>
      </c>
      <c r="BX56" t="str">
        <f>IF(OR($AA56="",$Y$4=""),"",IFERROR((COUNTIFS(dClass,$Y$4,INDEX(dData,0,MATCH($AA56&amp;CHAR(10)&amp;"Raw Score",dHdr,0)),"&gt;=0")+COUNTIFS(dClass,$Y$4,INDEX(dData,0,MATCH($AA56&amp;CHAR(10)&amp;"Raw Score",dHdr,0)),"A"))/COUNTIF(dClass,$Y$4),""))</f>
        <v/>
      </c>
      <c r="BY56" t="str">
        <f>IF(OR($AA56="",$Y$5=""),"",IFERROR((COUNTIFS(dClass,$Y$5,INDEX(dData,0,MATCH($AA56&amp;CHAR(10)&amp;"Raw Score",dHdr,0)),"&gt;=0")+COUNTIFS(dClass,$Y$5,INDEX(dData,0,MATCH($AA56&amp;CHAR(10)&amp;"Raw Score",dHdr,0)),"A"))/COUNTIF(dClass,$Y$5),""))</f>
        <v/>
      </c>
      <c r="BZ56" t="str">
        <f>IF(OR($AA56="",$Y$6=""),"",IFERROR((COUNTIFS(dClass,$Y$6,INDEX(dData,0,MATCH($AA56&amp;CHAR(10)&amp;"Raw Score",dHdr,0)),"&gt;=0")+COUNTIFS(dClass,$Y$6,INDEX(dData,0,MATCH($AA56&amp;CHAR(10)&amp;"Raw Score",dHdr,0)),"A"))/COUNTIF(dClass,$Y$6),""))</f>
        <v/>
      </c>
      <c r="CA56" t="str">
        <f>IF(OR($AA56="",$Y$7=""),"",IFERROR((COUNTIFS(dClass,$Y$7,INDEX(dData,0,MATCH($AA56&amp;CHAR(10)&amp;"Raw Score",dHdr,0)),"&gt;=0")+COUNTIFS(dClass,$Y$7,INDEX(dData,0,MATCH($AA56&amp;CHAR(10)&amp;"Raw Score",dHdr,0)),"A"))/COUNTIF(dClass,$Y$7),""))</f>
        <v/>
      </c>
      <c r="CB56" t="str">
        <f>IF(OR($AA56="",$Y$8=""),"",IFERROR((COUNTIFS(dClass,$Y$8,INDEX(dData,0,MATCH($AA56&amp;CHAR(10)&amp;"Raw Score",dHdr,0)),"&gt;=0")+COUNTIFS(dClass,$Y$8,INDEX(dData,0,MATCH($AA56&amp;CHAR(10)&amp;"Raw Score",dHdr,0)),"A"))/COUNTIF(dClass,$Y$8),""))</f>
        <v/>
      </c>
      <c r="CC56" t="str">
        <f>IF(OR($AA56="",$Y$9=""),"",IFERROR((COUNTIFS(dClass,$Y$9,INDEX(dData,0,MATCH($AA56&amp;CHAR(10)&amp;"Raw Score",dHdr,0)),"&gt;=0")+COUNTIFS(dClass,$Y$9,INDEX(dData,0,MATCH($AA56&amp;CHAR(10)&amp;"Raw Score",dHdr,0)),"A"))/COUNTIF(dClass,$Y$9),""))</f>
        <v/>
      </c>
      <c r="CD56" t="str">
        <f>IF(OR($AA56="",$Y$10=""),"",IFERROR((COUNTIFS(dClass,$Y$10,INDEX(dData,0,MATCH($AA56&amp;CHAR(10)&amp;"Raw Score",dHdr,0)),"&gt;=0")+COUNTIFS(dClass,$Y$10,INDEX(dData,0,MATCH($AA56&amp;CHAR(10)&amp;"Raw Score",dHdr,0)),"A"))/COUNTIF(dClass,$Y$10),""))</f>
        <v/>
      </c>
    </row>
    <row r="57">
      <c r="H57" t="str">
        <f>IFERROR(INDEX(tblY7[Class],ROWS(H$10:H57))&amp;"","")</f>
        <v>7A/Sc2</v>
      </c>
      <c r="I57" t="str">
        <f>IF(H57="","",IF(COUNTIF(H$10:H57,H57)=1,COUNTIF(H$10:H$609,"&lt;"&amp;H57)+1,""))</f>
        <v/>
      </c>
      <c r="J57" t="str">
        <f>IFERROR(INDEX(tblY8[Class],ROWS(J$10:J57))&amp;"","")</f>
        <v>8A/Sc2</v>
      </c>
      <c r="K57" t="str">
        <f>IF(J57="","",IF(COUNTIF(J$10:J57,J57)=1,COUNTIF(J$10:J$609,"&lt;"&amp;J57)+1,""))</f>
        <v/>
      </c>
      <c r="L57" t="str">
        <f>IFERROR(INDEX(tblY9[Class],ROWS(L$10:L57))&amp;"","")</f>
        <v>9A/Sc3</v>
      </c>
      <c r="M57">
        <f>IF(L57="","",IF(COUNTIF(L$10:L57,L57)=1,COUNTIF(L$10:L$609,"&lt;"&amp;L57)+1,""))</f>
        <v>523</v>
      </c>
      <c r="N57" t="str">
        <f>IFERROR(INDEX(tblY10[Class],ROWS(N$10:N57))&amp;"","")</f>
        <v>10S/Sc2</v>
      </c>
      <c r="O57" t="str">
        <f>IF(N57="","",IF(COUNTIF(N$10:N57,N57)=1,COUNTIF(N$10:N$609,"&lt;"&amp;N57)+1,""))</f>
        <v/>
      </c>
      <c r="P57" t="str">
        <f>IFERROR(INDEX(tblY11[Class],ROWS(P$10:P57))&amp;"","")</f>
        <v>11S/Sc2</v>
      </c>
      <c r="Q57" t="str">
        <f>IF(P57="","",IF(COUNTIF(P$10:P57,P57)=1,COUNTIF(P$10:P$609,"&lt;"&amp;P57)+1,""))</f>
        <v/>
      </c>
      <c r="AA57" t="str">
        <f>IFERROR(INDEX(tblAssessments[Test Name],MATCH(SelYear&amp;"|"&amp;55,tblAssessments[Seq Key],0))&amp;"","")</f>
        <v/>
      </c>
      <c r="AB57" t="str">
        <f>IF(AA57="","",IFERROR(INDEX(tblAssessments[Max Marks],MATCH(SelYear&amp;"|"&amp;55,tblAssessments[Seq Key],0)),""))</f>
        <v/>
      </c>
      <c r="AC57" s="83" t="str">
        <f>IF(AA57="","",IFERROR(IF(INDEX(tblAssessments[Date],MATCH(SelYear&amp;"|"&amp;55,tblAssessments[Seq Key],0))="","",INDEX(tblAssessments[Date],MATCH(SelYear&amp;"|"&amp;55,tblAssessments[Seq Key],0))),""))</f>
        <v/>
      </c>
      <c r="AD57" t="str">
        <f>IF(AA57="","",IFERROR(INDEX(tblAssessments[Code],MATCH(SelYear&amp;"|"&amp;55,tblAssessments[Seq Key],0))&amp;"",""))</f>
        <v/>
      </c>
      <c r="AK57" t="str">
        <f>IF(AA57="","",IF(AD57&lt;&gt;"",AD57,LEFT(AA57,14)))</f>
        <v/>
      </c>
      <c r="AL57" t="e">
        <f>IF(AA57="",NA(),IFERROR(AVERAGE(INDEX(dData,0,MATCH(AA57&amp;CHAR(10)&amp;"Stanine",dHdr,0))),NA()))</f>
        <v>#N/A</v>
      </c>
      <c r="AM57" t="e">
        <f>IF(OR(AA57="",SelClass=""),NA(),IFERROR(AVERAGEIFS(INDEX(dData,0,MATCH(AA57&amp;CHAR(10)&amp;"Stanine",dHdr,0)),dClass,SelClass),NA()))</f>
        <v>#N/A</v>
      </c>
      <c r="BW57" t="str">
        <f>IF(OR($AA57="",$Y$3=""),"",IFERROR((COUNTIFS(dClass,$Y$3,INDEX(dData,0,MATCH($AA57&amp;CHAR(10)&amp;"Raw Score",dHdr,0)),"&gt;=0")+COUNTIFS(dClass,$Y$3,INDEX(dData,0,MATCH($AA57&amp;CHAR(10)&amp;"Raw Score",dHdr,0)),"A"))/COUNTIF(dClass,$Y$3),""))</f>
        <v/>
      </c>
      <c r="BX57" t="str">
        <f>IF(OR($AA57="",$Y$4=""),"",IFERROR((COUNTIFS(dClass,$Y$4,INDEX(dData,0,MATCH($AA57&amp;CHAR(10)&amp;"Raw Score",dHdr,0)),"&gt;=0")+COUNTIFS(dClass,$Y$4,INDEX(dData,0,MATCH($AA57&amp;CHAR(10)&amp;"Raw Score",dHdr,0)),"A"))/COUNTIF(dClass,$Y$4),""))</f>
        <v/>
      </c>
      <c r="BY57" t="str">
        <f>IF(OR($AA57="",$Y$5=""),"",IFERROR((COUNTIFS(dClass,$Y$5,INDEX(dData,0,MATCH($AA57&amp;CHAR(10)&amp;"Raw Score",dHdr,0)),"&gt;=0")+COUNTIFS(dClass,$Y$5,INDEX(dData,0,MATCH($AA57&amp;CHAR(10)&amp;"Raw Score",dHdr,0)),"A"))/COUNTIF(dClass,$Y$5),""))</f>
        <v/>
      </c>
      <c r="BZ57" t="str">
        <f>IF(OR($AA57="",$Y$6=""),"",IFERROR((COUNTIFS(dClass,$Y$6,INDEX(dData,0,MATCH($AA57&amp;CHAR(10)&amp;"Raw Score",dHdr,0)),"&gt;=0")+COUNTIFS(dClass,$Y$6,INDEX(dData,0,MATCH($AA57&amp;CHAR(10)&amp;"Raw Score",dHdr,0)),"A"))/COUNTIF(dClass,$Y$6),""))</f>
        <v/>
      </c>
      <c r="CA57" t="str">
        <f>IF(OR($AA57="",$Y$7=""),"",IFERROR((COUNTIFS(dClass,$Y$7,INDEX(dData,0,MATCH($AA57&amp;CHAR(10)&amp;"Raw Score",dHdr,0)),"&gt;=0")+COUNTIFS(dClass,$Y$7,INDEX(dData,0,MATCH($AA57&amp;CHAR(10)&amp;"Raw Score",dHdr,0)),"A"))/COUNTIF(dClass,$Y$7),""))</f>
        <v/>
      </c>
      <c r="CB57" t="str">
        <f>IF(OR($AA57="",$Y$8=""),"",IFERROR((COUNTIFS(dClass,$Y$8,INDEX(dData,0,MATCH($AA57&amp;CHAR(10)&amp;"Raw Score",dHdr,0)),"&gt;=0")+COUNTIFS(dClass,$Y$8,INDEX(dData,0,MATCH($AA57&amp;CHAR(10)&amp;"Raw Score",dHdr,0)),"A"))/COUNTIF(dClass,$Y$8),""))</f>
        <v/>
      </c>
      <c r="CC57" t="str">
        <f>IF(OR($AA57="",$Y$9=""),"",IFERROR((COUNTIFS(dClass,$Y$9,INDEX(dData,0,MATCH($AA57&amp;CHAR(10)&amp;"Raw Score",dHdr,0)),"&gt;=0")+COUNTIFS(dClass,$Y$9,INDEX(dData,0,MATCH($AA57&amp;CHAR(10)&amp;"Raw Score",dHdr,0)),"A"))/COUNTIF(dClass,$Y$9),""))</f>
        <v/>
      </c>
      <c r="CD57" t="str">
        <f>IF(OR($AA57="",$Y$10=""),"",IFERROR((COUNTIFS(dClass,$Y$10,INDEX(dData,0,MATCH($AA57&amp;CHAR(10)&amp;"Raw Score",dHdr,0)),"&gt;=0")+COUNTIFS(dClass,$Y$10,INDEX(dData,0,MATCH($AA57&amp;CHAR(10)&amp;"Raw Score",dHdr,0)),"A"))/COUNTIF(dClass,$Y$10),""))</f>
        <v/>
      </c>
    </row>
    <row r="58">
      <c r="H58" t="str">
        <f>IFERROR(INDEX(tblY7[Class],ROWS(H$10:H58))&amp;"","")</f>
        <v>7A/Sc2</v>
      </c>
      <c r="I58" t="str">
        <f>IF(H58="","",IF(COUNTIF(H$10:H58,H58)=1,COUNTIF(H$10:H$609,"&lt;"&amp;H58)+1,""))</f>
        <v/>
      </c>
      <c r="J58" t="str">
        <f>IFERROR(INDEX(tblY8[Class],ROWS(J$10:J58))&amp;"","")</f>
        <v>8A/Sc2</v>
      </c>
      <c r="K58" t="str">
        <f>IF(J58="","",IF(COUNTIF(J$10:J58,J58)=1,COUNTIF(J$10:J$609,"&lt;"&amp;J58)+1,""))</f>
        <v/>
      </c>
      <c r="L58" t="str">
        <f>IFERROR(INDEX(tblY9[Class],ROWS(L$10:L58))&amp;"","")</f>
        <v>9A/Sc3</v>
      </c>
      <c r="M58" t="str">
        <f>IF(L58="","",IF(COUNTIF(L$10:L58,L58)=1,COUNTIF(L$10:L$609,"&lt;"&amp;L58)+1,""))</f>
        <v/>
      </c>
      <c r="N58" t="str">
        <f>IFERROR(INDEX(tblY10[Class],ROWS(N$10:N58))&amp;"","")</f>
        <v>10S/Sc2</v>
      </c>
      <c r="O58" t="str">
        <f>IF(N58="","",IF(COUNTIF(N$10:N58,N58)=1,COUNTIF(N$10:N$609,"&lt;"&amp;N58)+1,""))</f>
        <v/>
      </c>
      <c r="P58" t="str">
        <f>IFERROR(INDEX(tblY11[Class],ROWS(P$10:P58))&amp;"","")</f>
        <v>11S/Sc2</v>
      </c>
      <c r="Q58" t="str">
        <f>IF(P58="","",IF(COUNTIF(P$10:P58,P58)=1,COUNTIF(P$10:P$609,"&lt;"&amp;P58)+1,""))</f>
        <v/>
      </c>
      <c r="AA58" t="str">
        <f>IFERROR(INDEX(tblAssessments[Test Name],MATCH(SelYear&amp;"|"&amp;56,tblAssessments[Seq Key],0))&amp;"","")</f>
        <v/>
      </c>
      <c r="AB58" t="str">
        <f>IF(AA58="","",IFERROR(INDEX(tblAssessments[Max Marks],MATCH(SelYear&amp;"|"&amp;56,tblAssessments[Seq Key],0)),""))</f>
        <v/>
      </c>
      <c r="AC58" s="83" t="str">
        <f>IF(AA58="","",IFERROR(IF(INDEX(tblAssessments[Date],MATCH(SelYear&amp;"|"&amp;56,tblAssessments[Seq Key],0))="","",INDEX(tblAssessments[Date],MATCH(SelYear&amp;"|"&amp;56,tblAssessments[Seq Key],0))),""))</f>
        <v/>
      </c>
      <c r="AD58" t="str">
        <f>IF(AA58="","",IFERROR(INDEX(tblAssessments[Code],MATCH(SelYear&amp;"|"&amp;56,tblAssessments[Seq Key],0))&amp;"",""))</f>
        <v/>
      </c>
      <c r="AK58" t="str">
        <f>IF(AA58="","",IF(AD58&lt;&gt;"",AD58,LEFT(AA58,14)))</f>
        <v/>
      </c>
      <c r="AL58" t="e">
        <f>IF(AA58="",NA(),IFERROR(AVERAGE(INDEX(dData,0,MATCH(AA58&amp;CHAR(10)&amp;"Stanine",dHdr,0))),NA()))</f>
        <v>#N/A</v>
      </c>
      <c r="AM58" t="e">
        <f>IF(OR(AA58="",SelClass=""),NA(),IFERROR(AVERAGEIFS(INDEX(dData,0,MATCH(AA58&amp;CHAR(10)&amp;"Stanine",dHdr,0)),dClass,SelClass),NA()))</f>
        <v>#N/A</v>
      </c>
      <c r="BW58" t="str">
        <f>IF(OR($AA58="",$Y$3=""),"",IFERROR((COUNTIFS(dClass,$Y$3,INDEX(dData,0,MATCH($AA58&amp;CHAR(10)&amp;"Raw Score",dHdr,0)),"&gt;=0")+COUNTIFS(dClass,$Y$3,INDEX(dData,0,MATCH($AA58&amp;CHAR(10)&amp;"Raw Score",dHdr,0)),"A"))/COUNTIF(dClass,$Y$3),""))</f>
        <v/>
      </c>
      <c r="BX58" t="str">
        <f>IF(OR($AA58="",$Y$4=""),"",IFERROR((COUNTIFS(dClass,$Y$4,INDEX(dData,0,MATCH($AA58&amp;CHAR(10)&amp;"Raw Score",dHdr,0)),"&gt;=0")+COUNTIFS(dClass,$Y$4,INDEX(dData,0,MATCH($AA58&amp;CHAR(10)&amp;"Raw Score",dHdr,0)),"A"))/COUNTIF(dClass,$Y$4),""))</f>
        <v/>
      </c>
      <c r="BY58" t="str">
        <f>IF(OR($AA58="",$Y$5=""),"",IFERROR((COUNTIFS(dClass,$Y$5,INDEX(dData,0,MATCH($AA58&amp;CHAR(10)&amp;"Raw Score",dHdr,0)),"&gt;=0")+COUNTIFS(dClass,$Y$5,INDEX(dData,0,MATCH($AA58&amp;CHAR(10)&amp;"Raw Score",dHdr,0)),"A"))/COUNTIF(dClass,$Y$5),""))</f>
        <v/>
      </c>
      <c r="BZ58" t="str">
        <f>IF(OR($AA58="",$Y$6=""),"",IFERROR((COUNTIFS(dClass,$Y$6,INDEX(dData,0,MATCH($AA58&amp;CHAR(10)&amp;"Raw Score",dHdr,0)),"&gt;=0")+COUNTIFS(dClass,$Y$6,INDEX(dData,0,MATCH($AA58&amp;CHAR(10)&amp;"Raw Score",dHdr,0)),"A"))/COUNTIF(dClass,$Y$6),""))</f>
        <v/>
      </c>
      <c r="CA58" t="str">
        <f>IF(OR($AA58="",$Y$7=""),"",IFERROR((COUNTIFS(dClass,$Y$7,INDEX(dData,0,MATCH($AA58&amp;CHAR(10)&amp;"Raw Score",dHdr,0)),"&gt;=0")+COUNTIFS(dClass,$Y$7,INDEX(dData,0,MATCH($AA58&amp;CHAR(10)&amp;"Raw Score",dHdr,0)),"A"))/COUNTIF(dClass,$Y$7),""))</f>
        <v/>
      </c>
      <c r="CB58" t="str">
        <f>IF(OR($AA58="",$Y$8=""),"",IFERROR((COUNTIFS(dClass,$Y$8,INDEX(dData,0,MATCH($AA58&amp;CHAR(10)&amp;"Raw Score",dHdr,0)),"&gt;=0")+COUNTIFS(dClass,$Y$8,INDEX(dData,0,MATCH($AA58&amp;CHAR(10)&amp;"Raw Score",dHdr,0)),"A"))/COUNTIF(dClass,$Y$8),""))</f>
        <v/>
      </c>
      <c r="CC58" t="str">
        <f>IF(OR($AA58="",$Y$9=""),"",IFERROR((COUNTIFS(dClass,$Y$9,INDEX(dData,0,MATCH($AA58&amp;CHAR(10)&amp;"Raw Score",dHdr,0)),"&gt;=0")+COUNTIFS(dClass,$Y$9,INDEX(dData,0,MATCH($AA58&amp;CHAR(10)&amp;"Raw Score",dHdr,0)),"A"))/COUNTIF(dClass,$Y$9),""))</f>
        <v/>
      </c>
      <c r="CD58" t="str">
        <f>IF(OR($AA58="",$Y$10=""),"",IFERROR((COUNTIFS(dClass,$Y$10,INDEX(dData,0,MATCH($AA58&amp;CHAR(10)&amp;"Raw Score",dHdr,0)),"&gt;=0")+COUNTIFS(dClass,$Y$10,INDEX(dData,0,MATCH($AA58&amp;CHAR(10)&amp;"Raw Score",dHdr,0)),"A"))/COUNTIF(dClass,$Y$10),""))</f>
        <v/>
      </c>
    </row>
    <row r="59">
      <c r="H59" t="str">
        <f>IFERROR(INDEX(tblY7[Class],ROWS(H$10:H59))&amp;"","")</f>
        <v>7A/Sc2</v>
      </c>
      <c r="I59" t="str">
        <f>IF(H59="","",IF(COUNTIF(H$10:H59,H59)=1,COUNTIF(H$10:H$609,"&lt;"&amp;H59)+1,""))</f>
        <v/>
      </c>
      <c r="J59" t="str">
        <f>IFERROR(INDEX(tblY8[Class],ROWS(J$10:J59))&amp;"","")</f>
        <v>8A/Sc2</v>
      </c>
      <c r="K59" t="str">
        <f>IF(J59="","",IF(COUNTIF(J$10:J59,J59)=1,COUNTIF(J$10:J$609,"&lt;"&amp;J59)+1,""))</f>
        <v/>
      </c>
      <c r="L59" t="str">
        <f>IFERROR(INDEX(tblY9[Class],ROWS(L$10:L59))&amp;"","")</f>
        <v>9A/Sc3</v>
      </c>
      <c r="M59" t="str">
        <f>IF(L59="","",IF(COUNTIF(L$10:L59,L59)=1,COUNTIF(L$10:L$609,"&lt;"&amp;L59)+1,""))</f>
        <v/>
      </c>
      <c r="N59" t="str">
        <f>IFERROR(INDEX(tblY10[Class],ROWS(N$10:N59))&amp;"","")</f>
        <v>10S/Sc2</v>
      </c>
      <c r="O59" t="str">
        <f>IF(N59="","",IF(COUNTIF(N$10:N59,N59)=1,COUNTIF(N$10:N$609,"&lt;"&amp;N59)+1,""))</f>
        <v/>
      </c>
      <c r="P59" t="str">
        <f>IFERROR(INDEX(tblY11[Class],ROWS(P$10:P59))&amp;"","")</f>
        <v>11S/Sc2</v>
      </c>
      <c r="Q59" t="str">
        <f>IF(P59="","",IF(COUNTIF(P$10:P59,P59)=1,COUNTIF(P$10:P$609,"&lt;"&amp;P59)+1,""))</f>
        <v/>
      </c>
      <c r="AA59" t="str">
        <f>IFERROR(INDEX(tblAssessments[Test Name],MATCH(SelYear&amp;"|"&amp;57,tblAssessments[Seq Key],0))&amp;"","")</f>
        <v/>
      </c>
      <c r="AB59" t="str">
        <f>IF(AA59="","",IFERROR(INDEX(tblAssessments[Max Marks],MATCH(SelYear&amp;"|"&amp;57,tblAssessments[Seq Key],0)),""))</f>
        <v/>
      </c>
      <c r="AC59" s="83" t="str">
        <f>IF(AA59="","",IFERROR(IF(INDEX(tblAssessments[Date],MATCH(SelYear&amp;"|"&amp;57,tblAssessments[Seq Key],0))="","",INDEX(tblAssessments[Date],MATCH(SelYear&amp;"|"&amp;57,tblAssessments[Seq Key],0))),""))</f>
        <v/>
      </c>
      <c r="AD59" t="str">
        <f>IF(AA59="","",IFERROR(INDEX(tblAssessments[Code],MATCH(SelYear&amp;"|"&amp;57,tblAssessments[Seq Key],0))&amp;"",""))</f>
        <v/>
      </c>
      <c r="AK59" t="str">
        <f>IF(AA59="","",IF(AD59&lt;&gt;"",AD59,LEFT(AA59,14)))</f>
        <v/>
      </c>
      <c r="AL59" t="e">
        <f>IF(AA59="",NA(),IFERROR(AVERAGE(INDEX(dData,0,MATCH(AA59&amp;CHAR(10)&amp;"Stanine",dHdr,0))),NA()))</f>
        <v>#N/A</v>
      </c>
      <c r="AM59" t="e">
        <f>IF(OR(AA59="",SelClass=""),NA(),IFERROR(AVERAGEIFS(INDEX(dData,0,MATCH(AA59&amp;CHAR(10)&amp;"Stanine",dHdr,0)),dClass,SelClass),NA()))</f>
        <v>#N/A</v>
      </c>
      <c r="BW59" t="str">
        <f>IF(OR($AA59="",$Y$3=""),"",IFERROR((COUNTIFS(dClass,$Y$3,INDEX(dData,0,MATCH($AA59&amp;CHAR(10)&amp;"Raw Score",dHdr,0)),"&gt;=0")+COUNTIFS(dClass,$Y$3,INDEX(dData,0,MATCH($AA59&amp;CHAR(10)&amp;"Raw Score",dHdr,0)),"A"))/COUNTIF(dClass,$Y$3),""))</f>
        <v/>
      </c>
      <c r="BX59" t="str">
        <f>IF(OR($AA59="",$Y$4=""),"",IFERROR((COUNTIFS(dClass,$Y$4,INDEX(dData,0,MATCH($AA59&amp;CHAR(10)&amp;"Raw Score",dHdr,0)),"&gt;=0")+COUNTIFS(dClass,$Y$4,INDEX(dData,0,MATCH($AA59&amp;CHAR(10)&amp;"Raw Score",dHdr,0)),"A"))/COUNTIF(dClass,$Y$4),""))</f>
        <v/>
      </c>
      <c r="BY59" t="str">
        <f>IF(OR($AA59="",$Y$5=""),"",IFERROR((COUNTIFS(dClass,$Y$5,INDEX(dData,0,MATCH($AA59&amp;CHAR(10)&amp;"Raw Score",dHdr,0)),"&gt;=0")+COUNTIFS(dClass,$Y$5,INDEX(dData,0,MATCH($AA59&amp;CHAR(10)&amp;"Raw Score",dHdr,0)),"A"))/COUNTIF(dClass,$Y$5),""))</f>
        <v/>
      </c>
      <c r="BZ59" t="str">
        <f>IF(OR($AA59="",$Y$6=""),"",IFERROR((COUNTIFS(dClass,$Y$6,INDEX(dData,0,MATCH($AA59&amp;CHAR(10)&amp;"Raw Score",dHdr,0)),"&gt;=0")+COUNTIFS(dClass,$Y$6,INDEX(dData,0,MATCH($AA59&amp;CHAR(10)&amp;"Raw Score",dHdr,0)),"A"))/COUNTIF(dClass,$Y$6),""))</f>
        <v/>
      </c>
      <c r="CA59" t="str">
        <f>IF(OR($AA59="",$Y$7=""),"",IFERROR((COUNTIFS(dClass,$Y$7,INDEX(dData,0,MATCH($AA59&amp;CHAR(10)&amp;"Raw Score",dHdr,0)),"&gt;=0")+COUNTIFS(dClass,$Y$7,INDEX(dData,0,MATCH($AA59&amp;CHAR(10)&amp;"Raw Score",dHdr,0)),"A"))/COUNTIF(dClass,$Y$7),""))</f>
        <v/>
      </c>
      <c r="CB59" t="str">
        <f>IF(OR($AA59="",$Y$8=""),"",IFERROR((COUNTIFS(dClass,$Y$8,INDEX(dData,0,MATCH($AA59&amp;CHAR(10)&amp;"Raw Score",dHdr,0)),"&gt;=0")+COUNTIFS(dClass,$Y$8,INDEX(dData,0,MATCH($AA59&amp;CHAR(10)&amp;"Raw Score",dHdr,0)),"A"))/COUNTIF(dClass,$Y$8),""))</f>
        <v/>
      </c>
      <c r="CC59" t="str">
        <f>IF(OR($AA59="",$Y$9=""),"",IFERROR((COUNTIFS(dClass,$Y$9,INDEX(dData,0,MATCH($AA59&amp;CHAR(10)&amp;"Raw Score",dHdr,0)),"&gt;=0")+COUNTIFS(dClass,$Y$9,INDEX(dData,0,MATCH($AA59&amp;CHAR(10)&amp;"Raw Score",dHdr,0)),"A"))/COUNTIF(dClass,$Y$9),""))</f>
        <v/>
      </c>
      <c r="CD59" t="str">
        <f>IF(OR($AA59="",$Y$10=""),"",IFERROR((COUNTIFS(dClass,$Y$10,INDEX(dData,0,MATCH($AA59&amp;CHAR(10)&amp;"Raw Score",dHdr,0)),"&gt;=0")+COUNTIFS(dClass,$Y$10,INDEX(dData,0,MATCH($AA59&amp;CHAR(10)&amp;"Raw Score",dHdr,0)),"A"))/COUNTIF(dClass,$Y$10),""))</f>
        <v/>
      </c>
    </row>
    <row r="60">
      <c r="H60" t="str">
        <f>IFERROR(INDEX(tblY7[Class],ROWS(H$10:H60))&amp;"","")</f>
        <v>7A/Sc2</v>
      </c>
      <c r="I60" t="str">
        <f>IF(H60="","",IF(COUNTIF(H$10:H60,H60)=1,COUNTIF(H$10:H$609,"&lt;"&amp;H60)+1,""))</f>
        <v/>
      </c>
      <c r="J60" t="str">
        <f>IFERROR(INDEX(tblY8[Class],ROWS(J$10:J60))&amp;"","")</f>
        <v>8A/Sc2</v>
      </c>
      <c r="K60" t="str">
        <f>IF(J60="","",IF(COUNTIF(J$10:J60,J60)=1,COUNTIF(J$10:J$609,"&lt;"&amp;J60)+1,""))</f>
        <v/>
      </c>
      <c r="L60" t="str">
        <f>IFERROR(INDEX(tblY9[Class],ROWS(L$10:L60))&amp;"","")</f>
        <v>9A/Sc3</v>
      </c>
      <c r="M60" t="str">
        <f>IF(L60="","",IF(COUNTIF(L$10:L60,L60)=1,COUNTIF(L$10:L$609,"&lt;"&amp;L60)+1,""))</f>
        <v/>
      </c>
      <c r="N60" t="str">
        <f>IFERROR(INDEX(tblY10[Class],ROWS(N$10:N60))&amp;"","")</f>
        <v>10S/Sc2</v>
      </c>
      <c r="O60" t="str">
        <f>IF(N60="","",IF(COUNTIF(N$10:N60,N60)=1,COUNTIF(N$10:N$609,"&lt;"&amp;N60)+1,""))</f>
        <v/>
      </c>
      <c r="P60" t="str">
        <f>IFERROR(INDEX(tblY11[Class],ROWS(P$10:P60))&amp;"","")</f>
        <v>11S/Sc2</v>
      </c>
      <c r="Q60" t="str">
        <f>IF(P60="","",IF(COUNTIF(P$10:P60,P60)=1,COUNTIF(P$10:P$609,"&lt;"&amp;P60)+1,""))</f>
        <v/>
      </c>
      <c r="AA60" t="str">
        <f>IFERROR(INDEX(tblAssessments[Test Name],MATCH(SelYear&amp;"|"&amp;58,tblAssessments[Seq Key],0))&amp;"","")</f>
        <v/>
      </c>
      <c r="AB60" t="str">
        <f>IF(AA60="","",IFERROR(INDEX(tblAssessments[Max Marks],MATCH(SelYear&amp;"|"&amp;58,tblAssessments[Seq Key],0)),""))</f>
        <v/>
      </c>
      <c r="AC60" s="83" t="str">
        <f>IF(AA60="","",IFERROR(IF(INDEX(tblAssessments[Date],MATCH(SelYear&amp;"|"&amp;58,tblAssessments[Seq Key],0))="","",INDEX(tblAssessments[Date],MATCH(SelYear&amp;"|"&amp;58,tblAssessments[Seq Key],0))),""))</f>
        <v/>
      </c>
      <c r="AD60" t="str">
        <f>IF(AA60="","",IFERROR(INDEX(tblAssessments[Code],MATCH(SelYear&amp;"|"&amp;58,tblAssessments[Seq Key],0))&amp;"",""))</f>
        <v/>
      </c>
      <c r="AK60" t="str">
        <f>IF(AA60="","",IF(AD60&lt;&gt;"",AD60,LEFT(AA60,14)))</f>
        <v/>
      </c>
      <c r="AL60" t="e">
        <f>IF(AA60="",NA(),IFERROR(AVERAGE(INDEX(dData,0,MATCH(AA60&amp;CHAR(10)&amp;"Stanine",dHdr,0))),NA()))</f>
        <v>#N/A</v>
      </c>
      <c r="AM60" t="e">
        <f>IF(OR(AA60="",SelClass=""),NA(),IFERROR(AVERAGEIFS(INDEX(dData,0,MATCH(AA60&amp;CHAR(10)&amp;"Stanine",dHdr,0)),dClass,SelClass),NA()))</f>
        <v>#N/A</v>
      </c>
      <c r="BW60" t="str">
        <f>IF(OR($AA60="",$Y$3=""),"",IFERROR((COUNTIFS(dClass,$Y$3,INDEX(dData,0,MATCH($AA60&amp;CHAR(10)&amp;"Raw Score",dHdr,0)),"&gt;=0")+COUNTIFS(dClass,$Y$3,INDEX(dData,0,MATCH($AA60&amp;CHAR(10)&amp;"Raw Score",dHdr,0)),"A"))/COUNTIF(dClass,$Y$3),""))</f>
        <v/>
      </c>
      <c r="BX60" t="str">
        <f>IF(OR($AA60="",$Y$4=""),"",IFERROR((COUNTIFS(dClass,$Y$4,INDEX(dData,0,MATCH($AA60&amp;CHAR(10)&amp;"Raw Score",dHdr,0)),"&gt;=0")+COUNTIFS(dClass,$Y$4,INDEX(dData,0,MATCH($AA60&amp;CHAR(10)&amp;"Raw Score",dHdr,0)),"A"))/COUNTIF(dClass,$Y$4),""))</f>
        <v/>
      </c>
      <c r="BY60" t="str">
        <f>IF(OR($AA60="",$Y$5=""),"",IFERROR((COUNTIFS(dClass,$Y$5,INDEX(dData,0,MATCH($AA60&amp;CHAR(10)&amp;"Raw Score",dHdr,0)),"&gt;=0")+COUNTIFS(dClass,$Y$5,INDEX(dData,0,MATCH($AA60&amp;CHAR(10)&amp;"Raw Score",dHdr,0)),"A"))/COUNTIF(dClass,$Y$5),""))</f>
        <v/>
      </c>
      <c r="BZ60" t="str">
        <f>IF(OR($AA60="",$Y$6=""),"",IFERROR((COUNTIFS(dClass,$Y$6,INDEX(dData,0,MATCH($AA60&amp;CHAR(10)&amp;"Raw Score",dHdr,0)),"&gt;=0")+COUNTIFS(dClass,$Y$6,INDEX(dData,0,MATCH($AA60&amp;CHAR(10)&amp;"Raw Score",dHdr,0)),"A"))/COUNTIF(dClass,$Y$6),""))</f>
        <v/>
      </c>
      <c r="CA60" t="str">
        <f>IF(OR($AA60="",$Y$7=""),"",IFERROR((COUNTIFS(dClass,$Y$7,INDEX(dData,0,MATCH($AA60&amp;CHAR(10)&amp;"Raw Score",dHdr,0)),"&gt;=0")+COUNTIFS(dClass,$Y$7,INDEX(dData,0,MATCH($AA60&amp;CHAR(10)&amp;"Raw Score",dHdr,0)),"A"))/COUNTIF(dClass,$Y$7),""))</f>
        <v/>
      </c>
      <c r="CB60" t="str">
        <f>IF(OR($AA60="",$Y$8=""),"",IFERROR((COUNTIFS(dClass,$Y$8,INDEX(dData,0,MATCH($AA60&amp;CHAR(10)&amp;"Raw Score",dHdr,0)),"&gt;=0")+COUNTIFS(dClass,$Y$8,INDEX(dData,0,MATCH($AA60&amp;CHAR(10)&amp;"Raw Score",dHdr,0)),"A"))/COUNTIF(dClass,$Y$8),""))</f>
        <v/>
      </c>
      <c r="CC60" t="str">
        <f>IF(OR($AA60="",$Y$9=""),"",IFERROR((COUNTIFS(dClass,$Y$9,INDEX(dData,0,MATCH($AA60&amp;CHAR(10)&amp;"Raw Score",dHdr,0)),"&gt;=0")+COUNTIFS(dClass,$Y$9,INDEX(dData,0,MATCH($AA60&amp;CHAR(10)&amp;"Raw Score",dHdr,0)),"A"))/COUNTIF(dClass,$Y$9),""))</f>
        <v/>
      </c>
      <c r="CD60" t="str">
        <f>IF(OR($AA60="",$Y$10=""),"",IFERROR((COUNTIFS(dClass,$Y$10,INDEX(dData,0,MATCH($AA60&amp;CHAR(10)&amp;"Raw Score",dHdr,0)),"&gt;=0")+COUNTIFS(dClass,$Y$10,INDEX(dData,0,MATCH($AA60&amp;CHAR(10)&amp;"Raw Score",dHdr,0)),"A"))/COUNTIF(dClass,$Y$10),""))</f>
        <v/>
      </c>
    </row>
    <row r="61">
      <c r="H61" t="str">
        <f>IFERROR(INDEX(tblY7[Class],ROWS(H$10:H61))&amp;"","")</f>
        <v>7A/Sc2</v>
      </c>
      <c r="I61" t="str">
        <f>IF(H61="","",IF(COUNTIF(H$10:H61,H61)=1,COUNTIF(H$10:H$609,"&lt;"&amp;H61)+1,""))</f>
        <v/>
      </c>
      <c r="J61" t="str">
        <f>IFERROR(INDEX(tblY8[Class],ROWS(J$10:J61))&amp;"","")</f>
        <v>8A/Sc2</v>
      </c>
      <c r="K61" t="str">
        <f>IF(J61="","",IF(COUNTIF(J$10:J61,J61)=1,COUNTIF(J$10:J$609,"&lt;"&amp;J61)+1,""))</f>
        <v/>
      </c>
      <c r="L61" t="str">
        <f>IFERROR(INDEX(tblY9[Class],ROWS(L$10:L61))&amp;"","")</f>
        <v>9A/Sc3</v>
      </c>
      <c r="M61" t="str">
        <f>IF(L61="","",IF(COUNTIF(L$10:L61,L61)=1,COUNTIF(L$10:L$609,"&lt;"&amp;L61)+1,""))</f>
        <v/>
      </c>
      <c r="N61" t="str">
        <f>IFERROR(INDEX(tblY10[Class],ROWS(N$10:N61))&amp;"","")</f>
        <v>10S/Sc2</v>
      </c>
      <c r="O61" t="str">
        <f>IF(N61="","",IF(COUNTIF(N$10:N61,N61)=1,COUNTIF(N$10:N$609,"&lt;"&amp;N61)+1,""))</f>
        <v/>
      </c>
      <c r="P61" t="str">
        <f>IFERROR(INDEX(tblY11[Class],ROWS(P$10:P61))&amp;"","")</f>
        <v>11S/Sc2</v>
      </c>
      <c r="Q61" t="str">
        <f>IF(P61="","",IF(COUNTIF(P$10:P61,P61)=1,COUNTIF(P$10:P$609,"&lt;"&amp;P61)+1,""))</f>
        <v/>
      </c>
      <c r="AA61" t="str">
        <f>IFERROR(INDEX(tblAssessments[Test Name],MATCH(SelYear&amp;"|"&amp;59,tblAssessments[Seq Key],0))&amp;"","")</f>
        <v/>
      </c>
      <c r="AB61" t="str">
        <f>IF(AA61="","",IFERROR(INDEX(tblAssessments[Max Marks],MATCH(SelYear&amp;"|"&amp;59,tblAssessments[Seq Key],0)),""))</f>
        <v/>
      </c>
      <c r="AC61" s="83" t="str">
        <f>IF(AA61="","",IFERROR(IF(INDEX(tblAssessments[Date],MATCH(SelYear&amp;"|"&amp;59,tblAssessments[Seq Key],0))="","",INDEX(tblAssessments[Date],MATCH(SelYear&amp;"|"&amp;59,tblAssessments[Seq Key],0))),""))</f>
        <v/>
      </c>
      <c r="AD61" t="str">
        <f>IF(AA61="","",IFERROR(INDEX(tblAssessments[Code],MATCH(SelYear&amp;"|"&amp;59,tblAssessments[Seq Key],0))&amp;"",""))</f>
        <v/>
      </c>
      <c r="AK61" t="str">
        <f>IF(AA61="","",IF(AD61&lt;&gt;"",AD61,LEFT(AA61,14)))</f>
        <v/>
      </c>
      <c r="AL61" t="e">
        <f>IF(AA61="",NA(),IFERROR(AVERAGE(INDEX(dData,0,MATCH(AA61&amp;CHAR(10)&amp;"Stanine",dHdr,0))),NA()))</f>
        <v>#N/A</v>
      </c>
      <c r="AM61" t="e">
        <f>IF(OR(AA61="",SelClass=""),NA(),IFERROR(AVERAGEIFS(INDEX(dData,0,MATCH(AA61&amp;CHAR(10)&amp;"Stanine",dHdr,0)),dClass,SelClass),NA()))</f>
        <v>#N/A</v>
      </c>
      <c r="BW61" t="str">
        <f>IF(OR($AA61="",$Y$3=""),"",IFERROR((COUNTIFS(dClass,$Y$3,INDEX(dData,0,MATCH($AA61&amp;CHAR(10)&amp;"Raw Score",dHdr,0)),"&gt;=0")+COUNTIFS(dClass,$Y$3,INDEX(dData,0,MATCH($AA61&amp;CHAR(10)&amp;"Raw Score",dHdr,0)),"A"))/COUNTIF(dClass,$Y$3),""))</f>
        <v/>
      </c>
      <c r="BX61" t="str">
        <f>IF(OR($AA61="",$Y$4=""),"",IFERROR((COUNTIFS(dClass,$Y$4,INDEX(dData,0,MATCH($AA61&amp;CHAR(10)&amp;"Raw Score",dHdr,0)),"&gt;=0")+COUNTIFS(dClass,$Y$4,INDEX(dData,0,MATCH($AA61&amp;CHAR(10)&amp;"Raw Score",dHdr,0)),"A"))/COUNTIF(dClass,$Y$4),""))</f>
        <v/>
      </c>
      <c r="BY61" t="str">
        <f>IF(OR($AA61="",$Y$5=""),"",IFERROR((COUNTIFS(dClass,$Y$5,INDEX(dData,0,MATCH($AA61&amp;CHAR(10)&amp;"Raw Score",dHdr,0)),"&gt;=0")+COUNTIFS(dClass,$Y$5,INDEX(dData,0,MATCH($AA61&amp;CHAR(10)&amp;"Raw Score",dHdr,0)),"A"))/COUNTIF(dClass,$Y$5),""))</f>
        <v/>
      </c>
      <c r="BZ61" t="str">
        <f>IF(OR($AA61="",$Y$6=""),"",IFERROR((COUNTIFS(dClass,$Y$6,INDEX(dData,0,MATCH($AA61&amp;CHAR(10)&amp;"Raw Score",dHdr,0)),"&gt;=0")+COUNTIFS(dClass,$Y$6,INDEX(dData,0,MATCH($AA61&amp;CHAR(10)&amp;"Raw Score",dHdr,0)),"A"))/COUNTIF(dClass,$Y$6),""))</f>
        <v/>
      </c>
      <c r="CA61" t="str">
        <f>IF(OR($AA61="",$Y$7=""),"",IFERROR((COUNTIFS(dClass,$Y$7,INDEX(dData,0,MATCH($AA61&amp;CHAR(10)&amp;"Raw Score",dHdr,0)),"&gt;=0")+COUNTIFS(dClass,$Y$7,INDEX(dData,0,MATCH($AA61&amp;CHAR(10)&amp;"Raw Score",dHdr,0)),"A"))/COUNTIF(dClass,$Y$7),""))</f>
        <v/>
      </c>
      <c r="CB61" t="str">
        <f>IF(OR($AA61="",$Y$8=""),"",IFERROR((COUNTIFS(dClass,$Y$8,INDEX(dData,0,MATCH($AA61&amp;CHAR(10)&amp;"Raw Score",dHdr,0)),"&gt;=0")+COUNTIFS(dClass,$Y$8,INDEX(dData,0,MATCH($AA61&amp;CHAR(10)&amp;"Raw Score",dHdr,0)),"A"))/COUNTIF(dClass,$Y$8),""))</f>
        <v/>
      </c>
      <c r="CC61" t="str">
        <f>IF(OR($AA61="",$Y$9=""),"",IFERROR((COUNTIFS(dClass,$Y$9,INDEX(dData,0,MATCH($AA61&amp;CHAR(10)&amp;"Raw Score",dHdr,0)),"&gt;=0")+COUNTIFS(dClass,$Y$9,INDEX(dData,0,MATCH($AA61&amp;CHAR(10)&amp;"Raw Score",dHdr,0)),"A"))/COUNTIF(dClass,$Y$9),""))</f>
        <v/>
      </c>
      <c r="CD61" t="str">
        <f>IF(OR($AA61="",$Y$10=""),"",IFERROR((COUNTIFS(dClass,$Y$10,INDEX(dData,0,MATCH($AA61&amp;CHAR(10)&amp;"Raw Score",dHdr,0)),"&gt;=0")+COUNTIFS(dClass,$Y$10,INDEX(dData,0,MATCH($AA61&amp;CHAR(10)&amp;"Raw Score",dHdr,0)),"A"))/COUNTIF(dClass,$Y$10),""))</f>
        <v/>
      </c>
    </row>
    <row r="62">
      <c r="H62" t="str">
        <f>IFERROR(INDEX(tblY7[Class],ROWS(H$10:H62))&amp;"","")</f>
        <v>7A/Sc2</v>
      </c>
      <c r="I62" t="str">
        <f>IF(H62="","",IF(COUNTIF(H$10:H62,H62)=1,COUNTIF(H$10:H$609,"&lt;"&amp;H62)+1,""))</f>
        <v/>
      </c>
      <c r="J62" t="str">
        <f>IFERROR(INDEX(tblY8[Class],ROWS(J$10:J62))&amp;"","")</f>
        <v>8A/Sc2</v>
      </c>
      <c r="K62" t="str">
        <f>IF(J62="","",IF(COUNTIF(J$10:J62,J62)=1,COUNTIF(J$10:J$609,"&lt;"&amp;J62)+1,""))</f>
        <v/>
      </c>
      <c r="L62" t="str">
        <f>IFERROR(INDEX(tblY9[Class],ROWS(L$10:L62))&amp;"","")</f>
        <v>9A/Sc3</v>
      </c>
      <c r="M62" t="str">
        <f>IF(L62="","",IF(COUNTIF(L$10:L62,L62)=1,COUNTIF(L$10:L$609,"&lt;"&amp;L62)+1,""))</f>
        <v/>
      </c>
      <c r="N62" t="str">
        <f>IFERROR(INDEX(tblY10[Class],ROWS(N$10:N62))&amp;"","")</f>
        <v>10S/Sc2</v>
      </c>
      <c r="O62" t="str">
        <f>IF(N62="","",IF(COUNTIF(N$10:N62,N62)=1,COUNTIF(N$10:N$609,"&lt;"&amp;N62)+1,""))</f>
        <v/>
      </c>
      <c r="P62" t="str">
        <f>IFERROR(INDEX(tblY11[Class],ROWS(P$10:P62))&amp;"","")</f>
        <v>11S/Sc2</v>
      </c>
      <c r="Q62" t="str">
        <f>IF(P62="","",IF(COUNTIF(P$10:P62,P62)=1,COUNTIF(P$10:P$609,"&lt;"&amp;P62)+1,""))</f>
        <v/>
      </c>
      <c r="AA62" t="str">
        <f>IFERROR(INDEX(tblAssessments[Test Name],MATCH(SelYear&amp;"|"&amp;60,tblAssessments[Seq Key],0))&amp;"","")</f>
        <v/>
      </c>
      <c r="AB62" t="str">
        <f>IF(AA62="","",IFERROR(INDEX(tblAssessments[Max Marks],MATCH(SelYear&amp;"|"&amp;60,tblAssessments[Seq Key],0)),""))</f>
        <v/>
      </c>
      <c r="AC62" s="83" t="str">
        <f>IF(AA62="","",IFERROR(IF(INDEX(tblAssessments[Date],MATCH(SelYear&amp;"|"&amp;60,tblAssessments[Seq Key],0))="","",INDEX(tblAssessments[Date],MATCH(SelYear&amp;"|"&amp;60,tblAssessments[Seq Key],0))),""))</f>
        <v/>
      </c>
      <c r="AD62" t="str">
        <f>IF(AA62="","",IFERROR(INDEX(tblAssessments[Code],MATCH(SelYear&amp;"|"&amp;60,tblAssessments[Seq Key],0))&amp;"",""))</f>
        <v/>
      </c>
      <c r="AK62" t="str">
        <f>IF(AA62="","",IF(AD62&lt;&gt;"",AD62,LEFT(AA62,14)))</f>
        <v/>
      </c>
      <c r="AL62" t="e">
        <f>IF(AA62="",NA(),IFERROR(AVERAGE(INDEX(dData,0,MATCH(AA62&amp;CHAR(10)&amp;"Stanine",dHdr,0))),NA()))</f>
        <v>#N/A</v>
      </c>
      <c r="AM62" t="e">
        <f>IF(OR(AA62="",SelClass=""),NA(),IFERROR(AVERAGEIFS(INDEX(dData,0,MATCH(AA62&amp;CHAR(10)&amp;"Stanine",dHdr,0)),dClass,SelClass),NA()))</f>
        <v>#N/A</v>
      </c>
      <c r="BW62" t="str">
        <f>IF(OR($AA62="",$Y$3=""),"",IFERROR((COUNTIFS(dClass,$Y$3,INDEX(dData,0,MATCH($AA62&amp;CHAR(10)&amp;"Raw Score",dHdr,0)),"&gt;=0")+COUNTIFS(dClass,$Y$3,INDEX(dData,0,MATCH($AA62&amp;CHAR(10)&amp;"Raw Score",dHdr,0)),"A"))/COUNTIF(dClass,$Y$3),""))</f>
        <v/>
      </c>
      <c r="BX62" t="str">
        <f>IF(OR($AA62="",$Y$4=""),"",IFERROR((COUNTIFS(dClass,$Y$4,INDEX(dData,0,MATCH($AA62&amp;CHAR(10)&amp;"Raw Score",dHdr,0)),"&gt;=0")+COUNTIFS(dClass,$Y$4,INDEX(dData,0,MATCH($AA62&amp;CHAR(10)&amp;"Raw Score",dHdr,0)),"A"))/COUNTIF(dClass,$Y$4),""))</f>
        <v/>
      </c>
      <c r="BY62" t="str">
        <f>IF(OR($AA62="",$Y$5=""),"",IFERROR((COUNTIFS(dClass,$Y$5,INDEX(dData,0,MATCH($AA62&amp;CHAR(10)&amp;"Raw Score",dHdr,0)),"&gt;=0")+COUNTIFS(dClass,$Y$5,INDEX(dData,0,MATCH($AA62&amp;CHAR(10)&amp;"Raw Score",dHdr,0)),"A"))/COUNTIF(dClass,$Y$5),""))</f>
        <v/>
      </c>
      <c r="BZ62" t="str">
        <f>IF(OR($AA62="",$Y$6=""),"",IFERROR((COUNTIFS(dClass,$Y$6,INDEX(dData,0,MATCH($AA62&amp;CHAR(10)&amp;"Raw Score",dHdr,0)),"&gt;=0")+COUNTIFS(dClass,$Y$6,INDEX(dData,0,MATCH($AA62&amp;CHAR(10)&amp;"Raw Score",dHdr,0)),"A"))/COUNTIF(dClass,$Y$6),""))</f>
        <v/>
      </c>
      <c r="CA62" t="str">
        <f>IF(OR($AA62="",$Y$7=""),"",IFERROR((COUNTIFS(dClass,$Y$7,INDEX(dData,0,MATCH($AA62&amp;CHAR(10)&amp;"Raw Score",dHdr,0)),"&gt;=0")+COUNTIFS(dClass,$Y$7,INDEX(dData,0,MATCH($AA62&amp;CHAR(10)&amp;"Raw Score",dHdr,0)),"A"))/COUNTIF(dClass,$Y$7),""))</f>
        <v/>
      </c>
      <c r="CB62" t="str">
        <f>IF(OR($AA62="",$Y$8=""),"",IFERROR((COUNTIFS(dClass,$Y$8,INDEX(dData,0,MATCH($AA62&amp;CHAR(10)&amp;"Raw Score",dHdr,0)),"&gt;=0")+COUNTIFS(dClass,$Y$8,INDEX(dData,0,MATCH($AA62&amp;CHAR(10)&amp;"Raw Score",dHdr,0)),"A"))/COUNTIF(dClass,$Y$8),""))</f>
        <v/>
      </c>
      <c r="CC62" t="str">
        <f>IF(OR($AA62="",$Y$9=""),"",IFERROR((COUNTIFS(dClass,$Y$9,INDEX(dData,0,MATCH($AA62&amp;CHAR(10)&amp;"Raw Score",dHdr,0)),"&gt;=0")+COUNTIFS(dClass,$Y$9,INDEX(dData,0,MATCH($AA62&amp;CHAR(10)&amp;"Raw Score",dHdr,0)),"A"))/COUNTIF(dClass,$Y$9),""))</f>
        <v/>
      </c>
      <c r="CD62" t="str">
        <f>IF(OR($AA62="",$Y$10=""),"",IFERROR((COUNTIFS(dClass,$Y$10,INDEX(dData,0,MATCH($AA62&amp;CHAR(10)&amp;"Raw Score",dHdr,0)),"&gt;=0")+COUNTIFS(dClass,$Y$10,INDEX(dData,0,MATCH($AA62&amp;CHAR(10)&amp;"Raw Score",dHdr,0)),"A"))/COUNTIF(dClass,$Y$10),""))</f>
        <v/>
      </c>
    </row>
    <row r="63">
      <c r="H63" t="str">
        <f>IFERROR(INDEX(tblY7[Class],ROWS(H$10:H63))&amp;"","")</f>
        <v>7A/Sc2</v>
      </c>
      <c r="I63" t="str">
        <f>IF(H63="","",IF(COUNTIF(H$10:H63,H63)=1,COUNTIF(H$10:H$609,"&lt;"&amp;H63)+1,""))</f>
        <v/>
      </c>
      <c r="J63" t="str">
        <f>IFERROR(INDEX(tblY8[Class],ROWS(J$10:J63))&amp;"","")</f>
        <v>8A/Sc3</v>
      </c>
      <c r="K63">
        <f>IF(J63="","",IF(COUNTIF(J$10:J63,J63)=1,COUNTIF(J$10:J$609,"&lt;"&amp;J63)+1,""))</f>
        <v>561</v>
      </c>
      <c r="L63" t="str">
        <f>IFERROR(INDEX(tblY9[Class],ROWS(L$10:L63))&amp;"","")</f>
        <v>9A/Sc3</v>
      </c>
      <c r="M63" t="str">
        <f>IF(L63="","",IF(COUNTIF(L$10:L63,L63)=1,COUNTIF(L$10:L$609,"&lt;"&amp;L63)+1,""))</f>
        <v/>
      </c>
      <c r="N63" t="str">
        <f>IFERROR(INDEX(tblY10[Class],ROWS(N$10:N63))&amp;"","")</f>
        <v>10S/Sc2</v>
      </c>
      <c r="O63" t="str">
        <f>IF(N63="","",IF(COUNTIF(N$10:N63,N63)=1,COUNTIF(N$10:N$609,"&lt;"&amp;N63)+1,""))</f>
        <v/>
      </c>
      <c r="P63" t="str">
        <f>IFERROR(INDEX(tblY11[Class],ROWS(P$10:P63))&amp;"","")</f>
        <v>11S/Sc2</v>
      </c>
      <c r="Q63" t="str">
        <f>IF(P63="","",IF(COUNTIF(P$10:P63,P63)=1,COUNTIF(P$10:P$609,"&lt;"&amp;P63)+1,""))</f>
        <v/>
      </c>
    </row>
    <row r="64">
      <c r="H64" t="str">
        <f>IFERROR(INDEX(tblY7[Class],ROWS(H$10:H64))&amp;"","")</f>
        <v>7A/Sc2</v>
      </c>
      <c r="I64" t="str">
        <f>IF(H64="","",IF(COUNTIF(H$10:H64,H64)=1,COUNTIF(H$10:H$609,"&lt;"&amp;H64)+1,""))</f>
        <v/>
      </c>
      <c r="J64" t="str">
        <f>IFERROR(INDEX(tblY8[Class],ROWS(J$10:J64))&amp;"","")</f>
        <v>8A/Sc3</v>
      </c>
      <c r="K64" t="str">
        <f>IF(J64="","",IF(COUNTIF(J$10:J64,J64)=1,COUNTIF(J$10:J$609,"&lt;"&amp;J64)+1,""))</f>
        <v/>
      </c>
      <c r="L64" t="str">
        <f>IFERROR(INDEX(tblY9[Class],ROWS(L$10:L64))&amp;"","")</f>
        <v>9A/Sc3</v>
      </c>
      <c r="M64" t="str">
        <f>IF(L64="","",IF(COUNTIF(L$10:L64,L64)=1,COUNTIF(L$10:L$609,"&lt;"&amp;L64)+1,""))</f>
        <v/>
      </c>
      <c r="N64" t="str">
        <f>IFERROR(INDEX(tblY10[Class],ROWS(N$10:N64))&amp;"","")</f>
        <v>10S/Sc2</v>
      </c>
      <c r="O64" t="str">
        <f>IF(N64="","",IF(COUNTIF(N$10:N64,N64)=1,COUNTIF(N$10:N$609,"&lt;"&amp;N64)+1,""))</f>
        <v/>
      </c>
      <c r="P64" t="str">
        <f>IFERROR(INDEX(tblY11[Class],ROWS(P$10:P64))&amp;"","")</f>
        <v>11S/Sc3</v>
      </c>
      <c r="Q64">
        <f>IF(P64="","",IF(COUNTIF(P$10:P64,P64)=1,COUNTIF(P$10:P$609,"&lt;"&amp;P64)+1,""))</f>
        <v>549</v>
      </c>
      <c r="AA64">
        <f>COUNTIF(tblAssessments[Year Group],SelYear)</f>
        <v>6</v>
      </c>
    </row>
    <row r="65">
      <c r="H65" t="str">
        <f>IFERROR(INDEX(tblY7[Class],ROWS(H$10:H65))&amp;"","")</f>
        <v>7A/Sc2</v>
      </c>
      <c r="I65" t="str">
        <f>IF(H65="","",IF(COUNTIF(H$10:H65,H65)=1,COUNTIF(H$10:H$609,"&lt;"&amp;H65)+1,""))</f>
        <v/>
      </c>
      <c r="J65" t="str">
        <f>IFERROR(INDEX(tblY8[Class],ROWS(J$10:J65))&amp;"","")</f>
        <v>8A/Sc3</v>
      </c>
      <c r="K65" t="str">
        <f>IF(J65="","",IF(COUNTIF(J$10:J65,J65)=1,COUNTIF(J$10:J$609,"&lt;"&amp;J65)+1,""))</f>
        <v/>
      </c>
      <c r="L65" t="str">
        <f>IFERROR(INDEX(tblY9[Class],ROWS(L$10:L65))&amp;"","")</f>
        <v>9A/Sc3</v>
      </c>
      <c r="M65" t="str">
        <f>IF(L65="","",IF(COUNTIF(L$10:L65,L65)=1,COUNTIF(L$10:L$609,"&lt;"&amp;L65)+1,""))</f>
        <v/>
      </c>
      <c r="N65" t="str">
        <f>IFERROR(INDEX(tblY10[Class],ROWS(N$10:N65))&amp;"","")</f>
        <v>10S/Sc2</v>
      </c>
      <c r="O65" t="str">
        <f>IF(N65="","",IF(COUNTIF(N$10:N65,N65)=1,COUNTIF(N$10:N$609,"&lt;"&amp;N65)+1,""))</f>
        <v/>
      </c>
      <c r="P65" t="str">
        <f>IFERROR(INDEX(tblY11[Class],ROWS(P$10:P65))&amp;"","")</f>
        <v>11S/Sc3</v>
      </c>
      <c r="Q65" t="str">
        <f>IF(P65="","",IF(COUNTIF(P$10:P65,P65)=1,COUNTIF(P$10:P$609,"&lt;"&amp;P65)+1,""))</f>
        <v/>
      </c>
    </row>
    <row r="66">
      <c r="H66" t="str">
        <f>IFERROR(INDEX(tblY7[Class],ROWS(H$10:H66))&amp;"","")</f>
        <v>7A/Sc2</v>
      </c>
      <c r="I66" t="str">
        <f>IF(H66="","",IF(COUNTIF(H$10:H66,H66)=1,COUNTIF(H$10:H$609,"&lt;"&amp;H66)+1,""))</f>
        <v/>
      </c>
      <c r="J66" t="str">
        <f>IFERROR(INDEX(tblY8[Class],ROWS(J$10:J66))&amp;"","")</f>
        <v>8A/Sc3</v>
      </c>
      <c r="K66" t="str">
        <f>IF(J66="","",IF(COUNTIF(J$10:J66,J66)=1,COUNTIF(J$10:J$609,"&lt;"&amp;J66)+1,""))</f>
        <v/>
      </c>
      <c r="L66" t="str">
        <f>IFERROR(INDEX(tblY9[Class],ROWS(L$10:L66))&amp;"","")</f>
        <v>9A/Sc3</v>
      </c>
      <c r="M66" t="str">
        <f>IF(L66="","",IF(COUNTIF(L$10:L66,L66)=1,COUNTIF(L$10:L$609,"&lt;"&amp;L66)+1,""))</f>
        <v/>
      </c>
      <c r="N66" t="str">
        <f>IFERROR(INDEX(tblY10[Class],ROWS(N$10:N66))&amp;"","")</f>
        <v>10S/Sc2</v>
      </c>
      <c r="O66" t="str">
        <f>IF(N66="","",IF(COUNTIF(N$10:N66,N66)=1,COUNTIF(N$10:N$609,"&lt;"&amp;N66)+1,""))</f>
        <v/>
      </c>
      <c r="P66" t="str">
        <f>IFERROR(INDEX(tblY11[Class],ROWS(P$10:P66))&amp;"","")</f>
        <v>11S/Sc3</v>
      </c>
      <c r="Q66" t="str">
        <f>IF(P66="","",IF(COUNTIF(P$10:P66,P66)=1,COUNTIF(P$10:P$609,"&lt;"&amp;P66)+1,""))</f>
        <v/>
      </c>
    </row>
    <row r="67">
      <c r="H67" t="str">
        <f>IFERROR(INDEX(tblY7[Class],ROWS(H$10:H67))&amp;"","")</f>
        <v>7A/Sc2</v>
      </c>
      <c r="I67" t="str">
        <f>IF(H67="","",IF(COUNTIF(H$10:H67,H67)=1,COUNTIF(H$10:H$609,"&lt;"&amp;H67)+1,""))</f>
        <v/>
      </c>
      <c r="J67" t="str">
        <f>IFERROR(INDEX(tblY8[Class],ROWS(J$10:J67))&amp;"","")</f>
        <v>8A/Sc3</v>
      </c>
      <c r="K67" t="str">
        <f>IF(J67="","",IF(COUNTIF(J$10:J67,J67)=1,COUNTIF(J$10:J$609,"&lt;"&amp;J67)+1,""))</f>
        <v/>
      </c>
      <c r="L67" t="str">
        <f>IFERROR(INDEX(tblY9[Class],ROWS(L$10:L67))&amp;"","")</f>
        <v>9A/Sc3</v>
      </c>
      <c r="M67" t="str">
        <f>IF(L67="","",IF(COUNTIF(L$10:L67,L67)=1,COUNTIF(L$10:L$609,"&lt;"&amp;L67)+1,""))</f>
        <v/>
      </c>
      <c r="N67" t="str">
        <f>IFERROR(INDEX(tblY10[Class],ROWS(N$10:N67))&amp;"","")</f>
        <v>10S/Sc3</v>
      </c>
      <c r="O67">
        <f>IF(N67="","",IF(COUNTIF(N$10:N67,N67)=1,COUNTIF(N$10:N$609,"&lt;"&amp;N67)+1,""))</f>
        <v>541</v>
      </c>
      <c r="P67" t="str">
        <f>IFERROR(INDEX(tblY11[Class],ROWS(P$10:P67))&amp;"","")</f>
        <v>11S/Sc3</v>
      </c>
      <c r="Q67" t="str">
        <f>IF(P67="","",IF(COUNTIF(P$10:P67,P67)=1,COUNTIF(P$10:P$609,"&lt;"&amp;P67)+1,""))</f>
        <v/>
      </c>
      <c r="BA67">
        <f>COUNT(BJ70:BJ669)</f>
        <v>9</v>
      </c>
    </row>
    <row r="68">
      <c r="H68" t="str">
        <f>IFERROR(INDEX(tblY7[Class],ROWS(H$10:H68))&amp;"","")</f>
        <v>7A/Sc2</v>
      </c>
      <c r="I68" t="str">
        <f>IF(H68="","",IF(COUNTIF(H$10:H68,H68)=1,COUNTIF(H$10:H$609,"&lt;"&amp;H68)+1,""))</f>
        <v/>
      </c>
      <c r="J68" t="str">
        <f>IFERROR(INDEX(tblY8[Class],ROWS(J$10:J68))&amp;"","")</f>
        <v>8A/Sc3</v>
      </c>
      <c r="K68" t="str">
        <f>IF(J68="","",IF(COUNTIF(J$10:J68,J68)=1,COUNTIF(J$10:J$609,"&lt;"&amp;J68)+1,""))</f>
        <v/>
      </c>
      <c r="L68" t="str">
        <f>IFERROR(INDEX(tblY9[Class],ROWS(L$10:L68))&amp;"","")</f>
        <v>9A/Sc3</v>
      </c>
      <c r="M68" t="str">
        <f>IF(L68="","",IF(COUNTIF(L$10:L68,L68)=1,COUNTIF(L$10:L$609,"&lt;"&amp;L68)+1,""))</f>
        <v/>
      </c>
      <c r="N68" t="str">
        <f>IFERROR(INDEX(tblY10[Class],ROWS(N$10:N68))&amp;"","")</f>
        <v>10S/Sc3</v>
      </c>
      <c r="O68" t="str">
        <f>IF(N68="","",IF(COUNTIF(N$10:N68,N68)=1,COUNTIF(N$10:N$609,"&lt;"&amp;N68)+1,""))</f>
        <v/>
      </c>
      <c r="P68" t="str">
        <f>IFERROR(INDEX(tblY11[Class],ROWS(P$10:P68))&amp;"","")</f>
        <v>11S/Sc3</v>
      </c>
      <c r="Q68" t="str">
        <f>IF(P68="","",IF(COUNTIF(P$10:P68,P68)=1,COUNTIF(P$10:P$609,"&lt;"&amp;P68)+1,""))</f>
        <v/>
      </c>
    </row>
    <row r="69">
      <c r="H69" t="str">
        <f>IFERROR(INDEX(tblY7[Class],ROWS(H$10:H69))&amp;"","")</f>
        <v>7A/Sc2</v>
      </c>
      <c r="I69" t="str">
        <f>IF(H69="","",IF(COUNTIF(H$10:H69,H69)=1,COUNTIF(H$10:H$609,"&lt;"&amp;H69)+1,""))</f>
        <v/>
      </c>
      <c r="J69" t="str">
        <f>IFERROR(INDEX(tblY8[Class],ROWS(J$10:J69))&amp;"","")</f>
        <v>8A/Sc3</v>
      </c>
      <c r="K69" t="str">
        <f>IF(J69="","",IF(COUNTIF(J$10:J69,J69)=1,COUNTIF(J$10:J$609,"&lt;"&amp;J69)+1,""))</f>
        <v/>
      </c>
      <c r="L69" t="str">
        <f>IFERROR(INDEX(tblY9[Class],ROWS(L$10:L69))&amp;"","")</f>
        <v>9A/Sc3</v>
      </c>
      <c r="M69" t="str">
        <f>IF(L69="","",IF(COUNTIF(L$10:L69,L69)=1,COUNTIF(L$10:L$609,"&lt;"&amp;L69)+1,""))</f>
        <v/>
      </c>
      <c r="N69" t="str">
        <f>IFERROR(INDEX(tblY10[Class],ROWS(N$10:N69))&amp;"","")</f>
        <v>10S/Sc3</v>
      </c>
      <c r="O69" t="str">
        <f>IF(N69="","",IF(COUNTIF(N$10:N69,N69)=1,COUNTIF(N$10:N$609,"&lt;"&amp;N69)+1,""))</f>
        <v/>
      </c>
      <c r="P69" t="str">
        <f>IFERROR(INDEX(tblY11[Class],ROWS(P$10:P69))&amp;"","")</f>
        <v>11S/Sc3</v>
      </c>
      <c r="Q69" t="str">
        <f>IF(P69="","",IF(COUNTIF(P$10:P69,P69)=1,COUNTIF(P$10:P$609,"&lt;"&amp;P69)+1,""))</f>
        <v/>
      </c>
      <c r="BA69" s="82" t="inlineStr">
        <is>
          <t>Last</t>
        </is>
      </c>
      <c r="BB69" s="82" t="inlineStr">
        <is>
          <t>First</t>
        </is>
      </c>
      <c r="BC69" s="82" t="inlineStr">
        <is>
          <t>Class</t>
        </is>
      </c>
      <c r="BD69" s="82" t="inlineStr">
        <is>
          <t>KS2 band</t>
        </is>
      </c>
      <c r="BE69" s="82" t="inlineStr">
        <is>
          <t>Tests</t>
        </is>
      </c>
      <c r="BF69" s="82" t="inlineStr">
        <is>
          <t>Mean</t>
        </is>
      </c>
      <c r="BG69" s="82" t="inlineStr">
        <is>
          <t>vs expected</t>
        </is>
      </c>
      <c r="BH69" s="82" t="inlineStr">
        <is>
          <t>Latest</t>
        </is>
      </c>
      <c r="BI69" s="82" t="inlineStr">
        <is>
          <t>Reason</t>
        </is>
      </c>
      <c r="BJ69" s="82" t="inlineStr">
        <is>
          <t>Key</t>
        </is>
      </c>
    </row>
    <row r="70">
      <c r="H70" t="str">
        <f>IFERROR(INDEX(tblY7[Class],ROWS(H$10:H70))&amp;"","")</f>
        <v>7B/Sc1</v>
      </c>
      <c r="I70">
        <f>IF(H70="","",IF(COUNTIF(H$10:H70,H70)=1,COUNTIF(H$10:H$609,"&lt;"&amp;H70)+1,""))</f>
        <v>530</v>
      </c>
      <c r="J70" t="str">
        <f>IFERROR(INDEX(tblY8[Class],ROWS(J$10:J70))&amp;"","")</f>
        <v>8A/Sc3</v>
      </c>
      <c r="K70" t="str">
        <f>IF(J70="","",IF(COUNTIF(J$10:J70,J70)=1,COUNTIF(J$10:J$609,"&lt;"&amp;J70)+1,""))</f>
        <v/>
      </c>
      <c r="L70" t="str">
        <f>IFERROR(INDEX(tblY9[Class],ROWS(L$10:L70))&amp;"","")</f>
        <v>9A/Sc3</v>
      </c>
      <c r="M70" t="str">
        <f>IF(L70="","",IF(COUNTIF(L$10:L70,L70)=1,COUNTIF(L$10:L$609,"&lt;"&amp;L70)+1,""))</f>
        <v/>
      </c>
      <c r="N70" t="str">
        <f>IFERROR(INDEX(tblY10[Class],ROWS(N$10:N70))&amp;"","")</f>
        <v>10S/Sc3</v>
      </c>
      <c r="O70" t="str">
        <f>IF(N70="","",IF(COUNTIF(N$10:N70,N70)=1,COUNTIF(N$10:N$609,"&lt;"&amp;N70)+1,""))</f>
        <v/>
      </c>
      <c r="P70" t="str">
        <f>IFERROR(INDEX(tblY11[Class],ROWS(P$10:P70))&amp;"","")</f>
        <v>11S/Sc3</v>
      </c>
      <c r="Q70" t="str">
        <f>IF(P70="","",IF(COUNTIF(P$10:P70,P70)=1,COUNTIF(P$10:P$609,"&lt;"&amp;P70)+1,""))</f>
        <v/>
      </c>
      <c r="BA70" t="str">
        <f>IFERROR(INDEX(wLast,1)&amp;"","")</f>
        <v>Begum</v>
      </c>
      <c r="BB70" t="str">
        <f>IF(BA70="","",IFERROR(INDEX(wFirst,1)&amp;"",""))</f>
        <v>Maisie</v>
      </c>
      <c r="BC70" t="str">
        <f>IF(BA70="","",IFERROR(INDEX(wClass,1)&amp;"",""))</f>
        <v>11S/Sc1</v>
      </c>
      <c r="BD70">
        <f>IF(BA70="","",IFERROR(INDEX(wKsBand,1)+0,""))</f>
        <v>4</v>
      </c>
      <c r="BE70">
        <f>IF(BA70="","",IFERROR(INDEX(wTests,1)+0,0))</f>
        <v>6</v>
      </c>
      <c r="BF70">
        <f>IF(BA70="","",IFERROR(INDEX(wMean,1)+0,""))</f>
        <v>4.66666666666667</v>
      </c>
      <c r="BG70">
        <f>IF(BA70="","",IFERROR(INDEX(wVs,1)+0,""))</f>
        <v>0.462831890331891</v>
      </c>
      <c r="BH70">
        <f>IF(OR(BA70="",wLatest=""),"",IFERROR(INDEX(wData,1,MATCH(wLatest&amp;CHAR(10)&amp;"Stanine",wHdr,0))+0,""))</f>
        <v>5</v>
      </c>
      <c r="BI70" t="str">
        <f>IF(BA70="","",IF(AND(ISNUMBER(BG70),N(BE70)&gt;=WlMinTests,BG70&lt;=-WlGap),"Below expected for KS2",IF(AND(NOT(ISNUMBER(BD70)),ISNUMBER(BF70),N(BE70)&gt;=WlMinTests,BF70&lt;=WlLowMean),"Low results, no KS2 data","")))</f>
        <v/>
      </c>
      <c r="BJ70" t="str">
        <f>IF(BI70="","",IF(BI70="Below expected for KS2",BG70,100+BF70)+ROW()/1000000)</f>
        <v/>
      </c>
    </row>
    <row r="71">
      <c r="H71" t="str">
        <f>IFERROR(INDEX(tblY7[Class],ROWS(H$10:H71))&amp;"","")</f>
        <v>7B/Sc1</v>
      </c>
      <c r="I71" t="str">
        <f>IF(H71="","",IF(COUNTIF(H$10:H71,H71)=1,COUNTIF(H$10:H$609,"&lt;"&amp;H71)+1,""))</f>
        <v/>
      </c>
      <c r="J71" t="str">
        <f>IFERROR(INDEX(tblY8[Class],ROWS(J$10:J71))&amp;"","")</f>
        <v>8A/Sc3</v>
      </c>
      <c r="K71" t="str">
        <f>IF(J71="","",IF(COUNTIF(J$10:J71,J71)=1,COUNTIF(J$10:J$609,"&lt;"&amp;J71)+1,""))</f>
        <v/>
      </c>
      <c r="L71" t="str">
        <f>IFERROR(INDEX(tblY9[Class],ROWS(L$10:L71))&amp;"","")</f>
        <v>9A/Sc3</v>
      </c>
      <c r="M71" t="str">
        <f>IF(L71="","",IF(COUNTIF(L$10:L71,L71)=1,COUNTIF(L$10:L$609,"&lt;"&amp;L71)+1,""))</f>
        <v/>
      </c>
      <c r="N71" t="str">
        <f>IFERROR(INDEX(tblY10[Class],ROWS(N$10:N71))&amp;"","")</f>
        <v>10S/Sc3</v>
      </c>
      <c r="O71" t="str">
        <f>IF(N71="","",IF(COUNTIF(N$10:N71,N71)=1,COUNTIF(N$10:N$609,"&lt;"&amp;N71)+1,""))</f>
        <v/>
      </c>
      <c r="P71" t="str">
        <f>IFERROR(INDEX(tblY11[Class],ROWS(P$10:P71))&amp;"","")</f>
        <v>11S/Sc3</v>
      </c>
      <c r="Q71" t="str">
        <f>IF(P71="","",IF(COUNTIF(P$10:P71,P71)=1,COUNTIF(P$10:P$609,"&lt;"&amp;P71)+1,""))</f>
        <v/>
      </c>
      <c r="BA71" t="str">
        <f>IFERROR(INDEX(wLast,2)&amp;"","")</f>
        <v>Begum</v>
      </c>
      <c r="BB71" t="str">
        <f>IF(BA71="","",IFERROR(INDEX(wFirst,2)&amp;"",""))</f>
        <v>Rosie</v>
      </c>
      <c r="BC71" t="str">
        <f>IF(BA71="","",IFERROR(INDEX(wClass,2)&amp;"",""))</f>
        <v>11S/Sc1</v>
      </c>
      <c r="BD71">
        <f>IF(BA71="","",IFERROR(INDEX(wKsBand,2)+0,""))</f>
        <v>5</v>
      </c>
      <c r="BE71">
        <f>IF(BA71="","",IFERROR(INDEX(wTests,2)+0,0))</f>
        <v>6</v>
      </c>
      <c r="BF71">
        <f>IF(BA71="","",IFERROR(INDEX(wMean,2)+0,""))</f>
        <v>4.5</v>
      </c>
      <c r="BG71">
        <f>IF(BA71="","",IFERROR(INDEX(wVs,2)+0,""))</f>
        <v>-0.452698412698412</v>
      </c>
      <c r="BH71">
        <f>IF(OR(BA71="",wLatest=""),"",IFERROR(INDEX(wData,2,MATCH(wLatest&amp;CHAR(10)&amp;"Stanine",wHdr,0))+0,""))</f>
        <v>4</v>
      </c>
      <c r="BI71" t="str">
        <f>IF(BA71="","",IF(AND(ISNUMBER(BG71),N(BE71)&gt;=WlMinTests,BG71&lt;=-WlGap),"Below expected for KS2",IF(AND(NOT(ISNUMBER(BD71)),ISNUMBER(BF71),N(BE71)&gt;=WlMinTests,BF71&lt;=WlLowMean),"Low results, no KS2 data","")))</f>
        <v/>
      </c>
      <c r="BJ71" t="str">
        <f>IF(BI71="","",IF(BI71="Below expected for KS2",BG71,100+BF71)+ROW()/1000000)</f>
        <v/>
      </c>
    </row>
    <row r="72">
      <c r="H72" t="str">
        <f>IFERROR(INDEX(tblY7[Class],ROWS(H$10:H72))&amp;"","")</f>
        <v>7B/Sc1</v>
      </c>
      <c r="I72" t="str">
        <f>IF(H72="","",IF(COUNTIF(H$10:H72,H72)=1,COUNTIF(H$10:H$609,"&lt;"&amp;H72)+1,""))</f>
        <v/>
      </c>
      <c r="J72" t="str">
        <f>IFERROR(INDEX(tblY8[Class],ROWS(J$10:J72))&amp;"","")</f>
        <v>8A/Sc3</v>
      </c>
      <c r="K72" t="str">
        <f>IF(J72="","",IF(COUNTIF(J$10:J72,J72)=1,COUNTIF(J$10:J$609,"&lt;"&amp;J72)+1,""))</f>
        <v/>
      </c>
      <c r="L72" t="str">
        <f>IFERROR(INDEX(tblY9[Class],ROWS(L$10:L72))&amp;"","")</f>
        <v>9A/Sc3</v>
      </c>
      <c r="M72" t="str">
        <f>IF(L72="","",IF(COUNTIF(L$10:L72,L72)=1,COUNTIF(L$10:L$609,"&lt;"&amp;L72)+1,""))</f>
        <v/>
      </c>
      <c r="N72" t="str">
        <f>IFERROR(INDEX(tblY10[Class],ROWS(N$10:N72))&amp;"","")</f>
        <v>10S/Sc3</v>
      </c>
      <c r="O72" t="str">
        <f>IF(N72="","",IF(COUNTIF(N$10:N72,N72)=1,COUNTIF(N$10:N$609,"&lt;"&amp;N72)+1,""))</f>
        <v/>
      </c>
      <c r="P72" t="str">
        <f>IFERROR(INDEX(tblY11[Class],ROWS(P$10:P72))&amp;"","")</f>
        <v>11S/Sc3</v>
      </c>
      <c r="Q72" t="str">
        <f>IF(P72="","",IF(COUNTIF(P$10:P72,P72)=1,COUNTIF(P$10:P$609,"&lt;"&amp;P72)+1,""))</f>
        <v/>
      </c>
      <c r="BA72" t="str">
        <f>IFERROR(INDEX(wLast,3)&amp;"","")</f>
        <v>Bennett</v>
      </c>
      <c r="BB72" t="str">
        <f>IF(BA72="","",IFERROR(INDEX(wFirst,3)&amp;"",""))</f>
        <v>George</v>
      </c>
      <c r="BC72" t="str">
        <f>IF(BA72="","",IFERROR(INDEX(wClass,3)&amp;"",""))</f>
        <v>11S/Sc1</v>
      </c>
      <c r="BD72">
        <f>IF(BA72="","",IFERROR(INDEX(wKsBand,3)+0,""))</f>
        <v>7</v>
      </c>
      <c r="BE72">
        <f>IF(BA72="","",IFERROR(INDEX(wTests,3)+0,0))</f>
        <v>6</v>
      </c>
      <c r="BF72">
        <f>IF(BA72="","",IFERROR(INDEX(wMean,3)+0,""))</f>
        <v>6.33333333333333</v>
      </c>
      <c r="BG72">
        <f>IF(BA72="","",IFERROR(INDEX(wVs,3)+0,""))</f>
        <v>-0.117092352092352</v>
      </c>
      <c r="BH72">
        <f>IF(OR(BA72="",wLatest=""),"",IFERROR(INDEX(wData,3,MATCH(wLatest&amp;CHAR(10)&amp;"Stanine",wHdr,0))+0,""))</f>
        <v>6</v>
      </c>
      <c r="BI72" t="str">
        <f>IF(BA72="","",IF(AND(ISNUMBER(BG72),N(BE72)&gt;=WlMinTests,BG72&lt;=-WlGap),"Below expected for KS2",IF(AND(NOT(ISNUMBER(BD72)),ISNUMBER(BF72),N(BE72)&gt;=WlMinTests,BF72&lt;=WlLowMean),"Low results, no KS2 data","")))</f>
        <v/>
      </c>
      <c r="BJ72" t="str">
        <f>IF(BI72="","",IF(BI72="Below expected for KS2",BG72,100+BF72)+ROW()/1000000)</f>
        <v/>
      </c>
    </row>
    <row r="73">
      <c r="H73" t="str">
        <f>IFERROR(INDEX(tblY7[Class],ROWS(H$10:H73))&amp;"","")</f>
        <v>7B/Sc1</v>
      </c>
      <c r="I73" t="str">
        <f>IF(H73="","",IF(COUNTIF(H$10:H73,H73)=1,COUNTIF(H$10:H$609,"&lt;"&amp;H73)+1,""))</f>
        <v/>
      </c>
      <c r="J73" t="str">
        <f>IFERROR(INDEX(tblY8[Class],ROWS(J$10:J73))&amp;"","")</f>
        <v>8A/Sc3</v>
      </c>
      <c r="K73" t="str">
        <f>IF(J73="","",IF(COUNTIF(J$10:J73,J73)=1,COUNTIF(J$10:J$609,"&lt;"&amp;J73)+1,""))</f>
        <v/>
      </c>
      <c r="L73" t="str">
        <f>IFERROR(INDEX(tblY9[Class],ROWS(L$10:L73))&amp;"","")</f>
        <v>9A/Sc3</v>
      </c>
      <c r="M73" t="str">
        <f>IF(L73="","",IF(COUNTIF(L$10:L73,L73)=1,COUNTIF(L$10:L$609,"&lt;"&amp;L73)+1,""))</f>
        <v/>
      </c>
      <c r="N73" t="str">
        <f>IFERROR(INDEX(tblY10[Class],ROWS(N$10:N73))&amp;"","")</f>
        <v>10S/Sc3</v>
      </c>
      <c r="O73" t="str">
        <f>IF(N73="","",IF(COUNTIF(N$10:N73,N73)=1,COUNTIF(N$10:N$609,"&lt;"&amp;N73)+1,""))</f>
        <v/>
      </c>
      <c r="P73" t="str">
        <f>IFERROR(INDEX(tblY11[Class],ROWS(P$10:P73))&amp;"","")</f>
        <v>11S/Sc3</v>
      </c>
      <c r="Q73" t="str">
        <f>IF(P73="","",IF(COUNTIF(P$10:P73,P73)=1,COUNTIF(P$10:P$609,"&lt;"&amp;P73)+1,""))</f>
        <v/>
      </c>
      <c r="BA73" t="str">
        <f>IFERROR(INDEX(wLast,4)&amp;"","")</f>
        <v>Clarke</v>
      </c>
      <c r="BB73" t="str">
        <f>IF(BA73="","",IFERROR(INDEX(wFirst,4)&amp;"",""))</f>
        <v>Niamh</v>
      </c>
      <c r="BC73" t="str">
        <f>IF(BA73="","",IFERROR(INDEX(wClass,4)&amp;"",""))</f>
        <v>11S/Sc1</v>
      </c>
      <c r="BD73">
        <f>IF(BA73="","",IFERROR(INDEX(wKsBand,4)+0,""))</f>
        <v>8</v>
      </c>
      <c r="BE73">
        <f>IF(BA73="","",IFERROR(INDEX(wTests,4)+0,0))</f>
        <v>6</v>
      </c>
      <c r="BF73">
        <f>IF(BA73="","",IFERROR(INDEX(wMean,4)+0,""))</f>
        <v>9</v>
      </c>
      <c r="BG73">
        <f>IF(BA73="","",IFERROR(INDEX(wVs,4)+0,""))</f>
        <v>1.80071067821068</v>
      </c>
      <c r="BH73">
        <f>IF(OR(BA73="",wLatest=""),"",IFERROR(INDEX(wData,4,MATCH(wLatest&amp;CHAR(10)&amp;"Stanine",wHdr,0))+0,""))</f>
        <v>9</v>
      </c>
      <c r="BI73" t="str">
        <f>IF(BA73="","",IF(AND(ISNUMBER(BG73),N(BE73)&gt;=WlMinTests,BG73&lt;=-WlGap),"Below expected for KS2",IF(AND(NOT(ISNUMBER(BD73)),ISNUMBER(BF73),N(BE73)&gt;=WlMinTests,BF73&lt;=WlLowMean),"Low results, no KS2 data","")))</f>
        <v/>
      </c>
      <c r="BJ73" t="str">
        <f>IF(BI73="","",IF(BI73="Below expected for KS2",BG73,100+BF73)+ROW()/1000000)</f>
        <v/>
      </c>
    </row>
    <row r="74">
      <c r="H74" t="str">
        <f>IFERROR(INDEX(tblY7[Class],ROWS(H$10:H74))&amp;"","")</f>
        <v>7B/Sc1</v>
      </c>
      <c r="I74" t="str">
        <f>IF(H74="","",IF(COUNTIF(H$10:H74,H74)=1,COUNTIF(H$10:H$609,"&lt;"&amp;H74)+1,""))</f>
        <v/>
      </c>
      <c r="J74" t="str">
        <f>IFERROR(INDEX(tblY8[Class],ROWS(J$10:J74))&amp;"","")</f>
        <v>8A/Sc3</v>
      </c>
      <c r="K74" t="str">
        <f>IF(J74="","",IF(COUNTIF(J$10:J74,J74)=1,COUNTIF(J$10:J$609,"&lt;"&amp;J74)+1,""))</f>
        <v/>
      </c>
      <c r="L74" t="str">
        <f>IFERROR(INDEX(tblY9[Class],ROWS(L$10:L74))&amp;"","")</f>
        <v>9A/Sc3</v>
      </c>
      <c r="M74" t="str">
        <f>IF(L74="","",IF(COUNTIF(L$10:L74,L74)=1,COUNTIF(L$10:L$609,"&lt;"&amp;L74)+1,""))</f>
        <v/>
      </c>
      <c r="N74" t="str">
        <f>IFERROR(INDEX(tblY10[Class],ROWS(N$10:N74))&amp;"","")</f>
        <v>10S/Sc3</v>
      </c>
      <c r="O74" t="str">
        <f>IF(N74="","",IF(COUNTIF(N$10:N74,N74)=1,COUNTIF(N$10:N$609,"&lt;"&amp;N74)+1,""))</f>
        <v/>
      </c>
      <c r="P74" t="str">
        <f>IFERROR(INDEX(tblY11[Class],ROWS(P$10:P74))&amp;"","")</f>
        <v>11S/Sc3</v>
      </c>
      <c r="Q74" t="str">
        <f>IF(P74="","",IF(COUNTIF(P$10:P74,P74)=1,COUNTIF(P$10:P$609,"&lt;"&amp;P74)+1,""))</f>
        <v/>
      </c>
      <c r="BA74" t="str">
        <f>IFERROR(INDEX(wLast,5)&amp;"","")</f>
        <v>Cooper</v>
      </c>
      <c r="BB74" t="str">
        <f>IF(BA74="","",IFERROR(INDEX(wFirst,5)&amp;"",""))</f>
        <v>Ava</v>
      </c>
      <c r="BC74" t="str">
        <f>IF(BA74="","",IFERROR(INDEX(wClass,5)&amp;"",""))</f>
        <v>11S/Sc1</v>
      </c>
      <c r="BD74">
        <f>IF(BA74="","",IFERROR(INDEX(wKsBand,5)+0,""))</f>
        <v>5</v>
      </c>
      <c r="BE74">
        <f>IF(BA74="","",IFERROR(INDEX(wTests,5)+0,0))</f>
        <v>5</v>
      </c>
      <c r="BF74">
        <f>IF(BA74="","",IFERROR(INDEX(wMean,5)+0,""))</f>
        <v>6</v>
      </c>
      <c r="BG74">
        <f>IF(BA74="","",IFERROR(INDEX(wVs,5)+0,""))</f>
        <v>1.04730158730159</v>
      </c>
      <c r="BH74">
        <f>IF(OR(BA74="",wLatest=""),"",IFERROR(INDEX(wData,5,MATCH(wLatest&amp;CHAR(10)&amp;"Stanine",wHdr,0))+0,""))</f>
        <v>5</v>
      </c>
      <c r="BI74" t="str">
        <f>IF(BA74="","",IF(AND(ISNUMBER(BG74),N(BE74)&gt;=WlMinTests,BG74&lt;=-WlGap),"Below expected for KS2",IF(AND(NOT(ISNUMBER(BD74)),ISNUMBER(BF74),N(BE74)&gt;=WlMinTests,BF74&lt;=WlLowMean),"Low results, no KS2 data","")))</f>
        <v/>
      </c>
      <c r="BJ74" t="str">
        <f>IF(BI74="","",IF(BI74="Below expected for KS2",BG74,100+BF74)+ROW()/1000000)</f>
        <v/>
      </c>
    </row>
    <row r="75">
      <c r="H75" t="str">
        <f>IFERROR(INDEX(tblY7[Class],ROWS(H$10:H75))&amp;"","")</f>
        <v>7B/Sc1</v>
      </c>
      <c r="I75" t="str">
        <f>IF(H75="","",IF(COUNTIF(H$10:H75,H75)=1,COUNTIF(H$10:H$609,"&lt;"&amp;H75)+1,""))</f>
        <v/>
      </c>
      <c r="J75" t="str">
        <f>IFERROR(INDEX(tblY8[Class],ROWS(J$10:J75))&amp;"","")</f>
        <v>8A/Sc3</v>
      </c>
      <c r="K75" t="str">
        <f>IF(J75="","",IF(COUNTIF(J$10:J75,J75)=1,COUNTIF(J$10:J$609,"&lt;"&amp;J75)+1,""))</f>
        <v/>
      </c>
      <c r="L75" t="str">
        <f>IFERROR(INDEX(tblY9[Class],ROWS(L$10:L75))&amp;"","")</f>
        <v>9A/Sc3</v>
      </c>
      <c r="M75" t="str">
        <f>IF(L75="","",IF(COUNTIF(L$10:L75,L75)=1,COUNTIF(L$10:L$609,"&lt;"&amp;L75)+1,""))</f>
        <v/>
      </c>
      <c r="N75" t="str">
        <f>IFERROR(INDEX(tblY10[Class],ROWS(N$10:N75))&amp;"","")</f>
        <v>10S/Sc3</v>
      </c>
      <c r="O75" t="str">
        <f>IF(N75="","",IF(COUNTIF(N$10:N75,N75)=1,COUNTIF(N$10:N$609,"&lt;"&amp;N75)+1,""))</f>
        <v/>
      </c>
      <c r="P75" t="str">
        <f>IFERROR(INDEX(tblY11[Class],ROWS(P$10:P75))&amp;"","")</f>
        <v>11S/Sc3</v>
      </c>
      <c r="Q75" t="str">
        <f>IF(P75="","",IF(COUNTIF(P$10:P75,P75)=1,COUNTIF(P$10:P$609,"&lt;"&amp;P75)+1,""))</f>
        <v/>
      </c>
      <c r="BA75" t="str">
        <f>IFERROR(INDEX(wLast,6)&amp;"","")</f>
        <v>Cooper</v>
      </c>
      <c r="BB75" t="str">
        <f>IF(BA75="","",IFERROR(INDEX(wFirst,6)&amp;"",""))</f>
        <v>Lewis</v>
      </c>
      <c r="BC75" t="str">
        <f>IF(BA75="","",IFERROR(INDEX(wClass,6)&amp;"",""))</f>
        <v>11S/Sc1</v>
      </c>
      <c r="BD75">
        <f>IF(BA75="","",IFERROR(INDEX(wKsBand,6)+0,""))</f>
        <v>5</v>
      </c>
      <c r="BE75">
        <f>IF(BA75="","",IFERROR(INDEX(wTests,6)+0,0))</f>
        <v>5</v>
      </c>
      <c r="BF75">
        <f>IF(BA75="","",IFERROR(INDEX(wMean,6)+0,""))</f>
        <v>4.8</v>
      </c>
      <c r="BG75">
        <f>IF(BA75="","",IFERROR(INDEX(wVs,6)+0,""))</f>
        <v>-0.152698412698412</v>
      </c>
      <c r="BH75">
        <f>IF(OR(BA75="",wLatest=""),"",IFERROR(INDEX(wData,6,MATCH(wLatest&amp;CHAR(10)&amp;"Stanine",wHdr,0))+0,""))</f>
        <v>4</v>
      </c>
      <c r="BI75" t="str">
        <f>IF(BA75="","",IF(AND(ISNUMBER(BG75),N(BE75)&gt;=WlMinTests,BG75&lt;=-WlGap),"Below expected for KS2",IF(AND(NOT(ISNUMBER(BD75)),ISNUMBER(BF75),N(BE75)&gt;=WlMinTests,BF75&lt;=WlLowMean),"Low results, no KS2 data","")))</f>
        <v/>
      </c>
      <c r="BJ75" t="str">
        <f>IF(BI75="","",IF(BI75="Below expected for KS2",BG75,100+BF75)+ROW()/1000000)</f>
        <v/>
      </c>
    </row>
    <row r="76">
      <c r="H76" t="str">
        <f>IFERROR(INDEX(tblY7[Class],ROWS(H$10:H76))&amp;"","")</f>
        <v>7B/Sc1</v>
      </c>
      <c r="I76" t="str">
        <f>IF(H76="","",IF(COUNTIF(H$10:H76,H76)=1,COUNTIF(H$10:H$609,"&lt;"&amp;H76)+1,""))</f>
        <v/>
      </c>
      <c r="J76" t="str">
        <f>IFERROR(INDEX(tblY8[Class],ROWS(J$10:J76))&amp;"","")</f>
        <v>8A/Sc3</v>
      </c>
      <c r="K76" t="str">
        <f>IF(J76="","",IF(COUNTIF(J$10:J76,J76)=1,COUNTIF(J$10:J$609,"&lt;"&amp;J76)+1,""))</f>
        <v/>
      </c>
      <c r="L76" t="str">
        <f>IFERROR(INDEX(tblY9[Class],ROWS(L$10:L76))&amp;"","")</f>
        <v>9B/Sc1</v>
      </c>
      <c r="M76">
        <f>IF(L76="","",IF(COUNTIF(L$10:L76,L76)=1,COUNTIF(L$10:L$609,"&lt;"&amp;L76)+1,""))</f>
        <v>542</v>
      </c>
      <c r="N76" t="str">
        <f>IFERROR(INDEX(tblY10[Class],ROWS(N$10:N76))&amp;"","")</f>
        <v>10S/Sc3</v>
      </c>
      <c r="O76" t="str">
        <f>IF(N76="","",IF(COUNTIF(N$10:N76,N76)=1,COUNTIF(N$10:N$609,"&lt;"&amp;N76)+1,""))</f>
        <v/>
      </c>
      <c r="P76" t="str">
        <f>IFERROR(INDEX(tblY11[Class],ROWS(P$10:P76))&amp;"","")</f>
        <v>11S/Sc3</v>
      </c>
      <c r="Q76" t="str">
        <f>IF(P76="","",IF(COUNTIF(P$10:P76,P76)=1,COUNTIF(P$10:P$609,"&lt;"&amp;P76)+1,""))</f>
        <v/>
      </c>
      <c r="BA76" t="str">
        <f>IFERROR(INDEX(wLast,7)&amp;"","")</f>
        <v>Evans</v>
      </c>
      <c r="BB76" t="str">
        <f>IF(BA76="","",IFERROR(INDEX(wFirst,7)&amp;"",""))</f>
        <v>Hannah</v>
      </c>
      <c r="BC76" t="str">
        <f>IF(BA76="","",IFERROR(INDEX(wClass,7)&amp;"",""))</f>
        <v>11S/Sc1</v>
      </c>
      <c r="BD76">
        <f>IF(BA76="","",IFERROR(INDEX(wKsBand,7)+0,""))</f>
        <v>6</v>
      </c>
      <c r="BE76">
        <f>IF(BA76="","",IFERROR(INDEX(wTests,7)+0,0))</f>
        <v>6</v>
      </c>
      <c r="BF76">
        <f>IF(BA76="","",IFERROR(INDEX(wMean,7)+0,""))</f>
        <v>6.16666666666667</v>
      </c>
      <c r="BG76">
        <f>IF(BA76="","",IFERROR(INDEX(wVs,7)+0,""))</f>
        <v>0.465104617604618</v>
      </c>
      <c r="BH76">
        <f>IF(OR(BA76="",wLatest=""),"",IFERROR(INDEX(wData,7,MATCH(wLatest&amp;CHAR(10)&amp;"Stanine",wHdr,0))+0,""))</f>
        <v>7</v>
      </c>
      <c r="BI76" t="str">
        <f>IF(BA76="","",IF(AND(ISNUMBER(BG76),N(BE76)&gt;=WlMinTests,BG76&lt;=-WlGap),"Below expected for KS2",IF(AND(NOT(ISNUMBER(BD76)),ISNUMBER(BF76),N(BE76)&gt;=WlMinTests,BF76&lt;=WlLowMean),"Low results, no KS2 data","")))</f>
        <v/>
      </c>
      <c r="BJ76" t="str">
        <f>IF(BI76="","",IF(BI76="Below expected for KS2",BG76,100+BF76)+ROW()/1000000)</f>
        <v/>
      </c>
    </row>
    <row r="77">
      <c r="H77" t="str">
        <f>IFERROR(INDEX(tblY7[Class],ROWS(H$10:H77))&amp;"","")</f>
        <v>7B/Sc1</v>
      </c>
      <c r="I77" t="str">
        <f>IF(H77="","",IF(COUNTIF(H$10:H77,H77)=1,COUNTIF(H$10:H$609,"&lt;"&amp;H77)+1,""))</f>
        <v/>
      </c>
      <c r="J77" t="str">
        <f>IFERROR(INDEX(tblY8[Class],ROWS(J$10:J77))&amp;"","")</f>
        <v>8A/Sc3</v>
      </c>
      <c r="K77" t="str">
        <f>IF(J77="","",IF(COUNTIF(J$10:J77,J77)=1,COUNTIF(J$10:J$609,"&lt;"&amp;J77)+1,""))</f>
        <v/>
      </c>
      <c r="L77" t="str">
        <f>IFERROR(INDEX(tblY9[Class],ROWS(L$10:L77))&amp;"","")</f>
        <v>9B/Sc1</v>
      </c>
      <c r="M77" t="str">
        <f>IF(L77="","",IF(COUNTIF(L$10:L77,L77)=1,COUNTIF(L$10:L$609,"&lt;"&amp;L77)+1,""))</f>
        <v/>
      </c>
      <c r="N77" t="str">
        <f>IFERROR(INDEX(tblY10[Class],ROWS(N$10:N77))&amp;"","")</f>
        <v>10S/Sc3</v>
      </c>
      <c r="O77" t="str">
        <f>IF(N77="","",IF(COUNTIF(N$10:N77,N77)=1,COUNTIF(N$10:N$609,"&lt;"&amp;N77)+1,""))</f>
        <v/>
      </c>
      <c r="P77" t="str">
        <f>IFERROR(INDEX(tblY11[Class],ROWS(P$10:P77))&amp;"","")</f>
        <v>11S/Sc3</v>
      </c>
      <c r="Q77" t="str">
        <f>IF(P77="","",IF(COUNTIF(P$10:P77,P77)=1,COUNTIF(P$10:P$609,"&lt;"&amp;P77)+1,""))</f>
        <v/>
      </c>
      <c r="BA77" t="str">
        <f>IFERROR(INDEX(wLast,8)&amp;"","")</f>
        <v>Hall</v>
      </c>
      <c r="BB77" t="str">
        <f>IF(BA77="","",IFERROR(INDEX(wFirst,8)&amp;"",""))</f>
        <v>Amara</v>
      </c>
      <c r="BC77" t="str">
        <f>IF(BA77="","",IFERROR(INDEX(wClass,8)&amp;"",""))</f>
        <v>11S/Sc1</v>
      </c>
      <c r="BD77">
        <f>IF(BA77="","",IFERROR(INDEX(wKsBand,8)+0,""))</f>
        <v>6</v>
      </c>
      <c r="BE77">
        <f>IF(BA77="","",IFERROR(INDEX(wTests,8)+0,0))</f>
        <v>5</v>
      </c>
      <c r="BF77">
        <f>IF(BA77="","",IFERROR(INDEX(wMean,8)+0,""))</f>
        <v>5.8</v>
      </c>
      <c r="BG77">
        <f>IF(BA77="","",IFERROR(INDEX(wVs,8)+0,""))</f>
        <v>0.0984379509379512</v>
      </c>
      <c r="BH77" t="str">
        <f>IF(OR(BA77="",wLatest=""),"",IFERROR(INDEX(wData,8,MATCH(wLatest&amp;CHAR(10)&amp;"Stanine",wHdr,0))+0,""))</f>
        <v/>
      </c>
      <c r="BI77" t="str">
        <f>IF(BA77="","",IF(AND(ISNUMBER(BG77),N(BE77)&gt;=WlMinTests,BG77&lt;=-WlGap),"Below expected for KS2",IF(AND(NOT(ISNUMBER(BD77)),ISNUMBER(BF77),N(BE77)&gt;=WlMinTests,BF77&lt;=WlLowMean),"Low results, no KS2 data","")))</f>
        <v/>
      </c>
      <c r="BJ77" t="str">
        <f>IF(BI77="","",IF(BI77="Below expected for KS2",BG77,100+BF77)+ROW()/1000000)</f>
        <v/>
      </c>
    </row>
    <row r="78">
      <c r="H78" t="str">
        <f>IFERROR(INDEX(tblY7[Class],ROWS(H$10:H78))&amp;"","")</f>
        <v>7B/Sc1</v>
      </c>
      <c r="I78" t="str">
        <f>IF(H78="","",IF(COUNTIF(H$10:H78,H78)=1,COUNTIF(H$10:H$609,"&lt;"&amp;H78)+1,""))</f>
        <v/>
      </c>
      <c r="J78" t="str">
        <f>IFERROR(INDEX(tblY8[Class],ROWS(J$10:J78))&amp;"","")</f>
        <v>8A/Sc3</v>
      </c>
      <c r="K78" t="str">
        <f>IF(J78="","",IF(COUNTIF(J$10:J78,J78)=1,COUNTIF(J$10:J$609,"&lt;"&amp;J78)+1,""))</f>
        <v/>
      </c>
      <c r="L78" t="str">
        <f>IFERROR(INDEX(tblY9[Class],ROWS(L$10:L78))&amp;"","")</f>
        <v>9B/Sc1</v>
      </c>
      <c r="M78" t="str">
        <f>IF(L78="","",IF(COUNTIF(L$10:L78,L78)=1,COUNTIF(L$10:L$609,"&lt;"&amp;L78)+1,""))</f>
        <v/>
      </c>
      <c r="N78" t="str">
        <f>IFERROR(INDEX(tblY10[Class],ROWS(N$10:N78))&amp;"","")</f>
        <v>10S/Sc3</v>
      </c>
      <c r="O78" t="str">
        <f>IF(N78="","",IF(COUNTIF(N$10:N78,N78)=1,COUNTIF(N$10:N$609,"&lt;"&amp;N78)+1,""))</f>
        <v/>
      </c>
      <c r="P78" t="str">
        <f>IFERROR(INDEX(tblY11[Class],ROWS(P$10:P78))&amp;"","")</f>
        <v>11S/Sc3</v>
      </c>
      <c r="Q78" t="str">
        <f>IF(P78="","",IF(COUNTIF(P$10:P78,P78)=1,COUNTIF(P$10:P$609,"&lt;"&amp;P78)+1,""))</f>
        <v/>
      </c>
      <c r="BA78" t="str">
        <f>IFERROR(INDEX(wLast,9)&amp;"","")</f>
        <v>Harrison</v>
      </c>
      <c r="BB78" t="str">
        <f>IF(BA78="","",IFERROR(INDEX(wFirst,9)&amp;"",""))</f>
        <v>Ella</v>
      </c>
      <c r="BC78" t="str">
        <f>IF(BA78="","",IFERROR(INDEX(wClass,9)&amp;"",""))</f>
        <v>11S/Sc1</v>
      </c>
      <c r="BD78">
        <f>IF(BA78="","",IFERROR(INDEX(wKsBand,9)+0,""))</f>
        <v>6</v>
      </c>
      <c r="BE78">
        <f>IF(BA78="","",IFERROR(INDEX(wTests,9)+0,0))</f>
        <v>6</v>
      </c>
      <c r="BF78">
        <f>IF(BA78="","",IFERROR(INDEX(wMean,9)+0,""))</f>
        <v>6.5</v>
      </c>
      <c r="BG78">
        <f>IF(BA78="","",IFERROR(INDEX(wVs,9)+0,""))</f>
        <v>0.798437950937951</v>
      </c>
      <c r="BH78">
        <f>IF(OR(BA78="",wLatest=""),"",IFERROR(INDEX(wData,9,MATCH(wLatest&amp;CHAR(10)&amp;"Stanine",wHdr,0))+0,""))</f>
        <v>6</v>
      </c>
      <c r="BI78" t="str">
        <f>IF(BA78="","",IF(AND(ISNUMBER(BG78),N(BE78)&gt;=WlMinTests,BG78&lt;=-WlGap),"Below expected for KS2",IF(AND(NOT(ISNUMBER(BD78)),ISNUMBER(BF78),N(BE78)&gt;=WlMinTests,BF78&lt;=WlLowMean),"Low results, no KS2 data","")))</f>
        <v/>
      </c>
      <c r="BJ78" t="str">
        <f>IF(BI78="","",IF(BI78="Below expected for KS2",BG78,100+BF78)+ROW()/1000000)</f>
        <v/>
      </c>
    </row>
    <row r="79">
      <c r="H79" t="str">
        <f>IFERROR(INDEX(tblY7[Class],ROWS(H$10:H79))&amp;"","")</f>
        <v>7B/Sc1</v>
      </c>
      <c r="I79" t="str">
        <f>IF(H79="","",IF(COUNTIF(H$10:H79,H79)=1,COUNTIF(H$10:H$609,"&lt;"&amp;H79)+1,""))</f>
        <v/>
      </c>
      <c r="J79" t="str">
        <f>IFERROR(INDEX(tblY8[Class],ROWS(J$10:J79))&amp;"","")</f>
        <v>8A/Sc3</v>
      </c>
      <c r="K79" t="str">
        <f>IF(J79="","",IF(COUNTIF(J$10:J79,J79)=1,COUNTIF(J$10:J$609,"&lt;"&amp;J79)+1,""))</f>
        <v/>
      </c>
      <c r="L79" t="str">
        <f>IFERROR(INDEX(tblY9[Class],ROWS(L$10:L79))&amp;"","")</f>
        <v>9B/Sc1</v>
      </c>
      <c r="M79" t="str">
        <f>IF(L79="","",IF(COUNTIF(L$10:L79,L79)=1,COUNTIF(L$10:L$609,"&lt;"&amp;L79)+1,""))</f>
        <v/>
      </c>
      <c r="N79" t="str">
        <f>IFERROR(INDEX(tblY10[Class],ROWS(N$10:N79))&amp;"","")</f>
        <v>10S/Sc3</v>
      </c>
      <c r="O79" t="str">
        <f>IF(N79="","",IF(COUNTIF(N$10:N79,N79)=1,COUNTIF(N$10:N$609,"&lt;"&amp;N79)+1,""))</f>
        <v/>
      </c>
      <c r="P79" t="str">
        <f>IFERROR(INDEX(tblY11[Class],ROWS(P$10:P79))&amp;"","")</f>
        <v>11S/Sc3</v>
      </c>
      <c r="Q79" t="str">
        <f>IF(P79="","",IF(COUNTIF(P$10:P79,P79)=1,COUNTIF(P$10:P$609,"&lt;"&amp;P79)+1,""))</f>
        <v/>
      </c>
      <c r="BA79" t="str">
        <f>IFERROR(INDEX(wLast,10)&amp;"","")</f>
        <v>Hussain</v>
      </c>
      <c r="BB79" t="str">
        <f>IF(BA79="","",IFERROR(INDEX(wFirst,10)&amp;"",""))</f>
        <v>Freya</v>
      </c>
      <c r="BC79" t="str">
        <f>IF(BA79="","",IFERROR(INDEX(wClass,10)&amp;"",""))</f>
        <v>11S/Sc1</v>
      </c>
      <c r="BD79">
        <f>IF(BA79="","",IFERROR(INDEX(wKsBand,10)+0,""))</f>
        <v>8</v>
      </c>
      <c r="BE79">
        <f>IF(BA79="","",IFERROR(INDEX(wTests,10)+0,0))</f>
        <v>6</v>
      </c>
      <c r="BF79">
        <f>IF(BA79="","",IFERROR(INDEX(wMean,10)+0,""))</f>
        <v>7.83333333333333</v>
      </c>
      <c r="BG79">
        <f>IF(BA79="","",IFERROR(INDEX(wVs,10)+0,""))</f>
        <v>0.634044011544011</v>
      </c>
      <c r="BH79">
        <f>IF(OR(BA79="",wLatest=""),"",IFERROR(INDEX(wData,10,MATCH(wLatest&amp;CHAR(10)&amp;"Stanine",wHdr,0))+0,""))</f>
        <v>8</v>
      </c>
      <c r="BI79" t="str">
        <f>IF(BA79="","",IF(AND(ISNUMBER(BG79),N(BE79)&gt;=WlMinTests,BG79&lt;=-WlGap),"Below expected for KS2",IF(AND(NOT(ISNUMBER(BD79)),ISNUMBER(BF79),N(BE79)&gt;=WlMinTests,BF79&lt;=WlLowMean),"Low results, no KS2 data","")))</f>
        <v/>
      </c>
      <c r="BJ79" t="str">
        <f>IF(BI79="","",IF(BI79="Below expected for KS2",BG79,100+BF79)+ROW()/1000000)</f>
        <v/>
      </c>
    </row>
    <row r="80">
      <c r="H80" t="str">
        <f>IFERROR(INDEX(tblY7[Class],ROWS(H$10:H80))&amp;"","")</f>
        <v>7B/Sc1</v>
      </c>
      <c r="I80" t="str">
        <f>IF(H80="","",IF(COUNTIF(H$10:H80,H80)=1,COUNTIF(H$10:H$609,"&lt;"&amp;H80)+1,""))</f>
        <v/>
      </c>
      <c r="J80" t="str">
        <f>IFERROR(INDEX(tblY8[Class],ROWS(J$10:J80))&amp;"","")</f>
        <v>8A/Sc3</v>
      </c>
      <c r="K80" t="str">
        <f>IF(J80="","",IF(COUNTIF(J$10:J80,J80)=1,COUNTIF(J$10:J$609,"&lt;"&amp;J80)+1,""))</f>
        <v/>
      </c>
      <c r="L80" t="str">
        <f>IFERROR(INDEX(tblY9[Class],ROWS(L$10:L80))&amp;"","")</f>
        <v>9B/Sc1</v>
      </c>
      <c r="M80" t="str">
        <f>IF(L80="","",IF(COUNTIF(L$10:L80,L80)=1,COUNTIF(L$10:L$609,"&lt;"&amp;L80)+1,""))</f>
        <v/>
      </c>
      <c r="N80" t="str">
        <f>IFERROR(INDEX(tblY10[Class],ROWS(N$10:N80))&amp;"","")</f>
        <v>10S/Sc3</v>
      </c>
      <c r="O80" t="str">
        <f>IF(N80="","",IF(COUNTIF(N$10:N80,N80)=1,COUNTIF(N$10:N$609,"&lt;"&amp;N80)+1,""))</f>
        <v/>
      </c>
      <c r="P80" t="str">
        <f>IFERROR(INDEX(tblY11[Class],ROWS(P$10:P80))&amp;"","")</f>
        <v>11S/Sc3</v>
      </c>
      <c r="Q80" t="str">
        <f>IF(P80="","",IF(COUNTIF(P$10:P80,P80)=1,COUNTIF(P$10:P$609,"&lt;"&amp;P80)+1,""))</f>
        <v/>
      </c>
      <c r="BA80" t="str">
        <f>IFERROR(INDEX(wLast,11)&amp;"","")</f>
        <v>Hussain</v>
      </c>
      <c r="BB80" t="str">
        <f>IF(BA80="","",IFERROR(INDEX(wFirst,11)&amp;"",""))</f>
        <v>Hollie</v>
      </c>
      <c r="BC80" t="str">
        <f>IF(BA80="","",IFERROR(INDEX(wClass,11)&amp;"",""))</f>
        <v>11S/Sc1</v>
      </c>
      <c r="BD80" t="str">
        <f>IF(BA80="","",IFERROR(INDEX(wKsBand,11)+0,""))</f>
        <v/>
      </c>
      <c r="BE80">
        <f>IF(BA80="","",IFERROR(INDEX(wTests,11)+0,0))</f>
        <v>5</v>
      </c>
      <c r="BF80">
        <f>IF(BA80="","",IFERROR(INDEX(wMean,11)+0,""))</f>
        <v>7</v>
      </c>
      <c r="BG80" t="str">
        <f>IF(BA80="","",IFERROR(INDEX(wVs,11)+0,""))</f>
        <v/>
      </c>
      <c r="BH80">
        <f>IF(OR(BA80="",wLatest=""),"",IFERROR(INDEX(wData,11,MATCH(wLatest&amp;CHAR(10)&amp;"Stanine",wHdr,0))+0,""))</f>
        <v>7</v>
      </c>
      <c r="BI80" t="str">
        <f>IF(BA80="","",IF(AND(ISNUMBER(BG80),N(BE80)&gt;=WlMinTests,BG80&lt;=-WlGap),"Below expected for KS2",IF(AND(NOT(ISNUMBER(BD80)),ISNUMBER(BF80),N(BE80)&gt;=WlMinTests,BF80&lt;=WlLowMean),"Low results, no KS2 data","")))</f>
        <v/>
      </c>
      <c r="BJ80" t="str">
        <f>IF(BI80="","",IF(BI80="Below expected for KS2",BG80,100+BF80)+ROW()/1000000)</f>
        <v/>
      </c>
    </row>
    <row r="81">
      <c r="H81" t="str">
        <f>IFERROR(INDEX(tblY7[Class],ROWS(H$10:H81))&amp;"","")</f>
        <v>7B/Sc1</v>
      </c>
      <c r="I81" t="str">
        <f>IF(H81="","",IF(COUNTIF(H$10:H81,H81)=1,COUNTIF(H$10:H$609,"&lt;"&amp;H81)+1,""))</f>
        <v/>
      </c>
      <c r="J81" t="str">
        <f>IFERROR(INDEX(tblY8[Class],ROWS(J$10:J81))&amp;"","")</f>
        <v>8A/Sc3</v>
      </c>
      <c r="K81" t="str">
        <f>IF(J81="","",IF(COUNTIF(J$10:J81,J81)=1,COUNTIF(J$10:J$609,"&lt;"&amp;J81)+1,""))</f>
        <v/>
      </c>
      <c r="L81" t="str">
        <f>IFERROR(INDEX(tblY9[Class],ROWS(L$10:L81))&amp;"","")</f>
        <v>9B/Sc1</v>
      </c>
      <c r="M81" t="str">
        <f>IF(L81="","",IF(COUNTIF(L$10:L81,L81)=1,COUNTIF(L$10:L$609,"&lt;"&amp;L81)+1,""))</f>
        <v/>
      </c>
      <c r="N81" t="str">
        <f>IFERROR(INDEX(tblY10[Class],ROWS(N$10:N81))&amp;"","")</f>
        <v>10S/Sc3</v>
      </c>
      <c r="O81" t="str">
        <f>IF(N81="","",IF(COUNTIF(N$10:N81,N81)=1,COUNTIF(N$10:N$609,"&lt;"&amp;N81)+1,""))</f>
        <v/>
      </c>
      <c r="P81" t="str">
        <f>IFERROR(INDEX(tblY11[Class],ROWS(P$10:P81))&amp;"","")</f>
        <v>11S/Sc3</v>
      </c>
      <c r="Q81" t="str">
        <f>IF(P81="","",IF(COUNTIF(P$10:P81,P81)=1,COUNTIF(P$10:P$609,"&lt;"&amp;P81)+1,""))</f>
        <v/>
      </c>
      <c r="BA81" t="str">
        <f>IFERROR(INDEX(wLast,12)&amp;"","")</f>
        <v>Jones</v>
      </c>
      <c r="BB81" t="str">
        <f>IF(BA81="","",IFERROR(INDEX(wFirst,12)&amp;"",""))</f>
        <v>Nia</v>
      </c>
      <c r="BC81" t="str">
        <f>IF(BA81="","",IFERROR(INDEX(wClass,12)&amp;"",""))</f>
        <v>11S/Sc1</v>
      </c>
      <c r="BD81">
        <f>IF(BA81="","",IFERROR(INDEX(wKsBand,12)+0,""))</f>
        <v>7</v>
      </c>
      <c r="BE81">
        <f>IF(BA81="","",IFERROR(INDEX(wTests,12)+0,0))</f>
        <v>6</v>
      </c>
      <c r="BF81">
        <f>IF(BA81="","",IFERROR(INDEX(wMean,12)+0,""))</f>
        <v>7.33333333333333</v>
      </c>
      <c r="BG81">
        <f>IF(BA81="","",IFERROR(INDEX(wVs,12)+0,""))</f>
        <v>0.882907647907648</v>
      </c>
      <c r="BH81">
        <f>IF(OR(BA81="",wLatest=""),"",IFERROR(INDEX(wData,12,MATCH(wLatest&amp;CHAR(10)&amp;"Stanine",wHdr,0))+0,""))</f>
        <v>8</v>
      </c>
      <c r="BI81" t="str">
        <f>IF(BA81="","",IF(AND(ISNUMBER(BG81),N(BE81)&gt;=WlMinTests,BG81&lt;=-WlGap),"Below expected for KS2",IF(AND(NOT(ISNUMBER(BD81)),ISNUMBER(BF81),N(BE81)&gt;=WlMinTests,BF81&lt;=WlLowMean),"Low results, no KS2 data","")))</f>
        <v/>
      </c>
      <c r="BJ81" t="str">
        <f>IF(BI81="","",IF(BI81="Below expected for KS2",BG81,100+BF81)+ROW()/1000000)</f>
        <v/>
      </c>
    </row>
    <row r="82">
      <c r="H82" t="str">
        <f>IFERROR(INDEX(tblY7[Class],ROWS(H$10:H82))&amp;"","")</f>
        <v>7B/Sc1</v>
      </c>
      <c r="I82" t="str">
        <f>IF(H82="","",IF(COUNTIF(H$10:H82,H82)=1,COUNTIF(H$10:H$609,"&lt;"&amp;H82)+1,""))</f>
        <v/>
      </c>
      <c r="J82" t="str">
        <f>IFERROR(INDEX(tblY8[Class],ROWS(J$10:J82))&amp;"","")</f>
        <v>8A/Sc3</v>
      </c>
      <c r="K82" t="str">
        <f>IF(J82="","",IF(COUNTIF(J$10:J82,J82)=1,COUNTIF(J$10:J$609,"&lt;"&amp;J82)+1,""))</f>
        <v/>
      </c>
      <c r="L82" t="str">
        <f>IFERROR(INDEX(tblY9[Class],ROWS(L$10:L82))&amp;"","")</f>
        <v>9B/Sc1</v>
      </c>
      <c r="M82" t="str">
        <f>IF(L82="","",IF(COUNTIF(L$10:L82,L82)=1,COUNTIF(L$10:L$609,"&lt;"&amp;L82)+1,""))</f>
        <v/>
      </c>
      <c r="N82" t="str">
        <f>IFERROR(INDEX(tblY10[Class],ROWS(N$10:N82))&amp;"","")</f>
        <v>10S/Sc3</v>
      </c>
      <c r="O82" t="str">
        <f>IF(N82="","",IF(COUNTIF(N$10:N82,N82)=1,COUNTIF(N$10:N$609,"&lt;"&amp;N82)+1,""))</f>
        <v/>
      </c>
      <c r="P82" t="str">
        <f>IFERROR(INDEX(tblY11[Class],ROWS(P$10:P82))&amp;"","")</f>
        <v>11S/Sc3</v>
      </c>
      <c r="Q82" t="str">
        <f>IF(P82="","",IF(COUNTIF(P$10:P82,P82)=1,COUNTIF(P$10:P$609,"&lt;"&amp;P82)+1,""))</f>
        <v/>
      </c>
      <c r="BA82" t="str">
        <f>IFERROR(INDEX(wLast,13)&amp;"","")</f>
        <v>Jones</v>
      </c>
      <c r="BB82" t="str">
        <f>IF(BA82="","",IFERROR(INDEX(wFirst,13)&amp;"",""))</f>
        <v>Poppy</v>
      </c>
      <c r="BC82" t="str">
        <f>IF(BA82="","",IFERROR(INDEX(wClass,13)&amp;"",""))</f>
        <v>11S/Sc1</v>
      </c>
      <c r="BD82">
        <f>IF(BA82="","",IFERROR(INDEX(wKsBand,13)+0,""))</f>
        <v>9</v>
      </c>
      <c r="BE82">
        <f>IF(BA82="","",IFERROR(INDEX(wTests,13)+0,0))</f>
        <v>6</v>
      </c>
      <c r="BF82">
        <f>IF(BA82="","",IFERROR(INDEX(wMean,13)+0,""))</f>
        <v>7</v>
      </c>
      <c r="BG82">
        <f>IF(BA82="","",IFERROR(INDEX(wVs,13)+0,""))</f>
        <v>-0.948152958152958</v>
      </c>
      <c r="BH82">
        <f>IF(OR(BA82="",wLatest=""),"",IFERROR(INDEX(wData,13,MATCH(wLatest&amp;CHAR(10)&amp;"Stanine",wHdr,0))+0,""))</f>
        <v>6</v>
      </c>
      <c r="BI82" t="str">
        <f>IF(BA82="","",IF(AND(ISNUMBER(BG82),N(BE82)&gt;=WlMinTests,BG82&lt;=-WlGap),"Below expected for KS2",IF(AND(NOT(ISNUMBER(BD82)),ISNUMBER(BF82),N(BE82)&gt;=WlMinTests,BF82&lt;=WlLowMean),"Low results, no KS2 data","")))</f>
        <v/>
      </c>
      <c r="BJ82" t="str">
        <f>IF(BI82="","",IF(BI82="Below expected for KS2",BG82,100+BF82)+ROW()/1000000)</f>
        <v/>
      </c>
    </row>
    <row r="83">
      <c r="H83" t="str">
        <f>IFERROR(INDEX(tblY7[Class],ROWS(H$10:H83))&amp;"","")</f>
        <v>7B/Sc1</v>
      </c>
      <c r="I83" t="str">
        <f>IF(H83="","",IF(COUNTIF(H$10:H83,H83)=1,COUNTIF(H$10:H$609,"&lt;"&amp;H83)+1,""))</f>
        <v/>
      </c>
      <c r="J83" t="str">
        <f>IFERROR(INDEX(tblY8[Class],ROWS(J$10:J83))&amp;"","")</f>
        <v>8A/Sc3</v>
      </c>
      <c r="K83" t="str">
        <f>IF(J83="","",IF(COUNTIF(J$10:J83,J83)=1,COUNTIF(J$10:J$609,"&lt;"&amp;J83)+1,""))</f>
        <v/>
      </c>
      <c r="L83" t="str">
        <f>IFERROR(INDEX(tblY9[Class],ROWS(L$10:L83))&amp;"","")</f>
        <v>9B/Sc1</v>
      </c>
      <c r="M83" t="str">
        <f>IF(L83="","",IF(COUNTIF(L$10:L83,L83)=1,COUNTIF(L$10:L$609,"&lt;"&amp;L83)+1,""))</f>
        <v/>
      </c>
      <c r="N83" t="str">
        <f>IFERROR(INDEX(tblY10[Class],ROWS(N$10:N83))&amp;"","")</f>
        <v>10S/Sc3</v>
      </c>
      <c r="O83" t="str">
        <f>IF(N83="","",IF(COUNTIF(N$10:N83,N83)=1,COUNTIF(N$10:N$609,"&lt;"&amp;N83)+1,""))</f>
        <v/>
      </c>
      <c r="P83" t="str">
        <f>IFERROR(INDEX(tblY11[Class],ROWS(P$10:P83))&amp;"","")</f>
        <v>11S/Sc3</v>
      </c>
      <c r="Q83" t="str">
        <f>IF(P83="","",IF(COUNTIF(P$10:P83,P83)=1,COUNTIF(P$10:P$609,"&lt;"&amp;P83)+1,""))</f>
        <v/>
      </c>
      <c r="BA83" t="str">
        <f>IFERROR(INDEX(wLast,14)&amp;"","")</f>
        <v>Lewis</v>
      </c>
      <c r="BB83" t="str">
        <f>IF(BA83="","",IFERROR(INDEX(wFirst,14)&amp;"",""))</f>
        <v>Jacob</v>
      </c>
      <c r="BC83" t="str">
        <f>IF(BA83="","",IFERROR(INDEX(wClass,14)&amp;"",""))</f>
        <v>11S/Sc1</v>
      </c>
      <c r="BD83">
        <f>IF(BA83="","",IFERROR(INDEX(wKsBand,14)+0,""))</f>
        <v>7</v>
      </c>
      <c r="BE83">
        <f>IF(BA83="","",IFERROR(INDEX(wTests,14)+0,0))</f>
        <v>6</v>
      </c>
      <c r="BF83">
        <f>IF(BA83="","",IFERROR(INDEX(wMean,14)+0,""))</f>
        <v>7</v>
      </c>
      <c r="BG83">
        <f>IF(BA83="","",IFERROR(INDEX(wVs,14)+0,""))</f>
        <v>0.549574314574315</v>
      </c>
      <c r="BH83">
        <f>IF(OR(BA83="",wLatest=""),"",IFERROR(INDEX(wData,14,MATCH(wLatest&amp;CHAR(10)&amp;"Stanine",wHdr,0))+0,""))</f>
        <v>8</v>
      </c>
      <c r="BI83" t="str">
        <f>IF(BA83="","",IF(AND(ISNUMBER(BG83),N(BE83)&gt;=WlMinTests,BG83&lt;=-WlGap),"Below expected for KS2",IF(AND(NOT(ISNUMBER(BD83)),ISNUMBER(BF83),N(BE83)&gt;=WlMinTests,BF83&lt;=WlLowMean),"Low results, no KS2 data","")))</f>
        <v/>
      </c>
      <c r="BJ83" t="str">
        <f>IF(BI83="","",IF(BI83="Below expected for KS2",BG83,100+BF83)+ROW()/1000000)</f>
        <v/>
      </c>
    </row>
    <row r="84">
      <c r="H84" t="str">
        <f>IFERROR(INDEX(tblY7[Class],ROWS(H$10:H84))&amp;"","")</f>
        <v>7B/Sc1</v>
      </c>
      <c r="I84" t="str">
        <f>IF(H84="","",IF(COUNTIF(H$10:H84,H84)=1,COUNTIF(H$10:H$609,"&lt;"&amp;H84)+1,""))</f>
        <v/>
      </c>
      <c r="J84" t="str">
        <f>IFERROR(INDEX(tblY8[Class],ROWS(J$10:J84))&amp;"","")</f>
        <v>8A/Sc3</v>
      </c>
      <c r="K84" t="str">
        <f>IF(J84="","",IF(COUNTIF(J$10:J84,J84)=1,COUNTIF(J$10:J$609,"&lt;"&amp;J84)+1,""))</f>
        <v/>
      </c>
      <c r="L84" t="str">
        <f>IFERROR(INDEX(tblY9[Class],ROWS(L$10:L84))&amp;"","")</f>
        <v>9B/Sc1</v>
      </c>
      <c r="M84" t="str">
        <f>IF(L84="","",IF(COUNTIF(L$10:L84,L84)=1,COUNTIF(L$10:L$609,"&lt;"&amp;L84)+1,""))</f>
        <v/>
      </c>
      <c r="N84" t="str">
        <f>IFERROR(INDEX(tblY10[Class],ROWS(N$10:N84))&amp;"","")</f>
        <v>10S/Sc3</v>
      </c>
      <c r="O84" t="str">
        <f>IF(N84="","",IF(COUNTIF(N$10:N84,N84)=1,COUNTIF(N$10:N$609,"&lt;"&amp;N84)+1,""))</f>
        <v/>
      </c>
      <c r="P84" t="str">
        <f>IFERROR(INDEX(tblY11[Class],ROWS(P$10:P84))&amp;"","")</f>
        <v>11S/Sc3</v>
      </c>
      <c r="Q84" t="str">
        <f>IF(P84="","",IF(COUNTIF(P$10:P84,P84)=1,COUNTIF(P$10:P$609,"&lt;"&amp;P84)+1,""))</f>
        <v/>
      </c>
      <c r="BA84" t="str">
        <f>IFERROR(INDEX(wLast,15)&amp;"","")</f>
        <v>Morgan</v>
      </c>
      <c r="BB84" t="str">
        <f>IF(BA84="","",IFERROR(INDEX(wFirst,15)&amp;"",""))</f>
        <v>Arthur</v>
      </c>
      <c r="BC84" t="str">
        <f>IF(BA84="","",IFERROR(INDEX(wClass,15)&amp;"",""))</f>
        <v>11S/Sc1</v>
      </c>
      <c r="BD84">
        <f>IF(BA84="","",IFERROR(INDEX(wKsBand,15)+0,""))</f>
        <v>7</v>
      </c>
      <c r="BE84">
        <f>IF(BA84="","",IFERROR(INDEX(wTests,15)+0,0))</f>
        <v>6</v>
      </c>
      <c r="BF84">
        <f>IF(BA84="","",IFERROR(INDEX(wMean,15)+0,""))</f>
        <v>6</v>
      </c>
      <c r="BG84">
        <f>IF(BA84="","",IFERROR(INDEX(wVs,15)+0,""))</f>
        <v>-0.450425685425685</v>
      </c>
      <c r="BH84">
        <f>IF(OR(BA84="",wLatest=""),"",IFERROR(INDEX(wData,15,MATCH(wLatest&amp;CHAR(10)&amp;"Stanine",wHdr,0))+0,""))</f>
        <v>6</v>
      </c>
      <c r="BI84" t="str">
        <f>IF(BA84="","",IF(AND(ISNUMBER(BG84),N(BE84)&gt;=WlMinTests,BG84&lt;=-WlGap),"Below expected for KS2",IF(AND(NOT(ISNUMBER(BD84)),ISNUMBER(BF84),N(BE84)&gt;=WlMinTests,BF84&lt;=WlLowMean),"Low results, no KS2 data","")))</f>
        <v/>
      </c>
      <c r="BJ84" t="str">
        <f>IF(BI84="","",IF(BI84="Below expected for KS2",BG84,100+BF84)+ROW()/1000000)</f>
        <v/>
      </c>
    </row>
    <row r="85">
      <c r="H85" t="str">
        <f>IFERROR(INDEX(tblY7[Class],ROWS(H$10:H85))&amp;"","")</f>
        <v>7B/Sc1</v>
      </c>
      <c r="I85" t="str">
        <f>IF(H85="","",IF(COUNTIF(H$10:H85,H85)=1,COUNTIF(H$10:H$609,"&lt;"&amp;H85)+1,""))</f>
        <v/>
      </c>
      <c r="J85" t="str">
        <f>IFERROR(INDEX(tblY8[Class],ROWS(J$10:J85))&amp;"","")</f>
        <v>8A/Sc4</v>
      </c>
      <c r="K85">
        <f>IF(J85="","",IF(COUNTIF(J$10:J85,J85)=1,COUNTIF(J$10:J$609,"&lt;"&amp;J85)+1,""))</f>
        <v>583</v>
      </c>
      <c r="L85" t="str">
        <f>IFERROR(INDEX(tblY9[Class],ROWS(L$10:L85))&amp;"","")</f>
        <v>9B/Sc1</v>
      </c>
      <c r="M85" t="str">
        <f>IF(L85="","",IF(COUNTIF(L$10:L85,L85)=1,COUNTIF(L$10:L$609,"&lt;"&amp;L85)+1,""))</f>
        <v/>
      </c>
      <c r="N85" t="str">
        <f>IFERROR(INDEX(tblY10[Class],ROWS(N$10:N85))&amp;"","")</f>
        <v>10S/Sc3</v>
      </c>
      <c r="O85" t="str">
        <f>IF(N85="","",IF(COUNTIF(N$10:N85,N85)=1,COUNTIF(N$10:N$609,"&lt;"&amp;N85)+1,""))</f>
        <v/>
      </c>
      <c r="P85" t="str">
        <f>IFERROR(INDEX(tblY11[Class],ROWS(P$10:P85))&amp;"","")</f>
        <v>11S/Sc4</v>
      </c>
      <c r="Q85">
        <f>IF(P85="","",IF(COUNTIF(P$10:P85,P85)=1,COUNTIF(P$10:P$609,"&lt;"&amp;P85)+1,""))</f>
        <v>570</v>
      </c>
      <c r="BA85" t="str">
        <f>IFERROR(INDEX(wLast,16)&amp;"","")</f>
        <v>Morgan</v>
      </c>
      <c r="BB85" t="str">
        <f>IF(BA85="","",IFERROR(INDEX(wFirst,16)&amp;"",""))</f>
        <v>Megan</v>
      </c>
      <c r="BC85" t="str">
        <f>IF(BA85="","",IFERROR(INDEX(wClass,16)&amp;"",""))</f>
        <v>11S/Sc1</v>
      </c>
      <c r="BD85">
        <f>IF(BA85="","",IFERROR(INDEX(wKsBand,16)+0,""))</f>
        <v>8</v>
      </c>
      <c r="BE85">
        <f>IF(BA85="","",IFERROR(INDEX(wTests,16)+0,0))</f>
        <v>6</v>
      </c>
      <c r="BF85">
        <f>IF(BA85="","",IFERROR(INDEX(wMean,16)+0,""))</f>
        <v>5.83333333333333</v>
      </c>
      <c r="BG85">
        <f>IF(BA85="","",IFERROR(INDEX(wVs,16)+0,""))</f>
        <v>-1.36595598845599</v>
      </c>
      <c r="BH85">
        <f>IF(OR(BA85="",wLatest=""),"",IFERROR(INDEX(wData,16,MATCH(wLatest&amp;CHAR(10)&amp;"Stanine",wHdr,0))+0,""))</f>
        <v>5</v>
      </c>
      <c r="BI85" t="str">
        <f>IF(BA85="","",IF(AND(ISNUMBER(BG85),N(BE85)&gt;=WlMinTests,BG85&lt;=-WlGap),"Below expected for KS2",IF(AND(NOT(ISNUMBER(BD85)),ISNUMBER(BF85),N(BE85)&gt;=WlMinTests,BF85&lt;=WlLowMean),"Low results, no KS2 data","")))</f>
        <v/>
      </c>
      <c r="BJ85" t="str">
        <f>IF(BI85="","",IF(BI85="Below expected for KS2",BG85,100+BF85)+ROW()/1000000)</f>
        <v/>
      </c>
    </row>
    <row r="86">
      <c r="H86" t="str">
        <f>IFERROR(INDEX(tblY7[Class],ROWS(H$10:H86))&amp;"","")</f>
        <v>7B/Sc1</v>
      </c>
      <c r="I86" t="str">
        <f>IF(H86="","",IF(COUNTIF(H$10:H86,H86)=1,COUNTIF(H$10:H$609,"&lt;"&amp;H86)+1,""))</f>
        <v/>
      </c>
      <c r="J86" t="str">
        <f>IFERROR(INDEX(tblY8[Class],ROWS(J$10:J86))&amp;"","")</f>
        <v>8A/Sc4</v>
      </c>
      <c r="K86" t="str">
        <f>IF(J86="","",IF(COUNTIF(J$10:J86,J86)=1,COUNTIF(J$10:J$609,"&lt;"&amp;J86)+1,""))</f>
        <v/>
      </c>
      <c r="L86" t="str">
        <f>IFERROR(INDEX(tblY9[Class],ROWS(L$10:L86))&amp;"","")</f>
        <v>9B/Sc1</v>
      </c>
      <c r="M86" t="str">
        <f>IF(L86="","",IF(COUNTIF(L$10:L86,L86)=1,COUNTIF(L$10:L$609,"&lt;"&amp;L86)+1,""))</f>
        <v/>
      </c>
      <c r="N86" t="str">
        <f>IFERROR(INDEX(tblY10[Class],ROWS(N$10:N86))&amp;"","")</f>
        <v>10S/Sc3</v>
      </c>
      <c r="O86" t="str">
        <f>IF(N86="","",IF(COUNTIF(N$10:N86,N86)=1,COUNTIF(N$10:N$609,"&lt;"&amp;N86)+1,""))</f>
        <v/>
      </c>
      <c r="P86" t="str">
        <f>IFERROR(INDEX(tblY11[Class],ROWS(P$10:P86))&amp;"","")</f>
        <v>11S/Sc4</v>
      </c>
      <c r="Q86" t="str">
        <f>IF(P86="","",IF(COUNTIF(P$10:P86,P86)=1,COUNTIF(P$10:P$609,"&lt;"&amp;P86)+1,""))</f>
        <v/>
      </c>
      <c r="BA86" t="str">
        <f>IFERROR(INDEX(wLast,17)&amp;"","")</f>
        <v>Murphy</v>
      </c>
      <c r="BB86" t="str">
        <f>IF(BA86="","",IFERROR(INDEX(wFirst,17)&amp;"",""))</f>
        <v>Mia</v>
      </c>
      <c r="BC86" t="str">
        <f>IF(BA86="","",IFERROR(INDEX(wClass,17)&amp;"",""))</f>
        <v>11S/Sc1</v>
      </c>
      <c r="BD86">
        <f>IF(BA86="","",IFERROR(INDEX(wKsBand,17)+0,""))</f>
        <v>7</v>
      </c>
      <c r="BE86">
        <f>IF(BA86="","",IFERROR(INDEX(wTests,17)+0,0))</f>
        <v>6</v>
      </c>
      <c r="BF86">
        <f>IF(BA86="","",IFERROR(INDEX(wMean,17)+0,""))</f>
        <v>6.16666666666667</v>
      </c>
      <c r="BG86">
        <f>IF(BA86="","",IFERROR(INDEX(wVs,17)+0,""))</f>
        <v>-0.283759018759018</v>
      </c>
      <c r="BH86">
        <f>IF(OR(BA86="",wLatest=""),"",IFERROR(INDEX(wData,17,MATCH(wLatest&amp;CHAR(10)&amp;"Stanine",wHdr,0))+0,""))</f>
        <v>6</v>
      </c>
      <c r="BI86" t="str">
        <f>IF(BA86="","",IF(AND(ISNUMBER(BG86),N(BE86)&gt;=WlMinTests,BG86&lt;=-WlGap),"Below expected for KS2",IF(AND(NOT(ISNUMBER(BD86)),ISNUMBER(BF86),N(BE86)&gt;=WlMinTests,BF86&lt;=WlLowMean),"Low results, no KS2 data","")))</f>
        <v/>
      </c>
      <c r="BJ86" t="str">
        <f>IF(BI86="","",IF(BI86="Below expected for KS2",BG86,100+BF86)+ROW()/1000000)</f>
        <v/>
      </c>
    </row>
    <row r="87">
      <c r="H87" t="str">
        <f>IFERROR(INDEX(tblY7[Class],ROWS(H$10:H87))&amp;"","")</f>
        <v>7B/Sc1</v>
      </c>
      <c r="I87" t="str">
        <f>IF(H87="","",IF(COUNTIF(H$10:H87,H87)=1,COUNTIF(H$10:H$609,"&lt;"&amp;H87)+1,""))</f>
        <v/>
      </c>
      <c r="J87" t="str">
        <f>IFERROR(INDEX(tblY8[Class],ROWS(J$10:J87))&amp;"","")</f>
        <v>8A/Sc4</v>
      </c>
      <c r="K87" t="str">
        <f>IF(J87="","",IF(COUNTIF(J$10:J87,J87)=1,COUNTIF(J$10:J$609,"&lt;"&amp;J87)+1,""))</f>
        <v/>
      </c>
      <c r="L87" t="str">
        <f>IFERROR(INDEX(tblY9[Class],ROWS(L$10:L87))&amp;"","")</f>
        <v>9B/Sc1</v>
      </c>
      <c r="M87" t="str">
        <f>IF(L87="","",IF(COUNTIF(L$10:L87,L87)=1,COUNTIF(L$10:L$609,"&lt;"&amp;L87)+1,""))</f>
        <v/>
      </c>
      <c r="N87" t="str">
        <f>IFERROR(INDEX(tblY10[Class],ROWS(N$10:N87))&amp;"","")</f>
        <v>10S/Sc3</v>
      </c>
      <c r="O87" t="str">
        <f>IF(N87="","",IF(COUNTIF(N$10:N87,N87)=1,COUNTIF(N$10:N$609,"&lt;"&amp;N87)+1,""))</f>
        <v/>
      </c>
      <c r="P87" t="str">
        <f>IFERROR(INDEX(tblY11[Class],ROWS(P$10:P87))&amp;"","")</f>
        <v>11S/Sc4</v>
      </c>
      <c r="Q87" t="str">
        <f>IF(P87="","",IF(COUNTIF(P$10:P87,P87)=1,COUNTIF(P$10:P$609,"&lt;"&amp;P87)+1,""))</f>
        <v/>
      </c>
      <c r="BA87" t="str">
        <f>IFERROR(INDEX(wLast,18)&amp;"","")</f>
        <v>Nowak</v>
      </c>
      <c r="BB87" t="str">
        <f>IF(BA87="","",IFERROR(INDEX(wFirst,18)&amp;"",""))</f>
        <v>Freya</v>
      </c>
      <c r="BC87" t="str">
        <f>IF(BA87="","",IFERROR(INDEX(wClass,18)&amp;"",""))</f>
        <v>11S/Sc1</v>
      </c>
      <c r="BD87">
        <f>IF(BA87="","",IFERROR(INDEX(wKsBand,18)+0,""))</f>
        <v>6</v>
      </c>
      <c r="BE87">
        <f>IF(BA87="","",IFERROR(INDEX(wTests,18)+0,0))</f>
        <v>6</v>
      </c>
      <c r="BF87">
        <f>IF(BA87="","",IFERROR(INDEX(wMean,18)+0,""))</f>
        <v>7.16666666666667</v>
      </c>
      <c r="BG87">
        <f>IF(BA87="","",IFERROR(INDEX(wVs,18)+0,""))</f>
        <v>1.46510461760462</v>
      </c>
      <c r="BH87">
        <f>IF(OR(BA87="",wLatest=""),"",IFERROR(INDEX(wData,18,MATCH(wLatest&amp;CHAR(10)&amp;"Stanine",wHdr,0))+0,""))</f>
        <v>8</v>
      </c>
      <c r="BI87" t="str">
        <f>IF(BA87="","",IF(AND(ISNUMBER(BG87),N(BE87)&gt;=WlMinTests,BG87&lt;=-WlGap),"Below expected for KS2",IF(AND(NOT(ISNUMBER(BD87)),ISNUMBER(BF87),N(BE87)&gt;=WlMinTests,BF87&lt;=WlLowMean),"Low results, no KS2 data","")))</f>
        <v/>
      </c>
      <c r="BJ87" t="str">
        <f>IF(BI87="","",IF(BI87="Below expected for KS2",BG87,100+BF87)+ROW()/1000000)</f>
        <v/>
      </c>
    </row>
    <row r="88">
      <c r="H88" t="str">
        <f>IFERROR(INDEX(tblY7[Class],ROWS(H$10:H88))&amp;"","")</f>
        <v>7B/Sc1</v>
      </c>
      <c r="I88" t="str">
        <f>IF(H88="","",IF(COUNTIF(H$10:H88,H88)=1,COUNTIF(H$10:H$609,"&lt;"&amp;H88)+1,""))</f>
        <v/>
      </c>
      <c r="J88" t="str">
        <f>IFERROR(INDEX(tblY8[Class],ROWS(J$10:J88))&amp;"","")</f>
        <v>8A/Sc4</v>
      </c>
      <c r="K88" t="str">
        <f>IF(J88="","",IF(COUNTIF(J$10:J88,J88)=1,COUNTIF(J$10:J$609,"&lt;"&amp;J88)+1,""))</f>
        <v/>
      </c>
      <c r="L88" t="str">
        <f>IFERROR(INDEX(tblY9[Class],ROWS(L$10:L88))&amp;"","")</f>
        <v>9B/Sc1</v>
      </c>
      <c r="M88" t="str">
        <f>IF(L88="","",IF(COUNTIF(L$10:L88,L88)=1,COUNTIF(L$10:L$609,"&lt;"&amp;L88)+1,""))</f>
        <v/>
      </c>
      <c r="N88" t="str">
        <f>IFERROR(INDEX(tblY10[Class],ROWS(N$10:N88))&amp;"","")</f>
        <v>10S/Sc3</v>
      </c>
      <c r="O88" t="str">
        <f>IF(N88="","",IF(COUNTIF(N$10:N88,N88)=1,COUNTIF(N$10:N$609,"&lt;"&amp;N88)+1,""))</f>
        <v/>
      </c>
      <c r="P88" t="str">
        <f>IFERROR(INDEX(tblY11[Class],ROWS(P$10:P88))&amp;"","")</f>
        <v>11S/Sc4</v>
      </c>
      <c r="Q88" t="str">
        <f>IF(P88="","",IF(COUNTIF(P$10:P88,P88)=1,COUNTIF(P$10:P$609,"&lt;"&amp;P88)+1,""))</f>
        <v/>
      </c>
      <c r="BA88" t="str">
        <f>IFERROR(INDEX(wLast,19)&amp;"","")</f>
        <v>Okafor</v>
      </c>
      <c r="BB88" t="str">
        <f>IF(BA88="","",IFERROR(INDEX(wFirst,19)&amp;"",""))</f>
        <v>Zara</v>
      </c>
      <c r="BC88" t="str">
        <f>IF(BA88="","",IFERROR(INDEX(wClass,19)&amp;"",""))</f>
        <v>11S/Sc1</v>
      </c>
      <c r="BD88">
        <f>IF(BA88="","",IFERROR(INDEX(wKsBand,19)+0,""))</f>
        <v>9</v>
      </c>
      <c r="BE88">
        <f>IF(BA88="","",IFERROR(INDEX(wTests,19)+0,0))</f>
        <v>6</v>
      </c>
      <c r="BF88">
        <f>IF(BA88="","",IFERROR(INDEX(wMean,19)+0,""))</f>
        <v>9</v>
      </c>
      <c r="BG88">
        <f>IF(BA88="","",IFERROR(INDEX(wVs,19)+0,""))</f>
        <v>1.05184704184704</v>
      </c>
      <c r="BH88">
        <f>IF(OR(BA88="",wLatest=""),"",IFERROR(INDEX(wData,19,MATCH(wLatest&amp;CHAR(10)&amp;"Stanine",wHdr,0))+0,""))</f>
        <v>9</v>
      </c>
      <c r="BI88" t="str">
        <f>IF(BA88="","",IF(AND(ISNUMBER(BG88),N(BE88)&gt;=WlMinTests,BG88&lt;=-WlGap),"Below expected for KS2",IF(AND(NOT(ISNUMBER(BD88)),ISNUMBER(BF88),N(BE88)&gt;=WlMinTests,BF88&lt;=WlLowMean),"Low results, no KS2 data","")))</f>
        <v/>
      </c>
      <c r="BJ88" t="str">
        <f>IF(BI88="","",IF(BI88="Below expected for KS2",BG88,100+BF88)+ROW()/1000000)</f>
        <v/>
      </c>
    </row>
    <row r="89">
      <c r="H89" t="str">
        <f>IFERROR(INDEX(tblY7[Class],ROWS(H$10:H89))&amp;"","")</f>
        <v>7B/Sc1</v>
      </c>
      <c r="I89" t="str">
        <f>IF(H89="","",IF(COUNTIF(H$10:H89,H89)=1,COUNTIF(H$10:H$609,"&lt;"&amp;H89)+1,""))</f>
        <v/>
      </c>
      <c r="J89" t="str">
        <f>IFERROR(INDEX(tblY8[Class],ROWS(J$10:J89))&amp;"","")</f>
        <v>8A/Sc4</v>
      </c>
      <c r="K89" t="str">
        <f>IF(J89="","",IF(COUNTIF(J$10:J89,J89)=1,COUNTIF(J$10:J$609,"&lt;"&amp;J89)+1,""))</f>
        <v/>
      </c>
      <c r="L89" t="str">
        <f>IFERROR(INDEX(tblY9[Class],ROWS(L$10:L89))&amp;"","")</f>
        <v>9B/Sc1</v>
      </c>
      <c r="M89" t="str">
        <f>IF(L89="","",IF(COUNTIF(L$10:L89,L89)=1,COUNTIF(L$10:L$609,"&lt;"&amp;L89)+1,""))</f>
        <v/>
      </c>
      <c r="N89" t="str">
        <f>IFERROR(INDEX(tblY10[Class],ROWS(N$10:N89))&amp;"","")</f>
        <v>10S/Sc3</v>
      </c>
      <c r="O89" t="str">
        <f>IF(N89="","",IF(COUNTIF(N$10:N89,N89)=1,COUNTIF(N$10:N$609,"&lt;"&amp;N89)+1,""))</f>
        <v/>
      </c>
      <c r="P89" t="str">
        <f>IFERROR(INDEX(tblY11[Class],ROWS(P$10:P89))&amp;"","")</f>
        <v>11S/Sc4</v>
      </c>
      <c r="Q89" t="str">
        <f>IF(P89="","",IF(COUNTIF(P$10:P89,P89)=1,COUNTIF(P$10:P$609,"&lt;"&amp;P89)+1,""))</f>
        <v/>
      </c>
      <c r="BA89" t="str">
        <f>IFERROR(INDEX(wLast,20)&amp;"","")</f>
        <v>Patel</v>
      </c>
      <c r="BB89" t="str">
        <f>IF(BA89="","",IFERROR(INDEX(wFirst,20)&amp;"",""))</f>
        <v>Maisie</v>
      </c>
      <c r="BC89" t="str">
        <f>IF(BA89="","",IFERROR(INDEX(wClass,20)&amp;"",""))</f>
        <v>11S/Sc1</v>
      </c>
      <c r="BD89">
        <f>IF(BA89="","",IFERROR(INDEX(wKsBand,20)+0,""))</f>
        <v>9</v>
      </c>
      <c r="BE89">
        <f>IF(BA89="","",IFERROR(INDEX(wTests,20)+0,0))</f>
        <v>5</v>
      </c>
      <c r="BF89">
        <f>IF(BA89="","",IFERROR(INDEX(wMean,20)+0,""))</f>
        <v>8</v>
      </c>
      <c r="BG89">
        <f>IF(BA89="","",IFERROR(INDEX(wVs,20)+0,""))</f>
        <v>0.0518470418470418</v>
      </c>
      <c r="BH89">
        <f>IF(OR(BA89="",wLatest=""),"",IFERROR(INDEX(wData,20,MATCH(wLatest&amp;CHAR(10)&amp;"Stanine",wHdr,0))+0,""))</f>
        <v>8</v>
      </c>
      <c r="BI89" t="str">
        <f>IF(BA89="","",IF(AND(ISNUMBER(BG89),N(BE89)&gt;=WlMinTests,BG89&lt;=-WlGap),"Below expected for KS2",IF(AND(NOT(ISNUMBER(BD89)),ISNUMBER(BF89),N(BE89)&gt;=WlMinTests,BF89&lt;=WlLowMean),"Low results, no KS2 data","")))</f>
        <v/>
      </c>
      <c r="BJ89" t="str">
        <f>IF(BI89="","",IF(BI89="Below expected for KS2",BG89,100+BF89)+ROW()/1000000)</f>
        <v/>
      </c>
    </row>
    <row r="90">
      <c r="H90" t="str">
        <f>IFERROR(INDEX(tblY7[Class],ROWS(H$10:H90))&amp;"","")</f>
        <v>7B/Sc1</v>
      </c>
      <c r="I90" t="str">
        <f>IF(H90="","",IF(COUNTIF(H$10:H90,H90)=1,COUNTIF(H$10:H$609,"&lt;"&amp;H90)+1,""))</f>
        <v/>
      </c>
      <c r="J90" t="str">
        <f>IFERROR(INDEX(tblY8[Class],ROWS(J$10:J90))&amp;"","")</f>
        <v>8A/Sc4</v>
      </c>
      <c r="K90" t="str">
        <f>IF(J90="","",IF(COUNTIF(J$10:J90,J90)=1,COUNTIF(J$10:J$609,"&lt;"&amp;J90)+1,""))</f>
        <v/>
      </c>
      <c r="L90" t="str">
        <f>IFERROR(INDEX(tblY9[Class],ROWS(L$10:L90))&amp;"","")</f>
        <v>9B/Sc1</v>
      </c>
      <c r="M90" t="str">
        <f>IF(L90="","",IF(COUNTIF(L$10:L90,L90)=1,COUNTIF(L$10:L$609,"&lt;"&amp;L90)+1,""))</f>
        <v/>
      </c>
      <c r="N90" t="str">
        <f>IFERROR(INDEX(tblY10[Class],ROWS(N$10:N90))&amp;"","")</f>
        <v>10S/Sc4</v>
      </c>
      <c r="O90">
        <f>IF(N90="","",IF(COUNTIF(N$10:N90,N90)=1,COUNTIF(N$10:N$609,"&lt;"&amp;N90)+1,""))</f>
        <v>564</v>
      </c>
      <c r="P90" t="str">
        <f>IFERROR(INDEX(tblY11[Class],ROWS(P$10:P90))&amp;"","")</f>
        <v>11S/Sc4</v>
      </c>
      <c r="Q90" t="str">
        <f>IF(P90="","",IF(COUNTIF(P$10:P90,P90)=1,COUNTIF(P$10:P$609,"&lt;"&amp;P90)+1,""))</f>
        <v/>
      </c>
      <c r="BA90" t="str">
        <f>IFERROR(INDEX(wLast,21)&amp;"","")</f>
        <v>Robinson</v>
      </c>
      <c r="BB90" t="str">
        <f>IF(BA90="","",IFERROR(INDEX(wFirst,21)&amp;"",""))</f>
        <v>Jacob</v>
      </c>
      <c r="BC90" t="str">
        <f>IF(BA90="","",IFERROR(INDEX(wClass,21)&amp;"",""))</f>
        <v>11S/Sc1</v>
      </c>
      <c r="BD90">
        <f>IF(BA90="","",IFERROR(INDEX(wKsBand,21)+0,""))</f>
        <v>6</v>
      </c>
      <c r="BE90">
        <f>IF(BA90="","",IFERROR(INDEX(wTests,21)+0,0))</f>
        <v>6</v>
      </c>
      <c r="BF90">
        <f>IF(BA90="","",IFERROR(INDEX(wMean,21)+0,""))</f>
        <v>5.83333333333333</v>
      </c>
      <c r="BG90">
        <f>IF(BA90="","",IFERROR(INDEX(wVs,21)+0,""))</f>
        <v>0.131771284271284</v>
      </c>
      <c r="BH90">
        <f>IF(OR(BA90="",wLatest=""),"",IFERROR(INDEX(wData,21,MATCH(wLatest&amp;CHAR(10)&amp;"Stanine",wHdr,0))+0,""))</f>
        <v>4</v>
      </c>
      <c r="BI90" t="str">
        <f>IF(BA90="","",IF(AND(ISNUMBER(BG90),N(BE90)&gt;=WlMinTests,BG90&lt;=-WlGap),"Below expected for KS2",IF(AND(NOT(ISNUMBER(BD90)),ISNUMBER(BF90),N(BE90)&gt;=WlMinTests,BF90&lt;=WlLowMean),"Low results, no KS2 data","")))</f>
        <v/>
      </c>
      <c r="BJ90" t="str">
        <f>IF(BI90="","",IF(BI90="Below expected for KS2",BG90,100+BF90)+ROW()/1000000)</f>
        <v/>
      </c>
    </row>
    <row r="91">
      <c r="H91" t="str">
        <f>IFERROR(INDEX(tblY7[Class],ROWS(H$10:H91))&amp;"","")</f>
        <v>7B/Sc1</v>
      </c>
      <c r="I91" t="str">
        <f>IF(H91="","",IF(COUNTIF(H$10:H91,H91)=1,COUNTIF(H$10:H$609,"&lt;"&amp;H91)+1,""))</f>
        <v/>
      </c>
      <c r="J91" t="str">
        <f>IFERROR(INDEX(tblY8[Class],ROWS(J$10:J91))&amp;"","")</f>
        <v>8A/Sc4</v>
      </c>
      <c r="K91" t="str">
        <f>IF(J91="","",IF(COUNTIF(J$10:J91,J91)=1,COUNTIF(J$10:J$609,"&lt;"&amp;J91)+1,""))</f>
        <v/>
      </c>
      <c r="L91" t="str">
        <f>IFERROR(INDEX(tblY9[Class],ROWS(L$10:L91))&amp;"","")</f>
        <v>9B/Sc1</v>
      </c>
      <c r="M91" t="str">
        <f>IF(L91="","",IF(COUNTIF(L$10:L91,L91)=1,COUNTIF(L$10:L$609,"&lt;"&amp;L91)+1,""))</f>
        <v/>
      </c>
      <c r="N91" t="str">
        <f>IFERROR(INDEX(tblY10[Class],ROWS(N$10:N91))&amp;"","")</f>
        <v>10S/Sc4</v>
      </c>
      <c r="O91" t="str">
        <f>IF(N91="","",IF(COUNTIF(N$10:N91,N91)=1,COUNTIF(N$10:N$609,"&lt;"&amp;N91)+1,""))</f>
        <v/>
      </c>
      <c r="P91" t="str">
        <f>IFERROR(INDEX(tblY11[Class],ROWS(P$10:P91))&amp;"","")</f>
        <v>11S/Sc4</v>
      </c>
      <c r="Q91" t="str">
        <f>IF(P91="","",IF(COUNTIF(P$10:P91,P91)=1,COUNTIF(P$10:P$609,"&lt;"&amp;P91)+1,""))</f>
        <v/>
      </c>
      <c r="BA91" t="str">
        <f>IFERROR(INDEX(wLast,22)&amp;"","")</f>
        <v>Shaw</v>
      </c>
      <c r="BB91" t="str">
        <f>IF(BA91="","",IFERROR(INDEX(wFirst,22)&amp;"",""))</f>
        <v>Grace</v>
      </c>
      <c r="BC91" t="str">
        <f>IF(BA91="","",IFERROR(INDEX(wClass,22)&amp;"",""))</f>
        <v>11S/Sc1</v>
      </c>
      <c r="BD91">
        <f>IF(BA91="","",IFERROR(INDEX(wKsBand,22)+0,""))</f>
        <v>4</v>
      </c>
      <c r="BE91">
        <f>IF(BA91="","",IFERROR(INDEX(wTests,22)+0,0))</f>
        <v>6</v>
      </c>
      <c r="BF91">
        <f>IF(BA91="","",IFERROR(INDEX(wMean,22)+0,""))</f>
        <v>7.33333333333333</v>
      </c>
      <c r="BG91">
        <f>IF(BA91="","",IFERROR(INDEX(wVs,22)+0,""))</f>
        <v>3.12949855699856</v>
      </c>
      <c r="BH91">
        <f>IF(OR(BA91="",wLatest=""),"",IFERROR(INDEX(wData,22,MATCH(wLatest&amp;CHAR(10)&amp;"Stanine",wHdr,0))+0,""))</f>
        <v>7</v>
      </c>
      <c r="BI91" t="str">
        <f>IF(BA91="","",IF(AND(ISNUMBER(BG91),N(BE91)&gt;=WlMinTests,BG91&lt;=-WlGap),"Below expected for KS2",IF(AND(NOT(ISNUMBER(BD91)),ISNUMBER(BF91),N(BE91)&gt;=WlMinTests,BF91&lt;=WlLowMean),"Low results, no KS2 data","")))</f>
        <v/>
      </c>
      <c r="BJ91" t="str">
        <f>IF(BI91="","",IF(BI91="Below expected for KS2",BG91,100+BF91)+ROW()/1000000)</f>
        <v/>
      </c>
    </row>
    <row r="92">
      <c r="H92" t="str">
        <f>IFERROR(INDEX(tblY7[Class],ROWS(H$10:H92))&amp;"","")</f>
        <v>7B/Sc1</v>
      </c>
      <c r="I92" t="str">
        <f>IF(H92="","",IF(COUNTIF(H$10:H92,H92)=1,COUNTIF(H$10:H$609,"&lt;"&amp;H92)+1,""))</f>
        <v/>
      </c>
      <c r="J92" t="str">
        <f>IFERROR(INDEX(tblY8[Class],ROWS(J$10:J92))&amp;"","")</f>
        <v>8A/Sc4</v>
      </c>
      <c r="K92" t="str">
        <f>IF(J92="","",IF(COUNTIF(J$10:J92,J92)=1,COUNTIF(J$10:J$609,"&lt;"&amp;J92)+1,""))</f>
        <v/>
      </c>
      <c r="L92" t="str">
        <f>IFERROR(INDEX(tblY9[Class],ROWS(L$10:L92))&amp;"","")</f>
        <v>9B/Sc1</v>
      </c>
      <c r="M92" t="str">
        <f>IF(L92="","",IF(COUNTIF(L$10:L92,L92)=1,COUNTIF(L$10:L$609,"&lt;"&amp;L92)+1,""))</f>
        <v/>
      </c>
      <c r="N92" t="str">
        <f>IFERROR(INDEX(tblY10[Class],ROWS(N$10:N92))&amp;"","")</f>
        <v>10S/Sc4</v>
      </c>
      <c r="O92" t="str">
        <f>IF(N92="","",IF(COUNTIF(N$10:N92,N92)=1,COUNTIF(N$10:N$609,"&lt;"&amp;N92)+1,""))</f>
        <v/>
      </c>
      <c r="P92" t="str">
        <f>IFERROR(INDEX(tblY11[Class],ROWS(P$10:P92))&amp;"","")</f>
        <v>11S/Sc4</v>
      </c>
      <c r="Q92" t="str">
        <f>IF(P92="","",IF(COUNTIF(P$10:P92,P92)=1,COUNTIF(P$10:P$609,"&lt;"&amp;P92)+1,""))</f>
        <v/>
      </c>
      <c r="BA92" t="str">
        <f>IFERROR(INDEX(wLast,23)&amp;"","")</f>
        <v>Thompson</v>
      </c>
      <c r="BB92" t="str">
        <f>IF(BA92="","",IFERROR(INDEX(wFirst,23)&amp;"",""))</f>
        <v>Rosie</v>
      </c>
      <c r="BC92" t="str">
        <f>IF(BA92="","",IFERROR(INDEX(wClass,23)&amp;"",""))</f>
        <v>11S/Sc1</v>
      </c>
      <c r="BD92">
        <f>IF(BA92="","",IFERROR(INDEX(wKsBand,23)+0,""))</f>
        <v>5</v>
      </c>
      <c r="BE92">
        <f>IF(BA92="","",IFERROR(INDEX(wTests,23)+0,0))</f>
        <v>6</v>
      </c>
      <c r="BF92">
        <f>IF(BA92="","",IFERROR(INDEX(wMean,23)+0,""))</f>
        <v>8.33333333333333</v>
      </c>
      <c r="BG92">
        <f>IF(BA92="","",IFERROR(INDEX(wVs,23)+0,""))</f>
        <v>3.38063492063492</v>
      </c>
      <c r="BH92">
        <f>IF(OR(BA92="",wLatest=""),"",IFERROR(INDEX(wData,23,MATCH(wLatest&amp;CHAR(10)&amp;"Stanine",wHdr,0))+0,""))</f>
        <v>9</v>
      </c>
      <c r="BI92" t="str">
        <f>IF(BA92="","",IF(AND(ISNUMBER(BG92),N(BE92)&gt;=WlMinTests,BG92&lt;=-WlGap),"Below expected for KS2",IF(AND(NOT(ISNUMBER(BD92)),ISNUMBER(BF92),N(BE92)&gt;=WlMinTests,BF92&lt;=WlLowMean),"Low results, no KS2 data","")))</f>
        <v/>
      </c>
      <c r="BJ92" t="str">
        <f>IF(BI92="","",IF(BI92="Below expected for KS2",BG92,100+BF92)+ROW()/1000000)</f>
        <v/>
      </c>
    </row>
    <row r="93">
      <c r="H93" t="str">
        <f>IFERROR(INDEX(tblY7[Class],ROWS(H$10:H93))&amp;"","")</f>
        <v>7B/Sc1</v>
      </c>
      <c r="I93" t="str">
        <f>IF(H93="","",IF(COUNTIF(H$10:H93,H93)=1,COUNTIF(H$10:H$609,"&lt;"&amp;H93)+1,""))</f>
        <v/>
      </c>
      <c r="J93" t="str">
        <f>IFERROR(INDEX(tblY8[Class],ROWS(J$10:J93))&amp;"","")</f>
        <v>8A/Sc4</v>
      </c>
      <c r="K93" t="str">
        <f>IF(J93="","",IF(COUNTIF(J$10:J93,J93)=1,COUNTIF(J$10:J$609,"&lt;"&amp;J93)+1,""))</f>
        <v/>
      </c>
      <c r="L93" t="str">
        <f>IFERROR(INDEX(tblY9[Class],ROWS(L$10:L93))&amp;"","")</f>
        <v>9B/Sc1</v>
      </c>
      <c r="M93" t="str">
        <f>IF(L93="","",IF(COUNTIF(L$10:L93,L93)=1,COUNTIF(L$10:L$609,"&lt;"&amp;L93)+1,""))</f>
        <v/>
      </c>
      <c r="N93" t="str">
        <f>IFERROR(INDEX(tblY10[Class],ROWS(N$10:N93))&amp;"","")</f>
        <v>10S/Sc4</v>
      </c>
      <c r="O93" t="str">
        <f>IF(N93="","",IF(COUNTIF(N$10:N93,N93)=1,COUNTIF(N$10:N$609,"&lt;"&amp;N93)+1,""))</f>
        <v/>
      </c>
      <c r="P93" t="str">
        <f>IFERROR(INDEX(tblY11[Class],ROWS(P$10:P93))&amp;"","")</f>
        <v>11S/Sc4</v>
      </c>
      <c r="Q93" t="str">
        <f>IF(P93="","",IF(COUNTIF(P$10:P93,P93)=1,COUNTIF(P$10:P$609,"&lt;"&amp;P93)+1,""))</f>
        <v/>
      </c>
      <c r="BA93" t="str">
        <f>IFERROR(INDEX(wLast,24)&amp;"","")</f>
        <v>Turner</v>
      </c>
      <c r="BB93" t="str">
        <f>IF(BA93="","",IFERROR(INDEX(wFirst,24)&amp;"",""))</f>
        <v>Isla</v>
      </c>
      <c r="BC93" t="str">
        <f>IF(BA93="","",IFERROR(INDEX(wClass,24)&amp;"",""))</f>
        <v>11S/Sc1</v>
      </c>
      <c r="BD93">
        <f>IF(BA93="","",IFERROR(INDEX(wKsBand,24)+0,""))</f>
        <v>6</v>
      </c>
      <c r="BE93">
        <f>IF(BA93="","",IFERROR(INDEX(wTests,24)+0,0))</f>
        <v>6</v>
      </c>
      <c r="BF93">
        <f>IF(BA93="","",IFERROR(INDEX(wMean,24)+0,""))</f>
        <v>7.83333333333333</v>
      </c>
      <c r="BG93">
        <f>IF(BA93="","",IFERROR(INDEX(wVs,24)+0,""))</f>
        <v>2.13177128427128</v>
      </c>
      <c r="BH93">
        <f>IF(OR(BA93="",wLatest=""),"",IFERROR(INDEX(wData,24,MATCH(wLatest&amp;CHAR(10)&amp;"Stanine",wHdr,0))+0,""))</f>
        <v>8</v>
      </c>
      <c r="BI93" t="str">
        <f>IF(BA93="","",IF(AND(ISNUMBER(BG93),N(BE93)&gt;=WlMinTests,BG93&lt;=-WlGap),"Below expected for KS2",IF(AND(NOT(ISNUMBER(BD93)),ISNUMBER(BF93),N(BE93)&gt;=WlMinTests,BF93&lt;=WlLowMean),"Low results, no KS2 data","")))</f>
        <v/>
      </c>
      <c r="BJ93" t="str">
        <f>IF(BI93="","",IF(BI93="Below expected for KS2",BG93,100+BF93)+ROW()/1000000)</f>
        <v/>
      </c>
    </row>
    <row r="94">
      <c r="H94" t="str">
        <f>IFERROR(INDEX(tblY7[Class],ROWS(H$10:H94))&amp;"","")</f>
        <v>7B/Sc1</v>
      </c>
      <c r="I94" t="str">
        <f>IF(H94="","",IF(COUNTIF(H$10:H94,H94)=1,COUNTIF(H$10:H$609,"&lt;"&amp;H94)+1,""))</f>
        <v/>
      </c>
      <c r="J94" t="str">
        <f>IFERROR(INDEX(tblY8[Class],ROWS(J$10:J94))&amp;"","")</f>
        <v>8A/Sc4</v>
      </c>
      <c r="K94" t="str">
        <f>IF(J94="","",IF(COUNTIF(J$10:J94,J94)=1,COUNTIF(J$10:J$609,"&lt;"&amp;J94)+1,""))</f>
        <v/>
      </c>
      <c r="L94" t="str">
        <f>IFERROR(INDEX(tblY9[Class],ROWS(L$10:L94))&amp;"","")</f>
        <v>9B/Sc1</v>
      </c>
      <c r="M94" t="str">
        <f>IF(L94="","",IF(COUNTIF(L$10:L94,L94)=1,COUNTIF(L$10:L$609,"&lt;"&amp;L94)+1,""))</f>
        <v/>
      </c>
      <c r="N94" t="str">
        <f>IFERROR(INDEX(tblY10[Class],ROWS(N$10:N94))&amp;"","")</f>
        <v>10S/Sc4</v>
      </c>
      <c r="O94" t="str">
        <f>IF(N94="","",IF(COUNTIF(N$10:N94,N94)=1,COUNTIF(N$10:N$609,"&lt;"&amp;N94)+1,""))</f>
        <v/>
      </c>
      <c r="P94" t="str">
        <f>IFERROR(INDEX(tblY11[Class],ROWS(P$10:P94))&amp;"","")</f>
        <v>11S/Sc4</v>
      </c>
      <c r="Q94" t="str">
        <f>IF(P94="","",IF(COUNTIF(P$10:P94,P94)=1,COUNTIF(P$10:P$609,"&lt;"&amp;P94)+1,""))</f>
        <v/>
      </c>
      <c r="BA94" t="str">
        <f>IFERROR(INDEX(wLast,25)&amp;"","")</f>
        <v>Walker</v>
      </c>
      <c r="BB94" t="str">
        <f>IF(BA94="","",IFERROR(INDEX(wFirst,25)&amp;"",""))</f>
        <v>Oscar</v>
      </c>
      <c r="BC94" t="str">
        <f>IF(BA94="","",IFERROR(INDEX(wClass,25)&amp;"",""))</f>
        <v>11S/Sc1</v>
      </c>
      <c r="BD94">
        <f>IF(BA94="","",IFERROR(INDEX(wKsBand,25)+0,""))</f>
        <v>6</v>
      </c>
      <c r="BE94">
        <f>IF(BA94="","",IFERROR(INDEX(wTests,25)+0,0))</f>
        <v>6</v>
      </c>
      <c r="BF94">
        <f>IF(BA94="","",IFERROR(INDEX(wMean,25)+0,""))</f>
        <v>7.5</v>
      </c>
      <c r="BG94">
        <f>IF(BA94="","",IFERROR(INDEX(wVs,25)+0,""))</f>
        <v>1.79843795093795</v>
      </c>
      <c r="BH94">
        <f>IF(OR(BA94="",wLatest=""),"",IFERROR(INDEX(wData,25,MATCH(wLatest&amp;CHAR(10)&amp;"Stanine",wHdr,0))+0,""))</f>
        <v>7</v>
      </c>
      <c r="BI94" t="str">
        <f>IF(BA94="","",IF(AND(ISNUMBER(BG94),N(BE94)&gt;=WlMinTests,BG94&lt;=-WlGap),"Below expected for KS2",IF(AND(NOT(ISNUMBER(BD94)),ISNUMBER(BF94),N(BE94)&gt;=WlMinTests,BF94&lt;=WlLowMean),"Low results, no KS2 data","")))</f>
        <v/>
      </c>
      <c r="BJ94" t="str">
        <f>IF(BI94="","",IF(BI94="Below expected for KS2",BG94,100+BF94)+ROW()/1000000)</f>
        <v/>
      </c>
    </row>
    <row r="95">
      <c r="H95" t="str">
        <f>IFERROR(INDEX(tblY7[Class],ROWS(H$10:H95))&amp;"","")</f>
        <v>7B/Sc1</v>
      </c>
      <c r="I95" t="str">
        <f>IF(H95="","",IF(COUNTIF(H$10:H95,H95)=1,COUNTIF(H$10:H$609,"&lt;"&amp;H95)+1,""))</f>
        <v/>
      </c>
      <c r="J95" t="str">
        <f>IFERROR(INDEX(tblY8[Class],ROWS(J$10:J95))&amp;"","")</f>
        <v>8A/Sc4</v>
      </c>
      <c r="K95" t="str">
        <f>IF(J95="","",IF(COUNTIF(J$10:J95,J95)=1,COUNTIF(J$10:J$609,"&lt;"&amp;J95)+1,""))</f>
        <v/>
      </c>
      <c r="L95" t="str">
        <f>IFERROR(INDEX(tblY9[Class],ROWS(L$10:L95))&amp;"","")</f>
        <v>9B/Sc1</v>
      </c>
      <c r="M95" t="str">
        <f>IF(L95="","",IF(COUNTIF(L$10:L95,L95)=1,COUNTIF(L$10:L$609,"&lt;"&amp;L95)+1,""))</f>
        <v/>
      </c>
      <c r="N95" t="str">
        <f>IFERROR(INDEX(tblY10[Class],ROWS(N$10:N95))&amp;"","")</f>
        <v>10S/Sc4</v>
      </c>
      <c r="O95" t="str">
        <f>IF(N95="","",IF(COUNTIF(N$10:N95,N95)=1,COUNTIF(N$10:N$609,"&lt;"&amp;N95)+1,""))</f>
        <v/>
      </c>
      <c r="P95" t="str">
        <f>IFERROR(INDEX(tblY11[Class],ROWS(P$10:P95))&amp;"","")</f>
        <v>11S/Sc4</v>
      </c>
      <c r="Q95" t="str">
        <f>IF(P95="","",IF(COUNTIF(P$10:P95,P95)=1,COUNTIF(P$10:P$609,"&lt;"&amp;P95)+1,""))</f>
        <v/>
      </c>
      <c r="BA95" t="str">
        <f>IFERROR(INDEX(wLast,26)&amp;"","")</f>
        <v>Ward</v>
      </c>
      <c r="BB95" t="str">
        <f>IF(BA95="","",IFERROR(INDEX(wFirst,26)&amp;"",""))</f>
        <v>Aisha</v>
      </c>
      <c r="BC95" t="str">
        <f>IF(BA95="","",IFERROR(INDEX(wClass,26)&amp;"",""))</f>
        <v>11S/Sc1</v>
      </c>
      <c r="BD95">
        <f>IF(BA95="","",IFERROR(INDEX(wKsBand,26)+0,""))</f>
        <v>6</v>
      </c>
      <c r="BE95">
        <f>IF(BA95="","",IFERROR(INDEX(wTests,26)+0,0))</f>
        <v>6</v>
      </c>
      <c r="BF95">
        <f>IF(BA95="","",IFERROR(INDEX(wMean,26)+0,""))</f>
        <v>7</v>
      </c>
      <c r="BG95">
        <f>IF(BA95="","",IFERROR(INDEX(wVs,26)+0,""))</f>
        <v>1.29843795093795</v>
      </c>
      <c r="BH95">
        <f>IF(OR(BA95="",wLatest=""),"",IFERROR(INDEX(wData,26,MATCH(wLatest&amp;CHAR(10)&amp;"Stanine",wHdr,0))+0,""))</f>
        <v>8</v>
      </c>
      <c r="BI95" t="str">
        <f>IF(BA95="","",IF(AND(ISNUMBER(BG95),N(BE95)&gt;=WlMinTests,BG95&lt;=-WlGap),"Below expected for KS2",IF(AND(NOT(ISNUMBER(BD95)),ISNUMBER(BF95),N(BE95)&gt;=WlMinTests,BF95&lt;=WlLowMean),"Low results, no KS2 data","")))</f>
        <v/>
      </c>
      <c r="BJ95" t="str">
        <f>IF(BI95="","",IF(BI95="Below expected for KS2",BG95,100+BF95)+ROW()/1000000)</f>
        <v/>
      </c>
    </row>
    <row r="96">
      <c r="H96" t="str">
        <f>IFERROR(INDEX(tblY7[Class],ROWS(H$10:H96))&amp;"","")</f>
        <v>7B/Sc1</v>
      </c>
      <c r="I96" t="str">
        <f>IF(H96="","",IF(COUNTIF(H$10:H96,H96)=1,COUNTIF(H$10:H$609,"&lt;"&amp;H96)+1,""))</f>
        <v/>
      </c>
      <c r="J96" t="str">
        <f>IFERROR(INDEX(tblY8[Class],ROWS(J$10:J96))&amp;"","")</f>
        <v>8A/Sc4</v>
      </c>
      <c r="K96" t="str">
        <f>IF(J96="","",IF(COUNTIF(J$10:J96,J96)=1,COUNTIF(J$10:J$609,"&lt;"&amp;J96)+1,""))</f>
        <v/>
      </c>
      <c r="L96" t="str">
        <f>IFERROR(INDEX(tblY9[Class],ROWS(L$10:L96))&amp;"","")</f>
        <v>9B/Sc1</v>
      </c>
      <c r="M96" t="str">
        <f>IF(L96="","",IF(COUNTIF(L$10:L96,L96)=1,COUNTIF(L$10:L$609,"&lt;"&amp;L96)+1,""))</f>
        <v/>
      </c>
      <c r="N96" t="str">
        <f>IFERROR(INDEX(tblY10[Class],ROWS(N$10:N96))&amp;"","")</f>
        <v>10S/Sc4</v>
      </c>
      <c r="O96" t="str">
        <f>IF(N96="","",IF(COUNTIF(N$10:N96,N96)=1,COUNTIF(N$10:N$609,"&lt;"&amp;N96)+1,""))</f>
        <v/>
      </c>
      <c r="P96" t="str">
        <f>IFERROR(INDEX(tblY11[Class],ROWS(P$10:P96))&amp;"","")</f>
        <v>11S/Sc4</v>
      </c>
      <c r="Q96" t="str">
        <f>IF(P96="","",IF(COUNTIF(P$10:P96,P96)=1,COUNTIF(P$10:P$609,"&lt;"&amp;P96)+1,""))</f>
        <v/>
      </c>
      <c r="BA96" t="str">
        <f>IFERROR(INDEX(wLast,27)&amp;"","")</f>
        <v>Wright</v>
      </c>
      <c r="BB96" t="str">
        <f>IF(BA96="","",IFERROR(INDEX(wFirst,27)&amp;"",""))</f>
        <v>Amara</v>
      </c>
      <c r="BC96" t="str">
        <f>IF(BA96="","",IFERROR(INDEX(wClass,27)&amp;"",""))</f>
        <v>11S/Sc1</v>
      </c>
      <c r="BD96">
        <f>IF(BA96="","",IFERROR(INDEX(wKsBand,27)+0,""))</f>
        <v>8</v>
      </c>
      <c r="BE96">
        <f>IF(BA96="","",IFERROR(INDEX(wTests,27)+0,0))</f>
        <v>6</v>
      </c>
      <c r="BF96">
        <f>IF(BA96="","",IFERROR(INDEX(wMean,27)+0,""))</f>
        <v>7.83333333333333</v>
      </c>
      <c r="BG96">
        <f>IF(BA96="","",IFERROR(INDEX(wVs,27)+0,""))</f>
        <v>0.634044011544011</v>
      </c>
      <c r="BH96">
        <f>IF(OR(BA96="",wLatest=""),"",IFERROR(INDEX(wData,27,MATCH(wLatest&amp;CHAR(10)&amp;"Stanine",wHdr,0))+0,""))</f>
        <v>9</v>
      </c>
      <c r="BI96" t="str">
        <f>IF(BA96="","",IF(AND(ISNUMBER(BG96),N(BE96)&gt;=WlMinTests,BG96&lt;=-WlGap),"Below expected for KS2",IF(AND(NOT(ISNUMBER(BD96)),ISNUMBER(BF96),N(BE96)&gt;=WlMinTests,BF96&lt;=WlLowMean),"Low results, no KS2 data","")))</f>
        <v/>
      </c>
      <c r="BJ96" t="str">
        <f>IF(BI96="","",IF(BI96="Below expected for KS2",BG96,100+BF96)+ROW()/1000000)</f>
        <v/>
      </c>
    </row>
    <row r="97">
      <c r="H97" t="str">
        <f>IFERROR(INDEX(tblY7[Class],ROWS(H$10:H97))&amp;"","")</f>
        <v>7B/Sc2</v>
      </c>
      <c r="I97">
        <f>IF(H97="","",IF(COUNTIF(H$10:H97,H97)=1,COUNTIF(H$10:H$609,"&lt;"&amp;H97)+1,""))</f>
        <v>557</v>
      </c>
      <c r="J97" t="str">
        <f>IFERROR(INDEX(tblY8[Class],ROWS(J$10:J97))&amp;"","")</f>
        <v>8A/Sc4</v>
      </c>
      <c r="K97" t="str">
        <f>IF(J97="","",IF(COUNTIF(J$10:J97,J97)=1,COUNTIF(J$10:J$609,"&lt;"&amp;J97)+1,""))</f>
        <v/>
      </c>
      <c r="L97" t="str">
        <f>IFERROR(INDEX(tblY9[Class],ROWS(L$10:L97))&amp;"","")</f>
        <v>9B/Sc1</v>
      </c>
      <c r="M97" t="str">
        <f>IF(L97="","",IF(COUNTIF(L$10:L97,L97)=1,COUNTIF(L$10:L$609,"&lt;"&amp;L97)+1,""))</f>
        <v/>
      </c>
      <c r="N97" t="str">
        <f>IFERROR(INDEX(tblY10[Class],ROWS(N$10:N97))&amp;"","")</f>
        <v>10S/Sc4</v>
      </c>
      <c r="O97" t="str">
        <f>IF(N97="","",IF(COUNTIF(N$10:N97,N97)=1,COUNTIF(N$10:N$609,"&lt;"&amp;N97)+1,""))</f>
        <v/>
      </c>
      <c r="P97" t="str">
        <f>IFERROR(INDEX(tblY11[Class],ROWS(P$10:P97))&amp;"","")</f>
        <v>11S/Sc4</v>
      </c>
      <c r="Q97" t="str">
        <f>IF(P97="","",IF(COUNTIF(P$10:P97,P97)=1,COUNTIF(P$10:P$609,"&lt;"&amp;P97)+1,""))</f>
        <v/>
      </c>
      <c r="BA97" t="str">
        <f>IFERROR(INDEX(wLast,28)&amp;"","")</f>
        <v>Wright</v>
      </c>
      <c r="BB97" t="str">
        <f>IF(BA97="","",IFERROR(INDEX(wFirst,28)&amp;"",""))</f>
        <v>Hollie</v>
      </c>
      <c r="BC97" t="str">
        <f>IF(BA97="","",IFERROR(INDEX(wClass,28)&amp;"",""))</f>
        <v>11S/Sc1</v>
      </c>
      <c r="BD97">
        <f>IF(BA97="","",IFERROR(INDEX(wKsBand,28)+0,""))</f>
        <v>7</v>
      </c>
      <c r="BE97">
        <f>IF(BA97="","",IFERROR(INDEX(wTests,28)+0,0))</f>
        <v>6</v>
      </c>
      <c r="BF97">
        <f>IF(BA97="","",IFERROR(INDEX(wMean,28)+0,""))</f>
        <v>6.33333333333333</v>
      </c>
      <c r="BG97">
        <f>IF(BA97="","",IFERROR(INDEX(wVs,28)+0,""))</f>
        <v>-0.117092352092352</v>
      </c>
      <c r="BH97">
        <f>IF(OR(BA97="",wLatest=""),"",IFERROR(INDEX(wData,28,MATCH(wLatest&amp;CHAR(10)&amp;"Stanine",wHdr,0))+0,""))</f>
        <v>6</v>
      </c>
      <c r="BI97" t="str">
        <f>IF(BA97="","",IF(AND(ISNUMBER(BG97),N(BE97)&gt;=WlMinTests,BG97&lt;=-WlGap),"Below expected for KS2",IF(AND(NOT(ISNUMBER(BD97)),ISNUMBER(BF97),N(BE97)&gt;=WlMinTests,BF97&lt;=WlLowMean),"Low results, no KS2 data","")))</f>
        <v/>
      </c>
      <c r="BJ97" t="str">
        <f>IF(BI97="","",IF(BI97="Below expected for KS2",BG97,100+BF97)+ROW()/1000000)</f>
        <v/>
      </c>
    </row>
    <row r="98">
      <c r="H98" t="str">
        <f>IFERROR(INDEX(tblY7[Class],ROWS(H$10:H98))&amp;"","")</f>
        <v>7B/Sc2</v>
      </c>
      <c r="I98" t="str">
        <f>IF(H98="","",IF(COUNTIF(H$10:H98,H98)=1,COUNTIF(H$10:H$609,"&lt;"&amp;H98)+1,""))</f>
        <v/>
      </c>
      <c r="J98" t="str">
        <f>IFERROR(INDEX(tblY8[Class],ROWS(J$10:J98))&amp;"","")</f>
        <v>8A/Sc4</v>
      </c>
      <c r="K98" t="str">
        <f>IF(J98="","",IF(COUNTIF(J$10:J98,J98)=1,COUNTIF(J$10:J$609,"&lt;"&amp;J98)+1,""))</f>
        <v/>
      </c>
      <c r="L98" t="str">
        <f>IFERROR(INDEX(tblY9[Class],ROWS(L$10:L98))&amp;"","")</f>
        <v>9B/Sc1</v>
      </c>
      <c r="M98" t="str">
        <f>IF(L98="","",IF(COUNTIF(L$10:L98,L98)=1,COUNTIF(L$10:L$609,"&lt;"&amp;L98)+1,""))</f>
        <v/>
      </c>
      <c r="N98" t="str">
        <f>IFERROR(INDEX(tblY10[Class],ROWS(N$10:N98))&amp;"","")</f>
        <v>10S/Sc4</v>
      </c>
      <c r="O98" t="str">
        <f>IF(N98="","",IF(COUNTIF(N$10:N98,N98)=1,COUNTIF(N$10:N$609,"&lt;"&amp;N98)+1,""))</f>
        <v/>
      </c>
      <c r="P98" t="str">
        <f>IFERROR(INDEX(tblY11[Class],ROWS(P$10:P98))&amp;"","")</f>
        <v>11S/Sc5</v>
      </c>
      <c r="Q98">
        <f>IF(P98="","",IF(COUNTIF(P$10:P98,P98)=1,COUNTIF(P$10:P$609,"&lt;"&amp;P98)+1,""))</f>
        <v>583</v>
      </c>
      <c r="BA98" t="str">
        <f>IFERROR(INDEX(wLast,29)&amp;"","")</f>
        <v>Cooper</v>
      </c>
      <c r="BB98" t="str">
        <f>IF(BA98="","",IFERROR(INDEX(wFirst,29)&amp;"",""))</f>
        <v>Dylan</v>
      </c>
      <c r="BC98" t="str">
        <f>IF(BA98="","",IFERROR(INDEX(wClass,29)&amp;"",""))</f>
        <v>11S/Sc2</v>
      </c>
      <c r="BD98">
        <f>IF(BA98="","",IFERROR(INDEX(wKsBand,29)+0,""))</f>
        <v>5</v>
      </c>
      <c r="BE98">
        <f>IF(BA98="","",IFERROR(INDEX(wTests,29)+0,0))</f>
        <v>6</v>
      </c>
      <c r="BF98">
        <f>IF(BA98="","",IFERROR(INDEX(wMean,29)+0,""))</f>
        <v>5.33333333333333</v>
      </c>
      <c r="BG98">
        <f>IF(BA98="","",IFERROR(INDEX(wVs,29)+0,""))</f>
        <v>0.380634920634921</v>
      </c>
      <c r="BH98">
        <f>IF(OR(BA98="",wLatest=""),"",IFERROR(INDEX(wData,29,MATCH(wLatest&amp;CHAR(10)&amp;"Stanine",wHdr,0))+0,""))</f>
        <v>5</v>
      </c>
      <c r="BI98" t="str">
        <f>IF(BA98="","",IF(AND(ISNUMBER(BG98),N(BE98)&gt;=WlMinTests,BG98&lt;=-WlGap),"Below expected for KS2",IF(AND(NOT(ISNUMBER(BD98)),ISNUMBER(BF98),N(BE98)&gt;=WlMinTests,BF98&lt;=WlLowMean),"Low results, no KS2 data","")))</f>
        <v/>
      </c>
      <c r="BJ98" t="str">
        <f>IF(BI98="","",IF(BI98="Below expected for KS2",BG98,100+BF98)+ROW()/1000000)</f>
        <v/>
      </c>
    </row>
    <row r="99">
      <c r="H99" t="str">
        <f>IFERROR(INDEX(tblY7[Class],ROWS(H$10:H99))&amp;"","")</f>
        <v>7B/Sc2</v>
      </c>
      <c r="I99" t="str">
        <f>IF(H99="","",IF(COUNTIF(H$10:H99,H99)=1,COUNTIF(H$10:H$609,"&lt;"&amp;H99)+1,""))</f>
        <v/>
      </c>
      <c r="J99" t="str">
        <f>IFERROR(INDEX(tblY8[Class],ROWS(J$10:J99))&amp;"","")</f>
        <v>8A/Sc4</v>
      </c>
      <c r="K99" t="str">
        <f>IF(J99="","",IF(COUNTIF(J$10:J99,J99)=1,COUNTIF(J$10:J$609,"&lt;"&amp;J99)+1,""))</f>
        <v/>
      </c>
      <c r="L99" t="str">
        <f>IFERROR(INDEX(tblY9[Class],ROWS(L$10:L99))&amp;"","")</f>
        <v>9B/Sc1</v>
      </c>
      <c r="M99" t="str">
        <f>IF(L99="","",IF(COUNTIF(L$10:L99,L99)=1,COUNTIF(L$10:L$609,"&lt;"&amp;L99)+1,""))</f>
        <v/>
      </c>
      <c r="N99" t="str">
        <f>IFERROR(INDEX(tblY10[Class],ROWS(N$10:N99))&amp;"","")</f>
        <v>10S/Sc4</v>
      </c>
      <c r="O99" t="str">
        <f>IF(N99="","",IF(COUNTIF(N$10:N99,N99)=1,COUNTIF(N$10:N$609,"&lt;"&amp;N99)+1,""))</f>
        <v/>
      </c>
      <c r="P99" t="str">
        <f>IFERROR(INDEX(tblY11[Class],ROWS(P$10:P99))&amp;"","")</f>
        <v>11S/Sc5</v>
      </c>
      <c r="Q99" t="str">
        <f>IF(P99="","",IF(COUNTIF(P$10:P99,P99)=1,COUNTIF(P$10:P$609,"&lt;"&amp;P99)+1,""))</f>
        <v/>
      </c>
      <c r="BA99" t="str">
        <f>IFERROR(INDEX(wLast,30)&amp;"","")</f>
        <v>Cooper</v>
      </c>
      <c r="BB99" t="str">
        <f>IF(BA99="","",IFERROR(INDEX(wFirst,30)&amp;"",""))</f>
        <v>Noah</v>
      </c>
      <c r="BC99" t="str">
        <f>IF(BA99="","",IFERROR(INDEX(wClass,30)&amp;"",""))</f>
        <v>11S/Sc2</v>
      </c>
      <c r="BD99">
        <f>IF(BA99="","",IFERROR(INDEX(wKsBand,30)+0,""))</f>
        <v>6</v>
      </c>
      <c r="BE99">
        <f>IF(BA99="","",IFERROR(INDEX(wTests,30)+0,0))</f>
        <v>6</v>
      </c>
      <c r="BF99">
        <f>IF(BA99="","",IFERROR(INDEX(wMean,30)+0,""))</f>
        <v>6.16666666666667</v>
      </c>
      <c r="BG99">
        <f>IF(BA99="","",IFERROR(INDEX(wVs,30)+0,""))</f>
        <v>0.465104617604618</v>
      </c>
      <c r="BH99">
        <f>IF(OR(BA99="",wLatest=""),"",IFERROR(INDEX(wData,30,MATCH(wLatest&amp;CHAR(10)&amp;"Stanine",wHdr,0))+0,""))</f>
        <v>6</v>
      </c>
      <c r="BI99" t="str">
        <f>IF(BA99="","",IF(AND(ISNUMBER(BG99),N(BE99)&gt;=WlMinTests,BG99&lt;=-WlGap),"Below expected for KS2",IF(AND(NOT(ISNUMBER(BD99)),ISNUMBER(BF99),N(BE99)&gt;=WlMinTests,BF99&lt;=WlLowMean),"Low results, no KS2 data","")))</f>
        <v/>
      </c>
      <c r="BJ99" t="str">
        <f>IF(BI99="","",IF(BI99="Below expected for KS2",BG99,100+BF99)+ROW()/1000000)</f>
        <v/>
      </c>
    </row>
    <row r="100">
      <c r="H100" t="str">
        <f>IFERROR(INDEX(tblY7[Class],ROWS(H$10:H100))&amp;"","")</f>
        <v>7B/Sc2</v>
      </c>
      <c r="I100" t="str">
        <f>IF(H100="","",IF(COUNTIF(H$10:H100,H100)=1,COUNTIF(H$10:H$609,"&lt;"&amp;H100)+1,""))</f>
        <v/>
      </c>
      <c r="J100" t="str">
        <f>IFERROR(INDEX(tblY8[Class],ROWS(J$10:J100))&amp;"","")</f>
        <v>8A/Sc4</v>
      </c>
      <c r="K100" t="str">
        <f>IF(J100="","",IF(COUNTIF(J$10:J100,J100)=1,COUNTIF(J$10:J$609,"&lt;"&amp;J100)+1,""))</f>
        <v/>
      </c>
      <c r="L100" t="str">
        <f>IFERROR(INDEX(tblY9[Class],ROWS(L$10:L100))&amp;"","")</f>
        <v>9B/Sc1</v>
      </c>
      <c r="M100" t="str">
        <f>IF(L100="","",IF(COUNTIF(L$10:L100,L100)=1,COUNTIF(L$10:L$609,"&lt;"&amp;L100)+1,""))</f>
        <v/>
      </c>
      <c r="N100" t="str">
        <f>IFERROR(INDEX(tblY10[Class],ROWS(N$10:N100))&amp;"","")</f>
        <v>10S/Sc4</v>
      </c>
      <c r="O100" t="str">
        <f>IF(N100="","",IF(COUNTIF(N$10:N100,N100)=1,COUNTIF(N$10:N$609,"&lt;"&amp;N100)+1,""))</f>
        <v/>
      </c>
      <c r="P100" t="str">
        <f>IFERROR(INDEX(tblY11[Class],ROWS(P$10:P100))&amp;"","")</f>
        <v>11S/Sc5</v>
      </c>
      <c r="Q100" t="str">
        <f>IF(P100="","",IF(COUNTIF(P$10:P100,P100)=1,COUNTIF(P$10:P$609,"&lt;"&amp;P100)+1,""))</f>
        <v/>
      </c>
      <c r="BA100" t="str">
        <f>IFERROR(INDEX(wLast,31)&amp;"","")</f>
        <v>Evans</v>
      </c>
      <c r="BB100" t="str">
        <f>IF(BA100="","",IFERROR(INDEX(wFirst,31)&amp;"",""))</f>
        <v>Arthur</v>
      </c>
      <c r="BC100" t="str">
        <f>IF(BA100="","",IFERROR(INDEX(wClass,31)&amp;"",""))</f>
        <v>11S/Sc2</v>
      </c>
      <c r="BD100">
        <f>IF(BA100="","",IFERROR(INDEX(wKsBand,31)+0,""))</f>
        <v>3</v>
      </c>
      <c r="BE100">
        <f>IF(BA100="","",IFERROR(INDEX(wTests,31)+0,0))</f>
        <v>6</v>
      </c>
      <c r="BF100">
        <f>IF(BA100="","",IFERROR(INDEX(wMean,31)+0,""))</f>
        <v>4</v>
      </c>
      <c r="BG100">
        <f>IF(BA100="","",IFERROR(INDEX(wVs,31)+0,""))</f>
        <v>0.545028860028861</v>
      </c>
      <c r="BH100">
        <f>IF(OR(BA100="",wLatest=""),"",IFERROR(INDEX(wData,31,MATCH(wLatest&amp;CHAR(10)&amp;"Stanine",wHdr,0))+0,""))</f>
        <v>4</v>
      </c>
      <c r="BI100" t="str">
        <f>IF(BA100="","",IF(AND(ISNUMBER(BG100),N(BE100)&gt;=WlMinTests,BG100&lt;=-WlGap),"Below expected for KS2",IF(AND(NOT(ISNUMBER(BD100)),ISNUMBER(BF100),N(BE100)&gt;=WlMinTests,BF100&lt;=WlLowMean),"Low results, no KS2 data","")))</f>
        <v/>
      </c>
      <c r="BJ100" t="str">
        <f>IF(BI100="","",IF(BI100="Below expected for KS2",BG100,100+BF100)+ROW()/1000000)</f>
        <v/>
      </c>
    </row>
    <row r="101">
      <c r="H101" t="str">
        <f>IFERROR(INDEX(tblY7[Class],ROWS(H$10:H101))&amp;"","")</f>
        <v>7B/Sc2</v>
      </c>
      <c r="I101" t="str">
        <f>IF(H101="","",IF(COUNTIF(H$10:H101,H101)=1,COUNTIF(H$10:H$609,"&lt;"&amp;H101)+1,""))</f>
        <v/>
      </c>
      <c r="J101" t="str">
        <f>IFERROR(INDEX(tblY8[Class],ROWS(J$10:J101))&amp;"","")</f>
        <v>Science Support</v>
      </c>
      <c r="K101">
        <f>IF(J101="","",IF(COUNTIF(J$10:J101,J101)=1,COUNTIF(J$10:J$609,"&lt;"&amp;J101)+1,""))</f>
        <v>599</v>
      </c>
      <c r="L101" t="str">
        <f>IFERROR(INDEX(tblY9[Class],ROWS(L$10:L101))&amp;"","")</f>
        <v>9B/Sc1</v>
      </c>
      <c r="M101" t="str">
        <f>IF(L101="","",IF(COUNTIF(L$10:L101,L101)=1,COUNTIF(L$10:L$609,"&lt;"&amp;L101)+1,""))</f>
        <v/>
      </c>
      <c r="N101" t="str">
        <f>IFERROR(INDEX(tblY10[Class],ROWS(N$10:N101))&amp;"","")</f>
        <v>10S/Sc4</v>
      </c>
      <c r="O101" t="str">
        <f>IF(N101="","",IF(COUNTIF(N$10:N101,N101)=1,COUNTIF(N$10:N$609,"&lt;"&amp;N101)+1,""))</f>
        <v/>
      </c>
      <c r="P101" t="str">
        <f>IFERROR(INDEX(tblY11[Class],ROWS(P$10:P101))&amp;"","")</f>
        <v>11S/Sc5</v>
      </c>
      <c r="Q101" t="str">
        <f>IF(P101="","",IF(COUNTIF(P$10:P101,P101)=1,COUNTIF(P$10:P$609,"&lt;"&amp;P101)+1,""))</f>
        <v/>
      </c>
      <c r="BA101" t="str">
        <f>IFERROR(INDEX(wLast,32)&amp;"","")</f>
        <v>Harrison</v>
      </c>
      <c r="BB101" t="str">
        <f>IF(BA101="","",IFERROR(INDEX(wFirst,32)&amp;"",""))</f>
        <v>Arjun</v>
      </c>
      <c r="BC101" t="str">
        <f>IF(BA101="","",IFERROR(INDEX(wClass,32)&amp;"",""))</f>
        <v>11S/Sc2</v>
      </c>
      <c r="BD101">
        <f>IF(BA101="","",IFERROR(INDEX(wKsBand,32)+0,""))</f>
        <v>5</v>
      </c>
      <c r="BE101">
        <f>IF(BA101="","",IFERROR(INDEX(wTests,32)+0,0))</f>
        <v>5</v>
      </c>
      <c r="BF101">
        <f>IF(BA101="","",IFERROR(INDEX(wMean,32)+0,""))</f>
        <v>4.4</v>
      </c>
      <c r="BG101">
        <f>IF(BA101="","",IFERROR(INDEX(wVs,32)+0,""))</f>
        <v>-0.552698412698412</v>
      </c>
      <c r="BH101">
        <f>IF(OR(BA101="",wLatest=""),"",IFERROR(INDEX(wData,32,MATCH(wLatest&amp;CHAR(10)&amp;"Stanine",wHdr,0))+0,""))</f>
        <v>4</v>
      </c>
      <c r="BI101" t="str">
        <f>IF(BA101="","",IF(AND(ISNUMBER(BG101),N(BE101)&gt;=WlMinTests,BG101&lt;=-WlGap),"Below expected for KS2",IF(AND(NOT(ISNUMBER(BD101)),ISNUMBER(BF101),N(BE101)&gt;=WlMinTests,BF101&lt;=WlLowMean),"Low results, no KS2 data","")))</f>
        <v/>
      </c>
      <c r="BJ101" t="str">
        <f>IF(BI101="","",IF(BI101="Below expected for KS2",BG101,100+BF101)+ROW()/1000000)</f>
        <v/>
      </c>
    </row>
    <row r="102">
      <c r="H102" t="str">
        <f>IFERROR(INDEX(tblY7[Class],ROWS(H$10:H102))&amp;"","")</f>
        <v>7B/Sc2</v>
      </c>
      <c r="I102" t="str">
        <f>IF(H102="","",IF(COUNTIF(H$10:H102,H102)=1,COUNTIF(H$10:H$609,"&lt;"&amp;H102)+1,""))</f>
        <v/>
      </c>
      <c r="J102" t="str">
        <f>IFERROR(INDEX(tblY8[Class],ROWS(J$10:J102))&amp;"","")</f>
        <v>Science Support</v>
      </c>
      <c r="K102" t="str">
        <f>IF(J102="","",IF(COUNTIF(J$10:J102,J102)=1,COUNTIF(J$10:J$609,"&lt;"&amp;J102)+1,""))</f>
        <v/>
      </c>
      <c r="L102" t="str">
        <f>IFERROR(INDEX(tblY9[Class],ROWS(L$10:L102))&amp;"","")</f>
        <v>9B/Sc1</v>
      </c>
      <c r="M102" t="str">
        <f>IF(L102="","",IF(COUNTIF(L$10:L102,L102)=1,COUNTIF(L$10:L$609,"&lt;"&amp;L102)+1,""))</f>
        <v/>
      </c>
      <c r="N102" t="str">
        <f>IFERROR(INDEX(tblY10[Class],ROWS(N$10:N102))&amp;"","")</f>
        <v>10S/Sc4</v>
      </c>
      <c r="O102" t="str">
        <f>IF(N102="","",IF(COUNTIF(N$10:N102,N102)=1,COUNTIF(N$10:N$609,"&lt;"&amp;N102)+1,""))</f>
        <v/>
      </c>
      <c r="P102" t="str">
        <f>IFERROR(INDEX(tblY11[Class],ROWS(P$10:P102))&amp;"","")</f>
        <v>11S/Sc5</v>
      </c>
      <c r="Q102" t="str">
        <f>IF(P102="","",IF(COUNTIF(P$10:P102,P102)=1,COUNTIF(P$10:P$609,"&lt;"&amp;P102)+1,""))</f>
        <v/>
      </c>
      <c r="BA102" t="str">
        <f>IFERROR(INDEX(wLast,33)&amp;"","")</f>
        <v>Harrison</v>
      </c>
      <c r="BB102" t="str">
        <f>IF(BA102="","",IFERROR(INDEX(wFirst,33)&amp;"",""))</f>
        <v>Poppy</v>
      </c>
      <c r="BC102" t="str">
        <f>IF(BA102="","",IFERROR(INDEX(wClass,33)&amp;"",""))</f>
        <v>11S/Sc2</v>
      </c>
      <c r="BD102">
        <f>IF(BA102="","",IFERROR(INDEX(wKsBand,33)+0,""))</f>
        <v>5</v>
      </c>
      <c r="BE102">
        <f>IF(BA102="","",IFERROR(INDEX(wTests,33)+0,0))</f>
        <v>5</v>
      </c>
      <c r="BF102">
        <f>IF(BA102="","",IFERROR(INDEX(wMean,33)+0,""))</f>
        <v>5.8</v>
      </c>
      <c r="BG102">
        <f>IF(BA102="","",IFERROR(INDEX(wVs,33)+0,""))</f>
        <v>0.847301587301588</v>
      </c>
      <c r="BH102" t="str">
        <f>IF(OR(BA102="",wLatest=""),"",IFERROR(INDEX(wData,33,MATCH(wLatest&amp;CHAR(10)&amp;"Stanine",wHdr,0))+0,""))</f>
        <v/>
      </c>
      <c r="BI102" t="str">
        <f>IF(BA102="","",IF(AND(ISNUMBER(BG102),N(BE102)&gt;=WlMinTests,BG102&lt;=-WlGap),"Below expected for KS2",IF(AND(NOT(ISNUMBER(BD102)),ISNUMBER(BF102),N(BE102)&gt;=WlMinTests,BF102&lt;=WlLowMean),"Low results, no KS2 data","")))</f>
        <v/>
      </c>
      <c r="BJ102" t="str">
        <f>IF(BI102="","",IF(BI102="Below expected for KS2",BG102,100+BF102)+ROW()/1000000)</f>
        <v/>
      </c>
    </row>
    <row r="103">
      <c r="H103" t="str">
        <f>IFERROR(INDEX(tblY7[Class],ROWS(H$10:H103))&amp;"","")</f>
        <v>7B/Sc2</v>
      </c>
      <c r="I103" t="str">
        <f>IF(H103="","",IF(COUNTIF(H$10:H103,H103)=1,COUNTIF(H$10:H$609,"&lt;"&amp;H103)+1,""))</f>
        <v/>
      </c>
      <c r="J103" t="str">
        <f>IFERROR(INDEX(tblY8[Class],ROWS(J$10:J103))&amp;"","")</f>
        <v/>
      </c>
      <c r="K103" t="str">
        <f>IF(J103="","",IF(COUNTIF(J$10:J103,J103)=1,COUNTIF(J$10:J$609,"&lt;"&amp;J103)+1,""))</f>
        <v/>
      </c>
      <c r="L103" t="str">
        <f>IFERROR(INDEX(tblY9[Class],ROWS(L$10:L103))&amp;"","")</f>
        <v>9B/Sc2</v>
      </c>
      <c r="M103">
        <f>IF(L103="","",IF(COUNTIF(L$10:L103,L103)=1,COUNTIF(L$10:L$609,"&lt;"&amp;L103)+1,""))</f>
        <v>569</v>
      </c>
      <c r="N103" t="str">
        <f>IFERROR(INDEX(tblY10[Class],ROWS(N$10:N103))&amp;"","")</f>
        <v>10S/Sc4</v>
      </c>
      <c r="O103" t="str">
        <f>IF(N103="","",IF(COUNTIF(N$10:N103,N103)=1,COUNTIF(N$10:N$609,"&lt;"&amp;N103)+1,""))</f>
        <v/>
      </c>
      <c r="P103" t="str">
        <f>IFERROR(INDEX(tblY11[Class],ROWS(P$10:P103))&amp;"","")</f>
        <v>11S/Sc5</v>
      </c>
      <c r="Q103" t="str">
        <f>IF(P103="","",IF(COUNTIF(P$10:P103,P103)=1,COUNTIF(P$10:P$609,"&lt;"&amp;P103)+1,""))</f>
        <v/>
      </c>
      <c r="BA103" t="str">
        <f>IFERROR(INDEX(wLast,34)&amp;"","")</f>
        <v>Jackson</v>
      </c>
      <c r="BB103" t="str">
        <f>IF(BA103="","",IFERROR(INDEX(wFirst,34)&amp;"",""))</f>
        <v>Priya</v>
      </c>
      <c r="BC103" t="str">
        <f>IF(BA103="","",IFERROR(INDEX(wClass,34)&amp;"",""))</f>
        <v>11S/Sc2</v>
      </c>
      <c r="BD103">
        <f>IF(BA103="","",IFERROR(INDEX(wKsBand,34)+0,""))</f>
        <v>6</v>
      </c>
      <c r="BE103">
        <f>IF(BA103="","",IFERROR(INDEX(wTests,34)+0,0))</f>
        <v>6</v>
      </c>
      <c r="BF103">
        <f>IF(BA103="","",IFERROR(INDEX(wMean,34)+0,""))</f>
        <v>5.33333333333333</v>
      </c>
      <c r="BG103">
        <f>IF(BA103="","",IFERROR(INDEX(wVs,34)+0,""))</f>
        <v>-0.368228715728716</v>
      </c>
      <c r="BH103">
        <f>IF(OR(BA103="",wLatest=""),"",IFERROR(INDEX(wData,34,MATCH(wLatest&amp;CHAR(10)&amp;"Stanine",wHdr,0))+0,""))</f>
        <v>6</v>
      </c>
      <c r="BI103" t="str">
        <f>IF(BA103="","",IF(AND(ISNUMBER(BG103),N(BE103)&gt;=WlMinTests,BG103&lt;=-WlGap),"Below expected for KS2",IF(AND(NOT(ISNUMBER(BD103)),ISNUMBER(BF103),N(BE103)&gt;=WlMinTests,BF103&lt;=WlLowMean),"Low results, no KS2 data","")))</f>
        <v/>
      </c>
      <c r="BJ103" t="str">
        <f>IF(BI103="","",IF(BI103="Below expected for KS2",BG103,100+BF103)+ROW()/1000000)</f>
        <v/>
      </c>
    </row>
    <row r="104">
      <c r="H104" t="str">
        <f>IFERROR(INDEX(tblY7[Class],ROWS(H$10:H104))&amp;"","")</f>
        <v>7B/Sc2</v>
      </c>
      <c r="I104" t="str">
        <f>IF(H104="","",IF(COUNTIF(H$10:H104,H104)=1,COUNTIF(H$10:H$609,"&lt;"&amp;H104)+1,""))</f>
        <v/>
      </c>
      <c r="J104" t="str">
        <f>IFERROR(INDEX(tblY8[Class],ROWS(J$10:J104))&amp;"","")</f>
        <v/>
      </c>
      <c r="K104" t="str">
        <f>IF(J104="","",IF(COUNTIF(J$10:J104,J104)=1,COUNTIF(J$10:J$609,"&lt;"&amp;J104)+1,""))</f>
        <v/>
      </c>
      <c r="L104" t="str">
        <f>IFERROR(INDEX(tblY9[Class],ROWS(L$10:L104))&amp;"","")</f>
        <v>9B/Sc2</v>
      </c>
      <c r="M104" t="str">
        <f>IF(L104="","",IF(COUNTIF(L$10:L104,L104)=1,COUNTIF(L$10:L$609,"&lt;"&amp;L104)+1,""))</f>
        <v/>
      </c>
      <c r="N104" t="str">
        <f>IFERROR(INDEX(tblY10[Class],ROWS(N$10:N104))&amp;"","")</f>
        <v>10S/Sc4</v>
      </c>
      <c r="O104" t="str">
        <f>IF(N104="","",IF(COUNTIF(N$10:N104,N104)=1,COUNTIF(N$10:N$609,"&lt;"&amp;N104)+1,""))</f>
        <v/>
      </c>
      <c r="P104" t="str">
        <f>IFERROR(INDEX(tblY11[Class],ROWS(P$10:P104))&amp;"","")</f>
        <v>11S/Sc5</v>
      </c>
      <c r="Q104" t="str">
        <f>IF(P104="","",IF(COUNTIF(P$10:P104,P104)=1,COUNTIF(P$10:P$609,"&lt;"&amp;P104)+1,""))</f>
        <v/>
      </c>
      <c r="BA104" t="str">
        <f>IFERROR(INDEX(wLast,35)&amp;"","")</f>
        <v>Jones</v>
      </c>
      <c r="BB104" t="str">
        <f>IF(BA104="","",IFERROR(INDEX(wFirst,35)&amp;"",""))</f>
        <v>Seren</v>
      </c>
      <c r="BC104" t="str">
        <f>IF(BA104="","",IFERROR(INDEX(wClass,35)&amp;"",""))</f>
        <v>11S/Sc2</v>
      </c>
      <c r="BD104">
        <f>IF(BA104="","",IFERROR(INDEX(wKsBand,35)+0,""))</f>
        <v>6</v>
      </c>
      <c r="BE104">
        <f>IF(BA104="","",IFERROR(INDEX(wTests,35)+0,0))</f>
        <v>6</v>
      </c>
      <c r="BF104">
        <f>IF(BA104="","",IFERROR(INDEX(wMean,35)+0,""))</f>
        <v>6.66666666666667</v>
      </c>
      <c r="BG104">
        <f>IF(BA104="","",IFERROR(INDEX(wVs,35)+0,""))</f>
        <v>0.965104617604618</v>
      </c>
      <c r="BH104">
        <f>IF(OR(BA104="",wLatest=""),"",IFERROR(INDEX(wData,35,MATCH(wLatest&amp;CHAR(10)&amp;"Stanine",wHdr,0))+0,""))</f>
        <v>6</v>
      </c>
      <c r="BI104" t="str">
        <f>IF(BA104="","",IF(AND(ISNUMBER(BG104),N(BE104)&gt;=WlMinTests,BG104&lt;=-WlGap),"Below expected for KS2",IF(AND(NOT(ISNUMBER(BD104)),ISNUMBER(BF104),N(BE104)&gt;=WlMinTests,BF104&lt;=WlLowMean),"Low results, no KS2 data","")))</f>
        <v/>
      </c>
      <c r="BJ104" t="str">
        <f>IF(BI104="","",IF(BI104="Below expected for KS2",BG104,100+BF104)+ROW()/1000000)</f>
        <v/>
      </c>
    </row>
    <row r="105">
      <c r="H105" t="str">
        <f>IFERROR(INDEX(tblY7[Class],ROWS(H$10:H105))&amp;"","")</f>
        <v>7B/Sc2</v>
      </c>
      <c r="I105" t="str">
        <f>IF(H105="","",IF(COUNTIF(H$10:H105,H105)=1,COUNTIF(H$10:H$609,"&lt;"&amp;H105)+1,""))</f>
        <v/>
      </c>
      <c r="J105" t="str">
        <f>IFERROR(INDEX(tblY8[Class],ROWS(J$10:J105))&amp;"","")</f>
        <v/>
      </c>
      <c r="K105" t="str">
        <f>IF(J105="","",IF(COUNTIF(J$10:J105,J105)=1,COUNTIF(J$10:J$609,"&lt;"&amp;J105)+1,""))</f>
        <v/>
      </c>
      <c r="L105" t="str">
        <f>IFERROR(INDEX(tblY9[Class],ROWS(L$10:L105))&amp;"","")</f>
        <v>9B/Sc2</v>
      </c>
      <c r="M105" t="str">
        <f>IF(L105="","",IF(COUNTIF(L$10:L105,L105)=1,COUNTIF(L$10:L$609,"&lt;"&amp;L105)+1,""))</f>
        <v/>
      </c>
      <c r="N105" t="str">
        <f>IFERROR(INDEX(tblY10[Class],ROWS(N$10:N105))&amp;"","")</f>
        <v>10S/Sc4</v>
      </c>
      <c r="O105" t="str">
        <f>IF(N105="","",IF(COUNTIF(N$10:N105,N105)=1,COUNTIF(N$10:N$609,"&lt;"&amp;N105)+1,""))</f>
        <v/>
      </c>
      <c r="P105" t="str">
        <f>IFERROR(INDEX(tblY11[Class],ROWS(P$10:P105))&amp;"","")</f>
        <v>11S/Sc5</v>
      </c>
      <c r="Q105" t="str">
        <f>IF(P105="","",IF(COUNTIF(P$10:P105,P105)=1,COUNTIF(P$10:P$609,"&lt;"&amp;P105)+1,""))</f>
        <v/>
      </c>
      <c r="BA105" t="str">
        <f>IFERROR(INDEX(wLast,36)&amp;"","")</f>
        <v>Kelly</v>
      </c>
      <c r="BB105" t="str">
        <f>IF(BA105="","",IFERROR(INDEX(wFirst,36)&amp;"",""))</f>
        <v>Amara</v>
      </c>
      <c r="BC105" t="str">
        <f>IF(BA105="","",IFERROR(INDEX(wClass,36)&amp;"",""))</f>
        <v>11S/Sc2</v>
      </c>
      <c r="BD105">
        <f>IF(BA105="","",IFERROR(INDEX(wKsBand,36)+0,""))</f>
        <v>7</v>
      </c>
      <c r="BE105">
        <f>IF(BA105="","",IFERROR(INDEX(wTests,36)+0,0))</f>
        <v>6</v>
      </c>
      <c r="BF105">
        <f>IF(BA105="","",IFERROR(INDEX(wMean,36)+0,""))</f>
        <v>7</v>
      </c>
      <c r="BG105">
        <f>IF(BA105="","",IFERROR(INDEX(wVs,36)+0,""))</f>
        <v>0.549574314574315</v>
      </c>
      <c r="BH105">
        <f>IF(OR(BA105="",wLatest=""),"",IFERROR(INDEX(wData,36,MATCH(wLatest&amp;CHAR(10)&amp;"Stanine",wHdr,0))+0,""))</f>
        <v>7</v>
      </c>
      <c r="BI105" t="str">
        <f>IF(BA105="","",IF(AND(ISNUMBER(BG105),N(BE105)&gt;=WlMinTests,BG105&lt;=-WlGap),"Below expected for KS2",IF(AND(NOT(ISNUMBER(BD105)),ISNUMBER(BF105),N(BE105)&gt;=WlMinTests,BF105&lt;=WlLowMean),"Low results, no KS2 data","")))</f>
        <v/>
      </c>
      <c r="BJ105" t="str">
        <f>IF(BI105="","",IF(BI105="Below expected for KS2",BG105,100+BF105)+ROW()/1000000)</f>
        <v/>
      </c>
    </row>
    <row r="106">
      <c r="H106" t="str">
        <f>IFERROR(INDEX(tblY7[Class],ROWS(H$10:H106))&amp;"","")</f>
        <v>7B/Sc2</v>
      </c>
      <c r="I106" t="str">
        <f>IF(H106="","",IF(COUNTIF(H$10:H106,H106)=1,COUNTIF(H$10:H$609,"&lt;"&amp;H106)+1,""))</f>
        <v/>
      </c>
      <c r="J106" t="str">
        <f>IFERROR(INDEX(tblY8[Class],ROWS(J$10:J106))&amp;"","")</f>
        <v/>
      </c>
      <c r="K106" t="str">
        <f>IF(J106="","",IF(COUNTIF(J$10:J106,J106)=1,COUNTIF(J$10:J$609,"&lt;"&amp;J106)+1,""))</f>
        <v/>
      </c>
      <c r="L106" t="str">
        <f>IFERROR(INDEX(tblY9[Class],ROWS(L$10:L106))&amp;"","")</f>
        <v>9B/Sc2</v>
      </c>
      <c r="M106" t="str">
        <f>IF(L106="","",IF(COUNTIF(L$10:L106,L106)=1,COUNTIF(L$10:L$609,"&lt;"&amp;L106)+1,""))</f>
        <v/>
      </c>
      <c r="N106" t="str">
        <f>IFERROR(INDEX(tblY10[Class],ROWS(N$10:N106))&amp;"","")</f>
        <v>10S/Sc4</v>
      </c>
      <c r="O106" t="str">
        <f>IF(N106="","",IF(COUNTIF(N$10:N106,N106)=1,COUNTIF(N$10:N$609,"&lt;"&amp;N106)+1,""))</f>
        <v/>
      </c>
      <c r="P106" t="str">
        <f>IFERROR(INDEX(tblY11[Class],ROWS(P$10:P106))&amp;"","")</f>
        <v>11S/Sc5</v>
      </c>
      <c r="Q106" t="str">
        <f>IF(P106="","",IF(COUNTIF(P$10:P106,P106)=1,COUNTIF(P$10:P$609,"&lt;"&amp;P106)+1,""))</f>
        <v/>
      </c>
      <c r="BA106" t="str">
        <f>IFERROR(INDEX(wLast,37)&amp;"","")</f>
        <v>Kelly</v>
      </c>
      <c r="BB106" t="str">
        <f>IF(BA106="","",IFERROR(INDEX(wFirst,37)&amp;"",""))</f>
        <v>Jacob</v>
      </c>
      <c r="BC106" t="str">
        <f>IF(BA106="","",IFERROR(INDEX(wClass,37)&amp;"",""))</f>
        <v>11S/Sc2</v>
      </c>
      <c r="BD106">
        <f>IF(BA106="","",IFERROR(INDEX(wKsBand,37)+0,""))</f>
        <v>6</v>
      </c>
      <c r="BE106">
        <f>IF(BA106="","",IFERROR(INDEX(wTests,37)+0,0))</f>
        <v>6</v>
      </c>
      <c r="BF106">
        <f>IF(BA106="","",IFERROR(INDEX(wMean,37)+0,""))</f>
        <v>4.16666666666667</v>
      </c>
      <c r="BG106">
        <f>IF(BA106="","",IFERROR(INDEX(wVs,37)+0,""))</f>
        <v>-1.53489538239538</v>
      </c>
      <c r="BH106">
        <f>IF(OR(BA106="",wLatest=""),"",IFERROR(INDEX(wData,37,MATCH(wLatest&amp;CHAR(10)&amp;"Stanine",wHdr,0))+0,""))</f>
        <v>5</v>
      </c>
      <c r="BI106" t="str">
        <f>IF(BA106="","",IF(AND(ISNUMBER(BG106),N(BE106)&gt;=WlMinTests,BG106&lt;=-WlGap),"Below expected for KS2",IF(AND(NOT(ISNUMBER(BD106)),ISNUMBER(BF106),N(BE106)&gt;=WlMinTests,BF106&lt;=WlLowMean),"Low results, no KS2 data","")))</f>
        <v>Below expected for KS2</v>
      </c>
      <c r="BJ106">
        <f>IF(BI106="","",IF(BI106="Below expected for KS2",BG106,100+BF106)+ROW()/1000000)</f>
        <v>-1.53478938239538</v>
      </c>
    </row>
    <row r="107">
      <c r="H107" t="str">
        <f>IFERROR(INDEX(tblY7[Class],ROWS(H$10:H107))&amp;"","")</f>
        <v>7B/Sc2</v>
      </c>
      <c r="I107" t="str">
        <f>IF(H107="","",IF(COUNTIF(H$10:H107,H107)=1,COUNTIF(H$10:H$609,"&lt;"&amp;H107)+1,""))</f>
        <v/>
      </c>
      <c r="J107" t="str">
        <f>IFERROR(INDEX(tblY8[Class],ROWS(J$10:J107))&amp;"","")</f>
        <v/>
      </c>
      <c r="K107" t="str">
        <f>IF(J107="","",IF(COUNTIF(J$10:J107,J107)=1,COUNTIF(J$10:J$609,"&lt;"&amp;J107)+1,""))</f>
        <v/>
      </c>
      <c r="L107" t="str">
        <f>IFERROR(INDEX(tblY9[Class],ROWS(L$10:L107))&amp;"","")</f>
        <v>9B/Sc2</v>
      </c>
      <c r="M107" t="str">
        <f>IF(L107="","",IF(COUNTIF(L$10:L107,L107)=1,COUNTIF(L$10:L$609,"&lt;"&amp;L107)+1,""))</f>
        <v/>
      </c>
      <c r="N107" t="str">
        <f>IFERROR(INDEX(tblY10[Class],ROWS(N$10:N107))&amp;"","")</f>
        <v>10S/Sc4</v>
      </c>
      <c r="O107" t="str">
        <f>IF(N107="","",IF(COUNTIF(N$10:N107,N107)=1,COUNTIF(N$10:N$609,"&lt;"&amp;N107)+1,""))</f>
        <v/>
      </c>
      <c r="P107" t="str">
        <f>IFERROR(INDEX(tblY11[Class],ROWS(P$10:P107))&amp;"","")</f>
        <v>11S/Sc5</v>
      </c>
      <c r="Q107" t="str">
        <f>IF(P107="","",IF(COUNTIF(P$10:P107,P107)=1,COUNTIF(P$10:P$609,"&lt;"&amp;P107)+1,""))</f>
        <v/>
      </c>
      <c r="BA107" t="str">
        <f>IFERROR(INDEX(wLast,38)&amp;"","")</f>
        <v>Kowalski</v>
      </c>
      <c r="BB107" t="str">
        <f>IF(BA107="","",IFERROR(INDEX(wFirst,38)&amp;"",""))</f>
        <v>Lewis</v>
      </c>
      <c r="BC107" t="str">
        <f>IF(BA107="","",IFERROR(INDEX(wClass,38)&amp;"",""))</f>
        <v>11S/Sc2</v>
      </c>
      <c r="BD107">
        <f>IF(BA107="","",IFERROR(INDEX(wKsBand,38)+0,""))</f>
        <v>4</v>
      </c>
      <c r="BE107">
        <f>IF(BA107="","",IFERROR(INDEX(wTests,38)+0,0))</f>
        <v>6</v>
      </c>
      <c r="BF107">
        <f>IF(BA107="","",IFERROR(INDEX(wMean,38)+0,""))</f>
        <v>4</v>
      </c>
      <c r="BG107">
        <f>IF(BA107="","",IFERROR(INDEX(wVs,38)+0,""))</f>
        <v>-0.203834776334776</v>
      </c>
      <c r="BH107">
        <f>IF(OR(BA107="",wLatest=""),"",IFERROR(INDEX(wData,38,MATCH(wLatest&amp;CHAR(10)&amp;"Stanine",wHdr,0))+0,""))</f>
        <v>5</v>
      </c>
      <c r="BI107" t="str">
        <f>IF(BA107="","",IF(AND(ISNUMBER(BG107),N(BE107)&gt;=WlMinTests,BG107&lt;=-WlGap),"Below expected for KS2",IF(AND(NOT(ISNUMBER(BD107)),ISNUMBER(BF107),N(BE107)&gt;=WlMinTests,BF107&lt;=WlLowMean),"Low results, no KS2 data","")))</f>
        <v/>
      </c>
      <c r="BJ107" t="str">
        <f>IF(BI107="","",IF(BI107="Below expected for KS2",BG107,100+BF107)+ROW()/1000000)</f>
        <v/>
      </c>
    </row>
    <row r="108">
      <c r="H108" t="str">
        <f>IFERROR(INDEX(tblY7[Class],ROWS(H$10:H108))&amp;"","")</f>
        <v>7B/Sc2</v>
      </c>
      <c r="I108" t="str">
        <f>IF(H108="","",IF(COUNTIF(H$10:H108,H108)=1,COUNTIF(H$10:H$609,"&lt;"&amp;H108)+1,""))</f>
        <v/>
      </c>
      <c r="J108" t="str">
        <f>IFERROR(INDEX(tblY8[Class],ROWS(J$10:J108))&amp;"","")</f>
        <v/>
      </c>
      <c r="K108" t="str">
        <f>IF(J108="","",IF(COUNTIF(J$10:J108,J108)=1,COUNTIF(J$10:J$609,"&lt;"&amp;J108)+1,""))</f>
        <v/>
      </c>
      <c r="L108" t="str">
        <f>IFERROR(INDEX(tblY9[Class],ROWS(L$10:L108))&amp;"","")</f>
        <v>9B/Sc2</v>
      </c>
      <c r="M108" t="str">
        <f>IF(L108="","",IF(COUNTIF(L$10:L108,L108)=1,COUNTIF(L$10:L$609,"&lt;"&amp;L108)+1,""))</f>
        <v/>
      </c>
      <c r="N108" t="str">
        <f>IFERROR(INDEX(tblY10[Class],ROWS(N$10:N108))&amp;"","")</f>
        <v>10S/Sc4</v>
      </c>
      <c r="O108" t="str">
        <f>IF(N108="","",IF(COUNTIF(N$10:N108,N108)=1,COUNTIF(N$10:N$609,"&lt;"&amp;N108)+1,""))</f>
        <v/>
      </c>
      <c r="P108" t="str">
        <f>IFERROR(INDEX(tblY11[Class],ROWS(P$10:P108))&amp;"","")</f>
        <v>11S/Sc5</v>
      </c>
      <c r="Q108" t="str">
        <f>IF(P108="","",IF(COUNTIF(P$10:P108,P108)=1,COUNTIF(P$10:P$609,"&lt;"&amp;P108)+1,""))</f>
        <v/>
      </c>
      <c r="BA108" t="str">
        <f>IFERROR(INDEX(wLast,39)&amp;"","")</f>
        <v>Morgan</v>
      </c>
      <c r="BB108" t="str">
        <f>IF(BA108="","",IFERROR(INDEX(wFirst,39)&amp;"",""))</f>
        <v>George</v>
      </c>
      <c r="BC108" t="str">
        <f>IF(BA108="","",IFERROR(INDEX(wClass,39)&amp;"",""))</f>
        <v>11S/Sc2</v>
      </c>
      <c r="BD108">
        <f>IF(BA108="","",IFERROR(INDEX(wKsBand,39)+0,""))</f>
        <v>6</v>
      </c>
      <c r="BE108">
        <f>IF(BA108="","",IFERROR(INDEX(wTests,39)+0,0))</f>
        <v>6</v>
      </c>
      <c r="BF108">
        <f>IF(BA108="","",IFERROR(INDEX(wMean,39)+0,""))</f>
        <v>5.33333333333333</v>
      </c>
      <c r="BG108">
        <f>IF(BA108="","",IFERROR(INDEX(wVs,39)+0,""))</f>
        <v>-0.368228715728716</v>
      </c>
      <c r="BH108">
        <f>IF(OR(BA108="",wLatest=""),"",IFERROR(INDEX(wData,39,MATCH(wLatest&amp;CHAR(10)&amp;"Stanine",wHdr,0))+0,""))</f>
        <v>5</v>
      </c>
      <c r="BI108" t="str">
        <f>IF(BA108="","",IF(AND(ISNUMBER(BG108),N(BE108)&gt;=WlMinTests,BG108&lt;=-WlGap),"Below expected for KS2",IF(AND(NOT(ISNUMBER(BD108)),ISNUMBER(BF108),N(BE108)&gt;=WlMinTests,BF108&lt;=WlLowMean),"Low results, no KS2 data","")))</f>
        <v/>
      </c>
      <c r="BJ108" t="str">
        <f>IF(BI108="","",IF(BI108="Below expected for KS2",BG108,100+BF108)+ROW()/1000000)</f>
        <v/>
      </c>
    </row>
    <row r="109">
      <c r="H109" t="str">
        <f>IFERROR(INDEX(tblY7[Class],ROWS(H$10:H109))&amp;"","")</f>
        <v>7B/Sc2</v>
      </c>
      <c r="I109" t="str">
        <f>IF(H109="","",IF(COUNTIF(H$10:H109,H109)=1,COUNTIF(H$10:H$609,"&lt;"&amp;H109)+1,""))</f>
        <v/>
      </c>
      <c r="J109" t="str">
        <f>IFERROR(INDEX(tblY8[Class],ROWS(J$10:J109))&amp;"","")</f>
        <v/>
      </c>
      <c r="K109" t="str">
        <f>IF(J109="","",IF(COUNTIF(J$10:J109,J109)=1,COUNTIF(J$10:J$609,"&lt;"&amp;J109)+1,""))</f>
        <v/>
      </c>
      <c r="L109" t="str">
        <f>IFERROR(INDEX(tblY9[Class],ROWS(L$10:L109))&amp;"","")</f>
        <v>9B/Sc2</v>
      </c>
      <c r="M109" t="str">
        <f>IF(L109="","",IF(COUNTIF(L$10:L109,L109)=1,COUNTIF(L$10:L$609,"&lt;"&amp;L109)+1,""))</f>
        <v/>
      </c>
      <c r="N109" t="str">
        <f>IFERROR(INDEX(tblY10[Class],ROWS(N$10:N109))&amp;"","")</f>
        <v>10S/Sc4</v>
      </c>
      <c r="O109" t="str">
        <f>IF(N109="","",IF(COUNTIF(N$10:N109,N109)=1,COUNTIF(N$10:N$609,"&lt;"&amp;N109)+1,""))</f>
        <v/>
      </c>
      <c r="P109" t="str">
        <f>IFERROR(INDEX(tblY11[Class],ROWS(P$10:P109))&amp;"","")</f>
        <v>11S/Sc5</v>
      </c>
      <c r="Q109" t="str">
        <f>IF(P109="","",IF(COUNTIF(P$10:P109,P109)=1,COUNTIF(P$10:P$609,"&lt;"&amp;P109)+1,""))</f>
        <v/>
      </c>
      <c r="BA109" t="str">
        <f>IFERROR(INDEX(wLast,40)&amp;"","")</f>
        <v>Morgan</v>
      </c>
      <c r="BB109" t="str">
        <f>IF(BA109="","",IFERROR(INDEX(wFirst,40)&amp;"",""))</f>
        <v>Noah</v>
      </c>
      <c r="BC109" t="str">
        <f>IF(BA109="","",IFERROR(INDEX(wClass,40)&amp;"",""))</f>
        <v>11S/Sc2</v>
      </c>
      <c r="BD109">
        <f>IF(BA109="","",IFERROR(INDEX(wKsBand,40)+0,""))</f>
        <v>4</v>
      </c>
      <c r="BE109">
        <f>IF(BA109="","",IFERROR(INDEX(wTests,40)+0,0))</f>
        <v>6</v>
      </c>
      <c r="BF109">
        <f>IF(BA109="","",IFERROR(INDEX(wMean,40)+0,""))</f>
        <v>4.5</v>
      </c>
      <c r="BG109">
        <f>IF(BA109="","",IFERROR(INDEX(wVs,40)+0,""))</f>
        <v>0.296165223665224</v>
      </c>
      <c r="BH109">
        <f>IF(OR(BA109="",wLatest=""),"",IFERROR(INDEX(wData,40,MATCH(wLatest&amp;CHAR(10)&amp;"Stanine",wHdr,0))+0,""))</f>
        <v>3</v>
      </c>
      <c r="BI109" t="str">
        <f>IF(BA109="","",IF(AND(ISNUMBER(BG109),N(BE109)&gt;=WlMinTests,BG109&lt;=-WlGap),"Below expected for KS2",IF(AND(NOT(ISNUMBER(BD109)),ISNUMBER(BF109),N(BE109)&gt;=WlMinTests,BF109&lt;=WlLowMean),"Low results, no KS2 data","")))</f>
        <v/>
      </c>
      <c r="BJ109" t="str">
        <f>IF(BI109="","",IF(BI109="Below expected for KS2",BG109,100+BF109)+ROW()/1000000)</f>
        <v/>
      </c>
    </row>
    <row r="110">
      <c r="H110" t="str">
        <f>IFERROR(INDEX(tblY7[Class],ROWS(H$10:H110))&amp;"","")</f>
        <v>7B/Sc2</v>
      </c>
      <c r="I110" t="str">
        <f>IF(H110="","",IF(COUNTIF(H$10:H110,H110)=1,COUNTIF(H$10:H$609,"&lt;"&amp;H110)+1,""))</f>
        <v/>
      </c>
      <c r="J110" t="str">
        <f>IFERROR(INDEX(tblY8[Class],ROWS(J$10:J110))&amp;"","")</f>
        <v/>
      </c>
      <c r="K110" t="str">
        <f>IF(J110="","",IF(COUNTIF(J$10:J110,J110)=1,COUNTIF(J$10:J$609,"&lt;"&amp;J110)+1,""))</f>
        <v/>
      </c>
      <c r="L110" t="str">
        <f>IFERROR(INDEX(tblY9[Class],ROWS(L$10:L110))&amp;"","")</f>
        <v>9B/Sc2</v>
      </c>
      <c r="M110" t="str">
        <f>IF(L110="","",IF(COUNTIF(L$10:L110,L110)=1,COUNTIF(L$10:L$609,"&lt;"&amp;L110)+1,""))</f>
        <v/>
      </c>
      <c r="N110" t="str">
        <f>IFERROR(INDEX(tblY10[Class],ROWS(N$10:N110))&amp;"","")</f>
        <v>10S/Sc4</v>
      </c>
      <c r="O110" t="str">
        <f>IF(N110="","",IF(COUNTIF(N$10:N110,N110)=1,COUNTIF(N$10:N$609,"&lt;"&amp;N110)+1,""))</f>
        <v/>
      </c>
      <c r="P110" t="str">
        <f>IFERROR(INDEX(tblY11[Class],ROWS(P$10:P110))&amp;"","")</f>
        <v>11S/Sc5</v>
      </c>
      <c r="Q110" t="str">
        <f>IF(P110="","",IF(COUNTIF(P$10:P110,P110)=1,COUNTIF(P$10:P$609,"&lt;"&amp;P110)+1,""))</f>
        <v/>
      </c>
      <c r="BA110" t="str">
        <f>IFERROR(INDEX(wLast,41)&amp;"","")</f>
        <v>Murphy</v>
      </c>
      <c r="BB110" t="str">
        <f>IF(BA110="","",IFERROR(INDEX(wFirst,41)&amp;"",""))</f>
        <v>Ella</v>
      </c>
      <c r="BC110" t="str">
        <f>IF(BA110="","",IFERROR(INDEX(wClass,41)&amp;"",""))</f>
        <v>11S/Sc2</v>
      </c>
      <c r="BD110">
        <f>IF(BA110="","",IFERROR(INDEX(wKsBand,41)+0,""))</f>
        <v>6</v>
      </c>
      <c r="BE110">
        <f>IF(BA110="","",IFERROR(INDEX(wTests,41)+0,0))</f>
        <v>5</v>
      </c>
      <c r="BF110">
        <f>IF(BA110="","",IFERROR(INDEX(wMean,41)+0,""))</f>
        <v>4</v>
      </c>
      <c r="BG110">
        <f>IF(BA110="","",IFERROR(INDEX(wVs,41)+0,""))</f>
        <v>-1.70156204906205</v>
      </c>
      <c r="BH110">
        <f>IF(OR(BA110="",wLatest=""),"",IFERROR(INDEX(wData,41,MATCH(wLatest&amp;CHAR(10)&amp;"Stanine",wHdr,0))+0,""))</f>
        <v>4</v>
      </c>
      <c r="BI110" t="str">
        <f>IF(BA110="","",IF(AND(ISNUMBER(BG110),N(BE110)&gt;=WlMinTests,BG110&lt;=-WlGap),"Below expected for KS2",IF(AND(NOT(ISNUMBER(BD110)),ISNUMBER(BF110),N(BE110)&gt;=WlMinTests,BF110&lt;=WlLowMean),"Low results, no KS2 data","")))</f>
        <v>Below expected for KS2</v>
      </c>
      <c r="BJ110">
        <f>IF(BI110="","",IF(BI110="Below expected for KS2",BG110,100+BF110)+ROW()/1000000)</f>
        <v>-1.70145204906205</v>
      </c>
    </row>
    <row r="111">
      <c r="H111" t="str">
        <f>IFERROR(INDEX(tblY7[Class],ROWS(H$10:H111))&amp;"","")</f>
        <v>7B/Sc2</v>
      </c>
      <c r="I111" t="str">
        <f>IF(H111="","",IF(COUNTIF(H$10:H111,H111)=1,COUNTIF(H$10:H$609,"&lt;"&amp;H111)+1,""))</f>
        <v/>
      </c>
      <c r="J111" t="str">
        <f>IFERROR(INDEX(tblY8[Class],ROWS(J$10:J111))&amp;"","")</f>
        <v/>
      </c>
      <c r="K111" t="str">
        <f>IF(J111="","",IF(COUNTIF(J$10:J111,J111)=1,COUNTIF(J$10:J$609,"&lt;"&amp;J111)+1,""))</f>
        <v/>
      </c>
      <c r="L111" t="str">
        <f>IFERROR(INDEX(tblY9[Class],ROWS(L$10:L111))&amp;"","")</f>
        <v>9B/Sc2</v>
      </c>
      <c r="M111" t="str">
        <f>IF(L111="","",IF(COUNTIF(L$10:L111,L111)=1,COUNTIF(L$10:L$609,"&lt;"&amp;L111)+1,""))</f>
        <v/>
      </c>
      <c r="N111" t="str">
        <f>IFERROR(INDEX(tblY10[Class],ROWS(N$10:N111))&amp;"","")</f>
        <v>10S/Sc4</v>
      </c>
      <c r="O111" t="str">
        <f>IF(N111="","",IF(COUNTIF(N$10:N111,N111)=1,COUNTIF(N$10:N$609,"&lt;"&amp;N111)+1,""))</f>
        <v/>
      </c>
      <c r="P111" t="str">
        <f>IFERROR(INDEX(tblY11[Class],ROWS(P$10:P111))&amp;"","")</f>
        <v>Science Support</v>
      </c>
      <c r="Q111">
        <f>IF(P111="","",IF(COUNTIF(P$10:P111,P111)=1,COUNTIF(P$10:P$609,"&lt;"&amp;P111)+1,""))</f>
        <v>596</v>
      </c>
      <c r="BA111" t="str">
        <f>IFERROR(INDEX(wLast,42)&amp;"","")</f>
        <v>Nowak</v>
      </c>
      <c r="BB111" t="str">
        <f>IF(BA111="","",IFERROR(INDEX(wFirst,42)&amp;"",""))</f>
        <v>Megan</v>
      </c>
      <c r="BC111" t="str">
        <f>IF(BA111="","",IFERROR(INDEX(wClass,42)&amp;"",""))</f>
        <v>11S/Sc2</v>
      </c>
      <c r="BD111">
        <f>IF(BA111="","",IFERROR(INDEX(wKsBand,42)+0,""))</f>
        <v>7</v>
      </c>
      <c r="BE111">
        <f>IF(BA111="","",IFERROR(INDEX(wTests,42)+0,0))</f>
        <v>5</v>
      </c>
      <c r="BF111">
        <f>IF(BA111="","",IFERROR(INDEX(wMean,42)+0,""))</f>
        <v>6.2</v>
      </c>
      <c r="BG111">
        <f>IF(BA111="","",IFERROR(INDEX(wVs,42)+0,""))</f>
        <v>-0.250425685425685</v>
      </c>
      <c r="BH111" t="str">
        <f>IF(OR(BA111="",wLatest=""),"",IFERROR(INDEX(wData,42,MATCH(wLatest&amp;CHAR(10)&amp;"Stanine",wHdr,0))+0,""))</f>
        <v/>
      </c>
      <c r="BI111" t="str">
        <f>IF(BA111="","",IF(AND(ISNUMBER(BG111),N(BE111)&gt;=WlMinTests,BG111&lt;=-WlGap),"Below expected for KS2",IF(AND(NOT(ISNUMBER(BD111)),ISNUMBER(BF111),N(BE111)&gt;=WlMinTests,BF111&lt;=WlLowMean),"Low results, no KS2 data","")))</f>
        <v/>
      </c>
      <c r="BJ111" t="str">
        <f>IF(BI111="","",IF(BI111="Below expected for KS2",BG111,100+BF111)+ROW()/1000000)</f>
        <v/>
      </c>
    </row>
    <row r="112">
      <c r="H112" t="str">
        <f>IFERROR(INDEX(tblY7[Class],ROWS(H$10:H112))&amp;"","")</f>
        <v>7B/Sc2</v>
      </c>
      <c r="I112" t="str">
        <f>IF(H112="","",IF(COUNTIF(H$10:H112,H112)=1,COUNTIF(H$10:H$609,"&lt;"&amp;H112)+1,""))</f>
        <v/>
      </c>
      <c r="J112" t="str">
        <f>IFERROR(INDEX(tblY8[Class],ROWS(J$10:J112))&amp;"","")</f>
        <v/>
      </c>
      <c r="K112" t="str">
        <f>IF(J112="","",IF(COUNTIF(J$10:J112,J112)=1,COUNTIF(J$10:J$609,"&lt;"&amp;J112)+1,""))</f>
        <v/>
      </c>
      <c r="L112" t="str">
        <f>IFERROR(INDEX(tblY9[Class],ROWS(L$10:L112))&amp;"","")</f>
        <v>9B/Sc2</v>
      </c>
      <c r="M112" t="str">
        <f>IF(L112="","",IF(COUNTIF(L$10:L112,L112)=1,COUNTIF(L$10:L$609,"&lt;"&amp;L112)+1,""))</f>
        <v/>
      </c>
      <c r="N112" t="str">
        <f>IFERROR(INDEX(tblY10[Class],ROWS(N$10:N112))&amp;"","")</f>
        <v>10S/Sc5</v>
      </c>
      <c r="O112">
        <f>IF(N112="","",IF(COUNTIF(N$10:N112,N112)=1,COUNTIF(N$10:N$609,"&lt;"&amp;N112)+1,""))</f>
        <v>586</v>
      </c>
      <c r="P112" t="str">
        <f>IFERROR(INDEX(tblY11[Class],ROWS(P$10:P112))&amp;"","")</f>
        <v>Science Support</v>
      </c>
      <c r="Q112" t="str">
        <f>IF(P112="","",IF(COUNTIF(P$10:P112,P112)=1,COUNTIF(P$10:P$609,"&lt;"&amp;P112)+1,""))</f>
        <v/>
      </c>
      <c r="BA112" t="str">
        <f>IFERROR(INDEX(wLast,43)&amp;"","")</f>
        <v>Parker</v>
      </c>
      <c r="BB112" t="str">
        <f>IF(BA112="","",IFERROR(INDEX(wFirst,43)&amp;"",""))</f>
        <v>Lily</v>
      </c>
      <c r="BC112" t="str">
        <f>IF(BA112="","",IFERROR(INDEX(wClass,43)&amp;"",""))</f>
        <v>11S/Sc2</v>
      </c>
      <c r="BD112">
        <f>IF(BA112="","",IFERROR(INDEX(wKsBand,43)+0,""))</f>
        <v>7</v>
      </c>
      <c r="BE112">
        <f>IF(BA112="","",IFERROR(INDEX(wTests,43)+0,0))</f>
        <v>6</v>
      </c>
      <c r="BF112">
        <f>IF(BA112="","",IFERROR(INDEX(wMean,43)+0,""))</f>
        <v>6.33333333333333</v>
      </c>
      <c r="BG112">
        <f>IF(BA112="","",IFERROR(INDEX(wVs,43)+0,""))</f>
        <v>-0.117092352092352</v>
      </c>
      <c r="BH112">
        <f>IF(OR(BA112="",wLatest=""),"",IFERROR(INDEX(wData,43,MATCH(wLatest&amp;CHAR(10)&amp;"Stanine",wHdr,0))+0,""))</f>
        <v>5</v>
      </c>
      <c r="BI112" t="str">
        <f>IF(BA112="","",IF(AND(ISNUMBER(BG112),N(BE112)&gt;=WlMinTests,BG112&lt;=-WlGap),"Below expected for KS2",IF(AND(NOT(ISNUMBER(BD112)),ISNUMBER(BF112),N(BE112)&gt;=WlMinTests,BF112&lt;=WlLowMean),"Low results, no KS2 data","")))</f>
        <v/>
      </c>
      <c r="BJ112" t="str">
        <f>IF(BI112="","",IF(BI112="Below expected for KS2",BG112,100+BF112)+ROW()/1000000)</f>
        <v/>
      </c>
    </row>
    <row r="113">
      <c r="H113" t="str">
        <f>IFERROR(INDEX(tblY7[Class],ROWS(H$10:H113))&amp;"","")</f>
        <v>7B/Sc2</v>
      </c>
      <c r="I113" t="str">
        <f>IF(H113="","",IF(COUNTIF(H$10:H113,H113)=1,COUNTIF(H$10:H$609,"&lt;"&amp;H113)+1,""))</f>
        <v/>
      </c>
      <c r="J113" t="str">
        <f>IFERROR(INDEX(tblY8[Class],ROWS(J$10:J113))&amp;"","")</f>
        <v/>
      </c>
      <c r="K113" t="str">
        <f>IF(J113="","",IF(COUNTIF(J$10:J113,J113)=1,COUNTIF(J$10:J$609,"&lt;"&amp;J113)+1,""))</f>
        <v/>
      </c>
      <c r="L113" t="str">
        <f>IFERROR(INDEX(tblY9[Class],ROWS(L$10:L113))&amp;"","")</f>
        <v>9B/Sc2</v>
      </c>
      <c r="M113" t="str">
        <f>IF(L113="","",IF(COUNTIF(L$10:L113,L113)=1,COUNTIF(L$10:L$609,"&lt;"&amp;L113)+1,""))</f>
        <v/>
      </c>
      <c r="N113" t="str">
        <f>IFERROR(INDEX(tblY10[Class],ROWS(N$10:N113))&amp;"","")</f>
        <v>10S/Sc5</v>
      </c>
      <c r="O113" t="str">
        <f>IF(N113="","",IF(COUNTIF(N$10:N113,N113)=1,COUNTIF(N$10:N$609,"&lt;"&amp;N113)+1,""))</f>
        <v/>
      </c>
      <c r="P113" t="str">
        <f>IFERROR(INDEX(tblY11[Class],ROWS(P$10:P113))&amp;"","")</f>
        <v>Science Support</v>
      </c>
      <c r="Q113" t="str">
        <f>IF(P113="","",IF(COUNTIF(P$10:P113,P113)=1,COUNTIF(P$10:P$609,"&lt;"&amp;P113)+1,""))</f>
        <v/>
      </c>
      <c r="BA113" t="str">
        <f>IFERROR(INDEX(wLast,44)&amp;"","")</f>
        <v>Pearson</v>
      </c>
      <c r="BB113" t="str">
        <f>IF(BA113="","",IFERROR(INDEX(wFirst,44)&amp;"",""))</f>
        <v>Ivy</v>
      </c>
      <c r="BC113" t="str">
        <f>IF(BA113="","",IFERROR(INDEX(wClass,44)&amp;"",""))</f>
        <v>11S/Sc2</v>
      </c>
      <c r="BD113">
        <f>IF(BA113="","",IFERROR(INDEX(wKsBand,44)+0,""))</f>
        <v>3</v>
      </c>
      <c r="BE113">
        <f>IF(BA113="","",IFERROR(INDEX(wTests,44)+0,0))</f>
        <v>6</v>
      </c>
      <c r="BF113">
        <f>IF(BA113="","",IFERROR(INDEX(wMean,44)+0,""))</f>
        <v>3.16666666666667</v>
      </c>
      <c r="BG113">
        <f>IF(BA113="","",IFERROR(INDEX(wVs,44)+0,""))</f>
        <v>-0.288304473304473</v>
      </c>
      <c r="BH113">
        <f>IF(OR(BA113="",wLatest=""),"",IFERROR(INDEX(wData,44,MATCH(wLatest&amp;CHAR(10)&amp;"Stanine",wHdr,0))+0,""))</f>
        <v>3</v>
      </c>
      <c r="BI113" t="str">
        <f>IF(BA113="","",IF(AND(ISNUMBER(BG113),N(BE113)&gt;=WlMinTests,BG113&lt;=-WlGap),"Below expected for KS2",IF(AND(NOT(ISNUMBER(BD113)),ISNUMBER(BF113),N(BE113)&gt;=WlMinTests,BF113&lt;=WlLowMean),"Low results, no KS2 data","")))</f>
        <v/>
      </c>
      <c r="BJ113" t="str">
        <f>IF(BI113="","",IF(BI113="Below expected for KS2",BG113,100+BF113)+ROW()/1000000)</f>
        <v/>
      </c>
    </row>
    <row r="114">
      <c r="H114" t="str">
        <f>IFERROR(INDEX(tblY7[Class],ROWS(H$10:H114))&amp;"","")</f>
        <v>7B/Sc2</v>
      </c>
      <c r="I114" t="str">
        <f>IF(H114="","",IF(COUNTIF(H$10:H114,H114)=1,COUNTIF(H$10:H$609,"&lt;"&amp;H114)+1,""))</f>
        <v/>
      </c>
      <c r="J114" t="str">
        <f>IFERROR(INDEX(tblY8[Class],ROWS(J$10:J114))&amp;"","")</f>
        <v/>
      </c>
      <c r="K114" t="str">
        <f>IF(J114="","",IF(COUNTIF(J$10:J114,J114)=1,COUNTIF(J$10:J$609,"&lt;"&amp;J114)+1,""))</f>
        <v/>
      </c>
      <c r="L114" t="str">
        <f>IFERROR(INDEX(tblY9[Class],ROWS(L$10:L114))&amp;"","")</f>
        <v>9B/Sc2</v>
      </c>
      <c r="M114" t="str">
        <f>IF(L114="","",IF(COUNTIF(L$10:L114,L114)=1,COUNTIF(L$10:L$609,"&lt;"&amp;L114)+1,""))</f>
        <v/>
      </c>
      <c r="N114" t="str">
        <f>IFERROR(INDEX(tblY10[Class],ROWS(N$10:N114))&amp;"","")</f>
        <v>10S/Sc5</v>
      </c>
      <c r="O114" t="str">
        <f>IF(N114="","",IF(COUNTIF(N$10:N114,N114)=1,COUNTIF(N$10:N$609,"&lt;"&amp;N114)+1,""))</f>
        <v/>
      </c>
      <c r="P114" t="str">
        <f>IFERROR(INDEX(tblY11[Class],ROWS(P$10:P114))&amp;"","")</f>
        <v>Science Support</v>
      </c>
      <c r="Q114" t="str">
        <f>IF(P114="","",IF(COUNTIF(P$10:P114,P114)=1,COUNTIF(P$10:P$609,"&lt;"&amp;P114)+1,""))</f>
        <v/>
      </c>
      <c r="BA114" t="str">
        <f>IFERROR(INDEX(wLast,45)&amp;"","")</f>
        <v>Price</v>
      </c>
      <c r="BB114" t="str">
        <f>IF(BA114="","",IFERROR(INDEX(wFirst,45)&amp;"",""))</f>
        <v>Oliver</v>
      </c>
      <c r="BC114" t="str">
        <f>IF(BA114="","",IFERROR(INDEX(wClass,45)&amp;"",""))</f>
        <v>11S/Sc2</v>
      </c>
      <c r="BD114">
        <f>IF(BA114="","",IFERROR(INDEX(wKsBand,45)+0,""))</f>
        <v>8</v>
      </c>
      <c r="BE114">
        <f>IF(BA114="","",IFERROR(INDEX(wTests,45)+0,0))</f>
        <v>6</v>
      </c>
      <c r="BF114">
        <f>IF(BA114="","",IFERROR(INDEX(wMean,45)+0,""))</f>
        <v>4.83333333333333</v>
      </c>
      <c r="BG114">
        <f>IF(BA114="","",IFERROR(INDEX(wVs,45)+0,""))</f>
        <v>-2.36595598845599</v>
      </c>
      <c r="BH114">
        <f>IF(OR(BA114="",wLatest=""),"",IFERROR(INDEX(wData,45,MATCH(wLatest&amp;CHAR(10)&amp;"Stanine",wHdr,0))+0,""))</f>
        <v>6</v>
      </c>
      <c r="BI114" t="str">
        <f>IF(BA114="","",IF(AND(ISNUMBER(BG114),N(BE114)&gt;=WlMinTests,BG114&lt;=-WlGap),"Below expected for KS2",IF(AND(NOT(ISNUMBER(BD114)),ISNUMBER(BF114),N(BE114)&gt;=WlMinTests,BF114&lt;=WlLowMean),"Low results, no KS2 data","")))</f>
        <v>Below expected for KS2</v>
      </c>
      <c r="BJ114">
        <f>IF(BI114="","",IF(BI114="Below expected for KS2",BG114,100+BF114)+ROW()/1000000)</f>
        <v>-2.36584198845599</v>
      </c>
    </row>
    <row r="115">
      <c r="H115" t="str">
        <f>IFERROR(INDEX(tblY7[Class],ROWS(H$10:H115))&amp;"","")</f>
        <v>7B/Sc2</v>
      </c>
      <c r="I115" t="str">
        <f>IF(H115="","",IF(COUNTIF(H$10:H115,H115)=1,COUNTIF(H$10:H$609,"&lt;"&amp;H115)+1,""))</f>
        <v/>
      </c>
      <c r="J115" t="str">
        <f>IFERROR(INDEX(tblY8[Class],ROWS(J$10:J115))&amp;"","")</f>
        <v/>
      </c>
      <c r="K115" t="str">
        <f>IF(J115="","",IF(COUNTIF(J$10:J115,J115)=1,COUNTIF(J$10:J$609,"&lt;"&amp;J115)+1,""))</f>
        <v/>
      </c>
      <c r="L115" t="str">
        <f>IFERROR(INDEX(tblY9[Class],ROWS(L$10:L115))&amp;"","")</f>
        <v>9B/Sc2</v>
      </c>
      <c r="M115" t="str">
        <f>IF(L115="","",IF(COUNTIF(L$10:L115,L115)=1,COUNTIF(L$10:L$609,"&lt;"&amp;L115)+1,""))</f>
        <v/>
      </c>
      <c r="N115" t="str">
        <f>IFERROR(INDEX(tblY10[Class],ROWS(N$10:N115))&amp;"","")</f>
        <v>10S/Sc5</v>
      </c>
      <c r="O115" t="str">
        <f>IF(N115="","",IF(COUNTIF(N$10:N115,N115)=1,COUNTIF(N$10:N$609,"&lt;"&amp;N115)+1,""))</f>
        <v/>
      </c>
      <c r="P115" t="str">
        <f>IFERROR(INDEX(tblY11[Class],ROWS(P$10:P115))&amp;"","")</f>
        <v>Science Support</v>
      </c>
      <c r="Q115" t="str">
        <f>IF(P115="","",IF(COUNTIF(P$10:P115,P115)=1,COUNTIF(P$10:P$609,"&lt;"&amp;P115)+1,""))</f>
        <v/>
      </c>
      <c r="BA115" t="str">
        <f>IFERROR(INDEX(wLast,46)&amp;"","")</f>
        <v>Shaw</v>
      </c>
      <c r="BB115" t="str">
        <f>IF(BA115="","",IFERROR(INDEX(wFirst,46)&amp;"",""))</f>
        <v>Arjun</v>
      </c>
      <c r="BC115" t="str">
        <f>IF(BA115="","",IFERROR(INDEX(wClass,46)&amp;"",""))</f>
        <v>11S/Sc2</v>
      </c>
      <c r="BD115">
        <f>IF(BA115="","",IFERROR(INDEX(wKsBand,46)+0,""))</f>
        <v>6</v>
      </c>
      <c r="BE115">
        <f>IF(BA115="","",IFERROR(INDEX(wTests,46)+0,0))</f>
        <v>6</v>
      </c>
      <c r="BF115">
        <f>IF(BA115="","",IFERROR(INDEX(wMean,46)+0,""))</f>
        <v>5.83333333333333</v>
      </c>
      <c r="BG115">
        <f>IF(BA115="","",IFERROR(INDEX(wVs,46)+0,""))</f>
        <v>0.131771284271284</v>
      </c>
      <c r="BH115">
        <f>IF(OR(BA115="",wLatest=""),"",IFERROR(INDEX(wData,46,MATCH(wLatest&amp;CHAR(10)&amp;"Stanine",wHdr,0))+0,""))</f>
        <v>5</v>
      </c>
      <c r="BI115" t="str">
        <f>IF(BA115="","",IF(AND(ISNUMBER(BG115),N(BE115)&gt;=WlMinTests,BG115&lt;=-WlGap),"Below expected for KS2",IF(AND(NOT(ISNUMBER(BD115)),ISNUMBER(BF115),N(BE115)&gt;=WlMinTests,BF115&lt;=WlLowMean),"Low results, no KS2 data","")))</f>
        <v/>
      </c>
      <c r="BJ115" t="str">
        <f>IF(BI115="","",IF(BI115="Below expected for KS2",BG115,100+BF115)+ROW()/1000000)</f>
        <v/>
      </c>
    </row>
    <row r="116">
      <c r="H116" t="str">
        <f>IFERROR(INDEX(tblY7[Class],ROWS(H$10:H116))&amp;"","")</f>
        <v>7B/Sc2</v>
      </c>
      <c r="I116" t="str">
        <f>IF(H116="","",IF(COUNTIF(H$10:H116,H116)=1,COUNTIF(H$10:H$609,"&lt;"&amp;H116)+1,""))</f>
        <v/>
      </c>
      <c r="J116" t="str">
        <f>IFERROR(INDEX(tblY8[Class],ROWS(J$10:J116))&amp;"","")</f>
        <v/>
      </c>
      <c r="K116" t="str">
        <f>IF(J116="","",IF(COUNTIF(J$10:J116,J116)=1,COUNTIF(J$10:J$609,"&lt;"&amp;J116)+1,""))</f>
        <v/>
      </c>
      <c r="L116" t="str">
        <f>IFERROR(INDEX(tblY9[Class],ROWS(L$10:L116))&amp;"","")</f>
        <v>9B/Sc2</v>
      </c>
      <c r="M116" t="str">
        <f>IF(L116="","",IF(COUNTIF(L$10:L116,L116)=1,COUNTIF(L$10:L$609,"&lt;"&amp;L116)+1,""))</f>
        <v/>
      </c>
      <c r="N116" t="str">
        <f>IFERROR(INDEX(tblY10[Class],ROWS(N$10:N116))&amp;"","")</f>
        <v>10S/Sc5</v>
      </c>
      <c r="O116" t="str">
        <f>IF(N116="","",IF(COUNTIF(N$10:N116,N116)=1,COUNTIF(N$10:N$609,"&lt;"&amp;N116)+1,""))</f>
        <v/>
      </c>
      <c r="P116" t="str">
        <f>IFERROR(INDEX(tblY11[Class],ROWS(P$10:P116))&amp;"","")</f>
        <v/>
      </c>
      <c r="Q116" t="str">
        <f>IF(P116="","",IF(COUNTIF(P$10:P116,P116)=1,COUNTIF(P$10:P$609,"&lt;"&amp;P116)+1,""))</f>
        <v/>
      </c>
      <c r="BA116" t="str">
        <f>IFERROR(INDEX(wLast,47)&amp;"","")</f>
        <v>Taylor</v>
      </c>
      <c r="BB116" t="str">
        <f>IF(BA116="","",IFERROR(INDEX(wFirst,47)&amp;"",""))</f>
        <v>Maya</v>
      </c>
      <c r="BC116" t="str">
        <f>IF(BA116="","",IFERROR(INDEX(wClass,47)&amp;"",""))</f>
        <v>11S/Sc2</v>
      </c>
      <c r="BD116">
        <f>IF(BA116="","",IFERROR(INDEX(wKsBand,47)+0,""))</f>
        <v>8</v>
      </c>
      <c r="BE116">
        <f>IF(BA116="","",IFERROR(INDEX(wTests,47)+0,0))</f>
        <v>6</v>
      </c>
      <c r="BF116">
        <f>IF(BA116="","",IFERROR(INDEX(wMean,47)+0,""))</f>
        <v>8.33333333333333</v>
      </c>
      <c r="BG116">
        <f>IF(BA116="","",IFERROR(INDEX(wVs,47)+0,""))</f>
        <v>1.13404401154401</v>
      </c>
      <c r="BH116">
        <f>IF(OR(BA116="",wLatest=""),"",IFERROR(INDEX(wData,47,MATCH(wLatest&amp;CHAR(10)&amp;"Stanine",wHdr,0))+0,""))</f>
        <v>9</v>
      </c>
      <c r="BI116" t="str">
        <f>IF(BA116="","",IF(AND(ISNUMBER(BG116),N(BE116)&gt;=WlMinTests,BG116&lt;=-WlGap),"Below expected for KS2",IF(AND(NOT(ISNUMBER(BD116)),ISNUMBER(BF116),N(BE116)&gt;=WlMinTests,BF116&lt;=WlLowMean),"Low results, no KS2 data","")))</f>
        <v/>
      </c>
      <c r="BJ116" t="str">
        <f>IF(BI116="","",IF(BI116="Below expected for KS2",BG116,100+BF116)+ROW()/1000000)</f>
        <v/>
      </c>
    </row>
    <row r="117">
      <c r="H117" t="str">
        <f>IFERROR(INDEX(tblY7[Class],ROWS(H$10:H117))&amp;"","")</f>
        <v>7B/Sc2</v>
      </c>
      <c r="I117" t="str">
        <f>IF(H117="","",IF(COUNTIF(H$10:H117,H117)=1,COUNTIF(H$10:H$609,"&lt;"&amp;H117)+1,""))</f>
        <v/>
      </c>
      <c r="J117" t="str">
        <f>IFERROR(INDEX(tblY8[Class],ROWS(J$10:J117))&amp;"","")</f>
        <v/>
      </c>
      <c r="K117" t="str">
        <f>IF(J117="","",IF(COUNTIF(J$10:J117,J117)=1,COUNTIF(J$10:J$609,"&lt;"&amp;J117)+1,""))</f>
        <v/>
      </c>
      <c r="L117" t="str">
        <f>IFERROR(INDEX(tblY9[Class],ROWS(L$10:L117))&amp;"","")</f>
        <v>9B/Sc2</v>
      </c>
      <c r="M117" t="str">
        <f>IF(L117="","",IF(COUNTIF(L$10:L117,L117)=1,COUNTIF(L$10:L$609,"&lt;"&amp;L117)+1,""))</f>
        <v/>
      </c>
      <c r="N117" t="str">
        <f>IFERROR(INDEX(tblY10[Class],ROWS(N$10:N117))&amp;"","")</f>
        <v>10S/Sc5</v>
      </c>
      <c r="O117" t="str">
        <f>IF(N117="","",IF(COUNTIF(N$10:N117,N117)=1,COUNTIF(N$10:N$609,"&lt;"&amp;N117)+1,""))</f>
        <v/>
      </c>
      <c r="P117" t="str">
        <f>IFERROR(INDEX(tblY11[Class],ROWS(P$10:P117))&amp;"","")</f>
        <v/>
      </c>
      <c r="Q117" t="str">
        <f>IF(P117="","",IF(COUNTIF(P$10:P117,P117)=1,COUNTIF(P$10:P$609,"&lt;"&amp;P117)+1,""))</f>
        <v/>
      </c>
      <c r="BA117" t="str">
        <f>IFERROR(INDEX(wLast,48)&amp;"","")</f>
        <v>Thompson</v>
      </c>
      <c r="BB117" t="str">
        <f>IF(BA117="","",IFERROR(INDEX(wFirst,48)&amp;"",""))</f>
        <v>Kai</v>
      </c>
      <c r="BC117" t="str">
        <f>IF(BA117="","",IFERROR(INDEX(wClass,48)&amp;"",""))</f>
        <v>11S/Sc2</v>
      </c>
      <c r="BD117">
        <f>IF(BA117="","",IFERROR(INDEX(wKsBand,48)+0,""))</f>
        <v>4</v>
      </c>
      <c r="BE117">
        <f>IF(BA117="","",IFERROR(INDEX(wTests,48)+0,0))</f>
        <v>6</v>
      </c>
      <c r="BF117">
        <f>IF(BA117="","",IFERROR(INDEX(wMean,48)+0,""))</f>
        <v>5.66666666666667</v>
      </c>
      <c r="BG117">
        <f>IF(BA117="","",IFERROR(INDEX(wVs,48)+0,""))</f>
        <v>1.46283189033189</v>
      </c>
      <c r="BH117">
        <f>IF(OR(BA117="",wLatest=""),"",IFERROR(INDEX(wData,48,MATCH(wLatest&amp;CHAR(10)&amp;"Stanine",wHdr,0))+0,""))</f>
        <v>6</v>
      </c>
      <c r="BI117" t="str">
        <f>IF(BA117="","",IF(AND(ISNUMBER(BG117),N(BE117)&gt;=WlMinTests,BG117&lt;=-WlGap),"Below expected for KS2",IF(AND(NOT(ISNUMBER(BD117)),ISNUMBER(BF117),N(BE117)&gt;=WlMinTests,BF117&lt;=WlLowMean),"Low results, no KS2 data","")))</f>
        <v/>
      </c>
      <c r="BJ117" t="str">
        <f>IF(BI117="","",IF(BI117="Below expected for KS2",BG117,100+BF117)+ROW()/1000000)</f>
        <v/>
      </c>
    </row>
    <row r="118">
      <c r="H118" t="str">
        <f>IFERROR(INDEX(tblY7[Class],ROWS(H$10:H118))&amp;"","")</f>
        <v>7B/Sc2</v>
      </c>
      <c r="I118" t="str">
        <f>IF(H118="","",IF(COUNTIF(H$10:H118,H118)=1,COUNTIF(H$10:H$609,"&lt;"&amp;H118)+1,""))</f>
        <v/>
      </c>
      <c r="J118" t="str">
        <f>IFERROR(INDEX(tblY8[Class],ROWS(J$10:J118))&amp;"","")</f>
        <v/>
      </c>
      <c r="K118" t="str">
        <f>IF(J118="","",IF(COUNTIF(J$10:J118,J118)=1,COUNTIF(J$10:J$609,"&lt;"&amp;J118)+1,""))</f>
        <v/>
      </c>
      <c r="L118" t="str">
        <f>IFERROR(INDEX(tblY9[Class],ROWS(L$10:L118))&amp;"","")</f>
        <v>9B/Sc2</v>
      </c>
      <c r="M118" t="str">
        <f>IF(L118="","",IF(COUNTIF(L$10:L118,L118)=1,COUNTIF(L$10:L$609,"&lt;"&amp;L118)+1,""))</f>
        <v/>
      </c>
      <c r="N118" t="str">
        <f>IFERROR(INDEX(tblY10[Class],ROWS(N$10:N118))&amp;"","")</f>
        <v>10S/Sc5</v>
      </c>
      <c r="O118" t="str">
        <f>IF(N118="","",IF(COUNTIF(N$10:N118,N118)=1,COUNTIF(N$10:N$609,"&lt;"&amp;N118)+1,""))</f>
        <v/>
      </c>
      <c r="P118" t="str">
        <f>IFERROR(INDEX(tblY11[Class],ROWS(P$10:P118))&amp;"","")</f>
        <v/>
      </c>
      <c r="Q118" t="str">
        <f>IF(P118="","",IF(COUNTIF(P$10:P118,P118)=1,COUNTIF(P$10:P$609,"&lt;"&amp;P118)+1,""))</f>
        <v/>
      </c>
      <c r="BA118" t="str">
        <f>IFERROR(INDEX(wLast,49)&amp;"","")</f>
        <v>Walker</v>
      </c>
      <c r="BB118" t="str">
        <f>IF(BA118="","",IFERROR(INDEX(wFirst,49)&amp;"",""))</f>
        <v>Finley</v>
      </c>
      <c r="BC118" t="str">
        <f>IF(BA118="","",IFERROR(INDEX(wClass,49)&amp;"",""))</f>
        <v>11S/Sc2</v>
      </c>
      <c r="BD118">
        <f>IF(BA118="","",IFERROR(INDEX(wKsBand,49)+0,""))</f>
        <v>4</v>
      </c>
      <c r="BE118">
        <f>IF(BA118="","",IFERROR(INDEX(wTests,49)+0,0))</f>
        <v>5</v>
      </c>
      <c r="BF118">
        <f>IF(BA118="","",IFERROR(INDEX(wMean,49)+0,""))</f>
        <v>3.4</v>
      </c>
      <c r="BG118">
        <f>IF(BA118="","",IFERROR(INDEX(wVs,49)+0,""))</f>
        <v>-0.803834776334776</v>
      </c>
      <c r="BH118">
        <f>IF(OR(BA118="",wLatest=""),"",IFERROR(INDEX(wData,49,MATCH(wLatest&amp;CHAR(10)&amp;"Stanine",wHdr,0))+0,""))</f>
        <v>4</v>
      </c>
      <c r="BI118" t="str">
        <f>IF(BA118="","",IF(AND(ISNUMBER(BG118),N(BE118)&gt;=WlMinTests,BG118&lt;=-WlGap),"Below expected for KS2",IF(AND(NOT(ISNUMBER(BD118)),ISNUMBER(BF118),N(BE118)&gt;=WlMinTests,BF118&lt;=WlLowMean),"Low results, no KS2 data","")))</f>
        <v/>
      </c>
      <c r="BJ118" t="str">
        <f>IF(BI118="","",IF(BI118="Below expected for KS2",BG118,100+BF118)+ROW()/1000000)</f>
        <v/>
      </c>
    </row>
    <row r="119">
      <c r="H119" t="str">
        <f>IFERROR(INDEX(tblY7[Class],ROWS(H$10:H119))&amp;"","")</f>
        <v>7B/Sc2</v>
      </c>
      <c r="I119" t="str">
        <f>IF(H119="","",IF(COUNTIF(H$10:H119,H119)=1,COUNTIF(H$10:H$609,"&lt;"&amp;H119)+1,""))</f>
        <v/>
      </c>
      <c r="J119" t="str">
        <f>IFERROR(INDEX(tblY8[Class],ROWS(J$10:J119))&amp;"","")</f>
        <v/>
      </c>
      <c r="K119" t="str">
        <f>IF(J119="","",IF(COUNTIF(J$10:J119,J119)=1,COUNTIF(J$10:J$609,"&lt;"&amp;J119)+1,""))</f>
        <v/>
      </c>
      <c r="L119" t="str">
        <f>IFERROR(INDEX(tblY9[Class],ROWS(L$10:L119))&amp;"","")</f>
        <v>9B/Sc2</v>
      </c>
      <c r="M119" t="str">
        <f>IF(L119="","",IF(COUNTIF(L$10:L119,L119)=1,COUNTIF(L$10:L$609,"&lt;"&amp;L119)+1,""))</f>
        <v/>
      </c>
      <c r="N119" t="str">
        <f>IFERROR(INDEX(tblY10[Class],ROWS(N$10:N119))&amp;"","")</f>
        <v>10S/Sc5</v>
      </c>
      <c r="O119" t="str">
        <f>IF(N119="","",IF(COUNTIF(N$10:N119,N119)=1,COUNTIF(N$10:N$609,"&lt;"&amp;N119)+1,""))</f>
        <v/>
      </c>
      <c r="P119" t="str">
        <f>IFERROR(INDEX(tblY11[Class],ROWS(P$10:P119))&amp;"","")</f>
        <v/>
      </c>
      <c r="Q119" t="str">
        <f>IF(P119="","",IF(COUNTIF(P$10:P119,P119)=1,COUNTIF(P$10:P$609,"&lt;"&amp;P119)+1,""))</f>
        <v/>
      </c>
      <c r="BA119" t="str">
        <f>IFERROR(INDEX(wLast,50)&amp;"","")</f>
        <v>Walker</v>
      </c>
      <c r="BB119" t="str">
        <f>IF(BA119="","",IFERROR(INDEX(wFirst,50)&amp;"",""))</f>
        <v>Leo</v>
      </c>
      <c r="BC119" t="str">
        <f>IF(BA119="","",IFERROR(INDEX(wClass,50)&amp;"",""))</f>
        <v>11S/Sc2</v>
      </c>
      <c r="BD119">
        <f>IF(BA119="","",IFERROR(INDEX(wKsBand,50)+0,""))</f>
        <v>6</v>
      </c>
      <c r="BE119">
        <f>IF(BA119="","",IFERROR(INDEX(wTests,50)+0,0))</f>
        <v>6</v>
      </c>
      <c r="BF119">
        <f>IF(BA119="","",IFERROR(INDEX(wMean,50)+0,""))</f>
        <v>4.83333333333333</v>
      </c>
      <c r="BG119">
        <f>IF(BA119="","",IFERROR(INDEX(wVs,50)+0,""))</f>
        <v>-0.868228715728716</v>
      </c>
      <c r="BH119">
        <f>IF(OR(BA119="",wLatest=""),"",IFERROR(INDEX(wData,50,MATCH(wLatest&amp;CHAR(10)&amp;"Stanine",wHdr,0))+0,""))</f>
        <v>5</v>
      </c>
      <c r="BI119" t="str">
        <f>IF(BA119="","",IF(AND(ISNUMBER(BG119),N(BE119)&gt;=WlMinTests,BG119&lt;=-WlGap),"Below expected for KS2",IF(AND(NOT(ISNUMBER(BD119)),ISNUMBER(BF119),N(BE119)&gt;=WlMinTests,BF119&lt;=WlLowMean),"Low results, no KS2 data","")))</f>
        <v/>
      </c>
      <c r="BJ119" t="str">
        <f>IF(BI119="","",IF(BI119="Below expected for KS2",BG119,100+BF119)+ROW()/1000000)</f>
        <v/>
      </c>
    </row>
    <row r="120">
      <c r="H120" t="str">
        <f>IFERROR(INDEX(tblY7[Class],ROWS(H$10:H120))&amp;"","")</f>
        <v>7B/Sc2</v>
      </c>
      <c r="I120" t="str">
        <f>IF(H120="","",IF(COUNTIF(H$10:H120,H120)=1,COUNTIF(H$10:H$609,"&lt;"&amp;H120)+1,""))</f>
        <v/>
      </c>
      <c r="J120" t="str">
        <f>IFERROR(INDEX(tblY8[Class],ROWS(J$10:J120))&amp;"","")</f>
        <v/>
      </c>
      <c r="K120" t="str">
        <f>IF(J120="","",IF(COUNTIF(J$10:J120,J120)=1,COUNTIF(J$10:J$609,"&lt;"&amp;J120)+1,""))</f>
        <v/>
      </c>
      <c r="L120" t="str">
        <f>IFERROR(INDEX(tblY9[Class],ROWS(L$10:L120))&amp;"","")</f>
        <v>9B/Sc2</v>
      </c>
      <c r="M120" t="str">
        <f>IF(L120="","",IF(COUNTIF(L$10:L120,L120)=1,COUNTIF(L$10:L$609,"&lt;"&amp;L120)+1,""))</f>
        <v/>
      </c>
      <c r="N120" t="str">
        <f>IFERROR(INDEX(tblY10[Class],ROWS(N$10:N120))&amp;"","")</f>
        <v>10S/Sc5</v>
      </c>
      <c r="O120" t="str">
        <f>IF(N120="","",IF(COUNTIF(N$10:N120,N120)=1,COUNTIF(N$10:N$609,"&lt;"&amp;N120)+1,""))</f>
        <v/>
      </c>
      <c r="P120" t="str">
        <f>IFERROR(INDEX(tblY11[Class],ROWS(P$10:P120))&amp;"","")</f>
        <v/>
      </c>
      <c r="Q120" t="str">
        <f>IF(P120="","",IF(COUNTIF(P$10:P120,P120)=1,COUNTIF(P$10:P$609,"&lt;"&amp;P120)+1,""))</f>
        <v/>
      </c>
      <c r="BA120" t="str">
        <f>IFERROR(INDEX(wLast,51)&amp;"","")</f>
        <v>White</v>
      </c>
      <c r="BB120" t="str">
        <f>IF(BA120="","",IFERROR(INDEX(wFirst,51)&amp;"",""))</f>
        <v>George</v>
      </c>
      <c r="BC120" t="str">
        <f>IF(BA120="","",IFERROR(INDEX(wClass,51)&amp;"",""))</f>
        <v>11S/Sc2</v>
      </c>
      <c r="BD120">
        <f>IF(BA120="","",IFERROR(INDEX(wKsBand,51)+0,""))</f>
        <v>6</v>
      </c>
      <c r="BE120">
        <f>IF(BA120="","",IFERROR(INDEX(wTests,51)+0,0))</f>
        <v>6</v>
      </c>
      <c r="BF120">
        <f>IF(BA120="","",IFERROR(INDEX(wMean,51)+0,""))</f>
        <v>5.16666666666667</v>
      </c>
      <c r="BG120">
        <f>IF(BA120="","",IFERROR(INDEX(wVs,51)+0,""))</f>
        <v>-0.534895382395382</v>
      </c>
      <c r="BH120">
        <f>IF(OR(BA120="",wLatest=""),"",IFERROR(INDEX(wData,51,MATCH(wLatest&amp;CHAR(10)&amp;"Stanine",wHdr,0))+0,""))</f>
        <v>5</v>
      </c>
      <c r="BI120" t="str">
        <f>IF(BA120="","",IF(AND(ISNUMBER(BG120),N(BE120)&gt;=WlMinTests,BG120&lt;=-WlGap),"Below expected for KS2",IF(AND(NOT(ISNUMBER(BD120)),ISNUMBER(BF120),N(BE120)&gt;=WlMinTests,BF120&lt;=WlLowMean),"Low results, no KS2 data","")))</f>
        <v/>
      </c>
      <c r="BJ120" t="str">
        <f>IF(BI120="","",IF(BI120="Below expected for KS2",BG120,100+BF120)+ROW()/1000000)</f>
        <v/>
      </c>
    </row>
    <row r="121">
      <c r="H121" t="str">
        <f>IFERROR(INDEX(tblY7[Class],ROWS(H$10:H121))&amp;"","")</f>
        <v>7B/Sc2</v>
      </c>
      <c r="I121" t="str">
        <f>IF(H121="","",IF(COUNTIF(H$10:H121,H121)=1,COUNTIF(H$10:H$609,"&lt;"&amp;H121)+1,""))</f>
        <v/>
      </c>
      <c r="J121" t="str">
        <f>IFERROR(INDEX(tblY8[Class],ROWS(J$10:J121))&amp;"","")</f>
        <v/>
      </c>
      <c r="K121" t="str">
        <f>IF(J121="","",IF(COUNTIF(J$10:J121,J121)=1,COUNTIF(J$10:J$609,"&lt;"&amp;J121)+1,""))</f>
        <v/>
      </c>
      <c r="L121" t="str">
        <f>IFERROR(INDEX(tblY9[Class],ROWS(L$10:L121))&amp;"","")</f>
        <v>9B/Sc2</v>
      </c>
      <c r="M121" t="str">
        <f>IF(L121="","",IF(COUNTIF(L$10:L121,L121)=1,COUNTIF(L$10:L$609,"&lt;"&amp;L121)+1,""))</f>
        <v/>
      </c>
      <c r="N121" t="str">
        <f>IFERROR(INDEX(tblY10[Class],ROWS(N$10:N121))&amp;"","")</f>
        <v>10S/Sc5</v>
      </c>
      <c r="O121" t="str">
        <f>IF(N121="","",IF(COUNTIF(N$10:N121,N121)=1,COUNTIF(N$10:N$609,"&lt;"&amp;N121)+1,""))</f>
        <v/>
      </c>
      <c r="P121" t="str">
        <f>IFERROR(INDEX(tblY11[Class],ROWS(P$10:P121))&amp;"","")</f>
        <v/>
      </c>
      <c r="Q121" t="str">
        <f>IF(P121="","",IF(COUNTIF(P$10:P121,P121)=1,COUNTIF(P$10:P$609,"&lt;"&amp;P121)+1,""))</f>
        <v/>
      </c>
      <c r="BA121" t="str">
        <f>IFERROR(INDEX(wLast,52)&amp;"","")</f>
        <v>White</v>
      </c>
      <c r="BB121" t="str">
        <f>IF(BA121="","",IFERROR(INDEX(wFirst,52)&amp;"",""))</f>
        <v>Nia</v>
      </c>
      <c r="BC121" t="str">
        <f>IF(BA121="","",IFERROR(INDEX(wClass,52)&amp;"",""))</f>
        <v>11S/Sc2</v>
      </c>
      <c r="BD121">
        <f>IF(BA121="","",IFERROR(INDEX(wKsBand,52)+0,""))</f>
        <v>6</v>
      </c>
      <c r="BE121">
        <f>IF(BA121="","",IFERROR(INDEX(wTests,52)+0,0))</f>
        <v>5</v>
      </c>
      <c r="BF121">
        <f>IF(BA121="","",IFERROR(INDEX(wMean,52)+0,""))</f>
        <v>5</v>
      </c>
      <c r="BG121">
        <f>IF(BA121="","",IFERROR(INDEX(wVs,52)+0,""))</f>
        <v>-0.701562049062049</v>
      </c>
      <c r="BH121">
        <f>IF(OR(BA121="",wLatest=""),"",IFERROR(INDEX(wData,52,MATCH(wLatest&amp;CHAR(10)&amp;"Stanine",wHdr,0))+0,""))</f>
        <v>5</v>
      </c>
      <c r="BI121" t="str">
        <f>IF(BA121="","",IF(AND(ISNUMBER(BG121),N(BE121)&gt;=WlMinTests,BG121&lt;=-WlGap),"Below expected for KS2",IF(AND(NOT(ISNUMBER(BD121)),ISNUMBER(BF121),N(BE121)&gt;=WlMinTests,BF121&lt;=WlLowMean),"Low results, no KS2 data","")))</f>
        <v/>
      </c>
      <c r="BJ121" t="str">
        <f>IF(BI121="","",IF(BI121="Below expected for KS2",BG121,100+BF121)+ROW()/1000000)</f>
        <v/>
      </c>
    </row>
    <row r="122">
      <c r="H122" t="str">
        <f>IFERROR(INDEX(tblY7[Class],ROWS(H$10:H122))&amp;"","")</f>
        <v>7B/Sc2</v>
      </c>
      <c r="I122" t="str">
        <f>IF(H122="","",IF(COUNTIF(H$10:H122,H122)=1,COUNTIF(H$10:H$609,"&lt;"&amp;H122)+1,""))</f>
        <v/>
      </c>
      <c r="J122" t="str">
        <f>IFERROR(INDEX(tblY8[Class],ROWS(J$10:J122))&amp;"","")</f>
        <v/>
      </c>
      <c r="K122" t="str">
        <f>IF(J122="","",IF(COUNTIF(J$10:J122,J122)=1,COUNTIF(J$10:J$609,"&lt;"&amp;J122)+1,""))</f>
        <v/>
      </c>
      <c r="L122" t="str">
        <f>IFERROR(INDEX(tblY9[Class],ROWS(L$10:L122))&amp;"","")</f>
        <v>9B/Sc2</v>
      </c>
      <c r="M122" t="str">
        <f>IF(L122="","",IF(COUNTIF(L$10:L122,L122)=1,COUNTIF(L$10:L$609,"&lt;"&amp;L122)+1,""))</f>
        <v/>
      </c>
      <c r="N122" t="str">
        <f>IFERROR(INDEX(tblY10[Class],ROWS(N$10:N122))&amp;"","")</f>
        <v>10S/Sc5</v>
      </c>
      <c r="O122" t="str">
        <f>IF(N122="","",IF(COUNTIF(N$10:N122,N122)=1,COUNTIF(N$10:N$609,"&lt;"&amp;N122)+1,""))</f>
        <v/>
      </c>
      <c r="P122" t="str">
        <f>IFERROR(INDEX(tblY11[Class],ROWS(P$10:P122))&amp;"","")</f>
        <v/>
      </c>
      <c r="Q122" t="str">
        <f>IF(P122="","",IF(COUNTIF(P$10:P122,P122)=1,COUNTIF(P$10:P$609,"&lt;"&amp;P122)+1,""))</f>
        <v/>
      </c>
      <c r="BA122" t="str">
        <f>IFERROR(INDEX(wLast,53)&amp;"","")</f>
        <v>Williams</v>
      </c>
      <c r="BB122" t="str">
        <f>IF(BA122="","",IFERROR(INDEX(wFirst,53)&amp;"",""))</f>
        <v>Sophie</v>
      </c>
      <c r="BC122" t="str">
        <f>IF(BA122="","",IFERROR(INDEX(wClass,53)&amp;"",""))</f>
        <v>11S/Sc2</v>
      </c>
      <c r="BD122">
        <f>IF(BA122="","",IFERROR(INDEX(wKsBand,53)+0,""))</f>
        <v>8</v>
      </c>
      <c r="BE122">
        <f>IF(BA122="","",IFERROR(INDEX(wTests,53)+0,0))</f>
        <v>6</v>
      </c>
      <c r="BF122">
        <f>IF(BA122="","",IFERROR(INDEX(wMean,53)+0,""))</f>
        <v>5.66666666666667</v>
      </c>
      <c r="BG122">
        <f>IF(BA122="","",IFERROR(INDEX(wVs,53)+0,""))</f>
        <v>-1.53262265512265</v>
      </c>
      <c r="BH122">
        <f>IF(OR(BA122="",wLatest=""),"",IFERROR(INDEX(wData,53,MATCH(wLatest&amp;CHAR(10)&amp;"Stanine",wHdr,0))+0,""))</f>
        <v>4</v>
      </c>
      <c r="BI122" t="str">
        <f>IF(BA122="","",IF(AND(ISNUMBER(BG122),N(BE122)&gt;=WlMinTests,BG122&lt;=-WlGap),"Below expected for KS2",IF(AND(NOT(ISNUMBER(BD122)),ISNUMBER(BF122),N(BE122)&gt;=WlMinTests,BF122&lt;=WlLowMean),"Low results, no KS2 data","")))</f>
        <v>Below expected for KS2</v>
      </c>
      <c r="BJ122">
        <f>IF(BI122="","",IF(BI122="Below expected for KS2",BG122,100+BF122)+ROW()/1000000)</f>
        <v>-1.53250065512265</v>
      </c>
    </row>
    <row r="123">
      <c r="H123" t="str">
        <f>IFERROR(INDEX(tblY7[Class],ROWS(H$10:H123))&amp;"","")</f>
        <v>7B/Sc3</v>
      </c>
      <c r="I123">
        <f>IF(H123="","",IF(COUNTIF(H$10:H123,H123)=1,COUNTIF(H$10:H$609,"&lt;"&amp;H123)+1,""))</f>
        <v>583</v>
      </c>
      <c r="J123" t="str">
        <f>IFERROR(INDEX(tblY8[Class],ROWS(J$10:J123))&amp;"","")</f>
        <v/>
      </c>
      <c r="K123" t="str">
        <f>IF(J123="","",IF(COUNTIF(J$10:J123,J123)=1,COUNTIF(J$10:J$609,"&lt;"&amp;J123)+1,""))</f>
        <v/>
      </c>
      <c r="L123" t="str">
        <f>IFERROR(INDEX(tblY9[Class],ROWS(L$10:L123))&amp;"","")</f>
        <v>9B/Sc2</v>
      </c>
      <c r="M123" t="str">
        <f>IF(L123="","",IF(COUNTIF(L$10:L123,L123)=1,COUNTIF(L$10:L$609,"&lt;"&amp;L123)+1,""))</f>
        <v/>
      </c>
      <c r="N123" t="str">
        <f>IFERROR(INDEX(tblY10[Class],ROWS(N$10:N123))&amp;"","")</f>
        <v>10S/Sc5</v>
      </c>
      <c r="O123" t="str">
        <f>IF(N123="","",IF(COUNTIF(N$10:N123,N123)=1,COUNTIF(N$10:N$609,"&lt;"&amp;N123)+1,""))</f>
        <v/>
      </c>
      <c r="P123" t="str">
        <f>IFERROR(INDEX(tblY11[Class],ROWS(P$10:P123))&amp;"","")</f>
        <v/>
      </c>
      <c r="Q123" t="str">
        <f>IF(P123="","",IF(COUNTIF(P$10:P123,P123)=1,COUNTIF(P$10:P$609,"&lt;"&amp;P123)+1,""))</f>
        <v/>
      </c>
      <c r="BA123" t="str">
        <f>IFERROR(INDEX(wLast,54)&amp;"","")</f>
        <v>Wright</v>
      </c>
      <c r="BB123" t="str">
        <f>IF(BA123="","",IFERROR(INDEX(wFirst,54)&amp;"",""))</f>
        <v>Chidi</v>
      </c>
      <c r="BC123" t="str">
        <f>IF(BA123="","",IFERROR(INDEX(wClass,54)&amp;"",""))</f>
        <v>11S/Sc2</v>
      </c>
      <c r="BD123">
        <f>IF(BA123="","",IFERROR(INDEX(wKsBand,54)+0,""))</f>
        <v>8</v>
      </c>
      <c r="BE123">
        <f>IF(BA123="","",IFERROR(INDEX(wTests,54)+0,0))</f>
        <v>6</v>
      </c>
      <c r="BF123">
        <f>IF(BA123="","",IFERROR(INDEX(wMean,54)+0,""))</f>
        <v>6.83333333333333</v>
      </c>
      <c r="BG123">
        <f>IF(BA123="","",IFERROR(INDEX(wVs,54)+0,""))</f>
        <v>-0.365955988455989</v>
      </c>
      <c r="BH123">
        <f>IF(OR(BA123="",wLatest=""),"",IFERROR(INDEX(wData,54,MATCH(wLatest&amp;CHAR(10)&amp;"Stanine",wHdr,0))+0,""))</f>
        <v>6</v>
      </c>
      <c r="BI123" t="str">
        <f>IF(BA123="","",IF(AND(ISNUMBER(BG123),N(BE123)&gt;=WlMinTests,BG123&lt;=-WlGap),"Below expected for KS2",IF(AND(NOT(ISNUMBER(BD123)),ISNUMBER(BF123),N(BE123)&gt;=WlMinTests,BF123&lt;=WlLowMean),"Low results, no KS2 data","")))</f>
        <v/>
      </c>
      <c r="BJ123" t="str">
        <f>IF(BI123="","",IF(BI123="Below expected for KS2",BG123,100+BF123)+ROW()/1000000)</f>
        <v/>
      </c>
    </row>
    <row r="124">
      <c r="H124" t="str">
        <f>IFERROR(INDEX(tblY7[Class],ROWS(H$10:H124))&amp;"","")</f>
        <v>7B/Sc3</v>
      </c>
      <c r="I124" t="str">
        <f>IF(H124="","",IF(COUNTIF(H$10:H124,H124)=1,COUNTIF(H$10:H$609,"&lt;"&amp;H124)+1,""))</f>
        <v/>
      </c>
      <c r="J124" t="str">
        <f>IFERROR(INDEX(tblY8[Class],ROWS(J$10:J124))&amp;"","")</f>
        <v/>
      </c>
      <c r="K124" t="str">
        <f>IF(J124="","",IF(COUNTIF(J$10:J124,J124)=1,COUNTIF(J$10:J$609,"&lt;"&amp;J124)+1,""))</f>
        <v/>
      </c>
      <c r="L124" t="str">
        <f>IFERROR(INDEX(tblY9[Class],ROWS(L$10:L124))&amp;"","")</f>
        <v>9B/Sc2</v>
      </c>
      <c r="M124" t="str">
        <f>IF(L124="","",IF(COUNTIF(L$10:L124,L124)=1,COUNTIF(L$10:L$609,"&lt;"&amp;L124)+1,""))</f>
        <v/>
      </c>
      <c r="N124" t="str">
        <f>IFERROR(INDEX(tblY10[Class],ROWS(N$10:N124))&amp;"","")</f>
        <v>Science Support</v>
      </c>
      <c r="O124">
        <f>IF(N124="","",IF(COUNTIF(N$10:N124,N124)=1,COUNTIF(N$10:N$609,"&lt;"&amp;N124)+1,""))</f>
        <v>598</v>
      </c>
      <c r="P124" t="str">
        <f>IFERROR(INDEX(tblY11[Class],ROWS(P$10:P124))&amp;"","")</f>
        <v/>
      </c>
      <c r="Q124" t="str">
        <f>IF(P124="","",IF(COUNTIF(P$10:P124,P124)=1,COUNTIF(P$10:P$609,"&lt;"&amp;P124)+1,""))</f>
        <v/>
      </c>
      <c r="BA124" t="str">
        <f>IFERROR(INDEX(wLast,55)&amp;"","")</f>
        <v>Cooper</v>
      </c>
      <c r="BB124" t="str">
        <f>IF(BA124="","",IFERROR(INDEX(wFirst,55)&amp;"",""))</f>
        <v>Sophie</v>
      </c>
      <c r="BC124" t="str">
        <f>IF(BA124="","",IFERROR(INDEX(wClass,55)&amp;"",""))</f>
        <v>11S/Sc3</v>
      </c>
      <c r="BD124">
        <f>IF(BA124="","",IFERROR(INDEX(wKsBand,55)+0,""))</f>
        <v>1</v>
      </c>
      <c r="BE124">
        <f>IF(BA124="","",IFERROR(INDEX(wTests,55)+0,0))</f>
        <v>5</v>
      </c>
      <c r="BF124">
        <f>IF(BA124="","",IFERROR(INDEX(wMean,55)+0,""))</f>
        <v>1.4</v>
      </c>
      <c r="BG124">
        <f>IF(BA124="","",IFERROR(INDEX(wVs,55)+0,""))</f>
        <v>-0.557243867243867</v>
      </c>
      <c r="BH124">
        <f>IF(OR(BA124="",wLatest=""),"",IFERROR(INDEX(wData,55,MATCH(wLatest&amp;CHAR(10)&amp;"Stanine",wHdr,0))+0,""))</f>
        <v>1</v>
      </c>
      <c r="BI124" t="str">
        <f>IF(BA124="","",IF(AND(ISNUMBER(BG124),N(BE124)&gt;=WlMinTests,BG124&lt;=-WlGap),"Below expected for KS2",IF(AND(NOT(ISNUMBER(BD124)),ISNUMBER(BF124),N(BE124)&gt;=WlMinTests,BF124&lt;=WlLowMean),"Low results, no KS2 data","")))</f>
        <v/>
      </c>
      <c r="BJ124" t="str">
        <f>IF(BI124="","",IF(BI124="Below expected for KS2",BG124,100+BF124)+ROW()/1000000)</f>
        <v/>
      </c>
    </row>
    <row r="125">
      <c r="H125" t="str">
        <f>IFERROR(INDEX(tblY7[Class],ROWS(H$10:H125))&amp;"","")</f>
        <v>7B/Sc3</v>
      </c>
      <c r="I125" t="str">
        <f>IF(H125="","",IF(COUNTIF(H$10:H125,H125)=1,COUNTIF(H$10:H$609,"&lt;"&amp;H125)+1,""))</f>
        <v/>
      </c>
      <c r="J125" t="str">
        <f>IFERROR(INDEX(tblY8[Class],ROWS(J$10:J125))&amp;"","")</f>
        <v/>
      </c>
      <c r="K125" t="str">
        <f>IF(J125="","",IF(COUNTIF(J$10:J125,J125)=1,COUNTIF(J$10:J$609,"&lt;"&amp;J125)+1,""))</f>
        <v/>
      </c>
      <c r="L125" t="str">
        <f>IFERROR(INDEX(tblY9[Class],ROWS(L$10:L125))&amp;"","")</f>
        <v>9B/Sc2</v>
      </c>
      <c r="M125" t="str">
        <f>IF(L125="","",IF(COUNTIF(L$10:L125,L125)=1,COUNTIF(L$10:L$609,"&lt;"&amp;L125)+1,""))</f>
        <v/>
      </c>
      <c r="N125" t="str">
        <f>IFERROR(INDEX(tblY10[Class],ROWS(N$10:N125))&amp;"","")</f>
        <v>Science Support</v>
      </c>
      <c r="O125" t="str">
        <f>IF(N125="","",IF(COUNTIF(N$10:N125,N125)=1,COUNTIF(N$10:N$609,"&lt;"&amp;N125)+1,""))</f>
        <v/>
      </c>
      <c r="P125" t="str">
        <f>IFERROR(INDEX(tblY11[Class],ROWS(P$10:P125))&amp;"","")</f>
        <v/>
      </c>
      <c r="Q125" t="str">
        <f>IF(P125="","",IF(COUNTIF(P$10:P125,P125)=1,COUNTIF(P$10:P$609,"&lt;"&amp;P125)+1,""))</f>
        <v/>
      </c>
      <c r="BA125" t="str">
        <f>IFERROR(INDEX(wLast,56)&amp;"","")</f>
        <v>Edwards</v>
      </c>
      <c r="BB125" t="str">
        <f>IF(BA125="","",IFERROR(INDEX(wFirst,56)&amp;"",""))</f>
        <v>Oscar</v>
      </c>
      <c r="BC125" t="str">
        <f>IF(BA125="","",IFERROR(INDEX(wClass,56)&amp;"",""))</f>
        <v>11S/Sc3</v>
      </c>
      <c r="BD125">
        <f>IF(BA125="","",IFERROR(INDEX(wKsBand,56)+0,""))</f>
        <v>3</v>
      </c>
      <c r="BE125">
        <f>IF(BA125="","",IFERROR(INDEX(wTests,56)+0,0))</f>
        <v>6</v>
      </c>
      <c r="BF125">
        <f>IF(BA125="","",IFERROR(INDEX(wMean,56)+0,""))</f>
        <v>2.66666666666667</v>
      </c>
      <c r="BG125">
        <f>IF(BA125="","",IFERROR(INDEX(wVs,56)+0,""))</f>
        <v>-0.788304473304473</v>
      </c>
      <c r="BH125">
        <f>IF(OR(BA125="",wLatest=""),"",IFERROR(INDEX(wData,56,MATCH(wLatest&amp;CHAR(10)&amp;"Stanine",wHdr,0))+0,""))</f>
        <v>3</v>
      </c>
      <c r="BI125" t="str">
        <f>IF(BA125="","",IF(AND(ISNUMBER(BG125),N(BE125)&gt;=WlMinTests,BG125&lt;=-WlGap),"Below expected for KS2",IF(AND(NOT(ISNUMBER(BD125)),ISNUMBER(BF125),N(BE125)&gt;=WlMinTests,BF125&lt;=WlLowMean),"Low results, no KS2 data","")))</f>
        <v/>
      </c>
      <c r="BJ125" t="str">
        <f>IF(BI125="","",IF(BI125="Below expected for KS2",BG125,100+BF125)+ROW()/1000000)</f>
        <v/>
      </c>
    </row>
    <row r="126">
      <c r="H126" t="str">
        <f>IFERROR(INDEX(tblY7[Class],ROWS(H$10:H126))&amp;"","")</f>
        <v>7B/Sc3</v>
      </c>
      <c r="I126" t="str">
        <f>IF(H126="","",IF(COUNTIF(H$10:H126,H126)=1,COUNTIF(H$10:H$609,"&lt;"&amp;H126)+1,""))</f>
        <v/>
      </c>
      <c r="J126" t="str">
        <f>IFERROR(INDEX(tblY8[Class],ROWS(J$10:J126))&amp;"","")</f>
        <v/>
      </c>
      <c r="K126" t="str">
        <f>IF(J126="","",IF(COUNTIF(J$10:J126,J126)=1,COUNTIF(J$10:J$609,"&lt;"&amp;J126)+1,""))</f>
        <v/>
      </c>
      <c r="L126" t="str">
        <f>IFERROR(INDEX(tblY9[Class],ROWS(L$10:L126))&amp;"","")</f>
        <v>9B/Sc2</v>
      </c>
      <c r="M126" t="str">
        <f>IF(L126="","",IF(COUNTIF(L$10:L126,L126)=1,COUNTIF(L$10:L$609,"&lt;"&amp;L126)+1,""))</f>
        <v/>
      </c>
      <c r="N126" t="str">
        <f>IFERROR(INDEX(tblY10[Class],ROWS(N$10:N126))&amp;"","")</f>
        <v>Science Support</v>
      </c>
      <c r="O126" t="str">
        <f>IF(N126="","",IF(COUNTIF(N$10:N126,N126)=1,COUNTIF(N$10:N$609,"&lt;"&amp;N126)+1,""))</f>
        <v/>
      </c>
      <c r="P126" t="str">
        <f>IFERROR(INDEX(tblY11[Class],ROWS(P$10:P126))&amp;"","")</f>
        <v/>
      </c>
      <c r="Q126" t="str">
        <f>IF(P126="","",IF(COUNTIF(P$10:P126,P126)=1,COUNTIF(P$10:P$609,"&lt;"&amp;P126)+1,""))</f>
        <v/>
      </c>
      <c r="BA126" t="str">
        <f>IFERROR(INDEX(wLast,57)&amp;"","")</f>
        <v>Hall</v>
      </c>
      <c r="BB126" t="str">
        <f>IF(BA126="","",IFERROR(INDEX(wFirst,57)&amp;"",""))</f>
        <v>Chidi</v>
      </c>
      <c r="BC126" t="str">
        <f>IF(BA126="","",IFERROR(INDEX(wClass,57)&amp;"",""))</f>
        <v>11S/Sc3</v>
      </c>
      <c r="BD126">
        <f>IF(BA126="","",IFERROR(INDEX(wKsBand,57)+0,""))</f>
        <v>6</v>
      </c>
      <c r="BE126">
        <f>IF(BA126="","",IFERROR(INDEX(wTests,57)+0,0))</f>
        <v>6</v>
      </c>
      <c r="BF126">
        <f>IF(BA126="","",IFERROR(INDEX(wMean,57)+0,""))</f>
        <v>5.16666666666667</v>
      </c>
      <c r="BG126">
        <f>IF(BA126="","",IFERROR(INDEX(wVs,57)+0,""))</f>
        <v>-0.534895382395382</v>
      </c>
      <c r="BH126">
        <f>IF(OR(BA126="",wLatest=""),"",IFERROR(INDEX(wData,57,MATCH(wLatest&amp;CHAR(10)&amp;"Stanine",wHdr,0))+0,""))</f>
        <v>5</v>
      </c>
      <c r="BI126" t="str">
        <f>IF(BA126="","",IF(AND(ISNUMBER(BG126),N(BE126)&gt;=WlMinTests,BG126&lt;=-WlGap),"Below expected for KS2",IF(AND(NOT(ISNUMBER(BD126)),ISNUMBER(BF126),N(BE126)&gt;=WlMinTests,BF126&lt;=WlLowMean),"Low results, no KS2 data","")))</f>
        <v/>
      </c>
      <c r="BJ126" t="str">
        <f>IF(BI126="","",IF(BI126="Below expected for KS2",BG126,100+BF126)+ROW()/1000000)</f>
        <v/>
      </c>
    </row>
    <row r="127">
      <c r="H127" t="str">
        <f>IFERROR(INDEX(tblY7[Class],ROWS(H$10:H127))&amp;"","")</f>
        <v>7B/Sc3</v>
      </c>
      <c r="I127" t="str">
        <f>IF(H127="","",IF(COUNTIF(H$10:H127,H127)=1,COUNTIF(H$10:H$609,"&lt;"&amp;H127)+1,""))</f>
        <v/>
      </c>
      <c r="J127" t="str">
        <f>IFERROR(INDEX(tblY8[Class],ROWS(J$10:J127))&amp;"","")</f>
        <v/>
      </c>
      <c r="K127" t="str">
        <f>IF(J127="","",IF(COUNTIF(J$10:J127,J127)=1,COUNTIF(J$10:J$609,"&lt;"&amp;J127)+1,""))</f>
        <v/>
      </c>
      <c r="L127" t="str">
        <f>IFERROR(INDEX(tblY9[Class],ROWS(L$10:L127))&amp;"","")</f>
        <v>9B/Sc2</v>
      </c>
      <c r="M127" t="str">
        <f>IF(L127="","",IF(COUNTIF(L$10:L127,L127)=1,COUNTIF(L$10:L$609,"&lt;"&amp;L127)+1,""))</f>
        <v/>
      </c>
      <c r="N127" t="str">
        <f>IFERROR(INDEX(tblY10[Class],ROWS(N$10:N127))&amp;"","")</f>
        <v/>
      </c>
      <c r="O127" t="str">
        <f>IF(N127="","",IF(COUNTIF(N$10:N127,N127)=1,COUNTIF(N$10:N$609,"&lt;"&amp;N127)+1,""))</f>
        <v/>
      </c>
      <c r="P127" t="str">
        <f>IFERROR(INDEX(tblY11[Class],ROWS(P$10:P127))&amp;"","")</f>
        <v/>
      </c>
      <c r="Q127" t="str">
        <f>IF(P127="","",IF(COUNTIF(P$10:P127,P127)=1,COUNTIF(P$10:P$609,"&lt;"&amp;P127)+1,""))</f>
        <v/>
      </c>
      <c r="BA127" t="str">
        <f>IFERROR(INDEX(wLast,58)&amp;"","")</f>
        <v>Hall</v>
      </c>
      <c r="BB127" t="str">
        <f>IF(BA127="","",IFERROR(INDEX(wFirst,58)&amp;"",""))</f>
        <v>George</v>
      </c>
      <c r="BC127" t="str">
        <f>IF(BA127="","",IFERROR(INDEX(wClass,58)&amp;"",""))</f>
        <v>11S/Sc3</v>
      </c>
      <c r="BD127">
        <f>IF(BA127="","",IFERROR(INDEX(wKsBand,58)+0,""))</f>
        <v>7</v>
      </c>
      <c r="BE127">
        <f>IF(BA127="","",IFERROR(INDEX(wTests,58)+0,0))</f>
        <v>6</v>
      </c>
      <c r="BF127">
        <f>IF(BA127="","",IFERROR(INDEX(wMean,58)+0,""))</f>
        <v>6.16666666666667</v>
      </c>
      <c r="BG127">
        <f>IF(BA127="","",IFERROR(INDEX(wVs,58)+0,""))</f>
        <v>-0.283759018759018</v>
      </c>
      <c r="BH127">
        <f>IF(OR(BA127="",wLatest=""),"",IFERROR(INDEX(wData,58,MATCH(wLatest&amp;CHAR(10)&amp;"Stanine",wHdr,0))+0,""))</f>
        <v>7</v>
      </c>
      <c r="BI127" t="str">
        <f>IF(BA127="","",IF(AND(ISNUMBER(BG127),N(BE127)&gt;=WlMinTests,BG127&lt;=-WlGap),"Below expected for KS2",IF(AND(NOT(ISNUMBER(BD127)),ISNUMBER(BF127),N(BE127)&gt;=WlMinTests,BF127&lt;=WlLowMean),"Low results, no KS2 data","")))</f>
        <v/>
      </c>
      <c r="BJ127" t="str">
        <f>IF(BI127="","",IF(BI127="Below expected for KS2",BG127,100+BF127)+ROW()/1000000)</f>
        <v/>
      </c>
    </row>
    <row r="128">
      <c r="H128" t="str">
        <f>IFERROR(INDEX(tblY7[Class],ROWS(H$10:H128))&amp;"","")</f>
        <v>7B/Sc3</v>
      </c>
      <c r="I128" t="str">
        <f>IF(H128="","",IF(COUNTIF(H$10:H128,H128)=1,COUNTIF(H$10:H$609,"&lt;"&amp;H128)+1,""))</f>
        <v/>
      </c>
      <c r="J128" t="str">
        <f>IFERROR(INDEX(tblY8[Class],ROWS(J$10:J128))&amp;"","")</f>
        <v/>
      </c>
      <c r="K128" t="str">
        <f>IF(J128="","",IF(COUNTIF(J$10:J128,J128)=1,COUNTIF(J$10:J$609,"&lt;"&amp;J128)+1,""))</f>
        <v/>
      </c>
      <c r="L128" t="str">
        <f>IFERROR(INDEX(tblY9[Class],ROWS(L$10:L128))&amp;"","")</f>
        <v>9B/Sc2</v>
      </c>
      <c r="M128" t="str">
        <f>IF(L128="","",IF(COUNTIF(L$10:L128,L128)=1,COUNTIF(L$10:L$609,"&lt;"&amp;L128)+1,""))</f>
        <v/>
      </c>
      <c r="N128" t="str">
        <f>IFERROR(INDEX(tblY10[Class],ROWS(N$10:N128))&amp;"","")</f>
        <v/>
      </c>
      <c r="O128" t="str">
        <f>IF(N128="","",IF(COUNTIF(N$10:N128,N128)=1,COUNTIF(N$10:N$609,"&lt;"&amp;N128)+1,""))</f>
        <v/>
      </c>
      <c r="P128" t="str">
        <f>IFERROR(INDEX(tblY11[Class],ROWS(P$10:P128))&amp;"","")</f>
        <v/>
      </c>
      <c r="Q128" t="str">
        <f>IF(P128="","",IF(COUNTIF(P$10:P128,P128)=1,COUNTIF(P$10:P$609,"&lt;"&amp;P128)+1,""))</f>
        <v/>
      </c>
      <c r="BA128" t="str">
        <f>IFERROR(INDEX(wLast,59)&amp;"","")</f>
        <v>Jackson</v>
      </c>
      <c r="BB128" t="str">
        <f>IF(BA128="","",IFERROR(INDEX(wFirst,59)&amp;"",""))</f>
        <v>Ella</v>
      </c>
      <c r="BC128" t="str">
        <f>IF(BA128="","",IFERROR(INDEX(wClass,59)&amp;"",""))</f>
        <v>11S/Sc3</v>
      </c>
      <c r="BD128">
        <f>IF(BA128="","",IFERROR(INDEX(wKsBand,59)+0,""))</f>
        <v>8</v>
      </c>
      <c r="BE128">
        <f>IF(BA128="","",IFERROR(INDEX(wTests,59)+0,0))</f>
        <v>6</v>
      </c>
      <c r="BF128">
        <f>IF(BA128="","",IFERROR(INDEX(wMean,59)+0,""))</f>
        <v>7.33333333333333</v>
      </c>
      <c r="BG128">
        <f>IF(BA128="","",IFERROR(INDEX(wVs,59)+0,""))</f>
        <v>0.134044011544011</v>
      </c>
      <c r="BH128">
        <f>IF(OR(BA128="",wLatest=""),"",IFERROR(INDEX(wData,59,MATCH(wLatest&amp;CHAR(10)&amp;"Stanine",wHdr,0))+0,""))</f>
        <v>8</v>
      </c>
      <c r="BI128" t="str">
        <f>IF(BA128="","",IF(AND(ISNUMBER(BG128),N(BE128)&gt;=WlMinTests,BG128&lt;=-WlGap),"Below expected for KS2",IF(AND(NOT(ISNUMBER(BD128)),ISNUMBER(BF128),N(BE128)&gt;=WlMinTests,BF128&lt;=WlLowMean),"Low results, no KS2 data","")))</f>
        <v/>
      </c>
      <c r="BJ128" t="str">
        <f>IF(BI128="","",IF(BI128="Below expected for KS2",BG128,100+BF128)+ROW()/1000000)</f>
        <v/>
      </c>
    </row>
    <row r="129">
      <c r="H129" t="str">
        <f>IFERROR(INDEX(tblY7[Class],ROWS(H$10:H129))&amp;"","")</f>
        <v>7B/Sc3</v>
      </c>
      <c r="I129" t="str">
        <f>IF(H129="","",IF(COUNTIF(H$10:H129,H129)=1,COUNTIF(H$10:H$609,"&lt;"&amp;H129)+1,""))</f>
        <v/>
      </c>
      <c r="J129" t="str">
        <f>IFERROR(INDEX(tblY8[Class],ROWS(J$10:J129))&amp;"","")</f>
        <v/>
      </c>
      <c r="K129" t="str">
        <f>IF(J129="","",IF(COUNTIF(J$10:J129,J129)=1,COUNTIF(J$10:J$609,"&lt;"&amp;J129)+1,""))</f>
        <v/>
      </c>
      <c r="L129" t="str">
        <f>IFERROR(INDEX(tblY9[Class],ROWS(L$10:L129))&amp;"","")</f>
        <v>9B/Sc2</v>
      </c>
      <c r="M129" t="str">
        <f>IF(L129="","",IF(COUNTIF(L$10:L129,L129)=1,COUNTIF(L$10:L$609,"&lt;"&amp;L129)+1,""))</f>
        <v/>
      </c>
      <c r="N129" t="str">
        <f>IFERROR(INDEX(tblY10[Class],ROWS(N$10:N129))&amp;"","")</f>
        <v/>
      </c>
      <c r="O129" t="str">
        <f>IF(N129="","",IF(COUNTIF(N$10:N129,N129)=1,COUNTIF(N$10:N$609,"&lt;"&amp;N129)+1,""))</f>
        <v/>
      </c>
      <c r="P129" t="str">
        <f>IFERROR(INDEX(tblY11[Class],ROWS(P$10:P129))&amp;"","")</f>
        <v/>
      </c>
      <c r="Q129" t="str">
        <f>IF(P129="","",IF(COUNTIF(P$10:P129,P129)=1,COUNTIF(P$10:P$609,"&lt;"&amp;P129)+1,""))</f>
        <v/>
      </c>
      <c r="BA129" t="str">
        <f>IFERROR(INDEX(wLast,60)&amp;"","")</f>
        <v>Jackson</v>
      </c>
      <c r="BB129" t="str">
        <f>IF(BA129="","",IFERROR(INDEX(wFirst,60)&amp;"",""))</f>
        <v>Theo</v>
      </c>
      <c r="BC129" t="str">
        <f>IF(BA129="","",IFERROR(INDEX(wClass,60)&amp;"",""))</f>
        <v>11S/Sc3</v>
      </c>
      <c r="BD129">
        <f>IF(BA129="","",IFERROR(INDEX(wKsBand,60)+0,""))</f>
        <v>6</v>
      </c>
      <c r="BE129">
        <f>IF(BA129="","",IFERROR(INDEX(wTests,60)+0,0))</f>
        <v>6</v>
      </c>
      <c r="BF129">
        <f>IF(BA129="","",IFERROR(INDEX(wMean,60)+0,""))</f>
        <v>5.33333333333333</v>
      </c>
      <c r="BG129">
        <f>IF(BA129="","",IFERROR(INDEX(wVs,60)+0,""))</f>
        <v>-0.368228715728716</v>
      </c>
      <c r="BH129">
        <f>IF(OR(BA129="",wLatest=""),"",IFERROR(INDEX(wData,60,MATCH(wLatest&amp;CHAR(10)&amp;"Stanine",wHdr,0))+0,""))</f>
        <v>5</v>
      </c>
      <c r="BI129" t="str">
        <f>IF(BA129="","",IF(AND(ISNUMBER(BG129),N(BE129)&gt;=WlMinTests,BG129&lt;=-WlGap),"Below expected for KS2",IF(AND(NOT(ISNUMBER(BD129)),ISNUMBER(BF129),N(BE129)&gt;=WlMinTests,BF129&lt;=WlLowMean),"Low results, no KS2 data","")))</f>
        <v/>
      </c>
      <c r="BJ129" t="str">
        <f>IF(BI129="","",IF(BI129="Below expected for KS2",BG129,100+BF129)+ROW()/1000000)</f>
        <v/>
      </c>
    </row>
    <row r="130">
      <c r="H130" t="str">
        <f>IFERROR(INDEX(tblY7[Class],ROWS(H$10:H130))&amp;"","")</f>
        <v>7B/Sc3</v>
      </c>
      <c r="I130" t="str">
        <f>IF(H130="","",IF(COUNTIF(H$10:H130,H130)=1,COUNTIF(H$10:H$609,"&lt;"&amp;H130)+1,""))</f>
        <v/>
      </c>
      <c r="J130" t="str">
        <f>IFERROR(INDEX(tblY8[Class],ROWS(J$10:J130))&amp;"","")</f>
        <v/>
      </c>
      <c r="K130" t="str">
        <f>IF(J130="","",IF(COUNTIF(J$10:J130,J130)=1,COUNTIF(J$10:J$609,"&lt;"&amp;J130)+1,""))</f>
        <v/>
      </c>
      <c r="L130" t="str">
        <f>IFERROR(INDEX(tblY9[Class],ROWS(L$10:L130))&amp;"","")</f>
        <v>9B/Sc2</v>
      </c>
      <c r="M130" t="str">
        <f>IF(L130="","",IF(COUNTIF(L$10:L130,L130)=1,COUNTIF(L$10:L$609,"&lt;"&amp;L130)+1,""))</f>
        <v/>
      </c>
      <c r="N130" t="str">
        <f>IFERROR(INDEX(tblY10[Class],ROWS(N$10:N130))&amp;"","")</f>
        <v/>
      </c>
      <c r="O130" t="str">
        <f>IF(N130="","",IF(COUNTIF(N$10:N130,N130)=1,COUNTIF(N$10:N$609,"&lt;"&amp;N130)+1,""))</f>
        <v/>
      </c>
      <c r="P130" t="str">
        <f>IFERROR(INDEX(tblY11[Class],ROWS(P$10:P130))&amp;"","")</f>
        <v/>
      </c>
      <c r="Q130" t="str">
        <f>IF(P130="","",IF(COUNTIF(P$10:P130,P130)=1,COUNTIF(P$10:P$609,"&lt;"&amp;P130)+1,""))</f>
        <v/>
      </c>
      <c r="BA130" t="str">
        <f>IFERROR(INDEX(wLast,61)&amp;"","")</f>
        <v>Johnson</v>
      </c>
      <c r="BB130" t="str">
        <f>IF(BA130="","",IFERROR(INDEX(wFirst,61)&amp;"",""))</f>
        <v>Kai</v>
      </c>
      <c r="BC130" t="str">
        <f>IF(BA130="","",IFERROR(INDEX(wClass,61)&amp;"",""))</f>
        <v>11S/Sc3</v>
      </c>
      <c r="BD130">
        <f>IF(BA130="","",IFERROR(INDEX(wKsBand,61)+0,""))</f>
        <v>5</v>
      </c>
      <c r="BE130">
        <f>IF(BA130="","",IFERROR(INDEX(wTests,61)+0,0))</f>
        <v>6</v>
      </c>
      <c r="BF130">
        <f>IF(BA130="","",IFERROR(INDEX(wMean,61)+0,""))</f>
        <v>4.5</v>
      </c>
      <c r="BG130">
        <f>IF(BA130="","",IFERROR(INDEX(wVs,61)+0,""))</f>
        <v>-0.452698412698412</v>
      </c>
      <c r="BH130">
        <f>IF(OR(BA130="",wLatest=""),"",IFERROR(INDEX(wData,61,MATCH(wLatest&amp;CHAR(10)&amp;"Stanine",wHdr,0))+0,""))</f>
        <v>5</v>
      </c>
      <c r="BI130" t="str">
        <f>IF(BA130="","",IF(AND(ISNUMBER(BG130),N(BE130)&gt;=WlMinTests,BG130&lt;=-WlGap),"Below expected for KS2",IF(AND(NOT(ISNUMBER(BD130)),ISNUMBER(BF130),N(BE130)&gt;=WlMinTests,BF130&lt;=WlLowMean),"Low results, no KS2 data","")))</f>
        <v/>
      </c>
      <c r="BJ130" t="str">
        <f>IF(BI130="","",IF(BI130="Below expected for KS2",BG130,100+BF130)+ROW()/1000000)</f>
        <v/>
      </c>
    </row>
    <row r="131">
      <c r="H131" t="str">
        <f>IFERROR(INDEX(tblY7[Class],ROWS(H$10:H131))&amp;"","")</f>
        <v>7B/Sc3</v>
      </c>
      <c r="I131" t="str">
        <f>IF(H131="","",IF(COUNTIF(H$10:H131,H131)=1,COUNTIF(H$10:H$609,"&lt;"&amp;H131)+1,""))</f>
        <v/>
      </c>
      <c r="J131" t="str">
        <f>IFERROR(INDEX(tblY8[Class],ROWS(J$10:J131))&amp;"","")</f>
        <v/>
      </c>
      <c r="K131" t="str">
        <f>IF(J131="","",IF(COUNTIF(J$10:J131,J131)=1,COUNTIF(J$10:J$609,"&lt;"&amp;J131)+1,""))</f>
        <v/>
      </c>
      <c r="L131" t="str">
        <f>IFERROR(INDEX(tblY9[Class],ROWS(L$10:L131))&amp;"","")</f>
        <v>9B/Sc2</v>
      </c>
      <c r="M131" t="str">
        <f>IF(L131="","",IF(COUNTIF(L$10:L131,L131)=1,COUNTIF(L$10:L$609,"&lt;"&amp;L131)+1,""))</f>
        <v/>
      </c>
      <c r="N131" t="str">
        <f>IFERROR(INDEX(tblY10[Class],ROWS(N$10:N131))&amp;"","")</f>
        <v/>
      </c>
      <c r="O131" t="str">
        <f>IF(N131="","",IF(COUNTIF(N$10:N131,N131)=1,COUNTIF(N$10:N$609,"&lt;"&amp;N131)+1,""))</f>
        <v/>
      </c>
      <c r="P131" t="str">
        <f>IFERROR(INDEX(tblY11[Class],ROWS(P$10:P131))&amp;"","")</f>
        <v/>
      </c>
      <c r="Q131" t="str">
        <f>IF(P131="","",IF(COUNTIF(P$10:P131,P131)=1,COUNTIF(P$10:P$609,"&lt;"&amp;P131)+1,""))</f>
        <v/>
      </c>
      <c r="BA131" t="str">
        <f>IFERROR(INDEX(wLast,62)&amp;"","")</f>
        <v>Johnson</v>
      </c>
      <c r="BB131" t="str">
        <f>IF(BA131="","",IFERROR(INDEX(wFirst,62)&amp;"",""))</f>
        <v>Oscar</v>
      </c>
      <c r="BC131" t="str">
        <f>IF(BA131="","",IFERROR(INDEX(wClass,62)&amp;"",""))</f>
        <v>11S/Sc3</v>
      </c>
      <c r="BD131">
        <f>IF(BA131="","",IFERROR(INDEX(wKsBand,62)+0,""))</f>
        <v>5</v>
      </c>
      <c r="BE131">
        <f>IF(BA131="","",IFERROR(INDEX(wTests,62)+0,0))</f>
        <v>6</v>
      </c>
      <c r="BF131">
        <f>IF(BA131="","",IFERROR(INDEX(wMean,62)+0,""))</f>
        <v>4.66666666666667</v>
      </c>
      <c r="BG131">
        <f>IF(BA131="","",IFERROR(INDEX(wVs,62)+0,""))</f>
        <v>-0.286031746031745</v>
      </c>
      <c r="BH131">
        <f>IF(OR(BA131="",wLatest=""),"",IFERROR(INDEX(wData,62,MATCH(wLatest&amp;CHAR(10)&amp;"Stanine",wHdr,0))+0,""))</f>
        <v>3</v>
      </c>
      <c r="BI131" t="str">
        <f>IF(BA131="","",IF(AND(ISNUMBER(BG131),N(BE131)&gt;=WlMinTests,BG131&lt;=-WlGap),"Below expected for KS2",IF(AND(NOT(ISNUMBER(BD131)),ISNUMBER(BF131),N(BE131)&gt;=WlMinTests,BF131&lt;=WlLowMean),"Low results, no KS2 data","")))</f>
        <v/>
      </c>
      <c r="BJ131" t="str">
        <f>IF(BI131="","",IF(BI131="Below expected for KS2",BG131,100+BF131)+ROW()/1000000)</f>
        <v/>
      </c>
    </row>
    <row r="132">
      <c r="H132" t="str">
        <f>IFERROR(INDEX(tblY7[Class],ROWS(H$10:H132))&amp;"","")</f>
        <v>7B/Sc3</v>
      </c>
      <c r="I132" t="str">
        <f>IF(H132="","",IF(COUNTIF(H$10:H132,H132)=1,COUNTIF(H$10:H$609,"&lt;"&amp;H132)+1,""))</f>
        <v/>
      </c>
      <c r="J132" t="str">
        <f>IFERROR(INDEX(tblY8[Class],ROWS(J$10:J132))&amp;"","")</f>
        <v/>
      </c>
      <c r="K132" t="str">
        <f>IF(J132="","",IF(COUNTIF(J$10:J132,J132)=1,COUNTIF(J$10:J$609,"&lt;"&amp;J132)+1,""))</f>
        <v/>
      </c>
      <c r="L132" t="str">
        <f>IFERROR(INDEX(tblY9[Class],ROWS(L$10:L132))&amp;"","")</f>
        <v>Science Support</v>
      </c>
      <c r="M132">
        <f>IF(L132="","",IF(COUNTIF(L$10:L132,L132)=1,COUNTIF(L$10:L$609,"&lt;"&amp;L132)+1,""))</f>
        <v>598</v>
      </c>
      <c r="N132" t="str">
        <f>IFERROR(INDEX(tblY10[Class],ROWS(N$10:N132))&amp;"","")</f>
        <v/>
      </c>
      <c r="O132" t="str">
        <f>IF(N132="","",IF(COUNTIF(N$10:N132,N132)=1,COUNTIF(N$10:N$609,"&lt;"&amp;N132)+1,""))</f>
        <v/>
      </c>
      <c r="P132" t="str">
        <f>IFERROR(INDEX(tblY11[Class],ROWS(P$10:P132))&amp;"","")</f>
        <v/>
      </c>
      <c r="Q132" t="str">
        <f>IF(P132="","",IF(COUNTIF(P$10:P132,P132)=1,COUNTIF(P$10:P$609,"&lt;"&amp;P132)+1,""))</f>
        <v/>
      </c>
      <c r="BA132" t="str">
        <f>IFERROR(INDEX(wLast,63)&amp;"","")</f>
        <v>Kelly</v>
      </c>
      <c r="BB132" t="str">
        <f>IF(BA132="","",IFERROR(INDEX(wFirst,63)&amp;"",""))</f>
        <v>Niamh</v>
      </c>
      <c r="BC132" t="str">
        <f>IF(BA132="","",IFERROR(INDEX(wClass,63)&amp;"",""))</f>
        <v>11S/Sc3</v>
      </c>
      <c r="BD132">
        <f>IF(BA132="","",IFERROR(INDEX(wKsBand,63)+0,""))</f>
        <v>8</v>
      </c>
      <c r="BE132">
        <f>IF(BA132="","",IFERROR(INDEX(wTests,63)+0,0))</f>
        <v>5</v>
      </c>
      <c r="BF132">
        <f>IF(BA132="","",IFERROR(INDEX(wMean,63)+0,""))</f>
        <v>5.6</v>
      </c>
      <c r="BG132">
        <f>IF(BA132="","",IFERROR(INDEX(wVs,63)+0,""))</f>
        <v>-1.59928932178932</v>
      </c>
      <c r="BH132" t="str">
        <f>IF(OR(BA132="",wLatest=""),"",IFERROR(INDEX(wData,63,MATCH(wLatest&amp;CHAR(10)&amp;"Stanine",wHdr,0))+0,""))</f>
        <v/>
      </c>
      <c r="BI132" t="str">
        <f>IF(BA132="","",IF(AND(ISNUMBER(BG132),N(BE132)&gt;=WlMinTests,BG132&lt;=-WlGap),"Below expected for KS2",IF(AND(NOT(ISNUMBER(BD132)),ISNUMBER(BF132),N(BE132)&gt;=WlMinTests,BF132&lt;=WlLowMean),"Low results, no KS2 data","")))</f>
        <v>Below expected for KS2</v>
      </c>
      <c r="BJ132">
        <f>IF(BI132="","",IF(BI132="Below expected for KS2",BG132,100+BF132)+ROW()/1000000)</f>
        <v>-1.59915732178932</v>
      </c>
    </row>
    <row r="133">
      <c r="H133" t="str">
        <f>IFERROR(INDEX(tblY7[Class],ROWS(H$10:H133))&amp;"","")</f>
        <v>7B/Sc3</v>
      </c>
      <c r="I133" t="str">
        <f>IF(H133="","",IF(COUNTIF(H$10:H133,H133)=1,COUNTIF(H$10:H$609,"&lt;"&amp;H133)+1,""))</f>
        <v/>
      </c>
      <c r="J133" t="str">
        <f>IFERROR(INDEX(tblY8[Class],ROWS(J$10:J133))&amp;"","")</f>
        <v/>
      </c>
      <c r="K133" t="str">
        <f>IF(J133="","",IF(COUNTIF(J$10:J133,J133)=1,COUNTIF(J$10:J$609,"&lt;"&amp;J133)+1,""))</f>
        <v/>
      </c>
      <c r="L133" t="str">
        <f>IFERROR(INDEX(tblY9[Class],ROWS(L$10:L133))&amp;"","")</f>
        <v>Science Support</v>
      </c>
      <c r="M133" t="str">
        <f>IF(L133="","",IF(COUNTIF(L$10:L133,L133)=1,COUNTIF(L$10:L$609,"&lt;"&amp;L133)+1,""))</f>
        <v/>
      </c>
      <c r="N133" t="str">
        <f>IFERROR(INDEX(tblY10[Class],ROWS(N$10:N133))&amp;"","")</f>
        <v/>
      </c>
      <c r="O133" t="str">
        <f>IF(N133="","",IF(COUNTIF(N$10:N133,N133)=1,COUNTIF(N$10:N$609,"&lt;"&amp;N133)+1,""))</f>
        <v/>
      </c>
      <c r="P133" t="str">
        <f>IFERROR(INDEX(tblY11[Class],ROWS(P$10:P133))&amp;"","")</f>
        <v/>
      </c>
      <c r="Q133" t="str">
        <f>IF(P133="","",IF(COUNTIF(P$10:P133,P133)=1,COUNTIF(P$10:P$609,"&lt;"&amp;P133)+1,""))</f>
        <v/>
      </c>
      <c r="BA133" t="str">
        <f>IFERROR(INDEX(wLast,64)&amp;"","")</f>
        <v>Khan</v>
      </c>
      <c r="BB133" t="str">
        <f>IF(BA133="","",IFERROR(INDEX(wFirst,64)&amp;"",""))</f>
        <v>Megan</v>
      </c>
      <c r="BC133" t="str">
        <f>IF(BA133="","",IFERROR(INDEX(wClass,64)&amp;"",""))</f>
        <v>11S/Sc3</v>
      </c>
      <c r="BD133">
        <f>IF(BA133="","",IFERROR(INDEX(wKsBand,64)+0,""))</f>
        <v>8</v>
      </c>
      <c r="BE133">
        <f>IF(BA133="","",IFERROR(INDEX(wTests,64)+0,0))</f>
        <v>6</v>
      </c>
      <c r="BF133">
        <f>IF(BA133="","",IFERROR(INDEX(wMean,64)+0,""))</f>
        <v>7.83333333333333</v>
      </c>
      <c r="BG133">
        <f>IF(BA133="","",IFERROR(INDEX(wVs,64)+0,""))</f>
        <v>0.634044011544011</v>
      </c>
      <c r="BH133">
        <f>IF(OR(BA133="",wLatest=""),"",IFERROR(INDEX(wData,64,MATCH(wLatest&amp;CHAR(10)&amp;"Stanine",wHdr,0))+0,""))</f>
        <v>7</v>
      </c>
      <c r="BI133" t="str">
        <f>IF(BA133="","",IF(AND(ISNUMBER(BG133),N(BE133)&gt;=WlMinTests,BG133&lt;=-WlGap),"Below expected for KS2",IF(AND(NOT(ISNUMBER(BD133)),ISNUMBER(BF133),N(BE133)&gt;=WlMinTests,BF133&lt;=WlLowMean),"Low results, no KS2 data","")))</f>
        <v/>
      </c>
      <c r="BJ133" t="str">
        <f>IF(BI133="","",IF(BI133="Below expected for KS2",BG133,100+BF133)+ROW()/1000000)</f>
        <v/>
      </c>
    </row>
    <row r="134">
      <c r="H134" t="str">
        <f>IFERROR(INDEX(tblY7[Class],ROWS(H$10:H134))&amp;"","")</f>
        <v>7B/Sc3</v>
      </c>
      <c r="I134" t="str">
        <f>IF(H134="","",IF(COUNTIF(H$10:H134,H134)=1,COUNTIF(H$10:H$609,"&lt;"&amp;H134)+1,""))</f>
        <v/>
      </c>
      <c r="J134" t="str">
        <f>IFERROR(INDEX(tblY8[Class],ROWS(J$10:J134))&amp;"","")</f>
        <v/>
      </c>
      <c r="K134" t="str">
        <f>IF(J134="","",IF(COUNTIF(J$10:J134,J134)=1,COUNTIF(J$10:J$609,"&lt;"&amp;J134)+1,""))</f>
        <v/>
      </c>
      <c r="L134" t="str">
        <f>IFERROR(INDEX(tblY9[Class],ROWS(L$10:L134))&amp;"","")</f>
        <v>Science Support</v>
      </c>
      <c r="M134" t="str">
        <f>IF(L134="","",IF(COUNTIF(L$10:L134,L134)=1,COUNTIF(L$10:L$609,"&lt;"&amp;L134)+1,""))</f>
        <v/>
      </c>
      <c r="N134" t="str">
        <f>IFERROR(INDEX(tblY10[Class],ROWS(N$10:N134))&amp;"","")</f>
        <v/>
      </c>
      <c r="O134" t="str">
        <f>IF(N134="","",IF(COUNTIF(N$10:N134,N134)=1,COUNTIF(N$10:N$609,"&lt;"&amp;N134)+1,""))</f>
        <v/>
      </c>
      <c r="P134" t="str">
        <f>IFERROR(INDEX(tblY11[Class],ROWS(P$10:P134))&amp;"","")</f>
        <v/>
      </c>
      <c r="Q134" t="str">
        <f>IF(P134="","",IF(COUNTIF(P$10:P134,P134)=1,COUNTIF(P$10:P$609,"&lt;"&amp;P134)+1,""))</f>
        <v/>
      </c>
      <c r="BA134" t="str">
        <f>IFERROR(INDEX(wLast,65)&amp;"","")</f>
        <v>Mistry</v>
      </c>
      <c r="BB134" t="str">
        <f>IF(BA134="","",IFERROR(INDEX(wFirst,65)&amp;"",""))</f>
        <v>Jacob</v>
      </c>
      <c r="BC134" t="str">
        <f>IF(BA134="","",IFERROR(INDEX(wClass,65)&amp;"",""))</f>
        <v>11S/Sc3</v>
      </c>
      <c r="BD134">
        <f>IF(BA134="","",IFERROR(INDEX(wKsBand,65)+0,""))</f>
        <v>2</v>
      </c>
      <c r="BE134">
        <f>IF(BA134="","",IFERROR(INDEX(wTests,65)+0,0))</f>
        <v>5</v>
      </c>
      <c r="BF134">
        <f>IF(BA134="","",IFERROR(INDEX(wMean,65)+0,""))</f>
        <v>4.2</v>
      </c>
      <c r="BG134">
        <f>IF(BA134="","",IFERROR(INDEX(wVs,65)+0,""))</f>
        <v>1.4938924963925</v>
      </c>
      <c r="BH134">
        <f>IF(OR(BA134="",wLatest=""),"",IFERROR(INDEX(wData,65,MATCH(wLatest&amp;CHAR(10)&amp;"Stanine",wHdr,0))+0,""))</f>
        <v>4</v>
      </c>
      <c r="BI134" t="str">
        <f>IF(BA134="","",IF(AND(ISNUMBER(BG134),N(BE134)&gt;=WlMinTests,BG134&lt;=-WlGap),"Below expected for KS2",IF(AND(NOT(ISNUMBER(BD134)),ISNUMBER(BF134),N(BE134)&gt;=WlMinTests,BF134&lt;=WlLowMean),"Low results, no KS2 data","")))</f>
        <v/>
      </c>
      <c r="BJ134" t="str">
        <f>IF(BI134="","",IF(BI134="Below expected for KS2",BG134,100+BF134)+ROW()/1000000)</f>
        <v/>
      </c>
    </row>
    <row r="135">
      <c r="H135" t="str">
        <f>IFERROR(INDEX(tblY7[Class],ROWS(H$10:H135))&amp;"","")</f>
        <v>7B/Sc3</v>
      </c>
      <c r="I135" t="str">
        <f>IF(H135="","",IF(COUNTIF(H$10:H135,H135)=1,COUNTIF(H$10:H$609,"&lt;"&amp;H135)+1,""))</f>
        <v/>
      </c>
      <c r="J135" t="str">
        <f>IFERROR(INDEX(tblY8[Class],ROWS(J$10:J135))&amp;"","")</f>
        <v/>
      </c>
      <c r="K135" t="str">
        <f>IF(J135="","",IF(COUNTIF(J$10:J135,J135)=1,COUNTIF(J$10:J$609,"&lt;"&amp;J135)+1,""))</f>
        <v/>
      </c>
      <c r="L135" t="str">
        <f>IFERROR(INDEX(tblY9[Class],ROWS(L$10:L135))&amp;"","")</f>
        <v/>
      </c>
      <c r="M135" t="str">
        <f>IF(L135="","",IF(COUNTIF(L$10:L135,L135)=1,COUNTIF(L$10:L$609,"&lt;"&amp;L135)+1,""))</f>
        <v/>
      </c>
      <c r="N135" t="str">
        <f>IFERROR(INDEX(tblY10[Class],ROWS(N$10:N135))&amp;"","")</f>
        <v/>
      </c>
      <c r="O135" t="str">
        <f>IF(N135="","",IF(COUNTIF(N$10:N135,N135)=1,COUNTIF(N$10:N$609,"&lt;"&amp;N135)+1,""))</f>
        <v/>
      </c>
      <c r="P135" t="str">
        <f>IFERROR(INDEX(tblY11[Class],ROWS(P$10:P135))&amp;"","")</f>
        <v/>
      </c>
      <c r="Q135" t="str">
        <f>IF(P135="","",IF(COUNTIF(P$10:P135,P135)=1,COUNTIF(P$10:P$609,"&lt;"&amp;P135)+1,""))</f>
        <v/>
      </c>
      <c r="BA135" t="str">
        <f>IFERROR(INDEX(wLast,66)&amp;"","")</f>
        <v>Mistry</v>
      </c>
      <c r="BB135" t="str">
        <f>IF(BA135="","",IFERROR(INDEX(wFirst,66)&amp;"",""))</f>
        <v>Lewis</v>
      </c>
      <c r="BC135" t="str">
        <f>IF(BA135="","",IFERROR(INDEX(wClass,66)&amp;"",""))</f>
        <v>11S/Sc3</v>
      </c>
      <c r="BD135">
        <f>IF(BA135="","",IFERROR(INDEX(wKsBand,66)+0,""))</f>
        <v>1</v>
      </c>
      <c r="BE135">
        <f>IF(BA135="","",IFERROR(INDEX(wTests,66)+0,0))</f>
        <v>6</v>
      </c>
      <c r="BF135">
        <f>IF(BA135="","",IFERROR(INDEX(wMean,66)+0,""))</f>
        <v>1.33333333333333</v>
      </c>
      <c r="BG135">
        <f>IF(BA135="","",IFERROR(INDEX(wVs,66)+0,""))</f>
        <v>-0.623910533910533</v>
      </c>
      <c r="BH135">
        <f>IF(OR(BA135="",wLatest=""),"",IFERROR(INDEX(wData,66,MATCH(wLatest&amp;CHAR(10)&amp;"Stanine",wHdr,0))+0,""))</f>
        <v>2</v>
      </c>
      <c r="BI135" t="str">
        <f>IF(BA135="","",IF(AND(ISNUMBER(BG135),N(BE135)&gt;=WlMinTests,BG135&lt;=-WlGap),"Below expected for KS2",IF(AND(NOT(ISNUMBER(BD135)),ISNUMBER(BF135),N(BE135)&gt;=WlMinTests,BF135&lt;=WlLowMean),"Low results, no KS2 data","")))</f>
        <v/>
      </c>
      <c r="BJ135" t="str">
        <f>IF(BI135="","",IF(BI135="Below expected for KS2",BG135,100+BF135)+ROW()/1000000)</f>
        <v/>
      </c>
    </row>
    <row r="136">
      <c r="H136" t="str">
        <f>IFERROR(INDEX(tblY7[Class],ROWS(H$10:H136))&amp;"","")</f>
        <v>7B/Sc3</v>
      </c>
      <c r="I136" t="str">
        <f>IF(H136="","",IF(COUNTIF(H$10:H136,H136)=1,COUNTIF(H$10:H$609,"&lt;"&amp;H136)+1,""))</f>
        <v/>
      </c>
      <c r="J136" t="str">
        <f>IFERROR(INDEX(tblY8[Class],ROWS(J$10:J136))&amp;"","")</f>
        <v/>
      </c>
      <c r="K136" t="str">
        <f>IF(J136="","",IF(COUNTIF(J$10:J136,J136)=1,COUNTIF(J$10:J$609,"&lt;"&amp;J136)+1,""))</f>
        <v/>
      </c>
      <c r="L136" t="str">
        <f>IFERROR(INDEX(tblY9[Class],ROWS(L$10:L136))&amp;"","")</f>
        <v/>
      </c>
      <c r="M136" t="str">
        <f>IF(L136="","",IF(COUNTIF(L$10:L136,L136)=1,COUNTIF(L$10:L$609,"&lt;"&amp;L136)+1,""))</f>
        <v/>
      </c>
      <c r="N136" t="str">
        <f>IFERROR(INDEX(tblY10[Class],ROWS(N$10:N136))&amp;"","")</f>
        <v/>
      </c>
      <c r="O136" t="str">
        <f>IF(N136="","",IF(COUNTIF(N$10:N136,N136)=1,COUNTIF(N$10:N$609,"&lt;"&amp;N136)+1,""))</f>
        <v/>
      </c>
      <c r="P136" t="str">
        <f>IFERROR(INDEX(tblY11[Class],ROWS(P$10:P136))&amp;"","")</f>
        <v/>
      </c>
      <c r="Q136" t="str">
        <f>IF(P136="","",IF(COUNTIF(P$10:P136,P136)=1,COUNTIF(P$10:P$609,"&lt;"&amp;P136)+1,""))</f>
        <v/>
      </c>
      <c r="BA136" t="str">
        <f>IFERROR(INDEX(wLast,67)&amp;"","")</f>
        <v>Murphy</v>
      </c>
      <c r="BB136" t="str">
        <f>IF(BA136="","",IFERROR(INDEX(wFirst,67)&amp;"",""))</f>
        <v>Muhammad</v>
      </c>
      <c r="BC136" t="str">
        <f>IF(BA136="","",IFERROR(INDEX(wClass,67)&amp;"",""))</f>
        <v>11S/Sc3</v>
      </c>
      <c r="BD136">
        <f>IF(BA136="","",IFERROR(INDEX(wKsBand,67)+0,""))</f>
        <v>2</v>
      </c>
      <c r="BE136">
        <f>IF(BA136="","",IFERROR(INDEX(wTests,67)+0,0))</f>
        <v>6</v>
      </c>
      <c r="BF136">
        <f>IF(BA136="","",IFERROR(INDEX(wMean,67)+0,""))</f>
        <v>1.66666666666667</v>
      </c>
      <c r="BG136">
        <f>IF(BA136="","",IFERROR(INDEX(wVs,67)+0,""))</f>
        <v>-1.03944083694084</v>
      </c>
      <c r="BH136">
        <f>IF(OR(BA136="",wLatest=""),"",IFERROR(INDEX(wData,67,MATCH(wLatest&amp;CHAR(10)&amp;"Stanine",wHdr,0))+0,""))</f>
        <v>2</v>
      </c>
      <c r="BI136" t="str">
        <f>IF(BA136="","",IF(AND(ISNUMBER(BG136),N(BE136)&gt;=WlMinTests,BG136&lt;=-WlGap),"Below expected for KS2",IF(AND(NOT(ISNUMBER(BD136)),ISNUMBER(BF136),N(BE136)&gt;=WlMinTests,BF136&lt;=WlLowMean),"Low results, no KS2 data","")))</f>
        <v/>
      </c>
      <c r="BJ136" t="str">
        <f>IF(BI136="","",IF(BI136="Below expected for KS2",BG136,100+BF136)+ROW()/1000000)</f>
        <v/>
      </c>
    </row>
    <row r="137">
      <c r="H137" t="str">
        <f>IFERROR(INDEX(tblY7[Class],ROWS(H$10:H137))&amp;"","")</f>
        <v>7B/Sc3</v>
      </c>
      <c r="I137" t="str">
        <f>IF(H137="","",IF(COUNTIF(H$10:H137,H137)=1,COUNTIF(H$10:H$609,"&lt;"&amp;H137)+1,""))</f>
        <v/>
      </c>
      <c r="J137" t="str">
        <f>IFERROR(INDEX(tblY8[Class],ROWS(J$10:J137))&amp;"","")</f>
        <v/>
      </c>
      <c r="K137" t="str">
        <f>IF(J137="","",IF(COUNTIF(J$10:J137,J137)=1,COUNTIF(J$10:J$609,"&lt;"&amp;J137)+1,""))</f>
        <v/>
      </c>
      <c r="L137" t="str">
        <f>IFERROR(INDEX(tblY9[Class],ROWS(L$10:L137))&amp;"","")</f>
        <v/>
      </c>
      <c r="M137" t="str">
        <f>IF(L137="","",IF(COUNTIF(L$10:L137,L137)=1,COUNTIF(L$10:L$609,"&lt;"&amp;L137)+1,""))</f>
        <v/>
      </c>
      <c r="N137" t="str">
        <f>IFERROR(INDEX(tblY10[Class],ROWS(N$10:N137))&amp;"","")</f>
        <v/>
      </c>
      <c r="O137" t="str">
        <f>IF(N137="","",IF(COUNTIF(N$10:N137,N137)=1,COUNTIF(N$10:N$609,"&lt;"&amp;N137)+1,""))</f>
        <v/>
      </c>
      <c r="P137" t="str">
        <f>IFERROR(INDEX(tblY11[Class],ROWS(P$10:P137))&amp;"","")</f>
        <v/>
      </c>
      <c r="Q137" t="str">
        <f>IF(P137="","",IF(COUNTIF(P$10:P137,P137)=1,COUNTIF(P$10:P$609,"&lt;"&amp;P137)+1,""))</f>
        <v/>
      </c>
      <c r="BA137" t="str">
        <f>IFERROR(INDEX(wLast,68)&amp;"","")</f>
        <v>Okafor</v>
      </c>
      <c r="BB137" t="str">
        <f>IF(BA137="","",IFERROR(INDEX(wFirst,68)&amp;"",""))</f>
        <v>Zofia</v>
      </c>
      <c r="BC137" t="str">
        <f>IF(BA137="","",IFERROR(INDEX(wClass,68)&amp;"",""))</f>
        <v>11S/Sc3</v>
      </c>
      <c r="BD137">
        <f>IF(BA137="","",IFERROR(INDEX(wKsBand,68)+0,""))</f>
        <v>5</v>
      </c>
      <c r="BE137">
        <f>IF(BA137="","",IFERROR(INDEX(wTests,68)+0,0))</f>
        <v>6</v>
      </c>
      <c r="BF137">
        <f>IF(BA137="","",IFERROR(INDEX(wMean,68)+0,""))</f>
        <v>4.5</v>
      </c>
      <c r="BG137">
        <f>IF(BA137="","",IFERROR(INDEX(wVs,68)+0,""))</f>
        <v>-0.452698412698412</v>
      </c>
      <c r="BH137">
        <f>IF(OR(BA137="",wLatest=""),"",IFERROR(INDEX(wData,68,MATCH(wLatest&amp;CHAR(10)&amp;"Stanine",wHdr,0))+0,""))</f>
        <v>6</v>
      </c>
      <c r="BI137" t="str">
        <f>IF(BA137="","",IF(AND(ISNUMBER(BG137),N(BE137)&gt;=WlMinTests,BG137&lt;=-WlGap),"Below expected for KS2",IF(AND(NOT(ISNUMBER(BD137)),ISNUMBER(BF137),N(BE137)&gt;=WlMinTests,BF137&lt;=WlLowMean),"Low results, no KS2 data","")))</f>
        <v/>
      </c>
      <c r="BJ137" t="str">
        <f>IF(BI137="","",IF(BI137="Below expected for KS2",BG137,100+BF137)+ROW()/1000000)</f>
        <v/>
      </c>
    </row>
    <row r="138">
      <c r="H138" t="str">
        <f>IFERROR(INDEX(tblY7[Class],ROWS(H$10:H138))&amp;"","")</f>
        <v>7B/Sc3</v>
      </c>
      <c r="I138" t="str">
        <f>IF(H138="","",IF(COUNTIF(H$10:H138,H138)=1,COUNTIF(H$10:H$609,"&lt;"&amp;H138)+1,""))</f>
        <v/>
      </c>
      <c r="J138" t="str">
        <f>IFERROR(INDEX(tblY8[Class],ROWS(J$10:J138))&amp;"","")</f>
        <v/>
      </c>
      <c r="K138" t="str">
        <f>IF(J138="","",IF(COUNTIF(J$10:J138,J138)=1,COUNTIF(J$10:J$609,"&lt;"&amp;J138)+1,""))</f>
        <v/>
      </c>
      <c r="L138" t="str">
        <f>IFERROR(INDEX(tblY9[Class],ROWS(L$10:L138))&amp;"","")</f>
        <v/>
      </c>
      <c r="M138" t="str">
        <f>IF(L138="","",IF(COUNTIF(L$10:L138,L138)=1,COUNTIF(L$10:L$609,"&lt;"&amp;L138)+1,""))</f>
        <v/>
      </c>
      <c r="N138" t="str">
        <f>IFERROR(INDEX(tblY10[Class],ROWS(N$10:N138))&amp;"","")</f>
        <v/>
      </c>
      <c r="O138" t="str">
        <f>IF(N138="","",IF(COUNTIF(N$10:N138,N138)=1,COUNTIF(N$10:N$609,"&lt;"&amp;N138)+1,""))</f>
        <v/>
      </c>
      <c r="P138" t="str">
        <f>IFERROR(INDEX(tblY11[Class],ROWS(P$10:P138))&amp;"","")</f>
        <v/>
      </c>
      <c r="Q138" t="str">
        <f>IF(P138="","",IF(COUNTIF(P$10:P138,P138)=1,COUNTIF(P$10:P$609,"&lt;"&amp;P138)+1,""))</f>
        <v/>
      </c>
      <c r="BA138" t="str">
        <f>IFERROR(INDEX(wLast,69)&amp;"","")</f>
        <v>Patel</v>
      </c>
      <c r="BB138" t="str">
        <f>IF(BA138="","",IFERROR(INDEX(wFirst,69)&amp;"",""))</f>
        <v>Layla</v>
      </c>
      <c r="BC138" t="str">
        <f>IF(BA138="","",IFERROR(INDEX(wClass,69)&amp;"",""))</f>
        <v>11S/Sc3</v>
      </c>
      <c r="BD138">
        <f>IF(BA138="","",IFERROR(INDEX(wKsBand,69)+0,""))</f>
        <v>1</v>
      </c>
      <c r="BE138">
        <f>IF(BA138="","",IFERROR(INDEX(wTests,69)+0,0))</f>
        <v>6</v>
      </c>
      <c r="BF138">
        <f>IF(BA138="","",IFERROR(INDEX(wMean,69)+0,""))</f>
        <v>4.5</v>
      </c>
      <c r="BG138">
        <f>IF(BA138="","",IFERROR(INDEX(wVs,69)+0,""))</f>
        <v>2.54275613275613</v>
      </c>
      <c r="BH138">
        <f>IF(OR(BA138="",wLatest=""),"",IFERROR(INDEX(wData,69,MATCH(wLatest&amp;CHAR(10)&amp;"Stanine",wHdr,0))+0,""))</f>
        <v>3</v>
      </c>
      <c r="BI138" t="str">
        <f>IF(BA138="","",IF(AND(ISNUMBER(BG138),N(BE138)&gt;=WlMinTests,BG138&lt;=-WlGap),"Below expected for KS2",IF(AND(NOT(ISNUMBER(BD138)),ISNUMBER(BF138),N(BE138)&gt;=WlMinTests,BF138&lt;=WlLowMean),"Low results, no KS2 data","")))</f>
        <v/>
      </c>
      <c r="BJ138" t="str">
        <f>IF(BI138="","",IF(BI138="Below expected for KS2",BG138,100+BF138)+ROW()/1000000)</f>
        <v/>
      </c>
    </row>
    <row r="139">
      <c r="H139" t="str">
        <f>IFERROR(INDEX(tblY7[Class],ROWS(H$10:H139))&amp;"","")</f>
        <v>7B/Sc3</v>
      </c>
      <c r="I139" t="str">
        <f>IF(H139="","",IF(COUNTIF(H$10:H139,H139)=1,COUNTIF(H$10:H$609,"&lt;"&amp;H139)+1,""))</f>
        <v/>
      </c>
      <c r="J139" t="str">
        <f>IFERROR(INDEX(tblY8[Class],ROWS(J$10:J139))&amp;"","")</f>
        <v/>
      </c>
      <c r="K139" t="str">
        <f>IF(J139="","",IF(COUNTIF(J$10:J139,J139)=1,COUNTIF(J$10:J$609,"&lt;"&amp;J139)+1,""))</f>
        <v/>
      </c>
      <c r="L139" t="str">
        <f>IFERROR(INDEX(tblY9[Class],ROWS(L$10:L139))&amp;"","")</f>
        <v/>
      </c>
      <c r="M139" t="str">
        <f>IF(L139="","",IF(COUNTIF(L$10:L139,L139)=1,COUNTIF(L$10:L$609,"&lt;"&amp;L139)+1,""))</f>
        <v/>
      </c>
      <c r="N139" t="str">
        <f>IFERROR(INDEX(tblY10[Class],ROWS(N$10:N139))&amp;"","")</f>
        <v/>
      </c>
      <c r="O139" t="str">
        <f>IF(N139="","",IF(COUNTIF(N$10:N139,N139)=1,COUNTIF(N$10:N$609,"&lt;"&amp;N139)+1,""))</f>
        <v/>
      </c>
      <c r="P139" t="str">
        <f>IFERROR(INDEX(tblY11[Class],ROWS(P$10:P139))&amp;"","")</f>
        <v/>
      </c>
      <c r="Q139" t="str">
        <f>IF(P139="","",IF(COUNTIF(P$10:P139,P139)=1,COUNTIF(P$10:P$609,"&lt;"&amp;P139)+1,""))</f>
        <v/>
      </c>
      <c r="BA139" t="str">
        <f>IFERROR(INDEX(wLast,70)&amp;"","")</f>
        <v>Patel</v>
      </c>
      <c r="BB139" t="str">
        <f>IF(BA139="","",IFERROR(INDEX(wFirst,70)&amp;"",""))</f>
        <v>Priya</v>
      </c>
      <c r="BC139" t="str">
        <f>IF(BA139="","",IFERROR(INDEX(wClass,70)&amp;"",""))</f>
        <v>11S/Sc3</v>
      </c>
      <c r="BD139">
        <f>IF(BA139="","",IFERROR(INDEX(wKsBand,70)+0,""))</f>
        <v>4</v>
      </c>
      <c r="BE139">
        <f>IF(BA139="","",IFERROR(INDEX(wTests,70)+0,0))</f>
        <v>6</v>
      </c>
      <c r="BF139">
        <f>IF(BA139="","",IFERROR(INDEX(wMean,70)+0,""))</f>
        <v>4.5</v>
      </c>
      <c r="BG139">
        <f>IF(BA139="","",IFERROR(INDEX(wVs,70)+0,""))</f>
        <v>0.296165223665224</v>
      </c>
      <c r="BH139">
        <f>IF(OR(BA139="",wLatest=""),"",IFERROR(INDEX(wData,70,MATCH(wLatest&amp;CHAR(10)&amp;"Stanine",wHdr,0))+0,""))</f>
        <v>5</v>
      </c>
      <c r="BI139" t="str">
        <f>IF(BA139="","",IF(AND(ISNUMBER(BG139),N(BE139)&gt;=WlMinTests,BG139&lt;=-WlGap),"Below expected for KS2",IF(AND(NOT(ISNUMBER(BD139)),ISNUMBER(BF139),N(BE139)&gt;=WlMinTests,BF139&lt;=WlLowMean),"Low results, no KS2 data","")))</f>
        <v/>
      </c>
      <c r="BJ139" t="str">
        <f>IF(BI139="","",IF(BI139="Below expected for KS2",BG139,100+BF139)+ROW()/1000000)</f>
        <v/>
      </c>
    </row>
    <row r="140">
      <c r="H140" t="str">
        <f>IFERROR(INDEX(tblY7[Class],ROWS(H$10:H140))&amp;"","")</f>
        <v>7B/Sc3</v>
      </c>
      <c r="I140" t="str">
        <f>IF(H140="","",IF(COUNTIF(H$10:H140,H140)=1,COUNTIF(H$10:H$609,"&lt;"&amp;H140)+1,""))</f>
        <v/>
      </c>
      <c r="J140" t="str">
        <f>IFERROR(INDEX(tblY8[Class],ROWS(J$10:J140))&amp;"","")</f>
        <v/>
      </c>
      <c r="K140" t="str">
        <f>IF(J140="","",IF(COUNTIF(J$10:J140,J140)=1,COUNTIF(J$10:J$609,"&lt;"&amp;J140)+1,""))</f>
        <v/>
      </c>
      <c r="L140" t="str">
        <f>IFERROR(INDEX(tblY9[Class],ROWS(L$10:L140))&amp;"","")</f>
        <v/>
      </c>
      <c r="M140" t="str">
        <f>IF(L140="","",IF(COUNTIF(L$10:L140,L140)=1,COUNTIF(L$10:L$609,"&lt;"&amp;L140)+1,""))</f>
        <v/>
      </c>
      <c r="N140" t="str">
        <f>IFERROR(INDEX(tblY10[Class],ROWS(N$10:N140))&amp;"","")</f>
        <v/>
      </c>
      <c r="O140" t="str">
        <f>IF(N140="","",IF(COUNTIF(N$10:N140,N140)=1,COUNTIF(N$10:N$609,"&lt;"&amp;N140)+1,""))</f>
        <v/>
      </c>
      <c r="P140" t="str">
        <f>IFERROR(INDEX(tblY11[Class],ROWS(P$10:P140))&amp;"","")</f>
        <v/>
      </c>
      <c r="Q140" t="str">
        <f>IF(P140="","",IF(COUNTIF(P$10:P140,P140)=1,COUNTIF(P$10:P$609,"&lt;"&amp;P140)+1,""))</f>
        <v/>
      </c>
      <c r="BA140" t="str">
        <f>IFERROR(INDEX(wLast,71)&amp;"","")</f>
        <v>Patel</v>
      </c>
      <c r="BB140" t="str">
        <f>IF(BA140="","",IFERROR(INDEX(wFirst,71)&amp;"",""))</f>
        <v>Sami</v>
      </c>
      <c r="BC140" t="str">
        <f>IF(BA140="","",IFERROR(INDEX(wClass,71)&amp;"",""))</f>
        <v>11S/Sc3</v>
      </c>
      <c r="BD140">
        <f>IF(BA140="","",IFERROR(INDEX(wKsBand,71)+0,""))</f>
        <v>7</v>
      </c>
      <c r="BE140">
        <f>IF(BA140="","",IFERROR(INDEX(wTests,71)+0,0))</f>
        <v>6</v>
      </c>
      <c r="BF140">
        <f>IF(BA140="","",IFERROR(INDEX(wMean,71)+0,""))</f>
        <v>7.33333333333333</v>
      </c>
      <c r="BG140">
        <f>IF(BA140="","",IFERROR(INDEX(wVs,71)+0,""))</f>
        <v>0.882907647907648</v>
      </c>
      <c r="BH140">
        <f>IF(OR(BA140="",wLatest=""),"",IFERROR(INDEX(wData,71,MATCH(wLatest&amp;CHAR(10)&amp;"Stanine",wHdr,0))+0,""))</f>
        <v>8</v>
      </c>
      <c r="BI140" t="str">
        <f>IF(BA140="","",IF(AND(ISNUMBER(BG140),N(BE140)&gt;=WlMinTests,BG140&lt;=-WlGap),"Below expected for KS2",IF(AND(NOT(ISNUMBER(BD140)),ISNUMBER(BF140),N(BE140)&gt;=WlMinTests,BF140&lt;=WlLowMean),"Low results, no KS2 data","")))</f>
        <v/>
      </c>
      <c r="BJ140" t="str">
        <f>IF(BI140="","",IF(BI140="Below expected for KS2",BG140,100+BF140)+ROW()/1000000)</f>
        <v/>
      </c>
    </row>
    <row r="141">
      <c r="H141" t="str">
        <f>IFERROR(INDEX(tblY7[Class],ROWS(H$10:H141))&amp;"","")</f>
        <v/>
      </c>
      <c r="I141" t="str">
        <f>IF(H141="","",IF(COUNTIF(H$10:H141,H141)=1,COUNTIF(H$10:H$609,"&lt;"&amp;H141)+1,""))</f>
        <v/>
      </c>
      <c r="J141" t="str">
        <f>IFERROR(INDEX(tblY8[Class],ROWS(J$10:J141))&amp;"","")</f>
        <v/>
      </c>
      <c r="K141" t="str">
        <f>IF(J141="","",IF(COUNTIF(J$10:J141,J141)=1,COUNTIF(J$10:J$609,"&lt;"&amp;J141)+1,""))</f>
        <v/>
      </c>
      <c r="L141" t="str">
        <f>IFERROR(INDEX(tblY9[Class],ROWS(L$10:L141))&amp;"","")</f>
        <v/>
      </c>
      <c r="M141" t="str">
        <f>IF(L141="","",IF(COUNTIF(L$10:L141,L141)=1,COUNTIF(L$10:L$609,"&lt;"&amp;L141)+1,""))</f>
        <v/>
      </c>
      <c r="N141" t="str">
        <f>IFERROR(INDEX(tblY10[Class],ROWS(N$10:N141))&amp;"","")</f>
        <v/>
      </c>
      <c r="O141" t="str">
        <f>IF(N141="","",IF(COUNTIF(N$10:N141,N141)=1,COUNTIF(N$10:N$609,"&lt;"&amp;N141)+1,""))</f>
        <v/>
      </c>
      <c r="P141" t="str">
        <f>IFERROR(INDEX(tblY11[Class],ROWS(P$10:P141))&amp;"","")</f>
        <v/>
      </c>
      <c r="Q141" t="str">
        <f>IF(P141="","",IF(COUNTIF(P$10:P141,P141)=1,COUNTIF(P$10:P$609,"&lt;"&amp;P141)+1,""))</f>
        <v/>
      </c>
      <c r="BA141" t="str">
        <f>IFERROR(INDEX(wLast,72)&amp;"","")</f>
        <v>Roberts</v>
      </c>
      <c r="BB141" t="str">
        <f>IF(BA141="","",IFERROR(INDEX(wFirst,72)&amp;"",""))</f>
        <v>Oscar</v>
      </c>
      <c r="BC141" t="str">
        <f>IF(BA141="","",IFERROR(INDEX(wClass,72)&amp;"",""))</f>
        <v>11S/Sc3</v>
      </c>
      <c r="BD141">
        <f>IF(BA141="","",IFERROR(INDEX(wKsBand,72)+0,""))</f>
        <v>4</v>
      </c>
      <c r="BE141">
        <f>IF(BA141="","",IFERROR(INDEX(wTests,72)+0,0))</f>
        <v>6</v>
      </c>
      <c r="BF141">
        <f>IF(BA141="","",IFERROR(INDEX(wMean,72)+0,""))</f>
        <v>3.66666666666667</v>
      </c>
      <c r="BG141">
        <f>IF(BA141="","",IFERROR(INDEX(wVs,72)+0,""))</f>
        <v>-0.537168109668109</v>
      </c>
      <c r="BH141">
        <f>IF(OR(BA141="",wLatest=""),"",IFERROR(INDEX(wData,72,MATCH(wLatest&amp;CHAR(10)&amp;"Stanine",wHdr,0))+0,""))</f>
        <v>5</v>
      </c>
      <c r="BI141" t="str">
        <f>IF(BA141="","",IF(AND(ISNUMBER(BG141),N(BE141)&gt;=WlMinTests,BG141&lt;=-WlGap),"Below expected for KS2",IF(AND(NOT(ISNUMBER(BD141)),ISNUMBER(BF141),N(BE141)&gt;=WlMinTests,BF141&lt;=WlLowMean),"Low results, no KS2 data","")))</f>
        <v/>
      </c>
      <c r="BJ141" t="str">
        <f>IF(BI141="","",IF(BI141="Below expected for KS2",BG141,100+BF141)+ROW()/1000000)</f>
        <v/>
      </c>
    </row>
    <row r="142">
      <c r="H142" t="str">
        <f>IFERROR(INDEX(tblY7[Class],ROWS(H$10:H142))&amp;"","")</f>
        <v/>
      </c>
      <c r="I142" t="str">
        <f>IF(H142="","",IF(COUNTIF(H$10:H142,H142)=1,COUNTIF(H$10:H$609,"&lt;"&amp;H142)+1,""))</f>
        <v/>
      </c>
      <c r="J142" t="str">
        <f>IFERROR(INDEX(tblY8[Class],ROWS(J$10:J142))&amp;"","")</f>
        <v/>
      </c>
      <c r="K142" t="str">
        <f>IF(J142="","",IF(COUNTIF(J$10:J142,J142)=1,COUNTIF(J$10:J$609,"&lt;"&amp;J142)+1,""))</f>
        <v/>
      </c>
      <c r="L142" t="str">
        <f>IFERROR(INDEX(tblY9[Class],ROWS(L$10:L142))&amp;"","")</f>
        <v/>
      </c>
      <c r="M142" t="str">
        <f>IF(L142="","",IF(COUNTIF(L$10:L142,L142)=1,COUNTIF(L$10:L$609,"&lt;"&amp;L142)+1,""))</f>
        <v/>
      </c>
      <c r="N142" t="str">
        <f>IFERROR(INDEX(tblY10[Class],ROWS(N$10:N142))&amp;"","")</f>
        <v/>
      </c>
      <c r="O142" t="str">
        <f>IF(N142="","",IF(COUNTIF(N$10:N142,N142)=1,COUNTIF(N$10:N$609,"&lt;"&amp;N142)+1,""))</f>
        <v/>
      </c>
      <c r="P142" t="str">
        <f>IFERROR(INDEX(tblY11[Class],ROWS(P$10:P142))&amp;"","")</f>
        <v/>
      </c>
      <c r="Q142" t="str">
        <f>IF(P142="","",IF(COUNTIF(P$10:P142,P142)=1,COUNTIF(P$10:P$609,"&lt;"&amp;P142)+1,""))</f>
        <v/>
      </c>
      <c r="BA142" t="str">
        <f>IFERROR(INDEX(wLast,73)&amp;"","")</f>
        <v>Shaw</v>
      </c>
      <c r="BB142" t="str">
        <f>IF(BA142="","",IFERROR(INDEX(wFirst,73)&amp;"",""))</f>
        <v>Ethan</v>
      </c>
      <c r="BC142" t="str">
        <f>IF(BA142="","",IFERROR(INDEX(wClass,73)&amp;"",""))</f>
        <v>11S/Sc3</v>
      </c>
      <c r="BD142">
        <f>IF(BA142="","",IFERROR(INDEX(wKsBand,73)+0,""))</f>
        <v>4</v>
      </c>
      <c r="BE142">
        <f>IF(BA142="","",IFERROR(INDEX(wTests,73)+0,0))</f>
        <v>5</v>
      </c>
      <c r="BF142">
        <f>IF(BA142="","",IFERROR(INDEX(wMean,73)+0,""))</f>
        <v>5</v>
      </c>
      <c r="BG142">
        <f>IF(BA142="","",IFERROR(INDEX(wVs,73)+0,""))</f>
        <v>0.796165223665224</v>
      </c>
      <c r="BH142">
        <f>IF(OR(BA142="",wLatest=""),"",IFERROR(INDEX(wData,73,MATCH(wLatest&amp;CHAR(10)&amp;"Stanine",wHdr,0))+0,""))</f>
        <v>6</v>
      </c>
      <c r="BI142" t="str">
        <f>IF(BA142="","",IF(AND(ISNUMBER(BG142),N(BE142)&gt;=WlMinTests,BG142&lt;=-WlGap),"Below expected for KS2",IF(AND(NOT(ISNUMBER(BD142)),ISNUMBER(BF142),N(BE142)&gt;=WlMinTests,BF142&lt;=WlLowMean),"Low results, no KS2 data","")))</f>
        <v/>
      </c>
      <c r="BJ142" t="str">
        <f>IF(BI142="","",IF(BI142="Below expected for KS2",BG142,100+BF142)+ROW()/1000000)</f>
        <v/>
      </c>
    </row>
    <row r="143">
      <c r="H143" t="str">
        <f>IFERROR(INDEX(tblY7[Class],ROWS(H$10:H143))&amp;"","")</f>
        <v/>
      </c>
      <c r="I143" t="str">
        <f>IF(H143="","",IF(COUNTIF(H$10:H143,H143)=1,COUNTIF(H$10:H$609,"&lt;"&amp;H143)+1,""))</f>
        <v/>
      </c>
      <c r="J143" t="str">
        <f>IFERROR(INDEX(tblY8[Class],ROWS(J$10:J143))&amp;"","")</f>
        <v/>
      </c>
      <c r="K143" t="str">
        <f>IF(J143="","",IF(COUNTIF(J$10:J143,J143)=1,COUNTIF(J$10:J$609,"&lt;"&amp;J143)+1,""))</f>
        <v/>
      </c>
      <c r="L143" t="str">
        <f>IFERROR(INDEX(tblY9[Class],ROWS(L$10:L143))&amp;"","")</f>
        <v/>
      </c>
      <c r="M143" t="str">
        <f>IF(L143="","",IF(COUNTIF(L$10:L143,L143)=1,COUNTIF(L$10:L$609,"&lt;"&amp;L143)+1,""))</f>
        <v/>
      </c>
      <c r="N143" t="str">
        <f>IFERROR(INDEX(tblY10[Class],ROWS(N$10:N143))&amp;"","")</f>
        <v/>
      </c>
      <c r="O143" t="str">
        <f>IF(N143="","",IF(COUNTIF(N$10:N143,N143)=1,COUNTIF(N$10:N$609,"&lt;"&amp;N143)+1,""))</f>
        <v/>
      </c>
      <c r="P143" t="str">
        <f>IFERROR(INDEX(tblY11[Class],ROWS(P$10:P143))&amp;"","")</f>
        <v/>
      </c>
      <c r="Q143" t="str">
        <f>IF(P143="","",IF(COUNTIF(P$10:P143,P143)=1,COUNTIF(P$10:P$609,"&lt;"&amp;P143)+1,""))</f>
        <v/>
      </c>
      <c r="BA143" t="str">
        <f>IFERROR(INDEX(wLast,74)&amp;"","")</f>
        <v>Taylor</v>
      </c>
      <c r="BB143" t="str">
        <f>IF(BA143="","",IFERROR(INDEX(wFirst,74)&amp;"",""))</f>
        <v>Nia</v>
      </c>
      <c r="BC143" t="str">
        <f>IF(BA143="","",IFERROR(INDEX(wClass,74)&amp;"",""))</f>
        <v>11S/Sc3</v>
      </c>
      <c r="BD143">
        <f>IF(BA143="","",IFERROR(INDEX(wKsBand,74)+0,""))</f>
        <v>5</v>
      </c>
      <c r="BE143">
        <f>IF(BA143="","",IFERROR(INDEX(wTests,74)+0,0))</f>
        <v>6</v>
      </c>
      <c r="BF143">
        <f>IF(BA143="","",IFERROR(INDEX(wMean,74)+0,""))</f>
        <v>4.66666666666667</v>
      </c>
      <c r="BG143">
        <f>IF(BA143="","",IFERROR(INDEX(wVs,74)+0,""))</f>
        <v>-0.286031746031745</v>
      </c>
      <c r="BH143">
        <f>IF(OR(BA143="",wLatest=""),"",IFERROR(INDEX(wData,74,MATCH(wLatest&amp;CHAR(10)&amp;"Stanine",wHdr,0))+0,""))</f>
        <v>5</v>
      </c>
      <c r="BI143" t="str">
        <f>IF(BA143="","",IF(AND(ISNUMBER(BG143),N(BE143)&gt;=WlMinTests,BG143&lt;=-WlGap),"Below expected for KS2",IF(AND(NOT(ISNUMBER(BD143)),ISNUMBER(BF143),N(BE143)&gt;=WlMinTests,BF143&lt;=WlLowMean),"Low results, no KS2 data","")))</f>
        <v/>
      </c>
      <c r="BJ143" t="str">
        <f>IF(BI143="","",IF(BI143="Below expected for KS2",BG143,100+BF143)+ROW()/1000000)</f>
        <v/>
      </c>
    </row>
    <row r="144">
      <c r="H144" t="str">
        <f>IFERROR(INDEX(tblY7[Class],ROWS(H$10:H144))&amp;"","")</f>
        <v/>
      </c>
      <c r="I144" t="str">
        <f>IF(H144="","",IF(COUNTIF(H$10:H144,H144)=1,COUNTIF(H$10:H$609,"&lt;"&amp;H144)+1,""))</f>
        <v/>
      </c>
      <c r="J144" t="str">
        <f>IFERROR(INDEX(tblY8[Class],ROWS(J$10:J144))&amp;"","")</f>
        <v/>
      </c>
      <c r="K144" t="str">
        <f>IF(J144="","",IF(COUNTIF(J$10:J144,J144)=1,COUNTIF(J$10:J$609,"&lt;"&amp;J144)+1,""))</f>
        <v/>
      </c>
      <c r="L144" t="str">
        <f>IFERROR(INDEX(tblY9[Class],ROWS(L$10:L144))&amp;"","")</f>
        <v/>
      </c>
      <c r="M144" t="str">
        <f>IF(L144="","",IF(COUNTIF(L$10:L144,L144)=1,COUNTIF(L$10:L$609,"&lt;"&amp;L144)+1,""))</f>
        <v/>
      </c>
      <c r="N144" t="str">
        <f>IFERROR(INDEX(tblY10[Class],ROWS(N$10:N144))&amp;"","")</f>
        <v/>
      </c>
      <c r="O144" t="str">
        <f>IF(N144="","",IF(COUNTIF(N$10:N144,N144)=1,COUNTIF(N$10:N$609,"&lt;"&amp;N144)+1,""))</f>
        <v/>
      </c>
      <c r="P144" t="str">
        <f>IFERROR(INDEX(tblY11[Class],ROWS(P$10:P144))&amp;"","")</f>
        <v/>
      </c>
      <c r="Q144" t="str">
        <f>IF(P144="","",IF(COUNTIF(P$10:P144,P144)=1,COUNTIF(P$10:P$609,"&lt;"&amp;P144)+1,""))</f>
        <v/>
      </c>
      <c r="BA144" t="str">
        <f>IFERROR(INDEX(wLast,75)&amp;"","")</f>
        <v>White</v>
      </c>
      <c r="BB144" t="str">
        <f>IF(BA144="","",IFERROR(INDEX(wFirst,75)&amp;"",""))</f>
        <v>Lily</v>
      </c>
      <c r="BC144" t="str">
        <f>IF(BA144="","",IFERROR(INDEX(wClass,75)&amp;"",""))</f>
        <v>11S/Sc3</v>
      </c>
      <c r="BD144">
        <f>IF(BA144="","",IFERROR(INDEX(wKsBand,75)+0,""))</f>
        <v>7</v>
      </c>
      <c r="BE144">
        <f>IF(BA144="","",IFERROR(INDEX(wTests,75)+0,0))</f>
        <v>6</v>
      </c>
      <c r="BF144">
        <f>IF(BA144="","",IFERROR(INDEX(wMean,75)+0,""))</f>
        <v>7.16666666666667</v>
      </c>
      <c r="BG144">
        <f>IF(BA144="","",IFERROR(INDEX(wVs,75)+0,""))</f>
        <v>0.716240981240982</v>
      </c>
      <c r="BH144">
        <f>IF(OR(BA144="",wLatest=""),"",IFERROR(INDEX(wData,75,MATCH(wLatest&amp;CHAR(10)&amp;"Stanine",wHdr,0))+0,""))</f>
        <v>7</v>
      </c>
      <c r="BI144" t="str">
        <f>IF(BA144="","",IF(AND(ISNUMBER(BG144),N(BE144)&gt;=WlMinTests,BG144&lt;=-WlGap),"Below expected for KS2",IF(AND(NOT(ISNUMBER(BD144)),ISNUMBER(BF144),N(BE144)&gt;=WlMinTests,BF144&lt;=WlLowMean),"Low results, no KS2 data","")))</f>
        <v/>
      </c>
      <c r="BJ144" t="str">
        <f>IF(BI144="","",IF(BI144="Below expected for KS2",BG144,100+BF144)+ROW()/1000000)</f>
        <v/>
      </c>
    </row>
    <row r="145">
      <c r="H145" t="str">
        <f>IFERROR(INDEX(tblY7[Class],ROWS(H$10:H145))&amp;"","")</f>
        <v/>
      </c>
      <c r="I145" t="str">
        <f>IF(H145="","",IF(COUNTIF(H$10:H145,H145)=1,COUNTIF(H$10:H$609,"&lt;"&amp;H145)+1,""))</f>
        <v/>
      </c>
      <c r="J145" t="str">
        <f>IFERROR(INDEX(tblY8[Class],ROWS(J$10:J145))&amp;"","")</f>
        <v/>
      </c>
      <c r="K145" t="str">
        <f>IF(J145="","",IF(COUNTIF(J$10:J145,J145)=1,COUNTIF(J$10:J$609,"&lt;"&amp;J145)+1,""))</f>
        <v/>
      </c>
      <c r="L145" t="str">
        <f>IFERROR(INDEX(tblY9[Class],ROWS(L$10:L145))&amp;"","")</f>
        <v/>
      </c>
      <c r="M145" t="str">
        <f>IF(L145="","",IF(COUNTIF(L$10:L145,L145)=1,COUNTIF(L$10:L$609,"&lt;"&amp;L145)+1,""))</f>
        <v/>
      </c>
      <c r="N145" t="str">
        <f>IFERROR(INDEX(tblY10[Class],ROWS(N$10:N145))&amp;"","")</f>
        <v/>
      </c>
      <c r="O145" t="str">
        <f>IF(N145="","",IF(COUNTIF(N$10:N145,N145)=1,COUNTIF(N$10:N$609,"&lt;"&amp;N145)+1,""))</f>
        <v/>
      </c>
      <c r="P145" t="str">
        <f>IFERROR(INDEX(tblY11[Class],ROWS(P$10:P145))&amp;"","")</f>
        <v/>
      </c>
      <c r="Q145" t="str">
        <f>IF(P145="","",IF(COUNTIF(P$10:P145,P145)=1,COUNTIF(P$10:P$609,"&lt;"&amp;P145)+1,""))</f>
        <v/>
      </c>
      <c r="BA145" t="str">
        <f>IFERROR(INDEX(wLast,76)&amp;"","")</f>
        <v>Adeyemi</v>
      </c>
      <c r="BB145" t="str">
        <f>IF(BA145="","",IFERROR(INDEX(wFirst,76)&amp;"",""))</f>
        <v>Isla</v>
      </c>
      <c r="BC145" t="str">
        <f>IF(BA145="","",IFERROR(INDEX(wClass,76)&amp;"",""))</f>
        <v>11S/Sc4</v>
      </c>
      <c r="BD145">
        <f>IF(BA145="","",IFERROR(INDEX(wKsBand,76)+0,""))</f>
        <v>4</v>
      </c>
      <c r="BE145">
        <f>IF(BA145="","",IFERROR(INDEX(wTests,76)+0,0))</f>
        <v>6</v>
      </c>
      <c r="BF145">
        <f>IF(BA145="","",IFERROR(INDEX(wMean,76)+0,""))</f>
        <v>3.66666666666667</v>
      </c>
      <c r="BG145">
        <f>IF(BA145="","",IFERROR(INDEX(wVs,76)+0,""))</f>
        <v>-0.537168109668109</v>
      </c>
      <c r="BH145">
        <f>IF(OR(BA145="",wLatest=""),"",IFERROR(INDEX(wData,76,MATCH(wLatest&amp;CHAR(10)&amp;"Stanine",wHdr,0))+0,""))</f>
        <v>5</v>
      </c>
      <c r="BI145" t="str">
        <f>IF(BA145="","",IF(AND(ISNUMBER(BG145),N(BE145)&gt;=WlMinTests,BG145&lt;=-WlGap),"Below expected for KS2",IF(AND(NOT(ISNUMBER(BD145)),ISNUMBER(BF145),N(BE145)&gt;=WlMinTests,BF145&lt;=WlLowMean),"Low results, no KS2 data","")))</f>
        <v/>
      </c>
      <c r="BJ145" t="str">
        <f>IF(BI145="","",IF(BI145="Below expected for KS2",BG145,100+BF145)+ROW()/1000000)</f>
        <v/>
      </c>
    </row>
    <row r="146">
      <c r="H146" t="str">
        <f>IFERROR(INDEX(tblY7[Class],ROWS(H$10:H146))&amp;"","")</f>
        <v/>
      </c>
      <c r="I146" t="str">
        <f>IF(H146="","",IF(COUNTIF(H$10:H146,H146)=1,COUNTIF(H$10:H$609,"&lt;"&amp;H146)+1,""))</f>
        <v/>
      </c>
      <c r="J146" t="str">
        <f>IFERROR(INDEX(tblY8[Class],ROWS(J$10:J146))&amp;"","")</f>
        <v/>
      </c>
      <c r="K146" t="str">
        <f>IF(J146="","",IF(COUNTIF(J$10:J146,J146)=1,COUNTIF(J$10:J$609,"&lt;"&amp;J146)+1,""))</f>
        <v/>
      </c>
      <c r="L146" t="str">
        <f>IFERROR(INDEX(tblY9[Class],ROWS(L$10:L146))&amp;"","")</f>
        <v/>
      </c>
      <c r="M146" t="str">
        <f>IF(L146="","",IF(COUNTIF(L$10:L146,L146)=1,COUNTIF(L$10:L$609,"&lt;"&amp;L146)+1,""))</f>
        <v/>
      </c>
      <c r="N146" t="str">
        <f>IFERROR(INDEX(tblY10[Class],ROWS(N$10:N146))&amp;"","")</f>
        <v/>
      </c>
      <c r="O146" t="str">
        <f>IF(N146="","",IF(COUNTIF(N$10:N146,N146)=1,COUNTIF(N$10:N$609,"&lt;"&amp;N146)+1,""))</f>
        <v/>
      </c>
      <c r="P146" t="str">
        <f>IFERROR(INDEX(tblY11[Class],ROWS(P$10:P146))&amp;"","")</f>
        <v/>
      </c>
      <c r="Q146" t="str">
        <f>IF(P146="","",IF(COUNTIF(P$10:P146,P146)=1,COUNTIF(P$10:P$609,"&lt;"&amp;P146)+1,""))</f>
        <v/>
      </c>
      <c r="BA146" t="str">
        <f>IFERROR(INDEX(wLast,77)&amp;"","")</f>
        <v>Ahmed</v>
      </c>
      <c r="BB146" t="str">
        <f>IF(BA146="","",IFERROR(INDEX(wFirst,77)&amp;"",""))</f>
        <v>Maisie</v>
      </c>
      <c r="BC146" t="str">
        <f>IF(BA146="","",IFERROR(INDEX(wClass,77)&amp;"",""))</f>
        <v>11S/Sc4</v>
      </c>
      <c r="BD146">
        <f>IF(BA146="","",IFERROR(INDEX(wKsBand,77)+0,""))</f>
        <v>3</v>
      </c>
      <c r="BE146">
        <f>IF(BA146="","",IFERROR(INDEX(wTests,77)+0,0))</f>
        <v>6</v>
      </c>
      <c r="BF146">
        <f>IF(BA146="","",IFERROR(INDEX(wMean,77)+0,""))</f>
        <v>2.16666666666667</v>
      </c>
      <c r="BG146">
        <f>IF(BA146="","",IFERROR(INDEX(wVs,77)+0,""))</f>
        <v>-1.28830447330447</v>
      </c>
      <c r="BH146">
        <f>IF(OR(BA146="",wLatest=""),"",IFERROR(INDEX(wData,77,MATCH(wLatest&amp;CHAR(10)&amp;"Stanine",wHdr,0))+0,""))</f>
        <v>2</v>
      </c>
      <c r="BI146" t="str">
        <f>IF(BA146="","",IF(AND(ISNUMBER(BG146),N(BE146)&gt;=WlMinTests,BG146&lt;=-WlGap),"Below expected for KS2",IF(AND(NOT(ISNUMBER(BD146)),ISNUMBER(BF146),N(BE146)&gt;=WlMinTests,BF146&lt;=WlLowMean),"Low results, no KS2 data","")))</f>
        <v/>
      </c>
      <c r="BJ146" t="str">
        <f>IF(BI146="","",IF(BI146="Below expected for KS2",BG146,100+BF146)+ROW()/1000000)</f>
        <v/>
      </c>
    </row>
    <row r="147">
      <c r="H147" t="str">
        <f>IFERROR(INDEX(tblY7[Class],ROWS(H$10:H147))&amp;"","")</f>
        <v/>
      </c>
      <c r="I147" t="str">
        <f>IF(H147="","",IF(COUNTIF(H$10:H147,H147)=1,COUNTIF(H$10:H$609,"&lt;"&amp;H147)+1,""))</f>
        <v/>
      </c>
      <c r="J147" t="str">
        <f>IFERROR(INDEX(tblY8[Class],ROWS(J$10:J147))&amp;"","")</f>
        <v/>
      </c>
      <c r="K147" t="str">
        <f>IF(J147="","",IF(COUNTIF(J$10:J147,J147)=1,COUNTIF(J$10:J$609,"&lt;"&amp;J147)+1,""))</f>
        <v/>
      </c>
      <c r="L147" t="str">
        <f>IFERROR(INDEX(tblY9[Class],ROWS(L$10:L147))&amp;"","")</f>
        <v/>
      </c>
      <c r="M147" t="str">
        <f>IF(L147="","",IF(COUNTIF(L$10:L147,L147)=1,COUNTIF(L$10:L$609,"&lt;"&amp;L147)+1,""))</f>
        <v/>
      </c>
      <c r="N147" t="str">
        <f>IFERROR(INDEX(tblY10[Class],ROWS(N$10:N147))&amp;"","")</f>
        <v/>
      </c>
      <c r="O147" t="str">
        <f>IF(N147="","",IF(COUNTIF(N$10:N147,N147)=1,COUNTIF(N$10:N$609,"&lt;"&amp;N147)+1,""))</f>
        <v/>
      </c>
      <c r="P147" t="str">
        <f>IFERROR(INDEX(tblY11[Class],ROWS(P$10:P147))&amp;"","")</f>
        <v/>
      </c>
      <c r="Q147" t="str">
        <f>IF(P147="","",IF(COUNTIF(P$10:P147,P147)=1,COUNTIF(P$10:P$609,"&lt;"&amp;P147)+1,""))</f>
        <v/>
      </c>
      <c r="BA147" t="str">
        <f>IFERROR(INDEX(wLast,78)&amp;"","")</f>
        <v>Cooper</v>
      </c>
      <c r="BB147" t="str">
        <f>IF(BA147="","",IFERROR(INDEX(wFirst,78)&amp;"",""))</f>
        <v>Amelia</v>
      </c>
      <c r="BC147" t="str">
        <f>IF(BA147="","",IFERROR(INDEX(wClass,78)&amp;"",""))</f>
        <v>11S/Sc4</v>
      </c>
      <c r="BD147">
        <f>IF(BA147="","",IFERROR(INDEX(wKsBand,78)+0,""))</f>
        <v>5</v>
      </c>
      <c r="BE147">
        <f>IF(BA147="","",IFERROR(INDEX(wTests,78)+0,0))</f>
        <v>6</v>
      </c>
      <c r="BF147">
        <f>IF(BA147="","",IFERROR(INDEX(wMean,78)+0,""))</f>
        <v>4.66666666666667</v>
      </c>
      <c r="BG147">
        <f>IF(BA147="","",IFERROR(INDEX(wVs,78)+0,""))</f>
        <v>-0.286031746031745</v>
      </c>
      <c r="BH147">
        <f>IF(OR(BA147="",wLatest=""),"",IFERROR(INDEX(wData,78,MATCH(wLatest&amp;CHAR(10)&amp;"Stanine",wHdr,0))+0,""))</f>
        <v>6</v>
      </c>
      <c r="BI147" t="str">
        <f>IF(BA147="","",IF(AND(ISNUMBER(BG147),N(BE147)&gt;=WlMinTests,BG147&lt;=-WlGap),"Below expected for KS2",IF(AND(NOT(ISNUMBER(BD147)),ISNUMBER(BF147),N(BE147)&gt;=WlMinTests,BF147&lt;=WlLowMean),"Low results, no KS2 data","")))</f>
        <v/>
      </c>
      <c r="BJ147" t="str">
        <f>IF(BI147="","",IF(BI147="Below expected for KS2",BG147,100+BF147)+ROW()/1000000)</f>
        <v/>
      </c>
    </row>
    <row r="148">
      <c r="H148" t="str">
        <f>IFERROR(INDEX(tblY7[Class],ROWS(H$10:H148))&amp;"","")</f>
        <v/>
      </c>
      <c r="I148" t="str">
        <f>IF(H148="","",IF(COUNTIF(H$10:H148,H148)=1,COUNTIF(H$10:H$609,"&lt;"&amp;H148)+1,""))</f>
        <v/>
      </c>
      <c r="J148" t="str">
        <f>IFERROR(INDEX(tblY8[Class],ROWS(J$10:J148))&amp;"","")</f>
        <v/>
      </c>
      <c r="K148" t="str">
        <f>IF(J148="","",IF(COUNTIF(J$10:J148,J148)=1,COUNTIF(J$10:J$609,"&lt;"&amp;J148)+1,""))</f>
        <v/>
      </c>
      <c r="L148" t="str">
        <f>IFERROR(INDEX(tblY9[Class],ROWS(L$10:L148))&amp;"","")</f>
        <v/>
      </c>
      <c r="M148" t="str">
        <f>IF(L148="","",IF(COUNTIF(L$10:L148,L148)=1,COUNTIF(L$10:L$609,"&lt;"&amp;L148)+1,""))</f>
        <v/>
      </c>
      <c r="N148" t="str">
        <f>IFERROR(INDEX(tblY10[Class],ROWS(N$10:N148))&amp;"","")</f>
        <v/>
      </c>
      <c r="O148" t="str">
        <f>IF(N148="","",IF(COUNTIF(N$10:N148,N148)=1,COUNTIF(N$10:N$609,"&lt;"&amp;N148)+1,""))</f>
        <v/>
      </c>
      <c r="P148" t="str">
        <f>IFERROR(INDEX(tblY11[Class],ROWS(P$10:P148))&amp;"","")</f>
        <v/>
      </c>
      <c r="Q148" t="str">
        <f>IF(P148="","",IF(COUNTIF(P$10:P148,P148)=1,COUNTIF(P$10:P$609,"&lt;"&amp;P148)+1,""))</f>
        <v/>
      </c>
      <c r="BA148" t="str">
        <f>IFERROR(INDEX(wLast,79)&amp;"","")</f>
        <v>Khan</v>
      </c>
      <c r="BB148" t="str">
        <f>IF(BA148="","",IFERROR(INDEX(wFirst,79)&amp;"",""))</f>
        <v>Zofia</v>
      </c>
      <c r="BC148" t="str">
        <f>IF(BA148="","",IFERROR(INDEX(wClass,79)&amp;"",""))</f>
        <v>11S/Sc4</v>
      </c>
      <c r="BD148">
        <f>IF(BA148="","",IFERROR(INDEX(wKsBand,79)+0,""))</f>
        <v>4</v>
      </c>
      <c r="BE148">
        <f>IF(BA148="","",IFERROR(INDEX(wTests,79)+0,0))</f>
        <v>6</v>
      </c>
      <c r="BF148">
        <f>IF(BA148="","",IFERROR(INDEX(wMean,79)+0,""))</f>
        <v>3.33333333333333</v>
      </c>
      <c r="BG148">
        <f>IF(BA148="","",IFERROR(INDEX(wVs,79)+0,""))</f>
        <v>-0.870501443001442</v>
      </c>
      <c r="BH148">
        <f>IF(OR(BA148="",wLatest=""),"",IFERROR(INDEX(wData,79,MATCH(wLatest&amp;CHAR(10)&amp;"Stanine",wHdr,0))+0,""))</f>
        <v>4</v>
      </c>
      <c r="BI148" t="str">
        <f>IF(BA148="","",IF(AND(ISNUMBER(BG148),N(BE148)&gt;=WlMinTests,BG148&lt;=-WlGap),"Below expected for KS2",IF(AND(NOT(ISNUMBER(BD148)),ISNUMBER(BF148),N(BE148)&gt;=WlMinTests,BF148&lt;=WlLowMean),"Low results, no KS2 data","")))</f>
        <v/>
      </c>
      <c r="BJ148" t="str">
        <f>IF(BI148="","",IF(BI148="Below expected for KS2",BG148,100+BF148)+ROW()/1000000)</f>
        <v/>
      </c>
    </row>
    <row r="149">
      <c r="H149" t="str">
        <f>IFERROR(INDEX(tblY7[Class],ROWS(H$10:H149))&amp;"","")</f>
        <v/>
      </c>
      <c r="I149" t="str">
        <f>IF(H149="","",IF(COUNTIF(H$10:H149,H149)=1,COUNTIF(H$10:H$609,"&lt;"&amp;H149)+1,""))</f>
        <v/>
      </c>
      <c r="J149" t="str">
        <f>IFERROR(INDEX(tblY8[Class],ROWS(J$10:J149))&amp;"","")</f>
        <v/>
      </c>
      <c r="K149" t="str">
        <f>IF(J149="","",IF(COUNTIF(J$10:J149,J149)=1,COUNTIF(J$10:J$609,"&lt;"&amp;J149)+1,""))</f>
        <v/>
      </c>
      <c r="L149" t="str">
        <f>IFERROR(INDEX(tblY9[Class],ROWS(L$10:L149))&amp;"","")</f>
        <v/>
      </c>
      <c r="M149" t="str">
        <f>IF(L149="","",IF(COUNTIF(L$10:L149,L149)=1,COUNTIF(L$10:L$609,"&lt;"&amp;L149)+1,""))</f>
        <v/>
      </c>
      <c r="N149" t="str">
        <f>IFERROR(INDEX(tblY10[Class],ROWS(N$10:N149))&amp;"","")</f>
        <v/>
      </c>
      <c r="O149" t="str">
        <f>IF(N149="","",IF(COUNTIF(N$10:N149,N149)=1,COUNTIF(N$10:N$609,"&lt;"&amp;N149)+1,""))</f>
        <v/>
      </c>
      <c r="P149" t="str">
        <f>IFERROR(INDEX(tblY11[Class],ROWS(P$10:P149))&amp;"","")</f>
        <v/>
      </c>
      <c r="Q149" t="str">
        <f>IF(P149="","",IF(COUNTIF(P$10:P149,P149)=1,COUNTIF(P$10:P$609,"&lt;"&amp;P149)+1,""))</f>
        <v/>
      </c>
      <c r="BA149" t="str">
        <f>IFERROR(INDEX(wLast,80)&amp;"","")</f>
        <v>Kowalski</v>
      </c>
      <c r="BB149" t="str">
        <f>IF(BA149="","",IFERROR(INDEX(wFirst,80)&amp;"",""))</f>
        <v>Layla</v>
      </c>
      <c r="BC149" t="str">
        <f>IF(BA149="","",IFERROR(INDEX(wClass,80)&amp;"",""))</f>
        <v>11S/Sc4</v>
      </c>
      <c r="BD149">
        <f>IF(BA149="","",IFERROR(INDEX(wKsBand,80)+0,""))</f>
        <v>2</v>
      </c>
      <c r="BE149">
        <f>IF(BA149="","",IFERROR(INDEX(wTests,80)+0,0))</f>
        <v>6</v>
      </c>
      <c r="BF149">
        <f>IF(BA149="","",IFERROR(INDEX(wMean,80)+0,""))</f>
        <v>2.66666666666667</v>
      </c>
      <c r="BG149">
        <f>IF(BA149="","",IFERROR(INDEX(wVs,80)+0,""))</f>
        <v>-0.0394408369408366</v>
      </c>
      <c r="BH149">
        <f>IF(OR(BA149="",wLatest=""),"",IFERROR(INDEX(wData,80,MATCH(wLatest&amp;CHAR(10)&amp;"Stanine",wHdr,0))+0,""))</f>
        <v>2</v>
      </c>
      <c r="BI149" t="str">
        <f>IF(BA149="","",IF(AND(ISNUMBER(BG149),N(BE149)&gt;=WlMinTests,BG149&lt;=-WlGap),"Below expected for KS2",IF(AND(NOT(ISNUMBER(BD149)),ISNUMBER(BF149),N(BE149)&gt;=WlMinTests,BF149&lt;=WlLowMean),"Low results, no KS2 data","")))</f>
        <v/>
      </c>
      <c r="BJ149" t="str">
        <f>IF(BI149="","",IF(BI149="Below expected for KS2",BG149,100+BF149)+ROW()/1000000)</f>
        <v/>
      </c>
    </row>
    <row r="150">
      <c r="H150" t="str">
        <f>IFERROR(INDEX(tblY7[Class],ROWS(H$10:H150))&amp;"","")</f>
        <v/>
      </c>
      <c r="I150" t="str">
        <f>IF(H150="","",IF(COUNTIF(H$10:H150,H150)=1,COUNTIF(H$10:H$609,"&lt;"&amp;H150)+1,""))</f>
        <v/>
      </c>
      <c r="J150" t="str">
        <f>IFERROR(INDEX(tblY8[Class],ROWS(J$10:J150))&amp;"","")</f>
        <v/>
      </c>
      <c r="K150" t="str">
        <f>IF(J150="","",IF(COUNTIF(J$10:J150,J150)=1,COUNTIF(J$10:J$609,"&lt;"&amp;J150)+1,""))</f>
        <v/>
      </c>
      <c r="L150" t="str">
        <f>IFERROR(INDEX(tblY9[Class],ROWS(L$10:L150))&amp;"","")</f>
        <v/>
      </c>
      <c r="M150" t="str">
        <f>IF(L150="","",IF(COUNTIF(L$10:L150,L150)=1,COUNTIF(L$10:L$609,"&lt;"&amp;L150)+1,""))</f>
        <v/>
      </c>
      <c r="N150" t="str">
        <f>IFERROR(INDEX(tblY10[Class],ROWS(N$10:N150))&amp;"","")</f>
        <v/>
      </c>
      <c r="O150" t="str">
        <f>IF(N150="","",IF(COUNTIF(N$10:N150,N150)=1,COUNTIF(N$10:N$609,"&lt;"&amp;N150)+1,""))</f>
        <v/>
      </c>
      <c r="P150" t="str">
        <f>IFERROR(INDEX(tblY11[Class],ROWS(P$10:P150))&amp;"","")</f>
        <v/>
      </c>
      <c r="Q150" t="str">
        <f>IF(P150="","",IF(COUNTIF(P$10:P150,P150)=1,COUNTIF(P$10:P$609,"&lt;"&amp;P150)+1,""))</f>
        <v/>
      </c>
      <c r="BA150" t="str">
        <f>IFERROR(INDEX(wLast,81)&amp;"","")</f>
        <v>Lewis</v>
      </c>
      <c r="BB150" t="str">
        <f>IF(BA150="","",IFERROR(INDEX(wFirst,81)&amp;"",""))</f>
        <v>Amara</v>
      </c>
      <c r="BC150" t="str">
        <f>IF(BA150="","",IFERROR(INDEX(wClass,81)&amp;"",""))</f>
        <v>11S/Sc4</v>
      </c>
      <c r="BD150">
        <f>IF(BA150="","",IFERROR(INDEX(wKsBand,81)+0,""))</f>
        <v>5</v>
      </c>
      <c r="BE150">
        <f>IF(BA150="","",IFERROR(INDEX(wTests,81)+0,0))</f>
        <v>6</v>
      </c>
      <c r="BF150">
        <f>IF(BA150="","",IFERROR(INDEX(wMean,81)+0,""))</f>
        <v>4.5</v>
      </c>
      <c r="BG150">
        <f>IF(BA150="","",IFERROR(INDEX(wVs,81)+0,""))</f>
        <v>-0.452698412698412</v>
      </c>
      <c r="BH150">
        <f>IF(OR(BA150="",wLatest=""),"",IFERROR(INDEX(wData,81,MATCH(wLatest&amp;CHAR(10)&amp;"Stanine",wHdr,0))+0,""))</f>
        <v>3</v>
      </c>
      <c r="BI150" t="str">
        <f>IF(BA150="","",IF(AND(ISNUMBER(BG150),N(BE150)&gt;=WlMinTests,BG150&lt;=-WlGap),"Below expected for KS2",IF(AND(NOT(ISNUMBER(BD150)),ISNUMBER(BF150),N(BE150)&gt;=WlMinTests,BF150&lt;=WlLowMean),"Low results, no KS2 data","")))</f>
        <v/>
      </c>
      <c r="BJ150" t="str">
        <f>IF(BI150="","",IF(BI150="Below expected for KS2",BG150,100+BF150)+ROW()/1000000)</f>
        <v/>
      </c>
    </row>
    <row r="151">
      <c r="H151" t="str">
        <f>IFERROR(INDEX(tblY7[Class],ROWS(H$10:H151))&amp;"","")</f>
        <v/>
      </c>
      <c r="I151" t="str">
        <f>IF(H151="","",IF(COUNTIF(H$10:H151,H151)=1,COUNTIF(H$10:H$609,"&lt;"&amp;H151)+1,""))</f>
        <v/>
      </c>
      <c r="J151" t="str">
        <f>IFERROR(INDEX(tblY8[Class],ROWS(J$10:J151))&amp;"","")</f>
        <v/>
      </c>
      <c r="K151" t="str">
        <f>IF(J151="","",IF(COUNTIF(J$10:J151,J151)=1,COUNTIF(J$10:J$609,"&lt;"&amp;J151)+1,""))</f>
        <v/>
      </c>
      <c r="L151" t="str">
        <f>IFERROR(INDEX(tblY9[Class],ROWS(L$10:L151))&amp;"","")</f>
        <v/>
      </c>
      <c r="M151" t="str">
        <f>IF(L151="","",IF(COUNTIF(L$10:L151,L151)=1,COUNTIF(L$10:L$609,"&lt;"&amp;L151)+1,""))</f>
        <v/>
      </c>
      <c r="N151" t="str">
        <f>IFERROR(INDEX(tblY10[Class],ROWS(N$10:N151))&amp;"","")</f>
        <v/>
      </c>
      <c r="O151" t="str">
        <f>IF(N151="","",IF(COUNTIF(N$10:N151,N151)=1,COUNTIF(N$10:N$609,"&lt;"&amp;N151)+1,""))</f>
        <v/>
      </c>
      <c r="P151" t="str">
        <f>IFERROR(INDEX(tblY11[Class],ROWS(P$10:P151))&amp;"","")</f>
        <v/>
      </c>
      <c r="Q151" t="str">
        <f>IF(P151="","",IF(COUNTIF(P$10:P151,P151)=1,COUNTIF(P$10:P$609,"&lt;"&amp;P151)+1,""))</f>
        <v/>
      </c>
      <c r="BA151" t="str">
        <f>IFERROR(INDEX(wLast,82)&amp;"","")</f>
        <v>Lewis</v>
      </c>
      <c r="BB151" t="str">
        <f>IF(BA151="","",IFERROR(INDEX(wFirst,82)&amp;"",""))</f>
        <v>Zara</v>
      </c>
      <c r="BC151" t="str">
        <f>IF(BA151="","",IFERROR(INDEX(wClass,82)&amp;"",""))</f>
        <v>11S/Sc4</v>
      </c>
      <c r="BD151">
        <f>IF(BA151="","",IFERROR(INDEX(wKsBand,82)+0,""))</f>
        <v>3</v>
      </c>
      <c r="BE151">
        <f>IF(BA151="","",IFERROR(INDEX(wTests,82)+0,0))</f>
        <v>5</v>
      </c>
      <c r="BF151">
        <f>IF(BA151="","",IFERROR(INDEX(wMean,82)+0,""))</f>
        <v>2.6</v>
      </c>
      <c r="BG151">
        <f>IF(BA151="","",IFERROR(INDEX(wVs,82)+0,""))</f>
        <v>-0.854971139971139</v>
      </c>
      <c r="BH151" t="str">
        <f>IF(OR(BA151="",wLatest=""),"",IFERROR(INDEX(wData,82,MATCH(wLatest&amp;CHAR(10)&amp;"Stanine",wHdr,0))+0,""))</f>
        <v/>
      </c>
      <c r="BI151" t="str">
        <f>IF(BA151="","",IF(AND(ISNUMBER(BG151),N(BE151)&gt;=WlMinTests,BG151&lt;=-WlGap),"Below expected for KS2",IF(AND(NOT(ISNUMBER(BD151)),ISNUMBER(BF151),N(BE151)&gt;=WlMinTests,BF151&lt;=WlLowMean),"Low results, no KS2 data","")))</f>
        <v/>
      </c>
      <c r="BJ151" t="str">
        <f>IF(BI151="","",IF(BI151="Below expected for KS2",BG151,100+BF151)+ROW()/1000000)</f>
        <v/>
      </c>
    </row>
    <row r="152">
      <c r="H152" t="str">
        <f>IFERROR(INDEX(tblY7[Class],ROWS(H$10:H152))&amp;"","")</f>
        <v/>
      </c>
      <c r="I152" t="str">
        <f>IF(H152="","",IF(COUNTIF(H$10:H152,H152)=1,COUNTIF(H$10:H$609,"&lt;"&amp;H152)+1,""))</f>
        <v/>
      </c>
      <c r="J152" t="str">
        <f>IFERROR(INDEX(tblY8[Class],ROWS(J$10:J152))&amp;"","")</f>
        <v/>
      </c>
      <c r="K152" t="str">
        <f>IF(J152="","",IF(COUNTIF(J$10:J152,J152)=1,COUNTIF(J$10:J$609,"&lt;"&amp;J152)+1,""))</f>
        <v/>
      </c>
      <c r="L152" t="str">
        <f>IFERROR(INDEX(tblY9[Class],ROWS(L$10:L152))&amp;"","")</f>
        <v/>
      </c>
      <c r="M152" t="str">
        <f>IF(L152="","",IF(COUNTIF(L$10:L152,L152)=1,COUNTIF(L$10:L$609,"&lt;"&amp;L152)+1,""))</f>
        <v/>
      </c>
      <c r="N152" t="str">
        <f>IFERROR(INDEX(tblY10[Class],ROWS(N$10:N152))&amp;"","")</f>
        <v/>
      </c>
      <c r="O152" t="str">
        <f>IF(N152="","",IF(COUNTIF(N$10:N152,N152)=1,COUNTIF(N$10:N$609,"&lt;"&amp;N152)+1,""))</f>
        <v/>
      </c>
      <c r="P152" t="str">
        <f>IFERROR(INDEX(tblY11[Class],ROWS(P$10:P152))&amp;"","")</f>
        <v/>
      </c>
      <c r="Q152" t="str">
        <f>IF(P152="","",IF(COUNTIF(P$10:P152,P152)=1,COUNTIF(P$10:P$609,"&lt;"&amp;P152)+1,""))</f>
        <v/>
      </c>
      <c r="BA152" t="str">
        <f>IFERROR(INDEX(wLast,83)&amp;"","")</f>
        <v>Morgan</v>
      </c>
      <c r="BB152" t="str">
        <f>IF(BA152="","",IFERROR(INDEX(wFirst,83)&amp;"",""))</f>
        <v>Amara</v>
      </c>
      <c r="BC152" t="str">
        <f>IF(BA152="","",IFERROR(INDEX(wClass,83)&amp;"",""))</f>
        <v>11S/Sc4</v>
      </c>
      <c r="BD152">
        <f>IF(BA152="","",IFERROR(INDEX(wKsBand,83)+0,""))</f>
        <v>5</v>
      </c>
      <c r="BE152">
        <f>IF(BA152="","",IFERROR(INDEX(wTests,83)+0,0))</f>
        <v>6</v>
      </c>
      <c r="BF152">
        <f>IF(BA152="","",IFERROR(INDEX(wMean,83)+0,""))</f>
        <v>3.33333333333333</v>
      </c>
      <c r="BG152">
        <f>IF(BA152="","",IFERROR(INDEX(wVs,83)+0,""))</f>
        <v>-1.61936507936508</v>
      </c>
      <c r="BH152">
        <f>IF(OR(BA152="",wLatest=""),"",IFERROR(INDEX(wData,83,MATCH(wLatest&amp;CHAR(10)&amp;"Stanine",wHdr,0))+0,""))</f>
        <v>4</v>
      </c>
      <c r="BI152" t="str">
        <f>IF(BA152="","",IF(AND(ISNUMBER(BG152),N(BE152)&gt;=WlMinTests,BG152&lt;=-WlGap),"Below expected for KS2",IF(AND(NOT(ISNUMBER(BD152)),ISNUMBER(BF152),N(BE152)&gt;=WlMinTests,BF152&lt;=WlLowMean),"Low results, no KS2 data","")))</f>
        <v>Below expected for KS2</v>
      </c>
      <c r="BJ152">
        <f>IF(BI152="","",IF(BI152="Below expected for KS2",BG152,100+BF152)+ROW()/1000000)</f>
        <v>-1.61921307936508</v>
      </c>
    </row>
    <row r="153">
      <c r="H153" t="str">
        <f>IFERROR(INDEX(tblY7[Class],ROWS(H$10:H153))&amp;"","")</f>
        <v/>
      </c>
      <c r="I153" t="str">
        <f>IF(H153="","",IF(COUNTIF(H$10:H153,H153)=1,COUNTIF(H$10:H$609,"&lt;"&amp;H153)+1,""))</f>
        <v/>
      </c>
      <c r="J153" t="str">
        <f>IFERROR(INDEX(tblY8[Class],ROWS(J$10:J153))&amp;"","")</f>
        <v/>
      </c>
      <c r="K153" t="str">
        <f>IF(J153="","",IF(COUNTIF(J$10:J153,J153)=1,COUNTIF(J$10:J$609,"&lt;"&amp;J153)+1,""))</f>
        <v/>
      </c>
      <c r="L153" t="str">
        <f>IFERROR(INDEX(tblY9[Class],ROWS(L$10:L153))&amp;"","")</f>
        <v/>
      </c>
      <c r="M153" t="str">
        <f>IF(L153="","",IF(COUNTIF(L$10:L153,L153)=1,COUNTIF(L$10:L$609,"&lt;"&amp;L153)+1,""))</f>
        <v/>
      </c>
      <c r="N153" t="str">
        <f>IFERROR(INDEX(tblY10[Class],ROWS(N$10:N153))&amp;"","")</f>
        <v/>
      </c>
      <c r="O153" t="str">
        <f>IF(N153="","",IF(COUNTIF(N$10:N153,N153)=1,COUNTIF(N$10:N$609,"&lt;"&amp;N153)+1,""))</f>
        <v/>
      </c>
      <c r="P153" t="str">
        <f>IFERROR(INDEX(tblY11[Class],ROWS(P$10:P153))&amp;"","")</f>
        <v/>
      </c>
      <c r="Q153" t="str">
        <f>IF(P153="","",IF(COUNTIF(P$10:P153,P153)=1,COUNTIF(P$10:P$609,"&lt;"&amp;P153)+1,""))</f>
        <v/>
      </c>
      <c r="BA153" t="str">
        <f>IFERROR(INDEX(wLast,84)&amp;"","")</f>
        <v>Morgan</v>
      </c>
      <c r="BB153" t="str">
        <f>IF(BA153="","",IFERROR(INDEX(wFirst,84)&amp;"",""))</f>
        <v>Hannah</v>
      </c>
      <c r="BC153" t="str">
        <f>IF(BA153="","",IFERROR(INDEX(wClass,84)&amp;"",""))</f>
        <v>11S/Sc4</v>
      </c>
      <c r="BD153">
        <f>IF(BA153="","",IFERROR(INDEX(wKsBand,84)+0,""))</f>
        <v>4</v>
      </c>
      <c r="BE153">
        <f>IF(BA153="","",IFERROR(INDEX(wTests,84)+0,0))</f>
        <v>6</v>
      </c>
      <c r="BF153">
        <f>IF(BA153="","",IFERROR(INDEX(wMean,84)+0,""))</f>
        <v>4.66666666666667</v>
      </c>
      <c r="BG153">
        <f>IF(BA153="","",IFERROR(INDEX(wVs,84)+0,""))</f>
        <v>0.462831890331891</v>
      </c>
      <c r="BH153">
        <f>IF(OR(BA153="",wLatest=""),"",IFERROR(INDEX(wData,84,MATCH(wLatest&amp;CHAR(10)&amp;"Stanine",wHdr,0))+0,""))</f>
        <v>5</v>
      </c>
      <c r="BI153" t="str">
        <f>IF(BA153="","",IF(AND(ISNUMBER(BG153),N(BE153)&gt;=WlMinTests,BG153&lt;=-WlGap),"Below expected for KS2",IF(AND(NOT(ISNUMBER(BD153)),ISNUMBER(BF153),N(BE153)&gt;=WlMinTests,BF153&lt;=WlLowMean),"Low results, no KS2 data","")))</f>
        <v/>
      </c>
      <c r="BJ153" t="str">
        <f>IF(BI153="","",IF(BI153="Below expected for KS2",BG153,100+BF153)+ROW()/1000000)</f>
        <v/>
      </c>
    </row>
    <row r="154">
      <c r="H154" t="str">
        <f>IFERROR(INDEX(tblY7[Class],ROWS(H$10:H154))&amp;"","")</f>
        <v/>
      </c>
      <c r="I154" t="str">
        <f>IF(H154="","",IF(COUNTIF(H$10:H154,H154)=1,COUNTIF(H$10:H$609,"&lt;"&amp;H154)+1,""))</f>
        <v/>
      </c>
      <c r="J154" t="str">
        <f>IFERROR(INDEX(tblY8[Class],ROWS(J$10:J154))&amp;"","")</f>
        <v/>
      </c>
      <c r="K154" t="str">
        <f>IF(J154="","",IF(COUNTIF(J$10:J154,J154)=1,COUNTIF(J$10:J$609,"&lt;"&amp;J154)+1,""))</f>
        <v/>
      </c>
      <c r="L154" t="str">
        <f>IFERROR(INDEX(tblY9[Class],ROWS(L$10:L154))&amp;"","")</f>
        <v/>
      </c>
      <c r="M154" t="str">
        <f>IF(L154="","",IF(COUNTIF(L$10:L154,L154)=1,COUNTIF(L$10:L$609,"&lt;"&amp;L154)+1,""))</f>
        <v/>
      </c>
      <c r="N154" t="str">
        <f>IFERROR(INDEX(tblY10[Class],ROWS(N$10:N154))&amp;"","")</f>
        <v/>
      </c>
      <c r="O154" t="str">
        <f>IF(N154="","",IF(COUNTIF(N$10:N154,N154)=1,COUNTIF(N$10:N$609,"&lt;"&amp;N154)+1,""))</f>
        <v/>
      </c>
      <c r="P154" t="str">
        <f>IFERROR(INDEX(tblY11[Class],ROWS(P$10:P154))&amp;"","")</f>
        <v/>
      </c>
      <c r="Q154" t="str">
        <f>IF(P154="","",IF(COUNTIF(P$10:P154,P154)=1,COUNTIF(P$10:P$609,"&lt;"&amp;P154)+1,""))</f>
        <v/>
      </c>
      <c r="BA154" t="str">
        <f>IFERROR(INDEX(wLast,85)&amp;"","")</f>
        <v>Nowak</v>
      </c>
      <c r="BB154" t="str">
        <f>IF(BA154="","",IFERROR(INDEX(wFirst,85)&amp;"",""))</f>
        <v>Isla</v>
      </c>
      <c r="BC154" t="str">
        <f>IF(BA154="","",IFERROR(INDEX(wClass,85)&amp;"",""))</f>
        <v>11S/Sc4</v>
      </c>
      <c r="BD154">
        <f>IF(BA154="","",IFERROR(INDEX(wKsBand,85)+0,""))</f>
        <v>5</v>
      </c>
      <c r="BE154">
        <f>IF(BA154="","",IFERROR(INDEX(wTests,85)+0,0))</f>
        <v>6</v>
      </c>
      <c r="BF154">
        <f>IF(BA154="","",IFERROR(INDEX(wMean,85)+0,""))</f>
        <v>4.66666666666667</v>
      </c>
      <c r="BG154">
        <f>IF(BA154="","",IFERROR(INDEX(wVs,85)+0,""))</f>
        <v>-0.286031746031745</v>
      </c>
      <c r="BH154">
        <f>IF(OR(BA154="",wLatest=""),"",IFERROR(INDEX(wData,85,MATCH(wLatest&amp;CHAR(10)&amp;"Stanine",wHdr,0))+0,""))</f>
        <v>5</v>
      </c>
      <c r="BI154" t="str">
        <f>IF(BA154="","",IF(AND(ISNUMBER(BG154),N(BE154)&gt;=WlMinTests,BG154&lt;=-WlGap),"Below expected for KS2",IF(AND(NOT(ISNUMBER(BD154)),ISNUMBER(BF154),N(BE154)&gt;=WlMinTests,BF154&lt;=WlLowMean),"Low results, no KS2 data","")))</f>
        <v/>
      </c>
      <c r="BJ154" t="str">
        <f>IF(BI154="","",IF(BI154="Below expected for KS2",BG154,100+BF154)+ROW()/1000000)</f>
        <v/>
      </c>
    </row>
    <row r="155">
      <c r="H155" t="str">
        <f>IFERROR(INDEX(tblY7[Class],ROWS(H$10:H155))&amp;"","")</f>
        <v/>
      </c>
      <c r="I155" t="str">
        <f>IF(H155="","",IF(COUNTIF(H$10:H155,H155)=1,COUNTIF(H$10:H$609,"&lt;"&amp;H155)+1,""))</f>
        <v/>
      </c>
      <c r="J155" t="str">
        <f>IFERROR(INDEX(tblY8[Class],ROWS(J$10:J155))&amp;"","")</f>
        <v/>
      </c>
      <c r="K155" t="str">
        <f>IF(J155="","",IF(COUNTIF(J$10:J155,J155)=1,COUNTIF(J$10:J$609,"&lt;"&amp;J155)+1,""))</f>
        <v/>
      </c>
      <c r="L155" t="str">
        <f>IFERROR(INDEX(tblY9[Class],ROWS(L$10:L155))&amp;"","")</f>
        <v/>
      </c>
      <c r="M155" t="str">
        <f>IF(L155="","",IF(COUNTIF(L$10:L155,L155)=1,COUNTIF(L$10:L$609,"&lt;"&amp;L155)+1,""))</f>
        <v/>
      </c>
      <c r="N155" t="str">
        <f>IFERROR(INDEX(tblY10[Class],ROWS(N$10:N155))&amp;"","")</f>
        <v/>
      </c>
      <c r="O155" t="str">
        <f>IF(N155="","",IF(COUNTIF(N$10:N155,N155)=1,COUNTIF(N$10:N$609,"&lt;"&amp;N155)+1,""))</f>
        <v/>
      </c>
      <c r="P155" t="str">
        <f>IFERROR(INDEX(tblY11[Class],ROWS(P$10:P155))&amp;"","")</f>
        <v/>
      </c>
      <c r="Q155" t="str">
        <f>IF(P155="","",IF(COUNTIF(P$10:P155,P155)=1,COUNTIF(P$10:P$609,"&lt;"&amp;P155)+1,""))</f>
        <v/>
      </c>
      <c r="BA155" t="str">
        <f>IFERROR(INDEX(wLast,86)&amp;"","")</f>
        <v>Parker</v>
      </c>
      <c r="BB155" t="str">
        <f>IF(BA155="","",IFERROR(INDEX(wFirst,86)&amp;"",""))</f>
        <v>Rhys</v>
      </c>
      <c r="BC155" t="str">
        <f>IF(BA155="","",IFERROR(INDEX(wClass,86)&amp;"",""))</f>
        <v>11S/Sc4</v>
      </c>
      <c r="BD155">
        <f>IF(BA155="","",IFERROR(INDEX(wKsBand,86)+0,""))</f>
        <v>5</v>
      </c>
      <c r="BE155">
        <f>IF(BA155="","",IFERROR(INDEX(wTests,86)+0,0))</f>
        <v>6</v>
      </c>
      <c r="BF155">
        <f>IF(BA155="","",IFERROR(INDEX(wMean,86)+0,""))</f>
        <v>3.83333333333333</v>
      </c>
      <c r="BG155">
        <f>IF(BA155="","",IFERROR(INDEX(wVs,86)+0,""))</f>
        <v>-1.11936507936508</v>
      </c>
      <c r="BH155">
        <f>IF(OR(BA155="",wLatest=""),"",IFERROR(INDEX(wData,86,MATCH(wLatest&amp;CHAR(10)&amp;"Stanine",wHdr,0))+0,""))</f>
        <v>4</v>
      </c>
      <c r="BI155" t="str">
        <f>IF(BA155="","",IF(AND(ISNUMBER(BG155),N(BE155)&gt;=WlMinTests,BG155&lt;=-WlGap),"Below expected for KS2",IF(AND(NOT(ISNUMBER(BD155)),ISNUMBER(BF155),N(BE155)&gt;=WlMinTests,BF155&lt;=WlLowMean),"Low results, no KS2 data","")))</f>
        <v/>
      </c>
      <c r="BJ155" t="str">
        <f>IF(BI155="","",IF(BI155="Below expected for KS2",BG155,100+BF155)+ROW()/1000000)</f>
        <v/>
      </c>
    </row>
    <row r="156">
      <c r="H156" t="str">
        <f>IFERROR(INDEX(tblY7[Class],ROWS(H$10:H156))&amp;"","")</f>
        <v/>
      </c>
      <c r="I156" t="str">
        <f>IF(H156="","",IF(COUNTIF(H$10:H156,H156)=1,COUNTIF(H$10:H$609,"&lt;"&amp;H156)+1,""))</f>
        <v/>
      </c>
      <c r="J156" t="str">
        <f>IFERROR(INDEX(tblY8[Class],ROWS(J$10:J156))&amp;"","")</f>
        <v/>
      </c>
      <c r="K156" t="str">
        <f>IF(J156="","",IF(COUNTIF(J$10:J156,J156)=1,COUNTIF(J$10:J$609,"&lt;"&amp;J156)+1,""))</f>
        <v/>
      </c>
      <c r="L156" t="str">
        <f>IFERROR(INDEX(tblY9[Class],ROWS(L$10:L156))&amp;"","")</f>
        <v/>
      </c>
      <c r="M156" t="str">
        <f>IF(L156="","",IF(COUNTIF(L$10:L156,L156)=1,COUNTIF(L$10:L$609,"&lt;"&amp;L156)+1,""))</f>
        <v/>
      </c>
      <c r="N156" t="str">
        <f>IFERROR(INDEX(tblY10[Class],ROWS(N$10:N156))&amp;"","")</f>
        <v/>
      </c>
      <c r="O156" t="str">
        <f>IF(N156="","",IF(COUNTIF(N$10:N156,N156)=1,COUNTIF(N$10:N$609,"&lt;"&amp;N156)+1,""))</f>
        <v/>
      </c>
      <c r="P156" t="str">
        <f>IFERROR(INDEX(tblY11[Class],ROWS(P$10:P156))&amp;"","")</f>
        <v/>
      </c>
      <c r="Q156" t="str">
        <f>IF(P156="","",IF(COUNTIF(P$10:P156,P156)=1,COUNTIF(P$10:P$609,"&lt;"&amp;P156)+1,""))</f>
        <v/>
      </c>
      <c r="BA156" t="str">
        <f>IFERROR(INDEX(wLast,87)&amp;"","")</f>
        <v>Shaw</v>
      </c>
      <c r="BB156" t="str">
        <f>IF(BA156="","",IFERROR(INDEX(wFirst,87)&amp;"",""))</f>
        <v>Jacob</v>
      </c>
      <c r="BC156" t="str">
        <f>IF(BA156="","",IFERROR(INDEX(wClass,87)&amp;"",""))</f>
        <v>11S/Sc4</v>
      </c>
      <c r="BD156">
        <f>IF(BA156="","",IFERROR(INDEX(wKsBand,87)+0,""))</f>
        <v>1</v>
      </c>
      <c r="BE156">
        <f>IF(BA156="","",IFERROR(INDEX(wTests,87)+0,0))</f>
        <v>6</v>
      </c>
      <c r="BF156">
        <f>IF(BA156="","",IFERROR(INDEX(wMean,87)+0,""))</f>
        <v>2</v>
      </c>
      <c r="BG156">
        <f>IF(BA156="","",IFERROR(INDEX(wVs,87)+0,""))</f>
        <v>0.0427561327561334</v>
      </c>
      <c r="BH156">
        <f>IF(OR(BA156="",wLatest=""),"",IFERROR(INDEX(wData,87,MATCH(wLatest&amp;CHAR(10)&amp;"Stanine",wHdr,0))+0,""))</f>
        <v>2</v>
      </c>
      <c r="BI156" t="str">
        <f>IF(BA156="","",IF(AND(ISNUMBER(BG156),N(BE156)&gt;=WlMinTests,BG156&lt;=-WlGap),"Below expected for KS2",IF(AND(NOT(ISNUMBER(BD156)),ISNUMBER(BF156),N(BE156)&gt;=WlMinTests,BF156&lt;=WlLowMean),"Low results, no KS2 data","")))</f>
        <v/>
      </c>
      <c r="BJ156" t="str">
        <f>IF(BI156="","",IF(BI156="Below expected for KS2",BG156,100+BF156)+ROW()/1000000)</f>
        <v/>
      </c>
    </row>
    <row r="157">
      <c r="H157" t="str">
        <f>IFERROR(INDEX(tblY7[Class],ROWS(H$10:H157))&amp;"","")</f>
        <v/>
      </c>
      <c r="I157" t="str">
        <f>IF(H157="","",IF(COUNTIF(H$10:H157,H157)=1,COUNTIF(H$10:H$609,"&lt;"&amp;H157)+1,""))</f>
        <v/>
      </c>
      <c r="J157" t="str">
        <f>IFERROR(INDEX(tblY8[Class],ROWS(J$10:J157))&amp;"","")</f>
        <v/>
      </c>
      <c r="K157" t="str">
        <f>IF(J157="","",IF(COUNTIF(J$10:J157,J157)=1,COUNTIF(J$10:J$609,"&lt;"&amp;J157)+1,""))</f>
        <v/>
      </c>
      <c r="L157" t="str">
        <f>IFERROR(INDEX(tblY9[Class],ROWS(L$10:L157))&amp;"","")</f>
        <v/>
      </c>
      <c r="M157" t="str">
        <f>IF(L157="","",IF(COUNTIF(L$10:L157,L157)=1,COUNTIF(L$10:L$609,"&lt;"&amp;L157)+1,""))</f>
        <v/>
      </c>
      <c r="N157" t="str">
        <f>IFERROR(INDEX(tblY10[Class],ROWS(N$10:N157))&amp;"","")</f>
        <v/>
      </c>
      <c r="O157" t="str">
        <f>IF(N157="","",IF(COUNTIF(N$10:N157,N157)=1,COUNTIF(N$10:N$609,"&lt;"&amp;N157)+1,""))</f>
        <v/>
      </c>
      <c r="P157" t="str">
        <f>IFERROR(INDEX(tblY11[Class],ROWS(P$10:P157))&amp;"","")</f>
        <v/>
      </c>
      <c r="Q157" t="str">
        <f>IF(P157="","",IF(COUNTIF(P$10:P157,P157)=1,COUNTIF(P$10:P$609,"&lt;"&amp;P157)+1,""))</f>
        <v/>
      </c>
      <c r="BA157" t="str">
        <f>IFERROR(INDEX(wLast,88)&amp;"","")</f>
        <v>Ward</v>
      </c>
      <c r="BB157" t="str">
        <f>IF(BA157="","",IFERROR(INDEX(wFirst,88)&amp;"",""))</f>
        <v>Kai</v>
      </c>
      <c r="BC157" t="str">
        <f>IF(BA157="","",IFERROR(INDEX(wClass,88)&amp;"",""))</f>
        <v>11S/Sc4</v>
      </c>
      <c r="BD157">
        <f>IF(BA157="","",IFERROR(INDEX(wKsBand,88)+0,""))</f>
        <v>2</v>
      </c>
      <c r="BE157">
        <f>IF(BA157="","",IFERROR(INDEX(wTests,88)+0,0))</f>
        <v>5</v>
      </c>
      <c r="BF157">
        <f>IF(BA157="","",IFERROR(INDEX(wMean,88)+0,""))</f>
        <v>4</v>
      </c>
      <c r="BG157">
        <f>IF(BA157="","",IFERROR(INDEX(wVs,88)+0,""))</f>
        <v>1.2938924963925</v>
      </c>
      <c r="BH157">
        <f>IF(OR(BA157="",wLatest=""),"",IFERROR(INDEX(wData,88,MATCH(wLatest&amp;CHAR(10)&amp;"Stanine",wHdr,0))+0,""))</f>
        <v>5</v>
      </c>
      <c r="BI157" t="str">
        <f>IF(BA157="","",IF(AND(ISNUMBER(BG157),N(BE157)&gt;=WlMinTests,BG157&lt;=-WlGap),"Below expected for KS2",IF(AND(NOT(ISNUMBER(BD157)),ISNUMBER(BF157),N(BE157)&gt;=WlMinTests,BF157&lt;=WlLowMean),"Low results, no KS2 data","")))</f>
        <v/>
      </c>
      <c r="BJ157" t="str">
        <f>IF(BI157="","",IF(BI157="Below expected for KS2",BG157,100+BF157)+ROW()/1000000)</f>
        <v/>
      </c>
    </row>
    <row r="158">
      <c r="H158" t="str">
        <f>IFERROR(INDEX(tblY7[Class],ROWS(H$10:H158))&amp;"","")</f>
        <v/>
      </c>
      <c r="I158" t="str">
        <f>IF(H158="","",IF(COUNTIF(H$10:H158,H158)=1,COUNTIF(H$10:H$609,"&lt;"&amp;H158)+1,""))</f>
        <v/>
      </c>
      <c r="J158" t="str">
        <f>IFERROR(INDEX(tblY8[Class],ROWS(J$10:J158))&amp;"","")</f>
        <v/>
      </c>
      <c r="K158" t="str">
        <f>IF(J158="","",IF(COUNTIF(J$10:J158,J158)=1,COUNTIF(J$10:J$609,"&lt;"&amp;J158)+1,""))</f>
        <v/>
      </c>
      <c r="L158" t="str">
        <f>IFERROR(INDEX(tblY9[Class],ROWS(L$10:L158))&amp;"","")</f>
        <v/>
      </c>
      <c r="M158" t="str">
        <f>IF(L158="","",IF(COUNTIF(L$10:L158,L158)=1,COUNTIF(L$10:L$609,"&lt;"&amp;L158)+1,""))</f>
        <v/>
      </c>
      <c r="N158" t="str">
        <f>IFERROR(INDEX(tblY10[Class],ROWS(N$10:N158))&amp;"","")</f>
        <v/>
      </c>
      <c r="O158" t="str">
        <f>IF(N158="","",IF(COUNTIF(N$10:N158,N158)=1,COUNTIF(N$10:N$609,"&lt;"&amp;N158)+1,""))</f>
        <v/>
      </c>
      <c r="P158" t="str">
        <f>IFERROR(INDEX(tblY11[Class],ROWS(P$10:P158))&amp;"","")</f>
        <v/>
      </c>
      <c r="Q158" t="str">
        <f>IF(P158="","",IF(COUNTIF(P$10:P158,P158)=1,COUNTIF(P$10:P$609,"&lt;"&amp;P158)+1,""))</f>
        <v/>
      </c>
      <c r="BA158" t="str">
        <f>IFERROR(INDEX(wLast,89)&amp;"","")</f>
        <v>Begum</v>
      </c>
      <c r="BB158" t="str">
        <f>IF(BA158="","",IFERROR(INDEX(wFirst,89)&amp;"",""))</f>
        <v>Freya</v>
      </c>
      <c r="BC158" t="str">
        <f>IF(BA158="","",IFERROR(INDEX(wClass,89)&amp;"",""))</f>
        <v>11S/Sc5</v>
      </c>
      <c r="BD158">
        <f>IF(BA158="","",IFERROR(INDEX(wKsBand,89)+0,""))</f>
        <v>3</v>
      </c>
      <c r="BE158">
        <f>IF(BA158="","",IFERROR(INDEX(wTests,89)+0,0))</f>
        <v>6</v>
      </c>
      <c r="BF158">
        <f>IF(BA158="","",IFERROR(INDEX(wMean,89)+0,""))</f>
        <v>1.83333333333333</v>
      </c>
      <c r="BG158">
        <f>IF(BA158="","",IFERROR(INDEX(wVs,89)+0,""))</f>
        <v>-1.62163780663781</v>
      </c>
      <c r="BH158">
        <f>IF(OR(BA158="",wLatest=""),"",IFERROR(INDEX(wData,89,MATCH(wLatest&amp;CHAR(10)&amp;"Stanine",wHdr,0))+0,""))</f>
        <v>2</v>
      </c>
      <c r="BI158" t="str">
        <f>IF(BA158="","",IF(AND(ISNUMBER(BG158),N(BE158)&gt;=WlMinTests,BG158&lt;=-WlGap),"Below expected for KS2",IF(AND(NOT(ISNUMBER(BD158)),ISNUMBER(BF158),N(BE158)&gt;=WlMinTests,BF158&lt;=WlLowMean),"Low results, no KS2 data","")))</f>
        <v>Below expected for KS2</v>
      </c>
      <c r="BJ158">
        <f>IF(BI158="","",IF(BI158="Below expected for KS2",BG158,100+BF158)+ROW()/1000000)</f>
        <v>-1.62147980663781</v>
      </c>
    </row>
    <row r="159">
      <c r="H159" t="str">
        <f>IFERROR(INDEX(tblY7[Class],ROWS(H$10:H159))&amp;"","")</f>
        <v/>
      </c>
      <c r="I159" t="str">
        <f>IF(H159="","",IF(COUNTIF(H$10:H159,H159)=1,COUNTIF(H$10:H$609,"&lt;"&amp;H159)+1,""))</f>
        <v/>
      </c>
      <c r="J159" t="str">
        <f>IFERROR(INDEX(tblY8[Class],ROWS(J$10:J159))&amp;"","")</f>
        <v/>
      </c>
      <c r="K159" t="str">
        <f>IF(J159="","",IF(COUNTIF(J$10:J159,J159)=1,COUNTIF(J$10:J$609,"&lt;"&amp;J159)+1,""))</f>
        <v/>
      </c>
      <c r="L159" t="str">
        <f>IFERROR(INDEX(tblY9[Class],ROWS(L$10:L159))&amp;"","")</f>
        <v/>
      </c>
      <c r="M159" t="str">
        <f>IF(L159="","",IF(COUNTIF(L$10:L159,L159)=1,COUNTIF(L$10:L$609,"&lt;"&amp;L159)+1,""))</f>
        <v/>
      </c>
      <c r="N159" t="str">
        <f>IFERROR(INDEX(tblY10[Class],ROWS(N$10:N159))&amp;"","")</f>
        <v/>
      </c>
      <c r="O159" t="str">
        <f>IF(N159="","",IF(COUNTIF(N$10:N159,N159)=1,COUNTIF(N$10:N$609,"&lt;"&amp;N159)+1,""))</f>
        <v/>
      </c>
      <c r="P159" t="str">
        <f>IFERROR(INDEX(tblY11[Class],ROWS(P$10:P159))&amp;"","")</f>
        <v/>
      </c>
      <c r="Q159" t="str">
        <f>IF(P159="","",IF(COUNTIF(P$10:P159,P159)=1,COUNTIF(P$10:P$609,"&lt;"&amp;P159)+1,""))</f>
        <v/>
      </c>
      <c r="BA159" t="str">
        <f>IFERROR(INDEX(wLast,90)&amp;"","")</f>
        <v>Bennett</v>
      </c>
      <c r="BB159" t="str">
        <f>IF(BA159="","",IFERROR(INDEX(wFirst,90)&amp;"",""))</f>
        <v>Kai</v>
      </c>
      <c r="BC159" t="str">
        <f>IF(BA159="","",IFERROR(INDEX(wClass,90)&amp;"",""))</f>
        <v>11S/Sc5</v>
      </c>
      <c r="BD159">
        <f>IF(BA159="","",IFERROR(INDEX(wKsBand,90)+0,""))</f>
        <v>4</v>
      </c>
      <c r="BE159">
        <f>IF(BA159="","",IFERROR(INDEX(wTests,90)+0,0))</f>
        <v>6</v>
      </c>
      <c r="BF159">
        <f>IF(BA159="","",IFERROR(INDEX(wMean,90)+0,""))</f>
        <v>3.66666666666667</v>
      </c>
      <c r="BG159">
        <f>IF(BA159="","",IFERROR(INDEX(wVs,90)+0,""))</f>
        <v>-0.537168109668109</v>
      </c>
      <c r="BH159">
        <f>IF(OR(BA159="",wLatest=""),"",IFERROR(INDEX(wData,90,MATCH(wLatest&amp;CHAR(10)&amp;"Stanine",wHdr,0))+0,""))</f>
        <v>3</v>
      </c>
      <c r="BI159" t="str">
        <f>IF(BA159="","",IF(AND(ISNUMBER(BG159),N(BE159)&gt;=WlMinTests,BG159&lt;=-WlGap),"Below expected for KS2",IF(AND(NOT(ISNUMBER(BD159)),ISNUMBER(BF159),N(BE159)&gt;=WlMinTests,BF159&lt;=WlLowMean),"Low results, no KS2 data","")))</f>
        <v/>
      </c>
      <c r="BJ159" t="str">
        <f>IF(BI159="","",IF(BI159="Below expected for KS2",BG159,100+BF159)+ROW()/1000000)</f>
        <v/>
      </c>
    </row>
    <row r="160">
      <c r="H160" t="str">
        <f>IFERROR(INDEX(tblY7[Class],ROWS(H$10:H160))&amp;"","")</f>
        <v/>
      </c>
      <c r="I160" t="str">
        <f>IF(H160="","",IF(COUNTIF(H$10:H160,H160)=1,COUNTIF(H$10:H$609,"&lt;"&amp;H160)+1,""))</f>
        <v/>
      </c>
      <c r="J160" t="str">
        <f>IFERROR(INDEX(tblY8[Class],ROWS(J$10:J160))&amp;"","")</f>
        <v/>
      </c>
      <c r="K160" t="str">
        <f>IF(J160="","",IF(COUNTIF(J$10:J160,J160)=1,COUNTIF(J$10:J$609,"&lt;"&amp;J160)+1,""))</f>
        <v/>
      </c>
      <c r="L160" t="str">
        <f>IFERROR(INDEX(tblY9[Class],ROWS(L$10:L160))&amp;"","")</f>
        <v/>
      </c>
      <c r="M160" t="str">
        <f>IF(L160="","",IF(COUNTIF(L$10:L160,L160)=1,COUNTIF(L$10:L$609,"&lt;"&amp;L160)+1,""))</f>
        <v/>
      </c>
      <c r="N160" t="str">
        <f>IFERROR(INDEX(tblY10[Class],ROWS(N$10:N160))&amp;"","")</f>
        <v/>
      </c>
      <c r="O160" t="str">
        <f>IF(N160="","",IF(COUNTIF(N$10:N160,N160)=1,COUNTIF(N$10:N$609,"&lt;"&amp;N160)+1,""))</f>
        <v/>
      </c>
      <c r="P160" t="str">
        <f>IFERROR(INDEX(tblY11[Class],ROWS(P$10:P160))&amp;"","")</f>
        <v/>
      </c>
      <c r="Q160" t="str">
        <f>IF(P160="","",IF(COUNTIF(P$10:P160,P160)=1,COUNTIF(P$10:P$609,"&lt;"&amp;P160)+1,""))</f>
        <v/>
      </c>
      <c r="BA160" t="str">
        <f>IFERROR(INDEX(wLast,91)&amp;"","")</f>
        <v>Jackson</v>
      </c>
      <c r="BB160" t="str">
        <f>IF(BA160="","",IFERROR(INDEX(wFirst,91)&amp;"",""))</f>
        <v>Chidi</v>
      </c>
      <c r="BC160" t="str">
        <f>IF(BA160="","",IFERROR(INDEX(wClass,91)&amp;"",""))</f>
        <v>11S/Sc5</v>
      </c>
      <c r="BD160">
        <f>IF(BA160="","",IFERROR(INDEX(wKsBand,91)+0,""))</f>
        <v>3</v>
      </c>
      <c r="BE160">
        <f>IF(BA160="","",IFERROR(INDEX(wTests,91)+0,0))</f>
        <v>5</v>
      </c>
      <c r="BF160">
        <f>IF(BA160="","",IFERROR(INDEX(wMean,91)+0,""))</f>
        <v>5</v>
      </c>
      <c r="BG160">
        <f>IF(BA160="","",IFERROR(INDEX(wVs,91)+0,""))</f>
        <v>1.54502886002886</v>
      </c>
      <c r="BH160">
        <f>IF(OR(BA160="",wLatest=""),"",IFERROR(INDEX(wData,91,MATCH(wLatest&amp;CHAR(10)&amp;"Stanine",wHdr,0))+0,""))</f>
        <v>4</v>
      </c>
      <c r="BI160" t="str">
        <f>IF(BA160="","",IF(AND(ISNUMBER(BG160),N(BE160)&gt;=WlMinTests,BG160&lt;=-WlGap),"Below expected for KS2",IF(AND(NOT(ISNUMBER(BD160)),ISNUMBER(BF160),N(BE160)&gt;=WlMinTests,BF160&lt;=WlLowMean),"Low results, no KS2 data","")))</f>
        <v/>
      </c>
      <c r="BJ160" t="str">
        <f>IF(BI160="","",IF(BI160="Below expected for KS2",BG160,100+BF160)+ROW()/1000000)</f>
        <v/>
      </c>
    </row>
    <row r="161">
      <c r="H161" t="str">
        <f>IFERROR(INDEX(tblY7[Class],ROWS(H$10:H161))&amp;"","")</f>
        <v/>
      </c>
      <c r="I161" t="str">
        <f>IF(H161="","",IF(COUNTIF(H$10:H161,H161)=1,COUNTIF(H$10:H$609,"&lt;"&amp;H161)+1,""))</f>
        <v/>
      </c>
      <c r="J161" t="str">
        <f>IFERROR(INDEX(tblY8[Class],ROWS(J$10:J161))&amp;"","")</f>
        <v/>
      </c>
      <c r="K161" t="str">
        <f>IF(J161="","",IF(COUNTIF(J$10:J161,J161)=1,COUNTIF(J$10:J$609,"&lt;"&amp;J161)+1,""))</f>
        <v/>
      </c>
      <c r="L161" t="str">
        <f>IFERROR(INDEX(tblY9[Class],ROWS(L$10:L161))&amp;"","")</f>
        <v/>
      </c>
      <c r="M161" t="str">
        <f>IF(L161="","",IF(COUNTIF(L$10:L161,L161)=1,COUNTIF(L$10:L$609,"&lt;"&amp;L161)+1,""))</f>
        <v/>
      </c>
      <c r="N161" t="str">
        <f>IFERROR(INDEX(tblY10[Class],ROWS(N$10:N161))&amp;"","")</f>
        <v/>
      </c>
      <c r="O161" t="str">
        <f>IF(N161="","",IF(COUNTIF(N$10:N161,N161)=1,COUNTIF(N$10:N$609,"&lt;"&amp;N161)+1,""))</f>
        <v/>
      </c>
      <c r="P161" t="str">
        <f>IFERROR(INDEX(tblY11[Class],ROWS(P$10:P161))&amp;"","")</f>
        <v/>
      </c>
      <c r="Q161" t="str">
        <f>IF(P161="","",IF(COUNTIF(P$10:P161,P161)=1,COUNTIF(P$10:P$609,"&lt;"&amp;P161)+1,""))</f>
        <v/>
      </c>
      <c r="BA161" t="str">
        <f>IFERROR(INDEX(wLast,92)&amp;"","")</f>
        <v>Johnson</v>
      </c>
      <c r="BB161" t="str">
        <f>IF(BA161="","",IFERROR(INDEX(wFirst,92)&amp;"",""))</f>
        <v>Chidi</v>
      </c>
      <c r="BC161" t="str">
        <f>IF(BA161="","",IFERROR(INDEX(wClass,92)&amp;"",""))</f>
        <v>11S/Sc5</v>
      </c>
      <c r="BD161">
        <f>IF(BA161="","",IFERROR(INDEX(wKsBand,92)+0,""))</f>
        <v>3</v>
      </c>
      <c r="BE161">
        <f>IF(BA161="","",IFERROR(INDEX(wTests,92)+0,0))</f>
        <v>6</v>
      </c>
      <c r="BF161">
        <f>IF(BA161="","",IFERROR(INDEX(wMean,92)+0,""))</f>
        <v>2.33333333333333</v>
      </c>
      <c r="BG161">
        <f>IF(BA161="","",IFERROR(INDEX(wVs,92)+0,""))</f>
        <v>-1.12163780663781</v>
      </c>
      <c r="BH161">
        <f>IF(OR(BA161="",wLatest=""),"",IFERROR(INDEX(wData,92,MATCH(wLatest&amp;CHAR(10)&amp;"Stanine",wHdr,0))+0,""))</f>
        <v>2</v>
      </c>
      <c r="BI161" t="str">
        <f>IF(BA161="","",IF(AND(ISNUMBER(BG161),N(BE161)&gt;=WlMinTests,BG161&lt;=-WlGap),"Below expected for KS2",IF(AND(NOT(ISNUMBER(BD161)),ISNUMBER(BF161),N(BE161)&gt;=WlMinTests,BF161&lt;=WlLowMean),"Low results, no KS2 data","")))</f>
        <v/>
      </c>
      <c r="BJ161" t="str">
        <f>IF(BI161="","",IF(BI161="Below expected for KS2",BG161,100+BF161)+ROW()/1000000)</f>
        <v/>
      </c>
    </row>
    <row r="162">
      <c r="H162" t="str">
        <f>IFERROR(INDEX(tblY7[Class],ROWS(H$10:H162))&amp;"","")</f>
        <v/>
      </c>
      <c r="I162" t="str">
        <f>IF(H162="","",IF(COUNTIF(H$10:H162,H162)=1,COUNTIF(H$10:H$609,"&lt;"&amp;H162)+1,""))</f>
        <v/>
      </c>
      <c r="J162" t="str">
        <f>IFERROR(INDEX(tblY8[Class],ROWS(J$10:J162))&amp;"","")</f>
        <v/>
      </c>
      <c r="K162" t="str">
        <f>IF(J162="","",IF(COUNTIF(J$10:J162,J162)=1,COUNTIF(J$10:J$609,"&lt;"&amp;J162)+1,""))</f>
        <v/>
      </c>
      <c r="L162" t="str">
        <f>IFERROR(INDEX(tblY9[Class],ROWS(L$10:L162))&amp;"","")</f>
        <v/>
      </c>
      <c r="M162" t="str">
        <f>IF(L162="","",IF(COUNTIF(L$10:L162,L162)=1,COUNTIF(L$10:L$609,"&lt;"&amp;L162)+1,""))</f>
        <v/>
      </c>
      <c r="N162" t="str">
        <f>IFERROR(INDEX(tblY10[Class],ROWS(N$10:N162))&amp;"","")</f>
        <v/>
      </c>
      <c r="O162" t="str">
        <f>IF(N162="","",IF(COUNTIF(N$10:N162,N162)=1,COUNTIF(N$10:N$609,"&lt;"&amp;N162)+1,""))</f>
        <v/>
      </c>
      <c r="P162" t="str">
        <f>IFERROR(INDEX(tblY11[Class],ROWS(P$10:P162))&amp;"","")</f>
        <v/>
      </c>
      <c r="Q162" t="str">
        <f>IF(P162="","",IF(COUNTIF(P$10:P162,P162)=1,COUNTIF(P$10:P$609,"&lt;"&amp;P162)+1,""))</f>
        <v/>
      </c>
      <c r="BA162" t="str">
        <f>IFERROR(INDEX(wLast,93)&amp;"","")</f>
        <v>Lewis</v>
      </c>
      <c r="BB162" t="str">
        <f>IF(BA162="","",IFERROR(INDEX(wFirst,93)&amp;"",""))</f>
        <v>Zofia</v>
      </c>
      <c r="BC162" t="str">
        <f>IF(BA162="","",IFERROR(INDEX(wClass,93)&amp;"",""))</f>
        <v>11S/Sc5</v>
      </c>
      <c r="BD162">
        <f>IF(BA162="","",IFERROR(INDEX(wKsBand,93)+0,""))</f>
        <v>3</v>
      </c>
      <c r="BE162">
        <f>IF(BA162="","",IFERROR(INDEX(wTests,93)+0,0))</f>
        <v>6</v>
      </c>
      <c r="BF162">
        <f>IF(BA162="","",IFERROR(INDEX(wMean,93)+0,""))</f>
        <v>2.66666666666667</v>
      </c>
      <c r="BG162">
        <f>IF(BA162="","",IFERROR(INDEX(wVs,93)+0,""))</f>
        <v>-0.788304473304473</v>
      </c>
      <c r="BH162">
        <f>IF(OR(BA162="",wLatest=""),"",IFERROR(INDEX(wData,93,MATCH(wLatest&amp;CHAR(10)&amp;"Stanine",wHdr,0))+0,""))</f>
        <v>3</v>
      </c>
      <c r="BI162" t="str">
        <f>IF(BA162="","",IF(AND(ISNUMBER(BG162),N(BE162)&gt;=WlMinTests,BG162&lt;=-WlGap),"Below expected for KS2",IF(AND(NOT(ISNUMBER(BD162)),ISNUMBER(BF162),N(BE162)&gt;=WlMinTests,BF162&lt;=WlLowMean),"Low results, no KS2 data","")))</f>
        <v/>
      </c>
      <c r="BJ162" t="str">
        <f>IF(BI162="","",IF(BI162="Below expected for KS2",BG162,100+BF162)+ROW()/1000000)</f>
        <v/>
      </c>
    </row>
    <row r="163">
      <c r="H163" t="str">
        <f>IFERROR(INDEX(tblY7[Class],ROWS(H$10:H163))&amp;"","")</f>
        <v/>
      </c>
      <c r="I163" t="str">
        <f>IF(H163="","",IF(COUNTIF(H$10:H163,H163)=1,COUNTIF(H$10:H$609,"&lt;"&amp;H163)+1,""))</f>
        <v/>
      </c>
      <c r="J163" t="str">
        <f>IFERROR(INDEX(tblY8[Class],ROWS(J$10:J163))&amp;"","")</f>
        <v/>
      </c>
      <c r="K163" t="str">
        <f>IF(J163="","",IF(COUNTIF(J$10:J163,J163)=1,COUNTIF(J$10:J$609,"&lt;"&amp;J163)+1,""))</f>
        <v/>
      </c>
      <c r="L163" t="str">
        <f>IFERROR(INDEX(tblY9[Class],ROWS(L$10:L163))&amp;"","")</f>
        <v/>
      </c>
      <c r="M163" t="str">
        <f>IF(L163="","",IF(COUNTIF(L$10:L163,L163)=1,COUNTIF(L$10:L$609,"&lt;"&amp;L163)+1,""))</f>
        <v/>
      </c>
      <c r="N163" t="str">
        <f>IFERROR(INDEX(tblY10[Class],ROWS(N$10:N163))&amp;"","")</f>
        <v/>
      </c>
      <c r="O163" t="str">
        <f>IF(N163="","",IF(COUNTIF(N$10:N163,N163)=1,COUNTIF(N$10:N$609,"&lt;"&amp;N163)+1,""))</f>
        <v/>
      </c>
      <c r="P163" t="str">
        <f>IFERROR(INDEX(tblY11[Class],ROWS(P$10:P163))&amp;"","")</f>
        <v/>
      </c>
      <c r="Q163" t="str">
        <f>IF(P163="","",IF(COUNTIF(P$10:P163,P163)=1,COUNTIF(P$10:P$609,"&lt;"&amp;P163)+1,""))</f>
        <v/>
      </c>
      <c r="BA163" t="str">
        <f>IFERROR(INDEX(wLast,94)&amp;"","")</f>
        <v>Morgan</v>
      </c>
      <c r="BB163" t="str">
        <f>IF(BA163="","",IFERROR(INDEX(wFirst,94)&amp;"",""))</f>
        <v>Charlie</v>
      </c>
      <c r="BC163" t="str">
        <f>IF(BA163="","",IFERROR(INDEX(wClass,94)&amp;"",""))</f>
        <v>11S/Sc5</v>
      </c>
      <c r="BD163">
        <f>IF(BA163="","",IFERROR(INDEX(wKsBand,94)+0,""))</f>
        <v>2</v>
      </c>
      <c r="BE163">
        <f>IF(BA163="","",IFERROR(INDEX(wTests,94)+0,0))</f>
        <v>6</v>
      </c>
      <c r="BF163">
        <f>IF(BA163="","",IFERROR(INDEX(wMean,94)+0,""))</f>
        <v>3.83333333333333</v>
      </c>
      <c r="BG163">
        <f>IF(BA163="","",IFERROR(INDEX(wVs,94)+0,""))</f>
        <v>1.12722582972583</v>
      </c>
      <c r="BH163">
        <f>IF(OR(BA163="",wLatest=""),"",IFERROR(INDEX(wData,94,MATCH(wLatest&amp;CHAR(10)&amp;"Stanine",wHdr,0))+0,""))</f>
        <v>4</v>
      </c>
      <c r="BI163" t="str">
        <f>IF(BA163="","",IF(AND(ISNUMBER(BG163),N(BE163)&gt;=WlMinTests,BG163&lt;=-WlGap),"Below expected for KS2",IF(AND(NOT(ISNUMBER(BD163)),ISNUMBER(BF163),N(BE163)&gt;=WlMinTests,BF163&lt;=WlLowMean),"Low results, no KS2 data","")))</f>
        <v/>
      </c>
      <c r="BJ163" t="str">
        <f>IF(BI163="","",IF(BI163="Below expected for KS2",BG163,100+BF163)+ROW()/1000000)</f>
        <v/>
      </c>
    </row>
    <row r="164">
      <c r="H164" t="str">
        <f>IFERROR(INDEX(tblY7[Class],ROWS(H$10:H164))&amp;"","")</f>
        <v/>
      </c>
      <c r="I164" t="str">
        <f>IF(H164="","",IF(COUNTIF(H$10:H164,H164)=1,COUNTIF(H$10:H$609,"&lt;"&amp;H164)+1,""))</f>
        <v/>
      </c>
      <c r="J164" t="str">
        <f>IFERROR(INDEX(tblY8[Class],ROWS(J$10:J164))&amp;"","")</f>
        <v/>
      </c>
      <c r="K164" t="str">
        <f>IF(J164="","",IF(COUNTIF(J$10:J164,J164)=1,COUNTIF(J$10:J$609,"&lt;"&amp;J164)+1,""))</f>
        <v/>
      </c>
      <c r="L164" t="str">
        <f>IFERROR(INDEX(tblY9[Class],ROWS(L$10:L164))&amp;"","")</f>
        <v/>
      </c>
      <c r="M164" t="str">
        <f>IF(L164="","",IF(COUNTIF(L$10:L164,L164)=1,COUNTIF(L$10:L$609,"&lt;"&amp;L164)+1,""))</f>
        <v/>
      </c>
      <c r="N164" t="str">
        <f>IFERROR(INDEX(tblY10[Class],ROWS(N$10:N164))&amp;"","")</f>
        <v/>
      </c>
      <c r="O164" t="str">
        <f>IF(N164="","",IF(COUNTIF(N$10:N164,N164)=1,COUNTIF(N$10:N$609,"&lt;"&amp;N164)+1,""))</f>
        <v/>
      </c>
      <c r="P164" t="str">
        <f>IFERROR(INDEX(tblY11[Class],ROWS(P$10:P164))&amp;"","")</f>
        <v/>
      </c>
      <c r="Q164" t="str">
        <f>IF(P164="","",IF(COUNTIF(P$10:P164,P164)=1,COUNTIF(P$10:P$609,"&lt;"&amp;P164)+1,""))</f>
        <v/>
      </c>
      <c r="BA164" t="str">
        <f>IFERROR(INDEX(wLast,95)&amp;"","")</f>
        <v>Morgan</v>
      </c>
      <c r="BB164" t="str">
        <f>IF(BA164="","",IFERROR(INDEX(wFirst,95)&amp;"",""))</f>
        <v>Zofia</v>
      </c>
      <c r="BC164" t="str">
        <f>IF(BA164="","",IFERROR(INDEX(wClass,95)&amp;"",""))</f>
        <v>11S/Sc5</v>
      </c>
      <c r="BD164">
        <f>IF(BA164="","",IFERROR(INDEX(wKsBand,95)+0,""))</f>
        <v>3</v>
      </c>
      <c r="BE164">
        <f>IF(BA164="","",IFERROR(INDEX(wTests,95)+0,0))</f>
        <v>5</v>
      </c>
      <c r="BF164">
        <f>IF(BA164="","",IFERROR(INDEX(wMean,95)+0,""))</f>
        <v>1.6</v>
      </c>
      <c r="BG164">
        <f>IF(BA164="","",IFERROR(INDEX(wVs,95)+0,""))</f>
        <v>-1.85497113997114</v>
      </c>
      <c r="BH164">
        <f>IF(OR(BA164="",wLatest=""),"",IFERROR(INDEX(wData,95,MATCH(wLatest&amp;CHAR(10)&amp;"Stanine",wHdr,0))+0,""))</f>
        <v>1</v>
      </c>
      <c r="BI164" t="str">
        <f>IF(BA164="","",IF(AND(ISNUMBER(BG164),N(BE164)&gt;=WlMinTests,BG164&lt;=-WlGap),"Below expected for KS2",IF(AND(NOT(ISNUMBER(BD164)),ISNUMBER(BF164),N(BE164)&gt;=WlMinTests,BF164&lt;=WlLowMean),"Low results, no KS2 data","")))</f>
        <v>Below expected for KS2</v>
      </c>
      <c r="BJ164">
        <f>IF(BI164="","",IF(BI164="Below expected for KS2",BG164,100+BF164)+ROW()/1000000)</f>
        <v>-1.85480713997114</v>
      </c>
    </row>
    <row r="165">
      <c r="H165" t="str">
        <f>IFERROR(INDEX(tblY7[Class],ROWS(H$10:H165))&amp;"","")</f>
        <v/>
      </c>
      <c r="I165" t="str">
        <f>IF(H165="","",IF(COUNTIF(H$10:H165,H165)=1,COUNTIF(H$10:H$609,"&lt;"&amp;H165)+1,""))</f>
        <v/>
      </c>
      <c r="J165" t="str">
        <f>IFERROR(INDEX(tblY8[Class],ROWS(J$10:J165))&amp;"","")</f>
        <v/>
      </c>
      <c r="K165" t="str">
        <f>IF(J165="","",IF(COUNTIF(J$10:J165,J165)=1,COUNTIF(J$10:J$609,"&lt;"&amp;J165)+1,""))</f>
        <v/>
      </c>
      <c r="L165" t="str">
        <f>IFERROR(INDEX(tblY9[Class],ROWS(L$10:L165))&amp;"","")</f>
        <v/>
      </c>
      <c r="M165" t="str">
        <f>IF(L165="","",IF(COUNTIF(L$10:L165,L165)=1,COUNTIF(L$10:L$609,"&lt;"&amp;L165)+1,""))</f>
        <v/>
      </c>
      <c r="N165" t="str">
        <f>IFERROR(INDEX(tblY10[Class],ROWS(N$10:N165))&amp;"","")</f>
        <v/>
      </c>
      <c r="O165" t="str">
        <f>IF(N165="","",IF(COUNTIF(N$10:N165,N165)=1,COUNTIF(N$10:N$609,"&lt;"&amp;N165)+1,""))</f>
        <v/>
      </c>
      <c r="P165" t="str">
        <f>IFERROR(INDEX(tblY11[Class],ROWS(P$10:P165))&amp;"","")</f>
        <v/>
      </c>
      <c r="Q165" t="str">
        <f>IF(P165="","",IF(COUNTIF(P$10:P165,P165)=1,COUNTIF(P$10:P$609,"&lt;"&amp;P165)+1,""))</f>
        <v/>
      </c>
      <c r="BA165" t="str">
        <f>IFERROR(INDEX(wLast,96)&amp;"","")</f>
        <v>Murphy</v>
      </c>
      <c r="BB165" t="str">
        <f>IF(BA165="","",IFERROR(INDEX(wFirst,96)&amp;"",""))</f>
        <v>Freya</v>
      </c>
      <c r="BC165" t="str">
        <f>IF(BA165="","",IFERROR(INDEX(wClass,96)&amp;"",""))</f>
        <v>11S/Sc5</v>
      </c>
      <c r="BD165">
        <f>IF(BA165="","",IFERROR(INDEX(wKsBand,96)+0,""))</f>
        <v>3</v>
      </c>
      <c r="BE165">
        <f>IF(BA165="","",IFERROR(INDEX(wTests,96)+0,0))</f>
        <v>6</v>
      </c>
      <c r="BF165">
        <f>IF(BA165="","",IFERROR(INDEX(wMean,96)+0,""))</f>
        <v>3.16666666666667</v>
      </c>
      <c r="BG165">
        <f>IF(BA165="","",IFERROR(INDEX(wVs,96)+0,""))</f>
        <v>-0.288304473304473</v>
      </c>
      <c r="BH165">
        <f>IF(OR(BA165="",wLatest=""),"",IFERROR(INDEX(wData,96,MATCH(wLatest&amp;CHAR(10)&amp;"Stanine",wHdr,0))+0,""))</f>
        <v>4</v>
      </c>
      <c r="BI165" t="str">
        <f>IF(BA165="","",IF(AND(ISNUMBER(BG165),N(BE165)&gt;=WlMinTests,BG165&lt;=-WlGap),"Below expected for KS2",IF(AND(NOT(ISNUMBER(BD165)),ISNUMBER(BF165),N(BE165)&gt;=WlMinTests,BF165&lt;=WlLowMean),"Low results, no KS2 data","")))</f>
        <v/>
      </c>
      <c r="BJ165" t="str">
        <f>IF(BI165="","",IF(BI165="Below expected for KS2",BG165,100+BF165)+ROW()/1000000)</f>
        <v/>
      </c>
    </row>
    <row r="166">
      <c r="H166" t="str">
        <f>IFERROR(INDEX(tblY7[Class],ROWS(H$10:H166))&amp;"","")</f>
        <v/>
      </c>
      <c r="I166" t="str">
        <f>IF(H166="","",IF(COUNTIF(H$10:H166,H166)=1,COUNTIF(H$10:H$609,"&lt;"&amp;H166)+1,""))</f>
        <v/>
      </c>
      <c r="J166" t="str">
        <f>IFERROR(INDEX(tblY8[Class],ROWS(J$10:J166))&amp;"","")</f>
        <v/>
      </c>
      <c r="K166" t="str">
        <f>IF(J166="","",IF(COUNTIF(J$10:J166,J166)=1,COUNTIF(J$10:J$609,"&lt;"&amp;J166)+1,""))</f>
        <v/>
      </c>
      <c r="L166" t="str">
        <f>IFERROR(INDEX(tblY9[Class],ROWS(L$10:L166))&amp;"","")</f>
        <v/>
      </c>
      <c r="M166" t="str">
        <f>IF(L166="","",IF(COUNTIF(L$10:L166,L166)=1,COUNTIF(L$10:L$609,"&lt;"&amp;L166)+1,""))</f>
        <v/>
      </c>
      <c r="N166" t="str">
        <f>IFERROR(INDEX(tblY10[Class],ROWS(N$10:N166))&amp;"","")</f>
        <v/>
      </c>
      <c r="O166" t="str">
        <f>IF(N166="","",IF(COUNTIF(N$10:N166,N166)=1,COUNTIF(N$10:N$609,"&lt;"&amp;N166)+1,""))</f>
        <v/>
      </c>
      <c r="P166" t="str">
        <f>IFERROR(INDEX(tblY11[Class],ROWS(P$10:P166))&amp;"","")</f>
        <v/>
      </c>
      <c r="Q166" t="str">
        <f>IF(P166="","",IF(COUNTIF(P$10:P166,P166)=1,COUNTIF(P$10:P$609,"&lt;"&amp;P166)+1,""))</f>
        <v/>
      </c>
      <c r="BA166" t="str">
        <f>IFERROR(INDEX(wLast,97)&amp;"","")</f>
        <v>Okafor</v>
      </c>
      <c r="BB166" t="str">
        <f>IF(BA166="","",IFERROR(INDEX(wFirst,97)&amp;"",""))</f>
        <v>Arthur</v>
      </c>
      <c r="BC166" t="str">
        <f>IF(BA166="","",IFERROR(INDEX(wClass,97)&amp;"",""))</f>
        <v>11S/Sc5</v>
      </c>
      <c r="BD166">
        <f>IF(BA166="","",IFERROR(INDEX(wKsBand,97)+0,""))</f>
        <v>3</v>
      </c>
      <c r="BE166">
        <f>IF(BA166="","",IFERROR(INDEX(wTests,97)+0,0))</f>
        <v>4</v>
      </c>
      <c r="BF166">
        <f>IF(BA166="","",IFERROR(INDEX(wMean,97)+0,""))</f>
        <v>3</v>
      </c>
      <c r="BG166">
        <f>IF(BA166="","",IFERROR(INDEX(wVs,97)+0,""))</f>
        <v>-0.454971139971139</v>
      </c>
      <c r="BH166" t="str">
        <f>IF(OR(BA166="",wLatest=""),"",IFERROR(INDEX(wData,97,MATCH(wLatest&amp;CHAR(10)&amp;"Stanine",wHdr,0))+0,""))</f>
        <v/>
      </c>
      <c r="BI166" t="str">
        <f>IF(BA166="","",IF(AND(ISNUMBER(BG166),N(BE166)&gt;=WlMinTests,BG166&lt;=-WlGap),"Below expected for KS2",IF(AND(NOT(ISNUMBER(BD166)),ISNUMBER(BF166),N(BE166)&gt;=WlMinTests,BF166&lt;=WlLowMean),"Low results, no KS2 data","")))</f>
        <v/>
      </c>
      <c r="BJ166" t="str">
        <f>IF(BI166="","",IF(BI166="Below expected for KS2",BG166,100+BF166)+ROW()/1000000)</f>
        <v/>
      </c>
    </row>
    <row r="167">
      <c r="H167" t="str">
        <f>IFERROR(INDEX(tblY7[Class],ROWS(H$10:H167))&amp;"","")</f>
        <v/>
      </c>
      <c r="I167" t="str">
        <f>IF(H167="","",IF(COUNTIF(H$10:H167,H167)=1,COUNTIF(H$10:H$609,"&lt;"&amp;H167)+1,""))</f>
        <v/>
      </c>
      <c r="J167" t="str">
        <f>IFERROR(INDEX(tblY8[Class],ROWS(J$10:J167))&amp;"","")</f>
        <v/>
      </c>
      <c r="K167" t="str">
        <f>IF(J167="","",IF(COUNTIF(J$10:J167,J167)=1,COUNTIF(J$10:J$609,"&lt;"&amp;J167)+1,""))</f>
        <v/>
      </c>
      <c r="L167" t="str">
        <f>IFERROR(INDEX(tblY9[Class],ROWS(L$10:L167))&amp;"","")</f>
        <v/>
      </c>
      <c r="M167" t="str">
        <f>IF(L167="","",IF(COUNTIF(L$10:L167,L167)=1,COUNTIF(L$10:L$609,"&lt;"&amp;L167)+1,""))</f>
        <v/>
      </c>
      <c r="N167" t="str">
        <f>IFERROR(INDEX(tblY10[Class],ROWS(N$10:N167))&amp;"","")</f>
        <v/>
      </c>
      <c r="O167" t="str">
        <f>IF(N167="","",IF(COUNTIF(N$10:N167,N167)=1,COUNTIF(N$10:N$609,"&lt;"&amp;N167)+1,""))</f>
        <v/>
      </c>
      <c r="P167" t="str">
        <f>IFERROR(INDEX(tblY11[Class],ROWS(P$10:P167))&amp;"","")</f>
        <v/>
      </c>
      <c r="Q167" t="str">
        <f>IF(P167="","",IF(COUNTIF(P$10:P167,P167)=1,COUNTIF(P$10:P$609,"&lt;"&amp;P167)+1,""))</f>
        <v/>
      </c>
      <c r="BA167" t="str">
        <f>IFERROR(INDEX(wLast,98)&amp;"","")</f>
        <v>Patel</v>
      </c>
      <c r="BB167" t="str">
        <f>IF(BA167="","",IFERROR(INDEX(wFirst,98)&amp;"",""))</f>
        <v>Arthur</v>
      </c>
      <c r="BC167" t="str">
        <f>IF(BA167="","",IFERROR(INDEX(wClass,98)&amp;"",""))</f>
        <v>11S/Sc5</v>
      </c>
      <c r="BD167">
        <f>IF(BA167="","",IFERROR(INDEX(wKsBand,98)+0,""))</f>
        <v>3</v>
      </c>
      <c r="BE167">
        <f>IF(BA167="","",IFERROR(INDEX(wTests,98)+0,0))</f>
        <v>6</v>
      </c>
      <c r="BF167">
        <f>IF(BA167="","",IFERROR(INDEX(wMean,98)+0,""))</f>
        <v>6.16666666666667</v>
      </c>
      <c r="BG167">
        <f>IF(BA167="","",IFERROR(INDEX(wVs,98)+0,""))</f>
        <v>2.71169552669553</v>
      </c>
      <c r="BH167">
        <f>IF(OR(BA167="",wLatest=""),"",IFERROR(INDEX(wData,98,MATCH(wLatest&amp;CHAR(10)&amp;"Stanine",wHdr,0))+0,""))</f>
        <v>6</v>
      </c>
      <c r="BI167" t="str">
        <f>IF(BA167="","",IF(AND(ISNUMBER(BG167),N(BE167)&gt;=WlMinTests,BG167&lt;=-WlGap),"Below expected for KS2",IF(AND(NOT(ISNUMBER(BD167)),ISNUMBER(BF167),N(BE167)&gt;=WlMinTests,BF167&lt;=WlLowMean),"Low results, no KS2 data","")))</f>
        <v/>
      </c>
      <c r="BJ167" t="str">
        <f>IF(BI167="","",IF(BI167="Below expected for KS2",BG167,100+BF167)+ROW()/1000000)</f>
        <v/>
      </c>
    </row>
    <row r="168">
      <c r="H168" t="str">
        <f>IFERROR(INDEX(tblY7[Class],ROWS(H$10:H168))&amp;"","")</f>
        <v/>
      </c>
      <c r="I168" t="str">
        <f>IF(H168="","",IF(COUNTIF(H$10:H168,H168)=1,COUNTIF(H$10:H$609,"&lt;"&amp;H168)+1,""))</f>
        <v/>
      </c>
      <c r="J168" t="str">
        <f>IFERROR(INDEX(tblY8[Class],ROWS(J$10:J168))&amp;"","")</f>
        <v/>
      </c>
      <c r="K168" t="str">
        <f>IF(J168="","",IF(COUNTIF(J$10:J168,J168)=1,COUNTIF(J$10:J$609,"&lt;"&amp;J168)+1,""))</f>
        <v/>
      </c>
      <c r="L168" t="str">
        <f>IFERROR(INDEX(tblY9[Class],ROWS(L$10:L168))&amp;"","")</f>
        <v/>
      </c>
      <c r="M168" t="str">
        <f>IF(L168="","",IF(COUNTIF(L$10:L168,L168)=1,COUNTIF(L$10:L$609,"&lt;"&amp;L168)+1,""))</f>
        <v/>
      </c>
      <c r="N168" t="str">
        <f>IFERROR(INDEX(tblY10[Class],ROWS(N$10:N168))&amp;"","")</f>
        <v/>
      </c>
      <c r="O168" t="str">
        <f>IF(N168="","",IF(COUNTIF(N$10:N168,N168)=1,COUNTIF(N$10:N$609,"&lt;"&amp;N168)+1,""))</f>
        <v/>
      </c>
      <c r="P168" t="str">
        <f>IFERROR(INDEX(tblY11[Class],ROWS(P$10:P168))&amp;"","")</f>
        <v/>
      </c>
      <c r="Q168" t="str">
        <f>IF(P168="","",IF(COUNTIF(P$10:P168,P168)=1,COUNTIF(P$10:P$609,"&lt;"&amp;P168)+1,""))</f>
        <v/>
      </c>
      <c r="BA168" t="str">
        <f>IFERROR(INDEX(wLast,99)&amp;"","")</f>
        <v>Robinson</v>
      </c>
      <c r="BB168" t="str">
        <f>IF(BA168="","",IFERROR(INDEX(wFirst,99)&amp;"",""))</f>
        <v>Priya</v>
      </c>
      <c r="BC168" t="str">
        <f>IF(BA168="","",IFERROR(INDEX(wClass,99)&amp;"",""))</f>
        <v>11S/Sc5</v>
      </c>
      <c r="BD168">
        <f>IF(BA168="","",IFERROR(INDEX(wKsBand,99)+0,""))</f>
        <v>3</v>
      </c>
      <c r="BE168">
        <f>IF(BA168="","",IFERROR(INDEX(wTests,99)+0,0))</f>
        <v>6</v>
      </c>
      <c r="BF168">
        <f>IF(BA168="","",IFERROR(INDEX(wMean,99)+0,""))</f>
        <v>2.16666666666667</v>
      </c>
      <c r="BG168">
        <f>IF(BA168="","",IFERROR(INDEX(wVs,99)+0,""))</f>
        <v>-1.28830447330447</v>
      </c>
      <c r="BH168">
        <f>IF(OR(BA168="",wLatest=""),"",IFERROR(INDEX(wData,99,MATCH(wLatest&amp;CHAR(10)&amp;"Stanine",wHdr,0))+0,""))</f>
        <v>2</v>
      </c>
      <c r="BI168" t="str">
        <f>IF(BA168="","",IF(AND(ISNUMBER(BG168),N(BE168)&gt;=WlMinTests,BG168&lt;=-WlGap),"Below expected for KS2",IF(AND(NOT(ISNUMBER(BD168)),ISNUMBER(BF168),N(BE168)&gt;=WlMinTests,BF168&lt;=WlLowMean),"Low results, no KS2 data","")))</f>
        <v/>
      </c>
      <c r="BJ168" t="str">
        <f>IF(BI168="","",IF(BI168="Below expected for KS2",BG168,100+BF168)+ROW()/1000000)</f>
        <v/>
      </c>
    </row>
    <row r="169">
      <c r="H169" t="str">
        <f>IFERROR(INDEX(tblY7[Class],ROWS(H$10:H169))&amp;"","")</f>
        <v/>
      </c>
      <c r="I169" t="str">
        <f>IF(H169="","",IF(COUNTIF(H$10:H169,H169)=1,COUNTIF(H$10:H$609,"&lt;"&amp;H169)+1,""))</f>
        <v/>
      </c>
      <c r="J169" t="str">
        <f>IFERROR(INDEX(tblY8[Class],ROWS(J$10:J169))&amp;"","")</f>
        <v/>
      </c>
      <c r="K169" t="str">
        <f>IF(J169="","",IF(COUNTIF(J$10:J169,J169)=1,COUNTIF(J$10:J$609,"&lt;"&amp;J169)+1,""))</f>
        <v/>
      </c>
      <c r="L169" t="str">
        <f>IFERROR(INDEX(tblY9[Class],ROWS(L$10:L169))&amp;"","")</f>
        <v/>
      </c>
      <c r="M169" t="str">
        <f>IF(L169="","",IF(COUNTIF(L$10:L169,L169)=1,COUNTIF(L$10:L$609,"&lt;"&amp;L169)+1,""))</f>
        <v/>
      </c>
      <c r="N169" t="str">
        <f>IFERROR(INDEX(tblY10[Class],ROWS(N$10:N169))&amp;"","")</f>
        <v/>
      </c>
      <c r="O169" t="str">
        <f>IF(N169="","",IF(COUNTIF(N$10:N169,N169)=1,COUNTIF(N$10:N$609,"&lt;"&amp;N169)+1,""))</f>
        <v/>
      </c>
      <c r="P169" t="str">
        <f>IFERROR(INDEX(tblY11[Class],ROWS(P$10:P169))&amp;"","")</f>
        <v/>
      </c>
      <c r="Q169" t="str">
        <f>IF(P169="","",IF(COUNTIF(P$10:P169,P169)=1,COUNTIF(P$10:P$609,"&lt;"&amp;P169)+1,""))</f>
        <v/>
      </c>
      <c r="BA169" t="str">
        <f>IFERROR(INDEX(wLast,100)&amp;"","")</f>
        <v>Smith</v>
      </c>
      <c r="BB169" t="str">
        <f>IF(BA169="","",IFERROR(INDEX(wFirst,100)&amp;"",""))</f>
        <v>Zofia</v>
      </c>
      <c r="BC169" t="str">
        <f>IF(BA169="","",IFERROR(INDEX(wClass,100)&amp;"",""))</f>
        <v>11S/Sc5</v>
      </c>
      <c r="BD169">
        <f>IF(BA169="","",IFERROR(INDEX(wKsBand,100)+0,""))</f>
        <v>2</v>
      </c>
      <c r="BE169">
        <f>IF(BA169="","",IFERROR(INDEX(wTests,100)+0,0))</f>
        <v>6</v>
      </c>
      <c r="BF169">
        <f>IF(BA169="","",IFERROR(INDEX(wMean,100)+0,""))</f>
        <v>4.33333333333333</v>
      </c>
      <c r="BG169">
        <f>IF(BA169="","",IFERROR(INDEX(wVs,100)+0,""))</f>
        <v>1.62722582972583</v>
      </c>
      <c r="BH169">
        <f>IF(OR(BA169="",wLatest=""),"",IFERROR(INDEX(wData,100,MATCH(wLatest&amp;CHAR(10)&amp;"Stanine",wHdr,0))+0,""))</f>
        <v>5</v>
      </c>
      <c r="BI169" t="str">
        <f>IF(BA169="","",IF(AND(ISNUMBER(BG169),N(BE169)&gt;=WlMinTests,BG169&lt;=-WlGap),"Below expected for KS2",IF(AND(NOT(ISNUMBER(BD169)),ISNUMBER(BF169),N(BE169)&gt;=WlMinTests,BF169&lt;=WlLowMean),"Low results, no KS2 data","")))</f>
        <v/>
      </c>
      <c r="BJ169" t="str">
        <f>IF(BI169="","",IF(BI169="Below expected for KS2",BG169,100+BF169)+ROW()/1000000)</f>
        <v/>
      </c>
    </row>
    <row r="170">
      <c r="H170" t="str">
        <f>IFERROR(INDEX(tblY7[Class],ROWS(H$10:H170))&amp;"","")</f>
        <v/>
      </c>
      <c r="I170" t="str">
        <f>IF(H170="","",IF(COUNTIF(H$10:H170,H170)=1,COUNTIF(H$10:H$609,"&lt;"&amp;H170)+1,""))</f>
        <v/>
      </c>
      <c r="J170" t="str">
        <f>IFERROR(INDEX(tblY8[Class],ROWS(J$10:J170))&amp;"","")</f>
        <v/>
      </c>
      <c r="K170" t="str">
        <f>IF(J170="","",IF(COUNTIF(J$10:J170,J170)=1,COUNTIF(J$10:J$609,"&lt;"&amp;J170)+1,""))</f>
        <v/>
      </c>
      <c r="L170" t="str">
        <f>IFERROR(INDEX(tblY9[Class],ROWS(L$10:L170))&amp;"","")</f>
        <v/>
      </c>
      <c r="M170" t="str">
        <f>IF(L170="","",IF(COUNTIF(L$10:L170,L170)=1,COUNTIF(L$10:L$609,"&lt;"&amp;L170)+1,""))</f>
        <v/>
      </c>
      <c r="N170" t="str">
        <f>IFERROR(INDEX(tblY10[Class],ROWS(N$10:N170))&amp;"","")</f>
        <v/>
      </c>
      <c r="O170" t="str">
        <f>IF(N170="","",IF(COUNTIF(N$10:N170,N170)=1,COUNTIF(N$10:N$609,"&lt;"&amp;N170)+1,""))</f>
        <v/>
      </c>
      <c r="P170" t="str">
        <f>IFERROR(INDEX(tblY11[Class],ROWS(P$10:P170))&amp;"","")</f>
        <v/>
      </c>
      <c r="Q170" t="str">
        <f>IF(P170="","",IF(COUNTIF(P$10:P170,P170)=1,COUNTIF(P$10:P$609,"&lt;"&amp;P170)+1,""))</f>
        <v/>
      </c>
      <c r="BA170" t="str">
        <f>IFERROR(INDEX(wLast,101)&amp;"","")</f>
        <v>Williams</v>
      </c>
      <c r="BB170" t="str">
        <f>IF(BA170="","",IFERROR(INDEX(wFirst,101)&amp;"",""))</f>
        <v>Amelia</v>
      </c>
      <c r="BC170" t="str">
        <f>IF(BA170="","",IFERROR(INDEX(wClass,101)&amp;"",""))</f>
        <v>11S/Sc5</v>
      </c>
      <c r="BD170">
        <f>IF(BA170="","",IFERROR(INDEX(wKsBand,101)+0,""))</f>
        <v>4</v>
      </c>
      <c r="BE170">
        <f>IF(BA170="","",IFERROR(INDEX(wTests,101)+0,0))</f>
        <v>6</v>
      </c>
      <c r="BF170">
        <f>IF(BA170="","",IFERROR(INDEX(wMean,101)+0,""))</f>
        <v>2.66666666666667</v>
      </c>
      <c r="BG170">
        <f>IF(BA170="","",IFERROR(INDEX(wVs,101)+0,""))</f>
        <v>-1.53716810966811</v>
      </c>
      <c r="BH170">
        <f>IF(OR(BA170="",wLatest=""),"",IFERROR(INDEX(wData,101,MATCH(wLatest&amp;CHAR(10)&amp;"Stanine",wHdr,0))+0,""))</f>
        <v>3</v>
      </c>
      <c r="BI170" t="str">
        <f>IF(BA170="","",IF(AND(ISNUMBER(BG170),N(BE170)&gt;=WlMinTests,BG170&lt;=-WlGap),"Below expected for KS2",IF(AND(NOT(ISNUMBER(BD170)),ISNUMBER(BF170),N(BE170)&gt;=WlMinTests,BF170&lt;=WlLowMean),"Low results, no KS2 data","")))</f>
        <v>Below expected for KS2</v>
      </c>
      <c r="BJ170">
        <f>IF(BI170="","",IF(BI170="Below expected for KS2",BG170,100+BF170)+ROW()/1000000)</f>
        <v>-1.53699810966811</v>
      </c>
    </row>
    <row r="171">
      <c r="H171" t="str">
        <f>IFERROR(INDEX(tblY7[Class],ROWS(H$10:H171))&amp;"","")</f>
        <v/>
      </c>
      <c r="I171" t="str">
        <f>IF(H171="","",IF(COUNTIF(H$10:H171,H171)=1,COUNTIF(H$10:H$609,"&lt;"&amp;H171)+1,""))</f>
        <v/>
      </c>
      <c r="J171" t="str">
        <f>IFERROR(INDEX(tblY8[Class],ROWS(J$10:J171))&amp;"","")</f>
        <v/>
      </c>
      <c r="K171" t="str">
        <f>IF(J171="","",IF(COUNTIF(J$10:J171,J171)=1,COUNTIF(J$10:J$609,"&lt;"&amp;J171)+1,""))</f>
        <v/>
      </c>
      <c r="L171" t="str">
        <f>IFERROR(INDEX(tblY9[Class],ROWS(L$10:L171))&amp;"","")</f>
        <v/>
      </c>
      <c r="M171" t="str">
        <f>IF(L171="","",IF(COUNTIF(L$10:L171,L171)=1,COUNTIF(L$10:L$609,"&lt;"&amp;L171)+1,""))</f>
        <v/>
      </c>
      <c r="N171" t="str">
        <f>IFERROR(INDEX(tblY10[Class],ROWS(N$10:N171))&amp;"","")</f>
        <v/>
      </c>
      <c r="O171" t="str">
        <f>IF(N171="","",IF(COUNTIF(N$10:N171,N171)=1,COUNTIF(N$10:N$609,"&lt;"&amp;N171)+1,""))</f>
        <v/>
      </c>
      <c r="P171" t="str">
        <f>IFERROR(INDEX(tblY11[Class],ROWS(P$10:P171))&amp;"","")</f>
        <v/>
      </c>
      <c r="Q171" t="str">
        <f>IF(P171="","",IF(COUNTIF(P$10:P171,P171)=1,COUNTIF(P$10:P$609,"&lt;"&amp;P171)+1,""))</f>
        <v/>
      </c>
      <c r="BA171" t="str">
        <f>IFERROR(INDEX(wLast,102)&amp;"","")</f>
        <v>Cooper</v>
      </c>
      <c r="BB171" t="str">
        <f>IF(BA171="","",IFERROR(INDEX(wFirst,102)&amp;"",""))</f>
        <v>Rosie</v>
      </c>
      <c r="BC171" t="str">
        <f>IF(BA171="","",IFERROR(INDEX(wClass,102)&amp;"",""))</f>
        <v>Science Support</v>
      </c>
      <c r="BD171">
        <f>IF(BA171="","",IFERROR(INDEX(wKsBand,102)+0,""))</f>
        <v>1</v>
      </c>
      <c r="BE171">
        <f>IF(BA171="","",IFERROR(INDEX(wTests,102)+0,0))</f>
        <v>6</v>
      </c>
      <c r="BF171">
        <f>IF(BA171="","",IFERROR(INDEX(wMean,102)+0,""))</f>
        <v>1.66666666666667</v>
      </c>
      <c r="BG171">
        <f>IF(BA171="","",IFERROR(INDEX(wVs,102)+0,""))</f>
        <v>-0.2905772005772</v>
      </c>
      <c r="BH171">
        <f>IF(OR(BA171="",wLatest=""),"",IFERROR(INDEX(wData,102,MATCH(wLatest&amp;CHAR(10)&amp;"Stanine",wHdr,0))+0,""))</f>
        <v>2</v>
      </c>
      <c r="BI171" t="str">
        <f>IF(BA171="","",IF(AND(ISNUMBER(BG171),N(BE171)&gt;=WlMinTests,BG171&lt;=-WlGap),"Below expected for KS2",IF(AND(NOT(ISNUMBER(BD171)),ISNUMBER(BF171),N(BE171)&gt;=WlMinTests,BF171&lt;=WlLowMean),"Low results, no KS2 data","")))</f>
        <v/>
      </c>
      <c r="BJ171" t="str">
        <f>IF(BI171="","",IF(BI171="Below expected for KS2",BG171,100+BF171)+ROW()/1000000)</f>
        <v/>
      </c>
    </row>
    <row r="172">
      <c r="H172" t="str">
        <f>IFERROR(INDEX(tblY7[Class],ROWS(H$10:H172))&amp;"","")</f>
        <v/>
      </c>
      <c r="I172" t="str">
        <f>IF(H172="","",IF(COUNTIF(H$10:H172,H172)=1,COUNTIF(H$10:H$609,"&lt;"&amp;H172)+1,""))</f>
        <v/>
      </c>
      <c r="J172" t="str">
        <f>IFERROR(INDEX(tblY8[Class],ROWS(J$10:J172))&amp;"","")</f>
        <v/>
      </c>
      <c r="K172" t="str">
        <f>IF(J172="","",IF(COUNTIF(J$10:J172,J172)=1,COUNTIF(J$10:J$609,"&lt;"&amp;J172)+1,""))</f>
        <v/>
      </c>
      <c r="L172" t="str">
        <f>IFERROR(INDEX(tblY9[Class],ROWS(L$10:L172))&amp;"","")</f>
        <v/>
      </c>
      <c r="M172" t="str">
        <f>IF(L172="","",IF(COUNTIF(L$10:L172,L172)=1,COUNTIF(L$10:L$609,"&lt;"&amp;L172)+1,""))</f>
        <v/>
      </c>
      <c r="N172" t="str">
        <f>IFERROR(INDEX(tblY10[Class],ROWS(N$10:N172))&amp;"","")</f>
        <v/>
      </c>
      <c r="O172" t="str">
        <f>IF(N172="","",IF(COUNTIF(N$10:N172,N172)=1,COUNTIF(N$10:N$609,"&lt;"&amp;N172)+1,""))</f>
        <v/>
      </c>
      <c r="P172" t="str">
        <f>IFERROR(INDEX(tblY11[Class],ROWS(P$10:P172))&amp;"","")</f>
        <v/>
      </c>
      <c r="Q172" t="str">
        <f>IF(P172="","",IF(COUNTIF(P$10:P172,P172)=1,COUNTIF(P$10:P$609,"&lt;"&amp;P172)+1,""))</f>
        <v/>
      </c>
      <c r="BA172" t="str">
        <f>IFERROR(INDEX(wLast,103)&amp;"","")</f>
        <v>Kelly</v>
      </c>
      <c r="BB172" t="str">
        <f>IF(BA172="","",IFERROR(INDEX(wFirst,103)&amp;"",""))</f>
        <v>Hannah</v>
      </c>
      <c r="BC172" t="str">
        <f>IF(BA172="","",IFERROR(INDEX(wClass,103)&amp;"",""))</f>
        <v>Science Support</v>
      </c>
      <c r="BD172">
        <f>IF(BA172="","",IFERROR(INDEX(wKsBand,103)+0,""))</f>
        <v>3</v>
      </c>
      <c r="BE172">
        <f>IF(BA172="","",IFERROR(INDEX(wTests,103)+0,0))</f>
        <v>6</v>
      </c>
      <c r="BF172">
        <f>IF(BA172="","",IFERROR(INDEX(wMean,103)+0,""))</f>
        <v>2</v>
      </c>
      <c r="BG172">
        <f>IF(BA172="","",IFERROR(INDEX(wVs,103)+0,""))</f>
        <v>-1.45497113997114</v>
      </c>
      <c r="BH172">
        <f>IF(OR(BA172="",wLatest=""),"",IFERROR(INDEX(wData,103,MATCH(wLatest&amp;CHAR(10)&amp;"Stanine",wHdr,0))+0,""))</f>
        <v>2</v>
      </c>
      <c r="BI172" t="str">
        <f>IF(BA172="","",IF(AND(ISNUMBER(BG172),N(BE172)&gt;=WlMinTests,BG172&lt;=-WlGap),"Below expected for KS2",IF(AND(NOT(ISNUMBER(BD172)),ISNUMBER(BF172),N(BE172)&gt;=WlMinTests,BF172&lt;=WlLowMean),"Low results, no KS2 data","")))</f>
        <v/>
      </c>
      <c r="BJ172" t="str">
        <f>IF(BI172="","",IF(BI172="Below expected for KS2",BG172,100+BF172)+ROW()/1000000)</f>
        <v/>
      </c>
    </row>
    <row r="173">
      <c r="H173" t="str">
        <f>IFERROR(INDEX(tblY7[Class],ROWS(H$10:H173))&amp;"","")</f>
        <v/>
      </c>
      <c r="I173" t="str">
        <f>IF(H173="","",IF(COUNTIF(H$10:H173,H173)=1,COUNTIF(H$10:H$609,"&lt;"&amp;H173)+1,""))</f>
        <v/>
      </c>
      <c r="J173" t="str">
        <f>IFERROR(INDEX(tblY8[Class],ROWS(J$10:J173))&amp;"","")</f>
        <v/>
      </c>
      <c r="K173" t="str">
        <f>IF(J173="","",IF(COUNTIF(J$10:J173,J173)=1,COUNTIF(J$10:J$609,"&lt;"&amp;J173)+1,""))</f>
        <v/>
      </c>
      <c r="L173" t="str">
        <f>IFERROR(INDEX(tblY9[Class],ROWS(L$10:L173))&amp;"","")</f>
        <v/>
      </c>
      <c r="M173" t="str">
        <f>IF(L173="","",IF(COUNTIF(L$10:L173,L173)=1,COUNTIF(L$10:L$609,"&lt;"&amp;L173)+1,""))</f>
        <v/>
      </c>
      <c r="N173" t="str">
        <f>IFERROR(INDEX(tblY10[Class],ROWS(N$10:N173))&amp;"","")</f>
        <v/>
      </c>
      <c r="O173" t="str">
        <f>IF(N173="","",IF(COUNTIF(N$10:N173,N173)=1,COUNTIF(N$10:N$609,"&lt;"&amp;N173)+1,""))</f>
        <v/>
      </c>
      <c r="P173" t="str">
        <f>IFERROR(INDEX(tblY11[Class],ROWS(P$10:P173))&amp;"","")</f>
        <v/>
      </c>
      <c r="Q173" t="str">
        <f>IF(P173="","",IF(COUNTIF(P$10:P173,P173)=1,COUNTIF(P$10:P$609,"&lt;"&amp;P173)+1,""))</f>
        <v/>
      </c>
      <c r="BA173" t="str">
        <f>IFERROR(INDEX(wLast,104)&amp;"","")</f>
        <v>Lloyd</v>
      </c>
      <c r="BB173" t="str">
        <f>IF(BA173="","",IFERROR(INDEX(wFirst,104)&amp;"",""))</f>
        <v>Oliver</v>
      </c>
      <c r="BC173" t="str">
        <f>IF(BA173="","",IFERROR(INDEX(wClass,104)&amp;"",""))</f>
        <v>Science Support</v>
      </c>
      <c r="BD173">
        <f>IF(BA173="","",IFERROR(INDEX(wKsBand,104)+0,""))</f>
        <v>2</v>
      </c>
      <c r="BE173">
        <f>IF(BA173="","",IFERROR(INDEX(wTests,104)+0,0))</f>
        <v>5</v>
      </c>
      <c r="BF173">
        <f>IF(BA173="","",IFERROR(INDEX(wMean,104)+0,""))</f>
        <v>2.2</v>
      </c>
      <c r="BG173">
        <f>IF(BA173="","",IFERROR(INDEX(wVs,104)+0,""))</f>
        <v>-0.506107503607503</v>
      </c>
      <c r="BH173">
        <f>IF(OR(BA173="",wLatest=""),"",IFERROR(INDEX(wData,104,MATCH(wLatest&amp;CHAR(10)&amp;"Stanine",wHdr,0))+0,""))</f>
        <v>2</v>
      </c>
      <c r="BI173" t="str">
        <f>IF(BA173="","",IF(AND(ISNUMBER(BG173),N(BE173)&gt;=WlMinTests,BG173&lt;=-WlGap),"Below expected for KS2",IF(AND(NOT(ISNUMBER(BD173)),ISNUMBER(BF173),N(BE173)&gt;=WlMinTests,BF173&lt;=WlLowMean),"Low results, no KS2 data","")))</f>
        <v/>
      </c>
      <c r="BJ173" t="str">
        <f>IF(BI173="","",IF(BI173="Below expected for KS2",BG173,100+BF173)+ROW()/1000000)</f>
        <v/>
      </c>
    </row>
    <row r="174">
      <c r="H174" t="str">
        <f>IFERROR(INDEX(tblY7[Class],ROWS(H$10:H174))&amp;"","")</f>
        <v/>
      </c>
      <c r="I174" t="str">
        <f>IF(H174="","",IF(COUNTIF(H$10:H174,H174)=1,COUNTIF(H$10:H$609,"&lt;"&amp;H174)+1,""))</f>
        <v/>
      </c>
      <c r="J174" t="str">
        <f>IFERROR(INDEX(tblY8[Class],ROWS(J$10:J174))&amp;"","")</f>
        <v/>
      </c>
      <c r="K174" t="str">
        <f>IF(J174="","",IF(COUNTIF(J$10:J174,J174)=1,COUNTIF(J$10:J$609,"&lt;"&amp;J174)+1,""))</f>
        <v/>
      </c>
      <c r="L174" t="str">
        <f>IFERROR(INDEX(tblY9[Class],ROWS(L$10:L174))&amp;"","")</f>
        <v/>
      </c>
      <c r="M174" t="str">
        <f>IF(L174="","",IF(COUNTIF(L$10:L174,L174)=1,COUNTIF(L$10:L$609,"&lt;"&amp;L174)+1,""))</f>
        <v/>
      </c>
      <c r="N174" t="str">
        <f>IFERROR(INDEX(tblY10[Class],ROWS(N$10:N174))&amp;"","")</f>
        <v/>
      </c>
      <c r="O174" t="str">
        <f>IF(N174="","",IF(COUNTIF(N$10:N174,N174)=1,COUNTIF(N$10:N$609,"&lt;"&amp;N174)+1,""))</f>
        <v/>
      </c>
      <c r="P174" t="str">
        <f>IFERROR(INDEX(tblY11[Class],ROWS(P$10:P174))&amp;"","")</f>
        <v/>
      </c>
      <c r="Q174" t="str">
        <f>IF(P174="","",IF(COUNTIF(P$10:P174,P174)=1,COUNTIF(P$10:P$609,"&lt;"&amp;P174)+1,""))</f>
        <v/>
      </c>
      <c r="BA174" t="str">
        <f>IFERROR(INDEX(wLast,105)&amp;"","")</f>
        <v>Okafor</v>
      </c>
      <c r="BB174" t="str">
        <f>IF(BA174="","",IFERROR(INDEX(wFirst,105)&amp;"",""))</f>
        <v>Lewis</v>
      </c>
      <c r="BC174" t="str">
        <f>IF(BA174="","",IFERROR(INDEX(wClass,105)&amp;"",""))</f>
        <v>Science Support</v>
      </c>
      <c r="BD174">
        <f>IF(BA174="","",IFERROR(INDEX(wKsBand,105)+0,""))</f>
        <v>3</v>
      </c>
      <c r="BE174">
        <f>IF(BA174="","",IFERROR(INDEX(wTests,105)+0,0))</f>
        <v>6</v>
      </c>
      <c r="BF174">
        <f>IF(BA174="","",IFERROR(INDEX(wMean,105)+0,""))</f>
        <v>2.16666666666667</v>
      </c>
      <c r="BG174">
        <f>IF(BA174="","",IFERROR(INDEX(wVs,105)+0,""))</f>
        <v>-1.28830447330447</v>
      </c>
      <c r="BH174">
        <f>IF(OR(BA174="",wLatest=""),"",IFERROR(INDEX(wData,105,MATCH(wLatest&amp;CHAR(10)&amp;"Stanine",wHdr,0))+0,""))</f>
        <v>2</v>
      </c>
      <c r="BI174" t="str">
        <f>IF(BA174="","",IF(AND(ISNUMBER(BG174),N(BE174)&gt;=WlMinTests,BG174&lt;=-WlGap),"Below expected for KS2",IF(AND(NOT(ISNUMBER(BD174)),ISNUMBER(BF174),N(BE174)&gt;=WlMinTests,BF174&lt;=WlLowMean),"Low results, no KS2 data","")))</f>
        <v/>
      </c>
      <c r="BJ174" t="str">
        <f>IF(BI174="","",IF(BI174="Below expected for KS2",BG174,100+BF174)+ROW()/1000000)</f>
        <v/>
      </c>
    </row>
    <row r="175">
      <c r="H175" t="str">
        <f>IFERROR(INDEX(tblY7[Class],ROWS(H$10:H175))&amp;"","")</f>
        <v/>
      </c>
      <c r="I175" t="str">
        <f>IF(H175="","",IF(COUNTIF(H$10:H175,H175)=1,COUNTIF(H$10:H$609,"&lt;"&amp;H175)+1,""))</f>
        <v/>
      </c>
      <c r="J175" t="str">
        <f>IFERROR(INDEX(tblY8[Class],ROWS(J$10:J175))&amp;"","")</f>
        <v/>
      </c>
      <c r="K175" t="str">
        <f>IF(J175="","",IF(COUNTIF(J$10:J175,J175)=1,COUNTIF(J$10:J$609,"&lt;"&amp;J175)+1,""))</f>
        <v/>
      </c>
      <c r="L175" t="str">
        <f>IFERROR(INDEX(tblY9[Class],ROWS(L$10:L175))&amp;"","")</f>
        <v/>
      </c>
      <c r="M175" t="str">
        <f>IF(L175="","",IF(COUNTIF(L$10:L175,L175)=1,COUNTIF(L$10:L$609,"&lt;"&amp;L175)+1,""))</f>
        <v/>
      </c>
      <c r="N175" t="str">
        <f>IFERROR(INDEX(tblY10[Class],ROWS(N$10:N175))&amp;"","")</f>
        <v/>
      </c>
      <c r="O175" t="str">
        <f>IF(N175="","",IF(COUNTIF(N$10:N175,N175)=1,COUNTIF(N$10:N$609,"&lt;"&amp;N175)+1,""))</f>
        <v/>
      </c>
      <c r="P175" t="str">
        <f>IFERROR(INDEX(tblY11[Class],ROWS(P$10:P175))&amp;"","")</f>
        <v/>
      </c>
      <c r="Q175" t="str">
        <f>IF(P175="","",IF(COUNTIF(P$10:P175,P175)=1,COUNTIF(P$10:P$609,"&lt;"&amp;P175)+1,""))</f>
        <v/>
      </c>
      <c r="BA175" t="str">
        <f>IFERROR(INDEX(wLast,106)&amp;"","")</f>
        <v>Okafor</v>
      </c>
      <c r="BB175" t="str">
        <f>IF(BA175="","",IFERROR(INDEX(wFirst,106)&amp;"",""))</f>
        <v>Rosie</v>
      </c>
      <c r="BC175" t="str">
        <f>IF(BA175="","",IFERROR(INDEX(wClass,106)&amp;"",""))</f>
        <v>Science Support</v>
      </c>
      <c r="BD175">
        <f>IF(BA175="","",IFERROR(INDEX(wKsBand,106)+0,""))</f>
        <v>3</v>
      </c>
      <c r="BE175">
        <f>IF(BA175="","",IFERROR(INDEX(wTests,106)+0,0))</f>
        <v>5</v>
      </c>
      <c r="BF175">
        <f>IF(BA175="","",IFERROR(INDEX(wMean,106)+0,""))</f>
        <v>3.2</v>
      </c>
      <c r="BG175">
        <f>IF(BA175="","",IFERROR(INDEX(wVs,106)+0,""))</f>
        <v>-0.254971139971139</v>
      </c>
      <c r="BH175">
        <f>IF(OR(BA175="",wLatest=""),"",IFERROR(INDEX(wData,106,MATCH(wLatest&amp;CHAR(10)&amp;"Stanine",wHdr,0))+0,""))</f>
        <v>4</v>
      </c>
      <c r="BI175" t="str">
        <f>IF(BA175="","",IF(AND(ISNUMBER(BG175),N(BE175)&gt;=WlMinTests,BG175&lt;=-WlGap),"Below expected for KS2",IF(AND(NOT(ISNUMBER(BD175)),ISNUMBER(BF175),N(BE175)&gt;=WlMinTests,BF175&lt;=WlLowMean),"Low results, no KS2 data","")))</f>
        <v/>
      </c>
      <c r="BJ175" t="str">
        <f>IF(BI175="","",IF(BI175="Below expected for KS2",BG175,100+BF175)+ROW()/1000000)</f>
        <v/>
      </c>
    </row>
    <row r="176">
      <c r="H176" t="str">
        <f>IFERROR(INDEX(tblY7[Class],ROWS(H$10:H176))&amp;"","")</f>
        <v/>
      </c>
      <c r="I176" t="str">
        <f>IF(H176="","",IF(COUNTIF(H$10:H176,H176)=1,COUNTIF(H$10:H$609,"&lt;"&amp;H176)+1,""))</f>
        <v/>
      </c>
      <c r="J176" t="str">
        <f>IFERROR(INDEX(tblY8[Class],ROWS(J$10:J176))&amp;"","")</f>
        <v/>
      </c>
      <c r="K176" t="str">
        <f>IF(J176="","",IF(COUNTIF(J$10:J176,J176)=1,COUNTIF(J$10:J$609,"&lt;"&amp;J176)+1,""))</f>
        <v/>
      </c>
      <c r="L176" t="str">
        <f>IFERROR(INDEX(tblY9[Class],ROWS(L$10:L176))&amp;"","")</f>
        <v/>
      </c>
      <c r="M176" t="str">
        <f>IF(L176="","",IF(COUNTIF(L$10:L176,L176)=1,COUNTIF(L$10:L$609,"&lt;"&amp;L176)+1,""))</f>
        <v/>
      </c>
      <c r="N176" t="str">
        <f>IFERROR(INDEX(tblY10[Class],ROWS(N$10:N176))&amp;"","")</f>
        <v/>
      </c>
      <c r="O176" t="str">
        <f>IF(N176="","",IF(COUNTIF(N$10:N176,N176)=1,COUNTIF(N$10:N$609,"&lt;"&amp;N176)+1,""))</f>
        <v/>
      </c>
      <c r="P176" t="str">
        <f>IFERROR(INDEX(tblY11[Class],ROWS(P$10:P176))&amp;"","")</f>
        <v/>
      </c>
      <c r="Q176" t="str">
        <f>IF(P176="","",IF(COUNTIF(P$10:P176,P176)=1,COUNTIF(P$10:P$609,"&lt;"&amp;P176)+1,""))</f>
        <v/>
      </c>
      <c r="BA176" t="str">
        <f>IFERROR(INDEX(wLast,107)&amp;"","")</f>
        <v/>
      </c>
      <c r="BB176" t="str">
        <f>IF(BA176="","",IFERROR(INDEX(wFirst,107)&amp;"",""))</f>
        <v/>
      </c>
      <c r="BC176" t="str">
        <f>IF(BA176="","",IFERROR(INDEX(wClass,107)&amp;"",""))</f>
        <v/>
      </c>
      <c r="BD176" t="str">
        <f>IF(BA176="","",IFERROR(INDEX(wKsBand,107)+0,""))</f>
        <v/>
      </c>
      <c r="BE176" t="str">
        <f>IF(BA176="","",IFERROR(INDEX(wTests,107)+0,0))</f>
        <v/>
      </c>
      <c r="BF176" t="str">
        <f>IF(BA176="","",IFERROR(INDEX(wMean,107)+0,""))</f>
        <v/>
      </c>
      <c r="BG176" t="str">
        <f>IF(BA176="","",IFERROR(INDEX(wVs,107)+0,""))</f>
        <v/>
      </c>
      <c r="BH176" t="str">
        <f>IF(OR(BA176="",wLatest=""),"",IFERROR(INDEX(wData,107,MATCH(wLatest&amp;CHAR(10)&amp;"Stanine",wHdr,0))+0,""))</f>
        <v/>
      </c>
      <c r="BI176" t="str">
        <f>IF(BA176="","",IF(AND(ISNUMBER(BG176),N(BE176)&gt;=WlMinTests,BG176&lt;=-WlGap),"Below expected for KS2",IF(AND(NOT(ISNUMBER(BD176)),ISNUMBER(BF176),N(BE176)&gt;=WlMinTests,BF176&lt;=WlLowMean),"Low results, no KS2 data","")))</f>
        <v/>
      </c>
      <c r="BJ176" t="str">
        <f>IF(BI176="","",IF(BI176="Below expected for KS2",BG176,100+BF176)+ROW()/1000000)</f>
        <v/>
      </c>
    </row>
    <row r="177">
      <c r="H177" t="str">
        <f>IFERROR(INDEX(tblY7[Class],ROWS(H$10:H177))&amp;"","")</f>
        <v/>
      </c>
      <c r="I177" t="str">
        <f>IF(H177="","",IF(COUNTIF(H$10:H177,H177)=1,COUNTIF(H$10:H$609,"&lt;"&amp;H177)+1,""))</f>
        <v/>
      </c>
      <c r="J177" t="str">
        <f>IFERROR(INDEX(tblY8[Class],ROWS(J$10:J177))&amp;"","")</f>
        <v/>
      </c>
      <c r="K177" t="str">
        <f>IF(J177="","",IF(COUNTIF(J$10:J177,J177)=1,COUNTIF(J$10:J$609,"&lt;"&amp;J177)+1,""))</f>
        <v/>
      </c>
      <c r="L177" t="str">
        <f>IFERROR(INDEX(tblY9[Class],ROWS(L$10:L177))&amp;"","")</f>
        <v/>
      </c>
      <c r="M177" t="str">
        <f>IF(L177="","",IF(COUNTIF(L$10:L177,L177)=1,COUNTIF(L$10:L$609,"&lt;"&amp;L177)+1,""))</f>
        <v/>
      </c>
      <c r="N177" t="str">
        <f>IFERROR(INDEX(tblY10[Class],ROWS(N$10:N177))&amp;"","")</f>
        <v/>
      </c>
      <c r="O177" t="str">
        <f>IF(N177="","",IF(COUNTIF(N$10:N177,N177)=1,COUNTIF(N$10:N$609,"&lt;"&amp;N177)+1,""))</f>
        <v/>
      </c>
      <c r="P177" t="str">
        <f>IFERROR(INDEX(tblY11[Class],ROWS(P$10:P177))&amp;"","")</f>
        <v/>
      </c>
      <c r="Q177" t="str">
        <f>IF(P177="","",IF(COUNTIF(P$10:P177,P177)=1,COUNTIF(P$10:P$609,"&lt;"&amp;P177)+1,""))</f>
        <v/>
      </c>
      <c r="BA177" t="str">
        <f>IFERROR(INDEX(wLast,108)&amp;"","")</f>
        <v/>
      </c>
      <c r="BB177" t="str">
        <f>IF(BA177="","",IFERROR(INDEX(wFirst,108)&amp;"",""))</f>
        <v/>
      </c>
      <c r="BC177" t="str">
        <f>IF(BA177="","",IFERROR(INDEX(wClass,108)&amp;"",""))</f>
        <v/>
      </c>
      <c r="BD177" t="str">
        <f>IF(BA177="","",IFERROR(INDEX(wKsBand,108)+0,""))</f>
        <v/>
      </c>
      <c r="BE177" t="str">
        <f>IF(BA177="","",IFERROR(INDEX(wTests,108)+0,0))</f>
        <v/>
      </c>
      <c r="BF177" t="str">
        <f>IF(BA177="","",IFERROR(INDEX(wMean,108)+0,""))</f>
        <v/>
      </c>
      <c r="BG177" t="str">
        <f>IF(BA177="","",IFERROR(INDEX(wVs,108)+0,""))</f>
        <v/>
      </c>
      <c r="BH177" t="str">
        <f>IF(OR(BA177="",wLatest=""),"",IFERROR(INDEX(wData,108,MATCH(wLatest&amp;CHAR(10)&amp;"Stanine",wHdr,0))+0,""))</f>
        <v/>
      </c>
      <c r="BI177" t="str">
        <f>IF(BA177="","",IF(AND(ISNUMBER(BG177),N(BE177)&gt;=WlMinTests,BG177&lt;=-WlGap),"Below expected for KS2",IF(AND(NOT(ISNUMBER(BD177)),ISNUMBER(BF177),N(BE177)&gt;=WlMinTests,BF177&lt;=WlLowMean),"Low results, no KS2 data","")))</f>
        <v/>
      </c>
      <c r="BJ177" t="str">
        <f>IF(BI177="","",IF(BI177="Below expected for KS2",BG177,100+BF177)+ROW()/1000000)</f>
        <v/>
      </c>
    </row>
    <row r="178">
      <c r="H178" t="str">
        <f>IFERROR(INDEX(tblY7[Class],ROWS(H$10:H178))&amp;"","")</f>
        <v/>
      </c>
      <c r="I178" t="str">
        <f>IF(H178="","",IF(COUNTIF(H$10:H178,H178)=1,COUNTIF(H$10:H$609,"&lt;"&amp;H178)+1,""))</f>
        <v/>
      </c>
      <c r="J178" t="str">
        <f>IFERROR(INDEX(tblY8[Class],ROWS(J$10:J178))&amp;"","")</f>
        <v/>
      </c>
      <c r="K178" t="str">
        <f>IF(J178="","",IF(COUNTIF(J$10:J178,J178)=1,COUNTIF(J$10:J$609,"&lt;"&amp;J178)+1,""))</f>
        <v/>
      </c>
      <c r="L178" t="str">
        <f>IFERROR(INDEX(tblY9[Class],ROWS(L$10:L178))&amp;"","")</f>
        <v/>
      </c>
      <c r="M178" t="str">
        <f>IF(L178="","",IF(COUNTIF(L$10:L178,L178)=1,COUNTIF(L$10:L$609,"&lt;"&amp;L178)+1,""))</f>
        <v/>
      </c>
      <c r="N178" t="str">
        <f>IFERROR(INDEX(tblY10[Class],ROWS(N$10:N178))&amp;"","")</f>
        <v/>
      </c>
      <c r="O178" t="str">
        <f>IF(N178="","",IF(COUNTIF(N$10:N178,N178)=1,COUNTIF(N$10:N$609,"&lt;"&amp;N178)+1,""))</f>
        <v/>
      </c>
      <c r="P178" t="str">
        <f>IFERROR(INDEX(tblY11[Class],ROWS(P$10:P178))&amp;"","")</f>
        <v/>
      </c>
      <c r="Q178" t="str">
        <f>IF(P178="","",IF(COUNTIF(P$10:P178,P178)=1,COUNTIF(P$10:P$609,"&lt;"&amp;P178)+1,""))</f>
        <v/>
      </c>
      <c r="BA178" t="str">
        <f>IFERROR(INDEX(wLast,109)&amp;"","")</f>
        <v/>
      </c>
      <c r="BB178" t="str">
        <f>IF(BA178="","",IFERROR(INDEX(wFirst,109)&amp;"",""))</f>
        <v/>
      </c>
      <c r="BC178" t="str">
        <f>IF(BA178="","",IFERROR(INDEX(wClass,109)&amp;"",""))</f>
        <v/>
      </c>
      <c r="BD178" t="str">
        <f>IF(BA178="","",IFERROR(INDEX(wKsBand,109)+0,""))</f>
        <v/>
      </c>
      <c r="BE178" t="str">
        <f>IF(BA178="","",IFERROR(INDEX(wTests,109)+0,0))</f>
        <v/>
      </c>
      <c r="BF178" t="str">
        <f>IF(BA178="","",IFERROR(INDEX(wMean,109)+0,""))</f>
        <v/>
      </c>
      <c r="BG178" t="str">
        <f>IF(BA178="","",IFERROR(INDEX(wVs,109)+0,""))</f>
        <v/>
      </c>
      <c r="BH178" t="str">
        <f>IF(OR(BA178="",wLatest=""),"",IFERROR(INDEX(wData,109,MATCH(wLatest&amp;CHAR(10)&amp;"Stanine",wHdr,0))+0,""))</f>
        <v/>
      </c>
      <c r="BI178" t="str">
        <f>IF(BA178="","",IF(AND(ISNUMBER(BG178),N(BE178)&gt;=WlMinTests,BG178&lt;=-WlGap),"Below expected for KS2",IF(AND(NOT(ISNUMBER(BD178)),ISNUMBER(BF178),N(BE178)&gt;=WlMinTests,BF178&lt;=WlLowMean),"Low results, no KS2 data","")))</f>
        <v/>
      </c>
      <c r="BJ178" t="str">
        <f>IF(BI178="","",IF(BI178="Below expected for KS2",BG178,100+BF178)+ROW()/1000000)</f>
        <v/>
      </c>
    </row>
    <row r="179">
      <c r="H179" t="str">
        <f>IFERROR(INDEX(tblY7[Class],ROWS(H$10:H179))&amp;"","")</f>
        <v/>
      </c>
      <c r="I179" t="str">
        <f>IF(H179="","",IF(COUNTIF(H$10:H179,H179)=1,COUNTIF(H$10:H$609,"&lt;"&amp;H179)+1,""))</f>
        <v/>
      </c>
      <c r="J179" t="str">
        <f>IFERROR(INDEX(tblY8[Class],ROWS(J$10:J179))&amp;"","")</f>
        <v/>
      </c>
      <c r="K179" t="str">
        <f>IF(J179="","",IF(COUNTIF(J$10:J179,J179)=1,COUNTIF(J$10:J$609,"&lt;"&amp;J179)+1,""))</f>
        <v/>
      </c>
      <c r="L179" t="str">
        <f>IFERROR(INDEX(tblY9[Class],ROWS(L$10:L179))&amp;"","")</f>
        <v/>
      </c>
      <c r="M179" t="str">
        <f>IF(L179="","",IF(COUNTIF(L$10:L179,L179)=1,COUNTIF(L$10:L$609,"&lt;"&amp;L179)+1,""))</f>
        <v/>
      </c>
      <c r="N179" t="str">
        <f>IFERROR(INDEX(tblY10[Class],ROWS(N$10:N179))&amp;"","")</f>
        <v/>
      </c>
      <c r="O179" t="str">
        <f>IF(N179="","",IF(COUNTIF(N$10:N179,N179)=1,COUNTIF(N$10:N$609,"&lt;"&amp;N179)+1,""))</f>
        <v/>
      </c>
      <c r="P179" t="str">
        <f>IFERROR(INDEX(tblY11[Class],ROWS(P$10:P179))&amp;"","")</f>
        <v/>
      </c>
      <c r="Q179" t="str">
        <f>IF(P179="","",IF(COUNTIF(P$10:P179,P179)=1,COUNTIF(P$10:P$609,"&lt;"&amp;P179)+1,""))</f>
        <v/>
      </c>
      <c r="BA179" t="str">
        <f>IFERROR(INDEX(wLast,110)&amp;"","")</f>
        <v/>
      </c>
      <c r="BB179" t="str">
        <f>IF(BA179="","",IFERROR(INDEX(wFirst,110)&amp;"",""))</f>
        <v/>
      </c>
      <c r="BC179" t="str">
        <f>IF(BA179="","",IFERROR(INDEX(wClass,110)&amp;"",""))</f>
        <v/>
      </c>
      <c r="BD179" t="str">
        <f>IF(BA179="","",IFERROR(INDEX(wKsBand,110)+0,""))</f>
        <v/>
      </c>
      <c r="BE179" t="str">
        <f>IF(BA179="","",IFERROR(INDEX(wTests,110)+0,0))</f>
        <v/>
      </c>
      <c r="BF179" t="str">
        <f>IF(BA179="","",IFERROR(INDEX(wMean,110)+0,""))</f>
        <v/>
      </c>
      <c r="BG179" t="str">
        <f>IF(BA179="","",IFERROR(INDEX(wVs,110)+0,""))</f>
        <v/>
      </c>
      <c r="BH179" t="str">
        <f>IF(OR(BA179="",wLatest=""),"",IFERROR(INDEX(wData,110,MATCH(wLatest&amp;CHAR(10)&amp;"Stanine",wHdr,0))+0,""))</f>
        <v/>
      </c>
      <c r="BI179" t="str">
        <f>IF(BA179="","",IF(AND(ISNUMBER(BG179),N(BE179)&gt;=WlMinTests,BG179&lt;=-WlGap),"Below expected for KS2",IF(AND(NOT(ISNUMBER(BD179)),ISNUMBER(BF179),N(BE179)&gt;=WlMinTests,BF179&lt;=WlLowMean),"Low results, no KS2 data","")))</f>
        <v/>
      </c>
      <c r="BJ179" t="str">
        <f>IF(BI179="","",IF(BI179="Below expected for KS2",BG179,100+BF179)+ROW()/1000000)</f>
        <v/>
      </c>
    </row>
    <row r="180">
      <c r="H180" t="str">
        <f>IFERROR(INDEX(tblY7[Class],ROWS(H$10:H180))&amp;"","")</f>
        <v/>
      </c>
      <c r="I180" t="str">
        <f>IF(H180="","",IF(COUNTIF(H$10:H180,H180)=1,COUNTIF(H$10:H$609,"&lt;"&amp;H180)+1,""))</f>
        <v/>
      </c>
      <c r="J180" t="str">
        <f>IFERROR(INDEX(tblY8[Class],ROWS(J$10:J180))&amp;"","")</f>
        <v/>
      </c>
      <c r="K180" t="str">
        <f>IF(J180="","",IF(COUNTIF(J$10:J180,J180)=1,COUNTIF(J$10:J$609,"&lt;"&amp;J180)+1,""))</f>
        <v/>
      </c>
      <c r="L180" t="str">
        <f>IFERROR(INDEX(tblY9[Class],ROWS(L$10:L180))&amp;"","")</f>
        <v/>
      </c>
      <c r="M180" t="str">
        <f>IF(L180="","",IF(COUNTIF(L$10:L180,L180)=1,COUNTIF(L$10:L$609,"&lt;"&amp;L180)+1,""))</f>
        <v/>
      </c>
      <c r="N180" t="str">
        <f>IFERROR(INDEX(tblY10[Class],ROWS(N$10:N180))&amp;"","")</f>
        <v/>
      </c>
      <c r="O180" t="str">
        <f>IF(N180="","",IF(COUNTIF(N$10:N180,N180)=1,COUNTIF(N$10:N$609,"&lt;"&amp;N180)+1,""))</f>
        <v/>
      </c>
      <c r="P180" t="str">
        <f>IFERROR(INDEX(tblY11[Class],ROWS(P$10:P180))&amp;"","")</f>
        <v/>
      </c>
      <c r="Q180" t="str">
        <f>IF(P180="","",IF(COUNTIF(P$10:P180,P180)=1,COUNTIF(P$10:P$609,"&lt;"&amp;P180)+1,""))</f>
        <v/>
      </c>
      <c r="BA180" t="str">
        <f>IFERROR(INDEX(wLast,111)&amp;"","")</f>
        <v/>
      </c>
      <c r="BB180" t="str">
        <f>IF(BA180="","",IFERROR(INDEX(wFirst,111)&amp;"",""))</f>
        <v/>
      </c>
      <c r="BC180" t="str">
        <f>IF(BA180="","",IFERROR(INDEX(wClass,111)&amp;"",""))</f>
        <v/>
      </c>
      <c r="BD180" t="str">
        <f>IF(BA180="","",IFERROR(INDEX(wKsBand,111)+0,""))</f>
        <v/>
      </c>
      <c r="BE180" t="str">
        <f>IF(BA180="","",IFERROR(INDEX(wTests,111)+0,0))</f>
        <v/>
      </c>
      <c r="BF180" t="str">
        <f>IF(BA180="","",IFERROR(INDEX(wMean,111)+0,""))</f>
        <v/>
      </c>
      <c r="BG180" t="str">
        <f>IF(BA180="","",IFERROR(INDEX(wVs,111)+0,""))</f>
        <v/>
      </c>
      <c r="BH180" t="str">
        <f>IF(OR(BA180="",wLatest=""),"",IFERROR(INDEX(wData,111,MATCH(wLatest&amp;CHAR(10)&amp;"Stanine",wHdr,0))+0,""))</f>
        <v/>
      </c>
      <c r="BI180" t="str">
        <f>IF(BA180="","",IF(AND(ISNUMBER(BG180),N(BE180)&gt;=WlMinTests,BG180&lt;=-WlGap),"Below expected for KS2",IF(AND(NOT(ISNUMBER(BD180)),ISNUMBER(BF180),N(BE180)&gt;=WlMinTests,BF180&lt;=WlLowMean),"Low results, no KS2 data","")))</f>
        <v/>
      </c>
      <c r="BJ180" t="str">
        <f>IF(BI180="","",IF(BI180="Below expected for KS2",BG180,100+BF180)+ROW()/1000000)</f>
        <v/>
      </c>
    </row>
    <row r="181">
      <c r="H181" t="str">
        <f>IFERROR(INDEX(tblY7[Class],ROWS(H$10:H181))&amp;"","")</f>
        <v/>
      </c>
      <c r="I181" t="str">
        <f>IF(H181="","",IF(COUNTIF(H$10:H181,H181)=1,COUNTIF(H$10:H$609,"&lt;"&amp;H181)+1,""))</f>
        <v/>
      </c>
      <c r="J181" t="str">
        <f>IFERROR(INDEX(tblY8[Class],ROWS(J$10:J181))&amp;"","")</f>
        <v/>
      </c>
      <c r="K181" t="str">
        <f>IF(J181="","",IF(COUNTIF(J$10:J181,J181)=1,COUNTIF(J$10:J$609,"&lt;"&amp;J181)+1,""))</f>
        <v/>
      </c>
      <c r="L181" t="str">
        <f>IFERROR(INDEX(tblY9[Class],ROWS(L$10:L181))&amp;"","")</f>
        <v/>
      </c>
      <c r="M181" t="str">
        <f>IF(L181="","",IF(COUNTIF(L$10:L181,L181)=1,COUNTIF(L$10:L$609,"&lt;"&amp;L181)+1,""))</f>
        <v/>
      </c>
      <c r="N181" t="str">
        <f>IFERROR(INDEX(tblY10[Class],ROWS(N$10:N181))&amp;"","")</f>
        <v/>
      </c>
      <c r="O181" t="str">
        <f>IF(N181="","",IF(COUNTIF(N$10:N181,N181)=1,COUNTIF(N$10:N$609,"&lt;"&amp;N181)+1,""))</f>
        <v/>
      </c>
      <c r="P181" t="str">
        <f>IFERROR(INDEX(tblY11[Class],ROWS(P$10:P181))&amp;"","")</f>
        <v/>
      </c>
      <c r="Q181" t="str">
        <f>IF(P181="","",IF(COUNTIF(P$10:P181,P181)=1,COUNTIF(P$10:P$609,"&lt;"&amp;P181)+1,""))</f>
        <v/>
      </c>
      <c r="BA181" t="str">
        <f>IFERROR(INDEX(wLast,112)&amp;"","")</f>
        <v/>
      </c>
      <c r="BB181" t="str">
        <f>IF(BA181="","",IFERROR(INDEX(wFirst,112)&amp;"",""))</f>
        <v/>
      </c>
      <c r="BC181" t="str">
        <f>IF(BA181="","",IFERROR(INDEX(wClass,112)&amp;"",""))</f>
        <v/>
      </c>
      <c r="BD181" t="str">
        <f>IF(BA181="","",IFERROR(INDEX(wKsBand,112)+0,""))</f>
        <v/>
      </c>
      <c r="BE181" t="str">
        <f>IF(BA181="","",IFERROR(INDEX(wTests,112)+0,0))</f>
        <v/>
      </c>
      <c r="BF181" t="str">
        <f>IF(BA181="","",IFERROR(INDEX(wMean,112)+0,""))</f>
        <v/>
      </c>
      <c r="BG181" t="str">
        <f>IF(BA181="","",IFERROR(INDEX(wVs,112)+0,""))</f>
        <v/>
      </c>
      <c r="BH181" t="str">
        <f>IF(OR(BA181="",wLatest=""),"",IFERROR(INDEX(wData,112,MATCH(wLatest&amp;CHAR(10)&amp;"Stanine",wHdr,0))+0,""))</f>
        <v/>
      </c>
      <c r="BI181" t="str">
        <f>IF(BA181="","",IF(AND(ISNUMBER(BG181),N(BE181)&gt;=WlMinTests,BG181&lt;=-WlGap),"Below expected for KS2",IF(AND(NOT(ISNUMBER(BD181)),ISNUMBER(BF181),N(BE181)&gt;=WlMinTests,BF181&lt;=WlLowMean),"Low results, no KS2 data","")))</f>
        <v/>
      </c>
      <c r="BJ181" t="str">
        <f>IF(BI181="","",IF(BI181="Below expected for KS2",BG181,100+BF181)+ROW()/1000000)</f>
        <v/>
      </c>
    </row>
    <row r="182">
      <c r="H182" t="str">
        <f>IFERROR(INDEX(tblY7[Class],ROWS(H$10:H182))&amp;"","")</f>
        <v/>
      </c>
      <c r="I182" t="str">
        <f>IF(H182="","",IF(COUNTIF(H$10:H182,H182)=1,COUNTIF(H$10:H$609,"&lt;"&amp;H182)+1,""))</f>
        <v/>
      </c>
      <c r="J182" t="str">
        <f>IFERROR(INDEX(tblY8[Class],ROWS(J$10:J182))&amp;"","")</f>
        <v/>
      </c>
      <c r="K182" t="str">
        <f>IF(J182="","",IF(COUNTIF(J$10:J182,J182)=1,COUNTIF(J$10:J$609,"&lt;"&amp;J182)+1,""))</f>
        <v/>
      </c>
      <c r="L182" t="str">
        <f>IFERROR(INDEX(tblY9[Class],ROWS(L$10:L182))&amp;"","")</f>
        <v/>
      </c>
      <c r="M182" t="str">
        <f>IF(L182="","",IF(COUNTIF(L$10:L182,L182)=1,COUNTIF(L$10:L$609,"&lt;"&amp;L182)+1,""))</f>
        <v/>
      </c>
      <c r="N182" t="str">
        <f>IFERROR(INDEX(tblY10[Class],ROWS(N$10:N182))&amp;"","")</f>
        <v/>
      </c>
      <c r="O182" t="str">
        <f>IF(N182="","",IF(COUNTIF(N$10:N182,N182)=1,COUNTIF(N$10:N$609,"&lt;"&amp;N182)+1,""))</f>
        <v/>
      </c>
      <c r="P182" t="str">
        <f>IFERROR(INDEX(tblY11[Class],ROWS(P$10:P182))&amp;"","")</f>
        <v/>
      </c>
      <c r="Q182" t="str">
        <f>IF(P182="","",IF(COUNTIF(P$10:P182,P182)=1,COUNTIF(P$10:P$609,"&lt;"&amp;P182)+1,""))</f>
        <v/>
      </c>
      <c r="BA182" t="str">
        <f>IFERROR(INDEX(wLast,113)&amp;"","")</f>
        <v/>
      </c>
      <c r="BB182" t="str">
        <f>IF(BA182="","",IFERROR(INDEX(wFirst,113)&amp;"",""))</f>
        <v/>
      </c>
      <c r="BC182" t="str">
        <f>IF(BA182="","",IFERROR(INDEX(wClass,113)&amp;"",""))</f>
        <v/>
      </c>
      <c r="BD182" t="str">
        <f>IF(BA182="","",IFERROR(INDEX(wKsBand,113)+0,""))</f>
        <v/>
      </c>
      <c r="BE182" t="str">
        <f>IF(BA182="","",IFERROR(INDEX(wTests,113)+0,0))</f>
        <v/>
      </c>
      <c r="BF182" t="str">
        <f>IF(BA182="","",IFERROR(INDEX(wMean,113)+0,""))</f>
        <v/>
      </c>
      <c r="BG182" t="str">
        <f>IF(BA182="","",IFERROR(INDEX(wVs,113)+0,""))</f>
        <v/>
      </c>
      <c r="BH182" t="str">
        <f>IF(OR(BA182="",wLatest=""),"",IFERROR(INDEX(wData,113,MATCH(wLatest&amp;CHAR(10)&amp;"Stanine",wHdr,0))+0,""))</f>
        <v/>
      </c>
      <c r="BI182" t="str">
        <f>IF(BA182="","",IF(AND(ISNUMBER(BG182),N(BE182)&gt;=WlMinTests,BG182&lt;=-WlGap),"Below expected for KS2",IF(AND(NOT(ISNUMBER(BD182)),ISNUMBER(BF182),N(BE182)&gt;=WlMinTests,BF182&lt;=WlLowMean),"Low results, no KS2 data","")))</f>
        <v/>
      </c>
      <c r="BJ182" t="str">
        <f>IF(BI182="","",IF(BI182="Below expected for KS2",BG182,100+BF182)+ROW()/1000000)</f>
        <v/>
      </c>
    </row>
    <row r="183">
      <c r="H183" t="str">
        <f>IFERROR(INDEX(tblY7[Class],ROWS(H$10:H183))&amp;"","")</f>
        <v/>
      </c>
      <c r="I183" t="str">
        <f>IF(H183="","",IF(COUNTIF(H$10:H183,H183)=1,COUNTIF(H$10:H$609,"&lt;"&amp;H183)+1,""))</f>
        <v/>
      </c>
      <c r="J183" t="str">
        <f>IFERROR(INDEX(tblY8[Class],ROWS(J$10:J183))&amp;"","")</f>
        <v/>
      </c>
      <c r="K183" t="str">
        <f>IF(J183="","",IF(COUNTIF(J$10:J183,J183)=1,COUNTIF(J$10:J$609,"&lt;"&amp;J183)+1,""))</f>
        <v/>
      </c>
      <c r="L183" t="str">
        <f>IFERROR(INDEX(tblY9[Class],ROWS(L$10:L183))&amp;"","")</f>
        <v/>
      </c>
      <c r="M183" t="str">
        <f>IF(L183="","",IF(COUNTIF(L$10:L183,L183)=1,COUNTIF(L$10:L$609,"&lt;"&amp;L183)+1,""))</f>
        <v/>
      </c>
      <c r="N183" t="str">
        <f>IFERROR(INDEX(tblY10[Class],ROWS(N$10:N183))&amp;"","")</f>
        <v/>
      </c>
      <c r="O183" t="str">
        <f>IF(N183="","",IF(COUNTIF(N$10:N183,N183)=1,COUNTIF(N$10:N$609,"&lt;"&amp;N183)+1,""))</f>
        <v/>
      </c>
      <c r="P183" t="str">
        <f>IFERROR(INDEX(tblY11[Class],ROWS(P$10:P183))&amp;"","")</f>
        <v/>
      </c>
      <c r="Q183" t="str">
        <f>IF(P183="","",IF(COUNTIF(P$10:P183,P183)=1,COUNTIF(P$10:P$609,"&lt;"&amp;P183)+1,""))</f>
        <v/>
      </c>
      <c r="BA183" t="str">
        <f>IFERROR(INDEX(wLast,114)&amp;"","")</f>
        <v/>
      </c>
      <c r="BB183" t="str">
        <f>IF(BA183="","",IFERROR(INDEX(wFirst,114)&amp;"",""))</f>
        <v/>
      </c>
      <c r="BC183" t="str">
        <f>IF(BA183="","",IFERROR(INDEX(wClass,114)&amp;"",""))</f>
        <v/>
      </c>
      <c r="BD183" t="str">
        <f>IF(BA183="","",IFERROR(INDEX(wKsBand,114)+0,""))</f>
        <v/>
      </c>
      <c r="BE183" t="str">
        <f>IF(BA183="","",IFERROR(INDEX(wTests,114)+0,0))</f>
        <v/>
      </c>
      <c r="BF183" t="str">
        <f>IF(BA183="","",IFERROR(INDEX(wMean,114)+0,""))</f>
        <v/>
      </c>
      <c r="BG183" t="str">
        <f>IF(BA183="","",IFERROR(INDEX(wVs,114)+0,""))</f>
        <v/>
      </c>
      <c r="BH183" t="str">
        <f>IF(OR(BA183="",wLatest=""),"",IFERROR(INDEX(wData,114,MATCH(wLatest&amp;CHAR(10)&amp;"Stanine",wHdr,0))+0,""))</f>
        <v/>
      </c>
      <c r="BI183" t="str">
        <f>IF(BA183="","",IF(AND(ISNUMBER(BG183),N(BE183)&gt;=WlMinTests,BG183&lt;=-WlGap),"Below expected for KS2",IF(AND(NOT(ISNUMBER(BD183)),ISNUMBER(BF183),N(BE183)&gt;=WlMinTests,BF183&lt;=WlLowMean),"Low results, no KS2 data","")))</f>
        <v/>
      </c>
      <c r="BJ183" t="str">
        <f>IF(BI183="","",IF(BI183="Below expected for KS2",BG183,100+BF183)+ROW()/1000000)</f>
        <v/>
      </c>
    </row>
    <row r="184">
      <c r="H184" t="str">
        <f>IFERROR(INDEX(tblY7[Class],ROWS(H$10:H184))&amp;"","")</f>
        <v/>
      </c>
      <c r="I184" t="str">
        <f>IF(H184="","",IF(COUNTIF(H$10:H184,H184)=1,COUNTIF(H$10:H$609,"&lt;"&amp;H184)+1,""))</f>
        <v/>
      </c>
      <c r="J184" t="str">
        <f>IFERROR(INDEX(tblY8[Class],ROWS(J$10:J184))&amp;"","")</f>
        <v/>
      </c>
      <c r="K184" t="str">
        <f>IF(J184="","",IF(COUNTIF(J$10:J184,J184)=1,COUNTIF(J$10:J$609,"&lt;"&amp;J184)+1,""))</f>
        <v/>
      </c>
      <c r="L184" t="str">
        <f>IFERROR(INDEX(tblY9[Class],ROWS(L$10:L184))&amp;"","")</f>
        <v/>
      </c>
      <c r="M184" t="str">
        <f>IF(L184="","",IF(COUNTIF(L$10:L184,L184)=1,COUNTIF(L$10:L$609,"&lt;"&amp;L184)+1,""))</f>
        <v/>
      </c>
      <c r="N184" t="str">
        <f>IFERROR(INDEX(tblY10[Class],ROWS(N$10:N184))&amp;"","")</f>
        <v/>
      </c>
      <c r="O184" t="str">
        <f>IF(N184="","",IF(COUNTIF(N$10:N184,N184)=1,COUNTIF(N$10:N$609,"&lt;"&amp;N184)+1,""))</f>
        <v/>
      </c>
      <c r="P184" t="str">
        <f>IFERROR(INDEX(tblY11[Class],ROWS(P$10:P184))&amp;"","")</f>
        <v/>
      </c>
      <c r="Q184" t="str">
        <f>IF(P184="","",IF(COUNTIF(P$10:P184,P184)=1,COUNTIF(P$10:P$609,"&lt;"&amp;P184)+1,""))</f>
        <v/>
      </c>
      <c r="BA184" t="str">
        <f>IFERROR(INDEX(wLast,115)&amp;"","")</f>
        <v/>
      </c>
      <c r="BB184" t="str">
        <f>IF(BA184="","",IFERROR(INDEX(wFirst,115)&amp;"",""))</f>
        <v/>
      </c>
      <c r="BC184" t="str">
        <f>IF(BA184="","",IFERROR(INDEX(wClass,115)&amp;"",""))</f>
        <v/>
      </c>
      <c r="BD184" t="str">
        <f>IF(BA184="","",IFERROR(INDEX(wKsBand,115)+0,""))</f>
        <v/>
      </c>
      <c r="BE184" t="str">
        <f>IF(BA184="","",IFERROR(INDEX(wTests,115)+0,0))</f>
        <v/>
      </c>
      <c r="BF184" t="str">
        <f>IF(BA184="","",IFERROR(INDEX(wMean,115)+0,""))</f>
        <v/>
      </c>
      <c r="BG184" t="str">
        <f>IF(BA184="","",IFERROR(INDEX(wVs,115)+0,""))</f>
        <v/>
      </c>
      <c r="BH184" t="str">
        <f>IF(OR(BA184="",wLatest=""),"",IFERROR(INDEX(wData,115,MATCH(wLatest&amp;CHAR(10)&amp;"Stanine",wHdr,0))+0,""))</f>
        <v/>
      </c>
      <c r="BI184" t="str">
        <f>IF(BA184="","",IF(AND(ISNUMBER(BG184),N(BE184)&gt;=WlMinTests,BG184&lt;=-WlGap),"Below expected for KS2",IF(AND(NOT(ISNUMBER(BD184)),ISNUMBER(BF184),N(BE184)&gt;=WlMinTests,BF184&lt;=WlLowMean),"Low results, no KS2 data","")))</f>
        <v/>
      </c>
      <c r="BJ184" t="str">
        <f>IF(BI184="","",IF(BI184="Below expected for KS2",BG184,100+BF184)+ROW()/1000000)</f>
        <v/>
      </c>
    </row>
    <row r="185">
      <c r="H185" t="str">
        <f>IFERROR(INDEX(tblY7[Class],ROWS(H$10:H185))&amp;"","")</f>
        <v/>
      </c>
      <c r="I185" t="str">
        <f>IF(H185="","",IF(COUNTIF(H$10:H185,H185)=1,COUNTIF(H$10:H$609,"&lt;"&amp;H185)+1,""))</f>
        <v/>
      </c>
      <c r="J185" t="str">
        <f>IFERROR(INDEX(tblY8[Class],ROWS(J$10:J185))&amp;"","")</f>
        <v/>
      </c>
      <c r="K185" t="str">
        <f>IF(J185="","",IF(COUNTIF(J$10:J185,J185)=1,COUNTIF(J$10:J$609,"&lt;"&amp;J185)+1,""))</f>
        <v/>
      </c>
      <c r="L185" t="str">
        <f>IFERROR(INDEX(tblY9[Class],ROWS(L$10:L185))&amp;"","")</f>
        <v/>
      </c>
      <c r="M185" t="str">
        <f>IF(L185="","",IF(COUNTIF(L$10:L185,L185)=1,COUNTIF(L$10:L$609,"&lt;"&amp;L185)+1,""))</f>
        <v/>
      </c>
      <c r="N185" t="str">
        <f>IFERROR(INDEX(tblY10[Class],ROWS(N$10:N185))&amp;"","")</f>
        <v/>
      </c>
      <c r="O185" t="str">
        <f>IF(N185="","",IF(COUNTIF(N$10:N185,N185)=1,COUNTIF(N$10:N$609,"&lt;"&amp;N185)+1,""))</f>
        <v/>
      </c>
      <c r="P185" t="str">
        <f>IFERROR(INDEX(tblY11[Class],ROWS(P$10:P185))&amp;"","")</f>
        <v/>
      </c>
      <c r="Q185" t="str">
        <f>IF(P185="","",IF(COUNTIF(P$10:P185,P185)=1,COUNTIF(P$10:P$609,"&lt;"&amp;P185)+1,""))</f>
        <v/>
      </c>
      <c r="BA185" t="str">
        <f>IFERROR(INDEX(wLast,116)&amp;"","")</f>
        <v/>
      </c>
      <c r="BB185" t="str">
        <f>IF(BA185="","",IFERROR(INDEX(wFirst,116)&amp;"",""))</f>
        <v/>
      </c>
      <c r="BC185" t="str">
        <f>IF(BA185="","",IFERROR(INDEX(wClass,116)&amp;"",""))</f>
        <v/>
      </c>
      <c r="BD185" t="str">
        <f>IF(BA185="","",IFERROR(INDEX(wKsBand,116)+0,""))</f>
        <v/>
      </c>
      <c r="BE185" t="str">
        <f>IF(BA185="","",IFERROR(INDEX(wTests,116)+0,0))</f>
        <v/>
      </c>
      <c r="BF185" t="str">
        <f>IF(BA185="","",IFERROR(INDEX(wMean,116)+0,""))</f>
        <v/>
      </c>
      <c r="BG185" t="str">
        <f>IF(BA185="","",IFERROR(INDEX(wVs,116)+0,""))</f>
        <v/>
      </c>
      <c r="BH185" t="str">
        <f>IF(OR(BA185="",wLatest=""),"",IFERROR(INDEX(wData,116,MATCH(wLatest&amp;CHAR(10)&amp;"Stanine",wHdr,0))+0,""))</f>
        <v/>
      </c>
      <c r="BI185" t="str">
        <f>IF(BA185="","",IF(AND(ISNUMBER(BG185),N(BE185)&gt;=WlMinTests,BG185&lt;=-WlGap),"Below expected for KS2",IF(AND(NOT(ISNUMBER(BD185)),ISNUMBER(BF185),N(BE185)&gt;=WlMinTests,BF185&lt;=WlLowMean),"Low results, no KS2 data","")))</f>
        <v/>
      </c>
      <c r="BJ185" t="str">
        <f>IF(BI185="","",IF(BI185="Below expected for KS2",BG185,100+BF185)+ROW()/1000000)</f>
        <v/>
      </c>
    </row>
    <row r="186">
      <c r="H186" t="str">
        <f>IFERROR(INDEX(tblY7[Class],ROWS(H$10:H186))&amp;"","")</f>
        <v/>
      </c>
      <c r="I186" t="str">
        <f>IF(H186="","",IF(COUNTIF(H$10:H186,H186)=1,COUNTIF(H$10:H$609,"&lt;"&amp;H186)+1,""))</f>
        <v/>
      </c>
      <c r="J186" t="str">
        <f>IFERROR(INDEX(tblY8[Class],ROWS(J$10:J186))&amp;"","")</f>
        <v/>
      </c>
      <c r="K186" t="str">
        <f>IF(J186="","",IF(COUNTIF(J$10:J186,J186)=1,COUNTIF(J$10:J$609,"&lt;"&amp;J186)+1,""))</f>
        <v/>
      </c>
      <c r="L186" t="str">
        <f>IFERROR(INDEX(tblY9[Class],ROWS(L$10:L186))&amp;"","")</f>
        <v/>
      </c>
      <c r="M186" t="str">
        <f>IF(L186="","",IF(COUNTIF(L$10:L186,L186)=1,COUNTIF(L$10:L$609,"&lt;"&amp;L186)+1,""))</f>
        <v/>
      </c>
      <c r="N186" t="str">
        <f>IFERROR(INDEX(tblY10[Class],ROWS(N$10:N186))&amp;"","")</f>
        <v/>
      </c>
      <c r="O186" t="str">
        <f>IF(N186="","",IF(COUNTIF(N$10:N186,N186)=1,COUNTIF(N$10:N$609,"&lt;"&amp;N186)+1,""))</f>
        <v/>
      </c>
      <c r="P186" t="str">
        <f>IFERROR(INDEX(tblY11[Class],ROWS(P$10:P186))&amp;"","")</f>
        <v/>
      </c>
      <c r="Q186" t="str">
        <f>IF(P186="","",IF(COUNTIF(P$10:P186,P186)=1,COUNTIF(P$10:P$609,"&lt;"&amp;P186)+1,""))</f>
        <v/>
      </c>
      <c r="BA186" t="str">
        <f>IFERROR(INDEX(wLast,117)&amp;"","")</f>
        <v/>
      </c>
      <c r="BB186" t="str">
        <f>IF(BA186="","",IFERROR(INDEX(wFirst,117)&amp;"",""))</f>
        <v/>
      </c>
      <c r="BC186" t="str">
        <f>IF(BA186="","",IFERROR(INDEX(wClass,117)&amp;"",""))</f>
        <v/>
      </c>
      <c r="BD186" t="str">
        <f>IF(BA186="","",IFERROR(INDEX(wKsBand,117)+0,""))</f>
        <v/>
      </c>
      <c r="BE186" t="str">
        <f>IF(BA186="","",IFERROR(INDEX(wTests,117)+0,0))</f>
        <v/>
      </c>
      <c r="BF186" t="str">
        <f>IF(BA186="","",IFERROR(INDEX(wMean,117)+0,""))</f>
        <v/>
      </c>
      <c r="BG186" t="str">
        <f>IF(BA186="","",IFERROR(INDEX(wVs,117)+0,""))</f>
        <v/>
      </c>
      <c r="BH186" t="str">
        <f>IF(OR(BA186="",wLatest=""),"",IFERROR(INDEX(wData,117,MATCH(wLatest&amp;CHAR(10)&amp;"Stanine",wHdr,0))+0,""))</f>
        <v/>
      </c>
      <c r="BI186" t="str">
        <f>IF(BA186="","",IF(AND(ISNUMBER(BG186),N(BE186)&gt;=WlMinTests,BG186&lt;=-WlGap),"Below expected for KS2",IF(AND(NOT(ISNUMBER(BD186)),ISNUMBER(BF186),N(BE186)&gt;=WlMinTests,BF186&lt;=WlLowMean),"Low results, no KS2 data","")))</f>
        <v/>
      </c>
      <c r="BJ186" t="str">
        <f>IF(BI186="","",IF(BI186="Below expected for KS2",BG186,100+BF186)+ROW()/1000000)</f>
        <v/>
      </c>
    </row>
    <row r="187">
      <c r="H187" t="str">
        <f>IFERROR(INDEX(tblY7[Class],ROWS(H$10:H187))&amp;"","")</f>
        <v/>
      </c>
      <c r="I187" t="str">
        <f>IF(H187="","",IF(COUNTIF(H$10:H187,H187)=1,COUNTIF(H$10:H$609,"&lt;"&amp;H187)+1,""))</f>
        <v/>
      </c>
      <c r="J187" t="str">
        <f>IFERROR(INDEX(tblY8[Class],ROWS(J$10:J187))&amp;"","")</f>
        <v/>
      </c>
      <c r="K187" t="str">
        <f>IF(J187="","",IF(COUNTIF(J$10:J187,J187)=1,COUNTIF(J$10:J$609,"&lt;"&amp;J187)+1,""))</f>
        <v/>
      </c>
      <c r="L187" t="str">
        <f>IFERROR(INDEX(tblY9[Class],ROWS(L$10:L187))&amp;"","")</f>
        <v/>
      </c>
      <c r="M187" t="str">
        <f>IF(L187="","",IF(COUNTIF(L$10:L187,L187)=1,COUNTIF(L$10:L$609,"&lt;"&amp;L187)+1,""))</f>
        <v/>
      </c>
      <c r="N187" t="str">
        <f>IFERROR(INDEX(tblY10[Class],ROWS(N$10:N187))&amp;"","")</f>
        <v/>
      </c>
      <c r="O187" t="str">
        <f>IF(N187="","",IF(COUNTIF(N$10:N187,N187)=1,COUNTIF(N$10:N$609,"&lt;"&amp;N187)+1,""))</f>
        <v/>
      </c>
      <c r="P187" t="str">
        <f>IFERROR(INDEX(tblY11[Class],ROWS(P$10:P187))&amp;"","")</f>
        <v/>
      </c>
      <c r="Q187" t="str">
        <f>IF(P187="","",IF(COUNTIF(P$10:P187,P187)=1,COUNTIF(P$10:P$609,"&lt;"&amp;P187)+1,""))</f>
        <v/>
      </c>
      <c r="BA187" t="str">
        <f>IFERROR(INDEX(wLast,118)&amp;"","")</f>
        <v/>
      </c>
      <c r="BB187" t="str">
        <f>IF(BA187="","",IFERROR(INDEX(wFirst,118)&amp;"",""))</f>
        <v/>
      </c>
      <c r="BC187" t="str">
        <f>IF(BA187="","",IFERROR(INDEX(wClass,118)&amp;"",""))</f>
        <v/>
      </c>
      <c r="BD187" t="str">
        <f>IF(BA187="","",IFERROR(INDEX(wKsBand,118)+0,""))</f>
        <v/>
      </c>
      <c r="BE187" t="str">
        <f>IF(BA187="","",IFERROR(INDEX(wTests,118)+0,0))</f>
        <v/>
      </c>
      <c r="BF187" t="str">
        <f>IF(BA187="","",IFERROR(INDEX(wMean,118)+0,""))</f>
        <v/>
      </c>
      <c r="BG187" t="str">
        <f>IF(BA187="","",IFERROR(INDEX(wVs,118)+0,""))</f>
        <v/>
      </c>
      <c r="BH187" t="str">
        <f>IF(OR(BA187="",wLatest=""),"",IFERROR(INDEX(wData,118,MATCH(wLatest&amp;CHAR(10)&amp;"Stanine",wHdr,0))+0,""))</f>
        <v/>
      </c>
      <c r="BI187" t="str">
        <f>IF(BA187="","",IF(AND(ISNUMBER(BG187),N(BE187)&gt;=WlMinTests,BG187&lt;=-WlGap),"Below expected for KS2",IF(AND(NOT(ISNUMBER(BD187)),ISNUMBER(BF187),N(BE187)&gt;=WlMinTests,BF187&lt;=WlLowMean),"Low results, no KS2 data","")))</f>
        <v/>
      </c>
      <c r="BJ187" t="str">
        <f>IF(BI187="","",IF(BI187="Below expected for KS2",BG187,100+BF187)+ROW()/1000000)</f>
        <v/>
      </c>
    </row>
    <row r="188">
      <c r="H188" t="str">
        <f>IFERROR(INDEX(tblY7[Class],ROWS(H$10:H188))&amp;"","")</f>
        <v/>
      </c>
      <c r="I188" t="str">
        <f>IF(H188="","",IF(COUNTIF(H$10:H188,H188)=1,COUNTIF(H$10:H$609,"&lt;"&amp;H188)+1,""))</f>
        <v/>
      </c>
      <c r="J188" t="str">
        <f>IFERROR(INDEX(tblY8[Class],ROWS(J$10:J188))&amp;"","")</f>
        <v/>
      </c>
      <c r="K188" t="str">
        <f>IF(J188="","",IF(COUNTIF(J$10:J188,J188)=1,COUNTIF(J$10:J$609,"&lt;"&amp;J188)+1,""))</f>
        <v/>
      </c>
      <c r="L188" t="str">
        <f>IFERROR(INDEX(tblY9[Class],ROWS(L$10:L188))&amp;"","")</f>
        <v/>
      </c>
      <c r="M188" t="str">
        <f>IF(L188="","",IF(COUNTIF(L$10:L188,L188)=1,COUNTIF(L$10:L$609,"&lt;"&amp;L188)+1,""))</f>
        <v/>
      </c>
      <c r="N188" t="str">
        <f>IFERROR(INDEX(tblY10[Class],ROWS(N$10:N188))&amp;"","")</f>
        <v/>
      </c>
      <c r="O188" t="str">
        <f>IF(N188="","",IF(COUNTIF(N$10:N188,N188)=1,COUNTIF(N$10:N$609,"&lt;"&amp;N188)+1,""))</f>
        <v/>
      </c>
      <c r="P188" t="str">
        <f>IFERROR(INDEX(tblY11[Class],ROWS(P$10:P188))&amp;"","")</f>
        <v/>
      </c>
      <c r="Q188" t="str">
        <f>IF(P188="","",IF(COUNTIF(P$10:P188,P188)=1,COUNTIF(P$10:P$609,"&lt;"&amp;P188)+1,""))</f>
        <v/>
      </c>
      <c r="BA188" t="str">
        <f>IFERROR(INDEX(wLast,119)&amp;"","")</f>
        <v/>
      </c>
      <c r="BB188" t="str">
        <f>IF(BA188="","",IFERROR(INDEX(wFirst,119)&amp;"",""))</f>
        <v/>
      </c>
      <c r="BC188" t="str">
        <f>IF(BA188="","",IFERROR(INDEX(wClass,119)&amp;"",""))</f>
        <v/>
      </c>
      <c r="BD188" t="str">
        <f>IF(BA188="","",IFERROR(INDEX(wKsBand,119)+0,""))</f>
        <v/>
      </c>
      <c r="BE188" t="str">
        <f>IF(BA188="","",IFERROR(INDEX(wTests,119)+0,0))</f>
        <v/>
      </c>
      <c r="BF188" t="str">
        <f>IF(BA188="","",IFERROR(INDEX(wMean,119)+0,""))</f>
        <v/>
      </c>
      <c r="BG188" t="str">
        <f>IF(BA188="","",IFERROR(INDEX(wVs,119)+0,""))</f>
        <v/>
      </c>
      <c r="BH188" t="str">
        <f>IF(OR(BA188="",wLatest=""),"",IFERROR(INDEX(wData,119,MATCH(wLatest&amp;CHAR(10)&amp;"Stanine",wHdr,0))+0,""))</f>
        <v/>
      </c>
      <c r="BI188" t="str">
        <f>IF(BA188="","",IF(AND(ISNUMBER(BG188),N(BE188)&gt;=WlMinTests,BG188&lt;=-WlGap),"Below expected for KS2",IF(AND(NOT(ISNUMBER(BD188)),ISNUMBER(BF188),N(BE188)&gt;=WlMinTests,BF188&lt;=WlLowMean),"Low results, no KS2 data","")))</f>
        <v/>
      </c>
      <c r="BJ188" t="str">
        <f>IF(BI188="","",IF(BI188="Below expected for KS2",BG188,100+BF188)+ROW()/1000000)</f>
        <v/>
      </c>
    </row>
    <row r="189">
      <c r="H189" t="str">
        <f>IFERROR(INDEX(tblY7[Class],ROWS(H$10:H189))&amp;"","")</f>
        <v/>
      </c>
      <c r="I189" t="str">
        <f>IF(H189="","",IF(COUNTIF(H$10:H189,H189)=1,COUNTIF(H$10:H$609,"&lt;"&amp;H189)+1,""))</f>
        <v/>
      </c>
      <c r="J189" t="str">
        <f>IFERROR(INDEX(tblY8[Class],ROWS(J$10:J189))&amp;"","")</f>
        <v/>
      </c>
      <c r="K189" t="str">
        <f>IF(J189="","",IF(COUNTIF(J$10:J189,J189)=1,COUNTIF(J$10:J$609,"&lt;"&amp;J189)+1,""))</f>
        <v/>
      </c>
      <c r="L189" t="str">
        <f>IFERROR(INDEX(tblY9[Class],ROWS(L$10:L189))&amp;"","")</f>
        <v/>
      </c>
      <c r="M189" t="str">
        <f>IF(L189="","",IF(COUNTIF(L$10:L189,L189)=1,COUNTIF(L$10:L$609,"&lt;"&amp;L189)+1,""))</f>
        <v/>
      </c>
      <c r="N189" t="str">
        <f>IFERROR(INDEX(tblY10[Class],ROWS(N$10:N189))&amp;"","")</f>
        <v/>
      </c>
      <c r="O189" t="str">
        <f>IF(N189="","",IF(COUNTIF(N$10:N189,N189)=1,COUNTIF(N$10:N$609,"&lt;"&amp;N189)+1,""))</f>
        <v/>
      </c>
      <c r="P189" t="str">
        <f>IFERROR(INDEX(tblY11[Class],ROWS(P$10:P189))&amp;"","")</f>
        <v/>
      </c>
      <c r="Q189" t="str">
        <f>IF(P189="","",IF(COUNTIF(P$10:P189,P189)=1,COUNTIF(P$10:P$609,"&lt;"&amp;P189)+1,""))</f>
        <v/>
      </c>
      <c r="BA189" t="str">
        <f>IFERROR(INDEX(wLast,120)&amp;"","")</f>
        <v/>
      </c>
      <c r="BB189" t="str">
        <f>IF(BA189="","",IFERROR(INDEX(wFirst,120)&amp;"",""))</f>
        <v/>
      </c>
      <c r="BC189" t="str">
        <f>IF(BA189="","",IFERROR(INDEX(wClass,120)&amp;"",""))</f>
        <v/>
      </c>
      <c r="BD189" t="str">
        <f>IF(BA189="","",IFERROR(INDEX(wKsBand,120)+0,""))</f>
        <v/>
      </c>
      <c r="BE189" t="str">
        <f>IF(BA189="","",IFERROR(INDEX(wTests,120)+0,0))</f>
        <v/>
      </c>
      <c r="BF189" t="str">
        <f>IF(BA189="","",IFERROR(INDEX(wMean,120)+0,""))</f>
        <v/>
      </c>
      <c r="BG189" t="str">
        <f>IF(BA189="","",IFERROR(INDEX(wVs,120)+0,""))</f>
        <v/>
      </c>
      <c r="BH189" t="str">
        <f>IF(OR(BA189="",wLatest=""),"",IFERROR(INDEX(wData,120,MATCH(wLatest&amp;CHAR(10)&amp;"Stanine",wHdr,0))+0,""))</f>
        <v/>
      </c>
      <c r="BI189" t="str">
        <f>IF(BA189="","",IF(AND(ISNUMBER(BG189),N(BE189)&gt;=WlMinTests,BG189&lt;=-WlGap),"Below expected for KS2",IF(AND(NOT(ISNUMBER(BD189)),ISNUMBER(BF189),N(BE189)&gt;=WlMinTests,BF189&lt;=WlLowMean),"Low results, no KS2 data","")))</f>
        <v/>
      </c>
      <c r="BJ189" t="str">
        <f>IF(BI189="","",IF(BI189="Below expected for KS2",BG189,100+BF189)+ROW()/1000000)</f>
        <v/>
      </c>
    </row>
    <row r="190">
      <c r="H190" t="str">
        <f>IFERROR(INDEX(tblY7[Class],ROWS(H$10:H190))&amp;"","")</f>
        <v/>
      </c>
      <c r="I190" t="str">
        <f>IF(H190="","",IF(COUNTIF(H$10:H190,H190)=1,COUNTIF(H$10:H$609,"&lt;"&amp;H190)+1,""))</f>
        <v/>
      </c>
      <c r="J190" t="str">
        <f>IFERROR(INDEX(tblY8[Class],ROWS(J$10:J190))&amp;"","")</f>
        <v/>
      </c>
      <c r="K190" t="str">
        <f>IF(J190="","",IF(COUNTIF(J$10:J190,J190)=1,COUNTIF(J$10:J$609,"&lt;"&amp;J190)+1,""))</f>
        <v/>
      </c>
      <c r="L190" t="str">
        <f>IFERROR(INDEX(tblY9[Class],ROWS(L$10:L190))&amp;"","")</f>
        <v/>
      </c>
      <c r="M190" t="str">
        <f>IF(L190="","",IF(COUNTIF(L$10:L190,L190)=1,COUNTIF(L$10:L$609,"&lt;"&amp;L190)+1,""))</f>
        <v/>
      </c>
      <c r="N190" t="str">
        <f>IFERROR(INDEX(tblY10[Class],ROWS(N$10:N190))&amp;"","")</f>
        <v/>
      </c>
      <c r="O190" t="str">
        <f>IF(N190="","",IF(COUNTIF(N$10:N190,N190)=1,COUNTIF(N$10:N$609,"&lt;"&amp;N190)+1,""))</f>
        <v/>
      </c>
      <c r="P190" t="str">
        <f>IFERROR(INDEX(tblY11[Class],ROWS(P$10:P190))&amp;"","")</f>
        <v/>
      </c>
      <c r="Q190" t="str">
        <f>IF(P190="","",IF(COUNTIF(P$10:P190,P190)=1,COUNTIF(P$10:P$609,"&lt;"&amp;P190)+1,""))</f>
        <v/>
      </c>
      <c r="BA190" t="str">
        <f>IFERROR(INDEX(wLast,121)&amp;"","")</f>
        <v/>
      </c>
      <c r="BB190" t="str">
        <f>IF(BA190="","",IFERROR(INDEX(wFirst,121)&amp;"",""))</f>
        <v/>
      </c>
      <c r="BC190" t="str">
        <f>IF(BA190="","",IFERROR(INDEX(wClass,121)&amp;"",""))</f>
        <v/>
      </c>
      <c r="BD190" t="str">
        <f>IF(BA190="","",IFERROR(INDEX(wKsBand,121)+0,""))</f>
        <v/>
      </c>
      <c r="BE190" t="str">
        <f>IF(BA190="","",IFERROR(INDEX(wTests,121)+0,0))</f>
        <v/>
      </c>
      <c r="BF190" t="str">
        <f>IF(BA190="","",IFERROR(INDEX(wMean,121)+0,""))</f>
        <v/>
      </c>
      <c r="BG190" t="str">
        <f>IF(BA190="","",IFERROR(INDEX(wVs,121)+0,""))</f>
        <v/>
      </c>
      <c r="BH190" t="str">
        <f>IF(OR(BA190="",wLatest=""),"",IFERROR(INDEX(wData,121,MATCH(wLatest&amp;CHAR(10)&amp;"Stanine",wHdr,0))+0,""))</f>
        <v/>
      </c>
      <c r="BI190" t="str">
        <f>IF(BA190="","",IF(AND(ISNUMBER(BG190),N(BE190)&gt;=WlMinTests,BG190&lt;=-WlGap),"Below expected for KS2",IF(AND(NOT(ISNUMBER(BD190)),ISNUMBER(BF190),N(BE190)&gt;=WlMinTests,BF190&lt;=WlLowMean),"Low results, no KS2 data","")))</f>
        <v/>
      </c>
      <c r="BJ190" t="str">
        <f>IF(BI190="","",IF(BI190="Below expected for KS2",BG190,100+BF190)+ROW()/1000000)</f>
        <v/>
      </c>
    </row>
    <row r="191">
      <c r="H191" t="str">
        <f>IFERROR(INDEX(tblY7[Class],ROWS(H$10:H191))&amp;"","")</f>
        <v/>
      </c>
      <c r="I191" t="str">
        <f>IF(H191="","",IF(COUNTIF(H$10:H191,H191)=1,COUNTIF(H$10:H$609,"&lt;"&amp;H191)+1,""))</f>
        <v/>
      </c>
      <c r="J191" t="str">
        <f>IFERROR(INDEX(tblY8[Class],ROWS(J$10:J191))&amp;"","")</f>
        <v/>
      </c>
      <c r="K191" t="str">
        <f>IF(J191="","",IF(COUNTIF(J$10:J191,J191)=1,COUNTIF(J$10:J$609,"&lt;"&amp;J191)+1,""))</f>
        <v/>
      </c>
      <c r="L191" t="str">
        <f>IFERROR(INDEX(tblY9[Class],ROWS(L$10:L191))&amp;"","")</f>
        <v/>
      </c>
      <c r="M191" t="str">
        <f>IF(L191="","",IF(COUNTIF(L$10:L191,L191)=1,COUNTIF(L$10:L$609,"&lt;"&amp;L191)+1,""))</f>
        <v/>
      </c>
      <c r="N191" t="str">
        <f>IFERROR(INDEX(tblY10[Class],ROWS(N$10:N191))&amp;"","")</f>
        <v/>
      </c>
      <c r="O191" t="str">
        <f>IF(N191="","",IF(COUNTIF(N$10:N191,N191)=1,COUNTIF(N$10:N$609,"&lt;"&amp;N191)+1,""))</f>
        <v/>
      </c>
      <c r="P191" t="str">
        <f>IFERROR(INDEX(tblY11[Class],ROWS(P$10:P191))&amp;"","")</f>
        <v/>
      </c>
      <c r="Q191" t="str">
        <f>IF(P191="","",IF(COUNTIF(P$10:P191,P191)=1,COUNTIF(P$10:P$609,"&lt;"&amp;P191)+1,""))</f>
        <v/>
      </c>
      <c r="BA191" t="str">
        <f>IFERROR(INDEX(wLast,122)&amp;"","")</f>
        <v/>
      </c>
      <c r="BB191" t="str">
        <f>IF(BA191="","",IFERROR(INDEX(wFirst,122)&amp;"",""))</f>
        <v/>
      </c>
      <c r="BC191" t="str">
        <f>IF(BA191="","",IFERROR(INDEX(wClass,122)&amp;"",""))</f>
        <v/>
      </c>
      <c r="BD191" t="str">
        <f>IF(BA191="","",IFERROR(INDEX(wKsBand,122)+0,""))</f>
        <v/>
      </c>
      <c r="BE191" t="str">
        <f>IF(BA191="","",IFERROR(INDEX(wTests,122)+0,0))</f>
        <v/>
      </c>
      <c r="BF191" t="str">
        <f>IF(BA191="","",IFERROR(INDEX(wMean,122)+0,""))</f>
        <v/>
      </c>
      <c r="BG191" t="str">
        <f>IF(BA191="","",IFERROR(INDEX(wVs,122)+0,""))</f>
        <v/>
      </c>
      <c r="BH191" t="str">
        <f>IF(OR(BA191="",wLatest=""),"",IFERROR(INDEX(wData,122,MATCH(wLatest&amp;CHAR(10)&amp;"Stanine",wHdr,0))+0,""))</f>
        <v/>
      </c>
      <c r="BI191" t="str">
        <f>IF(BA191="","",IF(AND(ISNUMBER(BG191),N(BE191)&gt;=WlMinTests,BG191&lt;=-WlGap),"Below expected for KS2",IF(AND(NOT(ISNUMBER(BD191)),ISNUMBER(BF191),N(BE191)&gt;=WlMinTests,BF191&lt;=WlLowMean),"Low results, no KS2 data","")))</f>
        <v/>
      </c>
      <c r="BJ191" t="str">
        <f>IF(BI191="","",IF(BI191="Below expected for KS2",BG191,100+BF191)+ROW()/1000000)</f>
        <v/>
      </c>
    </row>
    <row r="192">
      <c r="H192" t="str">
        <f>IFERROR(INDEX(tblY7[Class],ROWS(H$10:H192))&amp;"","")</f>
        <v/>
      </c>
      <c r="I192" t="str">
        <f>IF(H192="","",IF(COUNTIF(H$10:H192,H192)=1,COUNTIF(H$10:H$609,"&lt;"&amp;H192)+1,""))</f>
        <v/>
      </c>
      <c r="J192" t="str">
        <f>IFERROR(INDEX(tblY8[Class],ROWS(J$10:J192))&amp;"","")</f>
        <v/>
      </c>
      <c r="K192" t="str">
        <f>IF(J192="","",IF(COUNTIF(J$10:J192,J192)=1,COUNTIF(J$10:J$609,"&lt;"&amp;J192)+1,""))</f>
        <v/>
      </c>
      <c r="L192" t="str">
        <f>IFERROR(INDEX(tblY9[Class],ROWS(L$10:L192))&amp;"","")</f>
        <v/>
      </c>
      <c r="M192" t="str">
        <f>IF(L192="","",IF(COUNTIF(L$10:L192,L192)=1,COUNTIF(L$10:L$609,"&lt;"&amp;L192)+1,""))</f>
        <v/>
      </c>
      <c r="N192" t="str">
        <f>IFERROR(INDEX(tblY10[Class],ROWS(N$10:N192))&amp;"","")</f>
        <v/>
      </c>
      <c r="O192" t="str">
        <f>IF(N192="","",IF(COUNTIF(N$10:N192,N192)=1,COUNTIF(N$10:N$609,"&lt;"&amp;N192)+1,""))</f>
        <v/>
      </c>
      <c r="P192" t="str">
        <f>IFERROR(INDEX(tblY11[Class],ROWS(P$10:P192))&amp;"","")</f>
        <v/>
      </c>
      <c r="Q192" t="str">
        <f>IF(P192="","",IF(COUNTIF(P$10:P192,P192)=1,COUNTIF(P$10:P$609,"&lt;"&amp;P192)+1,""))</f>
        <v/>
      </c>
      <c r="BA192" t="str">
        <f>IFERROR(INDEX(wLast,123)&amp;"","")</f>
        <v/>
      </c>
      <c r="BB192" t="str">
        <f>IF(BA192="","",IFERROR(INDEX(wFirst,123)&amp;"",""))</f>
        <v/>
      </c>
      <c r="BC192" t="str">
        <f>IF(BA192="","",IFERROR(INDEX(wClass,123)&amp;"",""))</f>
        <v/>
      </c>
      <c r="BD192" t="str">
        <f>IF(BA192="","",IFERROR(INDEX(wKsBand,123)+0,""))</f>
        <v/>
      </c>
      <c r="BE192" t="str">
        <f>IF(BA192="","",IFERROR(INDEX(wTests,123)+0,0))</f>
        <v/>
      </c>
      <c r="BF192" t="str">
        <f>IF(BA192="","",IFERROR(INDEX(wMean,123)+0,""))</f>
        <v/>
      </c>
      <c r="BG192" t="str">
        <f>IF(BA192="","",IFERROR(INDEX(wVs,123)+0,""))</f>
        <v/>
      </c>
      <c r="BH192" t="str">
        <f>IF(OR(BA192="",wLatest=""),"",IFERROR(INDEX(wData,123,MATCH(wLatest&amp;CHAR(10)&amp;"Stanine",wHdr,0))+0,""))</f>
        <v/>
      </c>
      <c r="BI192" t="str">
        <f>IF(BA192="","",IF(AND(ISNUMBER(BG192),N(BE192)&gt;=WlMinTests,BG192&lt;=-WlGap),"Below expected for KS2",IF(AND(NOT(ISNUMBER(BD192)),ISNUMBER(BF192),N(BE192)&gt;=WlMinTests,BF192&lt;=WlLowMean),"Low results, no KS2 data","")))</f>
        <v/>
      </c>
      <c r="BJ192" t="str">
        <f>IF(BI192="","",IF(BI192="Below expected for KS2",BG192,100+BF192)+ROW()/1000000)</f>
        <v/>
      </c>
    </row>
    <row r="193">
      <c r="H193" t="str">
        <f>IFERROR(INDEX(tblY7[Class],ROWS(H$10:H193))&amp;"","")</f>
        <v/>
      </c>
      <c r="I193" t="str">
        <f>IF(H193="","",IF(COUNTIF(H$10:H193,H193)=1,COUNTIF(H$10:H$609,"&lt;"&amp;H193)+1,""))</f>
        <v/>
      </c>
      <c r="J193" t="str">
        <f>IFERROR(INDEX(tblY8[Class],ROWS(J$10:J193))&amp;"","")</f>
        <v/>
      </c>
      <c r="K193" t="str">
        <f>IF(J193="","",IF(COUNTIF(J$10:J193,J193)=1,COUNTIF(J$10:J$609,"&lt;"&amp;J193)+1,""))</f>
        <v/>
      </c>
      <c r="L193" t="str">
        <f>IFERROR(INDEX(tblY9[Class],ROWS(L$10:L193))&amp;"","")</f>
        <v/>
      </c>
      <c r="M193" t="str">
        <f>IF(L193="","",IF(COUNTIF(L$10:L193,L193)=1,COUNTIF(L$10:L$609,"&lt;"&amp;L193)+1,""))</f>
        <v/>
      </c>
      <c r="N193" t="str">
        <f>IFERROR(INDEX(tblY10[Class],ROWS(N$10:N193))&amp;"","")</f>
        <v/>
      </c>
      <c r="O193" t="str">
        <f>IF(N193="","",IF(COUNTIF(N$10:N193,N193)=1,COUNTIF(N$10:N$609,"&lt;"&amp;N193)+1,""))</f>
        <v/>
      </c>
      <c r="P193" t="str">
        <f>IFERROR(INDEX(tblY11[Class],ROWS(P$10:P193))&amp;"","")</f>
        <v/>
      </c>
      <c r="Q193" t="str">
        <f>IF(P193="","",IF(COUNTIF(P$10:P193,P193)=1,COUNTIF(P$10:P$609,"&lt;"&amp;P193)+1,""))</f>
        <v/>
      </c>
      <c r="BA193" t="str">
        <f>IFERROR(INDEX(wLast,124)&amp;"","")</f>
        <v/>
      </c>
      <c r="BB193" t="str">
        <f>IF(BA193="","",IFERROR(INDEX(wFirst,124)&amp;"",""))</f>
        <v/>
      </c>
      <c r="BC193" t="str">
        <f>IF(BA193="","",IFERROR(INDEX(wClass,124)&amp;"",""))</f>
        <v/>
      </c>
      <c r="BD193" t="str">
        <f>IF(BA193="","",IFERROR(INDEX(wKsBand,124)+0,""))</f>
        <v/>
      </c>
      <c r="BE193" t="str">
        <f>IF(BA193="","",IFERROR(INDEX(wTests,124)+0,0))</f>
        <v/>
      </c>
      <c r="BF193" t="str">
        <f>IF(BA193="","",IFERROR(INDEX(wMean,124)+0,""))</f>
        <v/>
      </c>
      <c r="BG193" t="str">
        <f>IF(BA193="","",IFERROR(INDEX(wVs,124)+0,""))</f>
        <v/>
      </c>
      <c r="BH193" t="str">
        <f>IF(OR(BA193="",wLatest=""),"",IFERROR(INDEX(wData,124,MATCH(wLatest&amp;CHAR(10)&amp;"Stanine",wHdr,0))+0,""))</f>
        <v/>
      </c>
      <c r="BI193" t="str">
        <f>IF(BA193="","",IF(AND(ISNUMBER(BG193),N(BE193)&gt;=WlMinTests,BG193&lt;=-WlGap),"Below expected for KS2",IF(AND(NOT(ISNUMBER(BD193)),ISNUMBER(BF193),N(BE193)&gt;=WlMinTests,BF193&lt;=WlLowMean),"Low results, no KS2 data","")))</f>
        <v/>
      </c>
      <c r="BJ193" t="str">
        <f>IF(BI193="","",IF(BI193="Below expected for KS2",BG193,100+BF193)+ROW()/1000000)</f>
        <v/>
      </c>
    </row>
    <row r="194">
      <c r="H194" t="str">
        <f>IFERROR(INDEX(tblY7[Class],ROWS(H$10:H194))&amp;"","")</f>
        <v/>
      </c>
      <c r="I194" t="str">
        <f>IF(H194="","",IF(COUNTIF(H$10:H194,H194)=1,COUNTIF(H$10:H$609,"&lt;"&amp;H194)+1,""))</f>
        <v/>
      </c>
      <c r="J194" t="str">
        <f>IFERROR(INDEX(tblY8[Class],ROWS(J$10:J194))&amp;"","")</f>
        <v/>
      </c>
      <c r="K194" t="str">
        <f>IF(J194="","",IF(COUNTIF(J$10:J194,J194)=1,COUNTIF(J$10:J$609,"&lt;"&amp;J194)+1,""))</f>
        <v/>
      </c>
      <c r="L194" t="str">
        <f>IFERROR(INDEX(tblY9[Class],ROWS(L$10:L194))&amp;"","")</f>
        <v/>
      </c>
      <c r="M194" t="str">
        <f>IF(L194="","",IF(COUNTIF(L$10:L194,L194)=1,COUNTIF(L$10:L$609,"&lt;"&amp;L194)+1,""))</f>
        <v/>
      </c>
      <c r="N194" t="str">
        <f>IFERROR(INDEX(tblY10[Class],ROWS(N$10:N194))&amp;"","")</f>
        <v/>
      </c>
      <c r="O194" t="str">
        <f>IF(N194="","",IF(COUNTIF(N$10:N194,N194)=1,COUNTIF(N$10:N$609,"&lt;"&amp;N194)+1,""))</f>
        <v/>
      </c>
      <c r="P194" t="str">
        <f>IFERROR(INDEX(tblY11[Class],ROWS(P$10:P194))&amp;"","")</f>
        <v/>
      </c>
      <c r="Q194" t="str">
        <f>IF(P194="","",IF(COUNTIF(P$10:P194,P194)=1,COUNTIF(P$10:P$609,"&lt;"&amp;P194)+1,""))</f>
        <v/>
      </c>
      <c r="BA194" t="str">
        <f>IFERROR(INDEX(wLast,125)&amp;"","")</f>
        <v/>
      </c>
      <c r="BB194" t="str">
        <f>IF(BA194="","",IFERROR(INDEX(wFirst,125)&amp;"",""))</f>
        <v/>
      </c>
      <c r="BC194" t="str">
        <f>IF(BA194="","",IFERROR(INDEX(wClass,125)&amp;"",""))</f>
        <v/>
      </c>
      <c r="BD194" t="str">
        <f>IF(BA194="","",IFERROR(INDEX(wKsBand,125)+0,""))</f>
        <v/>
      </c>
      <c r="BE194" t="str">
        <f>IF(BA194="","",IFERROR(INDEX(wTests,125)+0,0))</f>
        <v/>
      </c>
      <c r="BF194" t="str">
        <f>IF(BA194="","",IFERROR(INDEX(wMean,125)+0,""))</f>
        <v/>
      </c>
      <c r="BG194" t="str">
        <f>IF(BA194="","",IFERROR(INDEX(wVs,125)+0,""))</f>
        <v/>
      </c>
      <c r="BH194" t="str">
        <f>IF(OR(BA194="",wLatest=""),"",IFERROR(INDEX(wData,125,MATCH(wLatest&amp;CHAR(10)&amp;"Stanine",wHdr,0))+0,""))</f>
        <v/>
      </c>
      <c r="BI194" t="str">
        <f>IF(BA194="","",IF(AND(ISNUMBER(BG194),N(BE194)&gt;=WlMinTests,BG194&lt;=-WlGap),"Below expected for KS2",IF(AND(NOT(ISNUMBER(BD194)),ISNUMBER(BF194),N(BE194)&gt;=WlMinTests,BF194&lt;=WlLowMean),"Low results, no KS2 data","")))</f>
        <v/>
      </c>
      <c r="BJ194" t="str">
        <f>IF(BI194="","",IF(BI194="Below expected for KS2",BG194,100+BF194)+ROW()/1000000)</f>
        <v/>
      </c>
    </row>
    <row r="195">
      <c r="H195" t="str">
        <f>IFERROR(INDEX(tblY7[Class],ROWS(H$10:H195))&amp;"","")</f>
        <v/>
      </c>
      <c r="I195" t="str">
        <f>IF(H195="","",IF(COUNTIF(H$10:H195,H195)=1,COUNTIF(H$10:H$609,"&lt;"&amp;H195)+1,""))</f>
        <v/>
      </c>
      <c r="J195" t="str">
        <f>IFERROR(INDEX(tblY8[Class],ROWS(J$10:J195))&amp;"","")</f>
        <v/>
      </c>
      <c r="K195" t="str">
        <f>IF(J195="","",IF(COUNTIF(J$10:J195,J195)=1,COUNTIF(J$10:J$609,"&lt;"&amp;J195)+1,""))</f>
        <v/>
      </c>
      <c r="L195" t="str">
        <f>IFERROR(INDEX(tblY9[Class],ROWS(L$10:L195))&amp;"","")</f>
        <v/>
      </c>
      <c r="M195" t="str">
        <f>IF(L195="","",IF(COUNTIF(L$10:L195,L195)=1,COUNTIF(L$10:L$609,"&lt;"&amp;L195)+1,""))</f>
        <v/>
      </c>
      <c r="N195" t="str">
        <f>IFERROR(INDEX(tblY10[Class],ROWS(N$10:N195))&amp;"","")</f>
        <v/>
      </c>
      <c r="O195" t="str">
        <f>IF(N195="","",IF(COUNTIF(N$10:N195,N195)=1,COUNTIF(N$10:N$609,"&lt;"&amp;N195)+1,""))</f>
        <v/>
      </c>
      <c r="P195" t="str">
        <f>IFERROR(INDEX(tblY11[Class],ROWS(P$10:P195))&amp;"","")</f>
        <v/>
      </c>
      <c r="Q195" t="str">
        <f>IF(P195="","",IF(COUNTIF(P$10:P195,P195)=1,COUNTIF(P$10:P$609,"&lt;"&amp;P195)+1,""))</f>
        <v/>
      </c>
      <c r="BA195" t="str">
        <f>IFERROR(INDEX(wLast,126)&amp;"","")</f>
        <v/>
      </c>
      <c r="BB195" t="str">
        <f>IF(BA195="","",IFERROR(INDEX(wFirst,126)&amp;"",""))</f>
        <v/>
      </c>
      <c r="BC195" t="str">
        <f>IF(BA195="","",IFERROR(INDEX(wClass,126)&amp;"",""))</f>
        <v/>
      </c>
      <c r="BD195" t="str">
        <f>IF(BA195="","",IFERROR(INDEX(wKsBand,126)+0,""))</f>
        <v/>
      </c>
      <c r="BE195" t="str">
        <f>IF(BA195="","",IFERROR(INDEX(wTests,126)+0,0))</f>
        <v/>
      </c>
      <c r="BF195" t="str">
        <f>IF(BA195="","",IFERROR(INDEX(wMean,126)+0,""))</f>
        <v/>
      </c>
      <c r="BG195" t="str">
        <f>IF(BA195="","",IFERROR(INDEX(wVs,126)+0,""))</f>
        <v/>
      </c>
      <c r="BH195" t="str">
        <f>IF(OR(BA195="",wLatest=""),"",IFERROR(INDEX(wData,126,MATCH(wLatest&amp;CHAR(10)&amp;"Stanine",wHdr,0))+0,""))</f>
        <v/>
      </c>
      <c r="BI195" t="str">
        <f>IF(BA195="","",IF(AND(ISNUMBER(BG195),N(BE195)&gt;=WlMinTests,BG195&lt;=-WlGap),"Below expected for KS2",IF(AND(NOT(ISNUMBER(BD195)),ISNUMBER(BF195),N(BE195)&gt;=WlMinTests,BF195&lt;=WlLowMean),"Low results, no KS2 data","")))</f>
        <v/>
      </c>
      <c r="BJ195" t="str">
        <f>IF(BI195="","",IF(BI195="Below expected for KS2",BG195,100+BF195)+ROW()/1000000)</f>
        <v/>
      </c>
    </row>
    <row r="196">
      <c r="H196" t="str">
        <f>IFERROR(INDEX(tblY7[Class],ROWS(H$10:H196))&amp;"","")</f>
        <v/>
      </c>
      <c r="I196" t="str">
        <f>IF(H196="","",IF(COUNTIF(H$10:H196,H196)=1,COUNTIF(H$10:H$609,"&lt;"&amp;H196)+1,""))</f>
        <v/>
      </c>
      <c r="J196" t="str">
        <f>IFERROR(INDEX(tblY8[Class],ROWS(J$10:J196))&amp;"","")</f>
        <v/>
      </c>
      <c r="K196" t="str">
        <f>IF(J196="","",IF(COUNTIF(J$10:J196,J196)=1,COUNTIF(J$10:J$609,"&lt;"&amp;J196)+1,""))</f>
        <v/>
      </c>
      <c r="L196" t="str">
        <f>IFERROR(INDEX(tblY9[Class],ROWS(L$10:L196))&amp;"","")</f>
        <v/>
      </c>
      <c r="M196" t="str">
        <f>IF(L196="","",IF(COUNTIF(L$10:L196,L196)=1,COUNTIF(L$10:L$609,"&lt;"&amp;L196)+1,""))</f>
        <v/>
      </c>
      <c r="N196" t="str">
        <f>IFERROR(INDEX(tblY10[Class],ROWS(N$10:N196))&amp;"","")</f>
        <v/>
      </c>
      <c r="O196" t="str">
        <f>IF(N196="","",IF(COUNTIF(N$10:N196,N196)=1,COUNTIF(N$10:N$609,"&lt;"&amp;N196)+1,""))</f>
        <v/>
      </c>
      <c r="P196" t="str">
        <f>IFERROR(INDEX(tblY11[Class],ROWS(P$10:P196))&amp;"","")</f>
        <v/>
      </c>
      <c r="Q196" t="str">
        <f>IF(P196="","",IF(COUNTIF(P$10:P196,P196)=1,COUNTIF(P$10:P$609,"&lt;"&amp;P196)+1,""))</f>
        <v/>
      </c>
      <c r="BA196" t="str">
        <f>IFERROR(INDEX(wLast,127)&amp;"","")</f>
        <v/>
      </c>
      <c r="BB196" t="str">
        <f>IF(BA196="","",IFERROR(INDEX(wFirst,127)&amp;"",""))</f>
        <v/>
      </c>
      <c r="BC196" t="str">
        <f>IF(BA196="","",IFERROR(INDEX(wClass,127)&amp;"",""))</f>
        <v/>
      </c>
      <c r="BD196" t="str">
        <f>IF(BA196="","",IFERROR(INDEX(wKsBand,127)+0,""))</f>
        <v/>
      </c>
      <c r="BE196" t="str">
        <f>IF(BA196="","",IFERROR(INDEX(wTests,127)+0,0))</f>
        <v/>
      </c>
      <c r="BF196" t="str">
        <f>IF(BA196="","",IFERROR(INDEX(wMean,127)+0,""))</f>
        <v/>
      </c>
      <c r="BG196" t="str">
        <f>IF(BA196="","",IFERROR(INDEX(wVs,127)+0,""))</f>
        <v/>
      </c>
      <c r="BH196" t="str">
        <f>IF(OR(BA196="",wLatest=""),"",IFERROR(INDEX(wData,127,MATCH(wLatest&amp;CHAR(10)&amp;"Stanine",wHdr,0))+0,""))</f>
        <v/>
      </c>
      <c r="BI196" t="str">
        <f>IF(BA196="","",IF(AND(ISNUMBER(BG196),N(BE196)&gt;=WlMinTests,BG196&lt;=-WlGap),"Below expected for KS2",IF(AND(NOT(ISNUMBER(BD196)),ISNUMBER(BF196),N(BE196)&gt;=WlMinTests,BF196&lt;=WlLowMean),"Low results, no KS2 data","")))</f>
        <v/>
      </c>
      <c r="BJ196" t="str">
        <f>IF(BI196="","",IF(BI196="Below expected for KS2",BG196,100+BF196)+ROW()/1000000)</f>
        <v/>
      </c>
    </row>
    <row r="197">
      <c r="H197" t="str">
        <f>IFERROR(INDEX(tblY7[Class],ROWS(H$10:H197))&amp;"","")</f>
        <v/>
      </c>
      <c r="I197" t="str">
        <f>IF(H197="","",IF(COUNTIF(H$10:H197,H197)=1,COUNTIF(H$10:H$609,"&lt;"&amp;H197)+1,""))</f>
        <v/>
      </c>
      <c r="J197" t="str">
        <f>IFERROR(INDEX(tblY8[Class],ROWS(J$10:J197))&amp;"","")</f>
        <v/>
      </c>
      <c r="K197" t="str">
        <f>IF(J197="","",IF(COUNTIF(J$10:J197,J197)=1,COUNTIF(J$10:J$609,"&lt;"&amp;J197)+1,""))</f>
        <v/>
      </c>
      <c r="L197" t="str">
        <f>IFERROR(INDEX(tblY9[Class],ROWS(L$10:L197))&amp;"","")</f>
        <v/>
      </c>
      <c r="M197" t="str">
        <f>IF(L197="","",IF(COUNTIF(L$10:L197,L197)=1,COUNTIF(L$10:L$609,"&lt;"&amp;L197)+1,""))</f>
        <v/>
      </c>
      <c r="N197" t="str">
        <f>IFERROR(INDEX(tblY10[Class],ROWS(N$10:N197))&amp;"","")</f>
        <v/>
      </c>
      <c r="O197" t="str">
        <f>IF(N197="","",IF(COUNTIF(N$10:N197,N197)=1,COUNTIF(N$10:N$609,"&lt;"&amp;N197)+1,""))</f>
        <v/>
      </c>
      <c r="P197" t="str">
        <f>IFERROR(INDEX(tblY11[Class],ROWS(P$10:P197))&amp;"","")</f>
        <v/>
      </c>
      <c r="Q197" t="str">
        <f>IF(P197="","",IF(COUNTIF(P$10:P197,P197)=1,COUNTIF(P$10:P$609,"&lt;"&amp;P197)+1,""))</f>
        <v/>
      </c>
      <c r="BA197" t="str">
        <f>IFERROR(INDEX(wLast,128)&amp;"","")</f>
        <v/>
      </c>
      <c r="BB197" t="str">
        <f>IF(BA197="","",IFERROR(INDEX(wFirst,128)&amp;"",""))</f>
        <v/>
      </c>
      <c r="BC197" t="str">
        <f>IF(BA197="","",IFERROR(INDEX(wClass,128)&amp;"",""))</f>
        <v/>
      </c>
      <c r="BD197" t="str">
        <f>IF(BA197="","",IFERROR(INDEX(wKsBand,128)+0,""))</f>
        <v/>
      </c>
      <c r="BE197" t="str">
        <f>IF(BA197="","",IFERROR(INDEX(wTests,128)+0,0))</f>
        <v/>
      </c>
      <c r="BF197" t="str">
        <f>IF(BA197="","",IFERROR(INDEX(wMean,128)+0,""))</f>
        <v/>
      </c>
      <c r="BG197" t="str">
        <f>IF(BA197="","",IFERROR(INDEX(wVs,128)+0,""))</f>
        <v/>
      </c>
      <c r="BH197" t="str">
        <f>IF(OR(BA197="",wLatest=""),"",IFERROR(INDEX(wData,128,MATCH(wLatest&amp;CHAR(10)&amp;"Stanine",wHdr,0))+0,""))</f>
        <v/>
      </c>
      <c r="BI197" t="str">
        <f>IF(BA197="","",IF(AND(ISNUMBER(BG197),N(BE197)&gt;=WlMinTests,BG197&lt;=-WlGap),"Below expected for KS2",IF(AND(NOT(ISNUMBER(BD197)),ISNUMBER(BF197),N(BE197)&gt;=WlMinTests,BF197&lt;=WlLowMean),"Low results, no KS2 data","")))</f>
        <v/>
      </c>
      <c r="BJ197" t="str">
        <f>IF(BI197="","",IF(BI197="Below expected for KS2",BG197,100+BF197)+ROW()/1000000)</f>
        <v/>
      </c>
    </row>
    <row r="198">
      <c r="H198" t="str">
        <f>IFERROR(INDEX(tblY7[Class],ROWS(H$10:H198))&amp;"","")</f>
        <v/>
      </c>
      <c r="I198" t="str">
        <f>IF(H198="","",IF(COUNTIF(H$10:H198,H198)=1,COUNTIF(H$10:H$609,"&lt;"&amp;H198)+1,""))</f>
        <v/>
      </c>
      <c r="J198" t="str">
        <f>IFERROR(INDEX(tblY8[Class],ROWS(J$10:J198))&amp;"","")</f>
        <v/>
      </c>
      <c r="K198" t="str">
        <f>IF(J198="","",IF(COUNTIF(J$10:J198,J198)=1,COUNTIF(J$10:J$609,"&lt;"&amp;J198)+1,""))</f>
        <v/>
      </c>
      <c r="L198" t="str">
        <f>IFERROR(INDEX(tblY9[Class],ROWS(L$10:L198))&amp;"","")</f>
        <v/>
      </c>
      <c r="M198" t="str">
        <f>IF(L198="","",IF(COUNTIF(L$10:L198,L198)=1,COUNTIF(L$10:L$609,"&lt;"&amp;L198)+1,""))</f>
        <v/>
      </c>
      <c r="N198" t="str">
        <f>IFERROR(INDEX(tblY10[Class],ROWS(N$10:N198))&amp;"","")</f>
        <v/>
      </c>
      <c r="O198" t="str">
        <f>IF(N198="","",IF(COUNTIF(N$10:N198,N198)=1,COUNTIF(N$10:N$609,"&lt;"&amp;N198)+1,""))</f>
        <v/>
      </c>
      <c r="P198" t="str">
        <f>IFERROR(INDEX(tblY11[Class],ROWS(P$10:P198))&amp;"","")</f>
        <v/>
      </c>
      <c r="Q198" t="str">
        <f>IF(P198="","",IF(COUNTIF(P$10:P198,P198)=1,COUNTIF(P$10:P$609,"&lt;"&amp;P198)+1,""))</f>
        <v/>
      </c>
      <c r="BA198" t="str">
        <f>IFERROR(INDEX(wLast,129)&amp;"","")</f>
        <v/>
      </c>
      <c r="BB198" t="str">
        <f>IF(BA198="","",IFERROR(INDEX(wFirst,129)&amp;"",""))</f>
        <v/>
      </c>
      <c r="BC198" t="str">
        <f>IF(BA198="","",IFERROR(INDEX(wClass,129)&amp;"",""))</f>
        <v/>
      </c>
      <c r="BD198" t="str">
        <f>IF(BA198="","",IFERROR(INDEX(wKsBand,129)+0,""))</f>
        <v/>
      </c>
      <c r="BE198" t="str">
        <f>IF(BA198="","",IFERROR(INDEX(wTests,129)+0,0))</f>
        <v/>
      </c>
      <c r="BF198" t="str">
        <f>IF(BA198="","",IFERROR(INDEX(wMean,129)+0,""))</f>
        <v/>
      </c>
      <c r="BG198" t="str">
        <f>IF(BA198="","",IFERROR(INDEX(wVs,129)+0,""))</f>
        <v/>
      </c>
      <c r="BH198" t="str">
        <f>IF(OR(BA198="",wLatest=""),"",IFERROR(INDEX(wData,129,MATCH(wLatest&amp;CHAR(10)&amp;"Stanine",wHdr,0))+0,""))</f>
        <v/>
      </c>
      <c r="BI198" t="str">
        <f>IF(BA198="","",IF(AND(ISNUMBER(BG198),N(BE198)&gt;=WlMinTests,BG198&lt;=-WlGap),"Below expected for KS2",IF(AND(NOT(ISNUMBER(BD198)),ISNUMBER(BF198),N(BE198)&gt;=WlMinTests,BF198&lt;=WlLowMean),"Low results, no KS2 data","")))</f>
        <v/>
      </c>
      <c r="BJ198" t="str">
        <f>IF(BI198="","",IF(BI198="Below expected for KS2",BG198,100+BF198)+ROW()/1000000)</f>
        <v/>
      </c>
    </row>
    <row r="199">
      <c r="H199" t="str">
        <f>IFERROR(INDEX(tblY7[Class],ROWS(H$10:H199))&amp;"","")</f>
        <v/>
      </c>
      <c r="I199" t="str">
        <f>IF(H199="","",IF(COUNTIF(H$10:H199,H199)=1,COUNTIF(H$10:H$609,"&lt;"&amp;H199)+1,""))</f>
        <v/>
      </c>
      <c r="J199" t="str">
        <f>IFERROR(INDEX(tblY8[Class],ROWS(J$10:J199))&amp;"","")</f>
        <v/>
      </c>
      <c r="K199" t="str">
        <f>IF(J199="","",IF(COUNTIF(J$10:J199,J199)=1,COUNTIF(J$10:J$609,"&lt;"&amp;J199)+1,""))</f>
        <v/>
      </c>
      <c r="L199" t="str">
        <f>IFERROR(INDEX(tblY9[Class],ROWS(L$10:L199))&amp;"","")</f>
        <v/>
      </c>
      <c r="M199" t="str">
        <f>IF(L199="","",IF(COUNTIF(L$10:L199,L199)=1,COUNTIF(L$10:L$609,"&lt;"&amp;L199)+1,""))</f>
        <v/>
      </c>
      <c r="N199" t="str">
        <f>IFERROR(INDEX(tblY10[Class],ROWS(N$10:N199))&amp;"","")</f>
        <v/>
      </c>
      <c r="O199" t="str">
        <f>IF(N199="","",IF(COUNTIF(N$10:N199,N199)=1,COUNTIF(N$10:N$609,"&lt;"&amp;N199)+1,""))</f>
        <v/>
      </c>
      <c r="P199" t="str">
        <f>IFERROR(INDEX(tblY11[Class],ROWS(P$10:P199))&amp;"","")</f>
        <v/>
      </c>
      <c r="Q199" t="str">
        <f>IF(P199="","",IF(COUNTIF(P$10:P199,P199)=1,COUNTIF(P$10:P$609,"&lt;"&amp;P199)+1,""))</f>
        <v/>
      </c>
      <c r="BA199" t="str">
        <f>IFERROR(INDEX(wLast,130)&amp;"","")</f>
        <v/>
      </c>
      <c r="BB199" t="str">
        <f>IF(BA199="","",IFERROR(INDEX(wFirst,130)&amp;"",""))</f>
        <v/>
      </c>
      <c r="BC199" t="str">
        <f>IF(BA199="","",IFERROR(INDEX(wClass,130)&amp;"",""))</f>
        <v/>
      </c>
      <c r="BD199" t="str">
        <f>IF(BA199="","",IFERROR(INDEX(wKsBand,130)+0,""))</f>
        <v/>
      </c>
      <c r="BE199" t="str">
        <f>IF(BA199="","",IFERROR(INDEX(wTests,130)+0,0))</f>
        <v/>
      </c>
      <c r="BF199" t="str">
        <f>IF(BA199="","",IFERROR(INDEX(wMean,130)+0,""))</f>
        <v/>
      </c>
      <c r="BG199" t="str">
        <f>IF(BA199="","",IFERROR(INDEX(wVs,130)+0,""))</f>
        <v/>
      </c>
      <c r="BH199" t="str">
        <f>IF(OR(BA199="",wLatest=""),"",IFERROR(INDEX(wData,130,MATCH(wLatest&amp;CHAR(10)&amp;"Stanine",wHdr,0))+0,""))</f>
        <v/>
      </c>
      <c r="BI199" t="str">
        <f>IF(BA199="","",IF(AND(ISNUMBER(BG199),N(BE199)&gt;=WlMinTests,BG199&lt;=-WlGap),"Below expected for KS2",IF(AND(NOT(ISNUMBER(BD199)),ISNUMBER(BF199),N(BE199)&gt;=WlMinTests,BF199&lt;=WlLowMean),"Low results, no KS2 data","")))</f>
        <v/>
      </c>
      <c r="BJ199" t="str">
        <f>IF(BI199="","",IF(BI199="Below expected for KS2",BG199,100+BF199)+ROW()/1000000)</f>
        <v/>
      </c>
    </row>
    <row r="200">
      <c r="H200" t="str">
        <f>IFERROR(INDEX(tblY7[Class],ROWS(H$10:H200))&amp;"","")</f>
        <v/>
      </c>
      <c r="I200" t="str">
        <f>IF(H200="","",IF(COUNTIF(H$10:H200,H200)=1,COUNTIF(H$10:H$609,"&lt;"&amp;H200)+1,""))</f>
        <v/>
      </c>
      <c r="J200" t="str">
        <f>IFERROR(INDEX(tblY8[Class],ROWS(J$10:J200))&amp;"","")</f>
        <v/>
      </c>
      <c r="K200" t="str">
        <f>IF(J200="","",IF(COUNTIF(J$10:J200,J200)=1,COUNTIF(J$10:J$609,"&lt;"&amp;J200)+1,""))</f>
        <v/>
      </c>
      <c r="L200" t="str">
        <f>IFERROR(INDEX(tblY9[Class],ROWS(L$10:L200))&amp;"","")</f>
        <v/>
      </c>
      <c r="M200" t="str">
        <f>IF(L200="","",IF(COUNTIF(L$10:L200,L200)=1,COUNTIF(L$10:L$609,"&lt;"&amp;L200)+1,""))</f>
        <v/>
      </c>
      <c r="N200" t="str">
        <f>IFERROR(INDEX(tblY10[Class],ROWS(N$10:N200))&amp;"","")</f>
        <v/>
      </c>
      <c r="O200" t="str">
        <f>IF(N200="","",IF(COUNTIF(N$10:N200,N200)=1,COUNTIF(N$10:N$609,"&lt;"&amp;N200)+1,""))</f>
        <v/>
      </c>
      <c r="P200" t="str">
        <f>IFERROR(INDEX(tblY11[Class],ROWS(P$10:P200))&amp;"","")</f>
        <v/>
      </c>
      <c r="Q200" t="str">
        <f>IF(P200="","",IF(COUNTIF(P$10:P200,P200)=1,COUNTIF(P$10:P$609,"&lt;"&amp;P200)+1,""))</f>
        <v/>
      </c>
      <c r="BA200" t="str">
        <f>IFERROR(INDEX(wLast,131)&amp;"","")</f>
        <v/>
      </c>
      <c r="BB200" t="str">
        <f>IF(BA200="","",IFERROR(INDEX(wFirst,131)&amp;"",""))</f>
        <v/>
      </c>
      <c r="BC200" t="str">
        <f>IF(BA200="","",IFERROR(INDEX(wClass,131)&amp;"",""))</f>
        <v/>
      </c>
      <c r="BD200" t="str">
        <f>IF(BA200="","",IFERROR(INDEX(wKsBand,131)+0,""))</f>
        <v/>
      </c>
      <c r="BE200" t="str">
        <f>IF(BA200="","",IFERROR(INDEX(wTests,131)+0,0))</f>
        <v/>
      </c>
      <c r="BF200" t="str">
        <f>IF(BA200="","",IFERROR(INDEX(wMean,131)+0,""))</f>
        <v/>
      </c>
      <c r="BG200" t="str">
        <f>IF(BA200="","",IFERROR(INDEX(wVs,131)+0,""))</f>
        <v/>
      </c>
      <c r="BH200" t="str">
        <f>IF(OR(BA200="",wLatest=""),"",IFERROR(INDEX(wData,131,MATCH(wLatest&amp;CHAR(10)&amp;"Stanine",wHdr,0))+0,""))</f>
        <v/>
      </c>
      <c r="BI200" t="str">
        <f>IF(BA200="","",IF(AND(ISNUMBER(BG200),N(BE200)&gt;=WlMinTests,BG200&lt;=-WlGap),"Below expected for KS2",IF(AND(NOT(ISNUMBER(BD200)),ISNUMBER(BF200),N(BE200)&gt;=WlMinTests,BF200&lt;=WlLowMean),"Low results, no KS2 data","")))</f>
        <v/>
      </c>
      <c r="BJ200" t="str">
        <f>IF(BI200="","",IF(BI200="Below expected for KS2",BG200,100+BF200)+ROW()/1000000)</f>
        <v/>
      </c>
    </row>
    <row r="201">
      <c r="H201" t="str">
        <f>IFERROR(INDEX(tblY7[Class],ROWS(H$10:H201))&amp;"","")</f>
        <v/>
      </c>
      <c r="I201" t="str">
        <f>IF(H201="","",IF(COUNTIF(H$10:H201,H201)=1,COUNTIF(H$10:H$609,"&lt;"&amp;H201)+1,""))</f>
        <v/>
      </c>
      <c r="J201" t="str">
        <f>IFERROR(INDEX(tblY8[Class],ROWS(J$10:J201))&amp;"","")</f>
        <v/>
      </c>
      <c r="K201" t="str">
        <f>IF(J201="","",IF(COUNTIF(J$10:J201,J201)=1,COUNTIF(J$10:J$609,"&lt;"&amp;J201)+1,""))</f>
        <v/>
      </c>
      <c r="L201" t="str">
        <f>IFERROR(INDEX(tblY9[Class],ROWS(L$10:L201))&amp;"","")</f>
        <v/>
      </c>
      <c r="M201" t="str">
        <f>IF(L201="","",IF(COUNTIF(L$10:L201,L201)=1,COUNTIF(L$10:L$609,"&lt;"&amp;L201)+1,""))</f>
        <v/>
      </c>
      <c r="N201" t="str">
        <f>IFERROR(INDEX(tblY10[Class],ROWS(N$10:N201))&amp;"","")</f>
        <v/>
      </c>
      <c r="O201" t="str">
        <f>IF(N201="","",IF(COUNTIF(N$10:N201,N201)=1,COUNTIF(N$10:N$609,"&lt;"&amp;N201)+1,""))</f>
        <v/>
      </c>
      <c r="P201" t="str">
        <f>IFERROR(INDEX(tblY11[Class],ROWS(P$10:P201))&amp;"","")</f>
        <v/>
      </c>
      <c r="Q201" t="str">
        <f>IF(P201="","",IF(COUNTIF(P$10:P201,P201)=1,COUNTIF(P$10:P$609,"&lt;"&amp;P201)+1,""))</f>
        <v/>
      </c>
      <c r="BA201" t="str">
        <f>IFERROR(INDEX(wLast,132)&amp;"","")</f>
        <v/>
      </c>
      <c r="BB201" t="str">
        <f>IF(BA201="","",IFERROR(INDEX(wFirst,132)&amp;"",""))</f>
        <v/>
      </c>
      <c r="BC201" t="str">
        <f>IF(BA201="","",IFERROR(INDEX(wClass,132)&amp;"",""))</f>
        <v/>
      </c>
      <c r="BD201" t="str">
        <f>IF(BA201="","",IFERROR(INDEX(wKsBand,132)+0,""))</f>
        <v/>
      </c>
      <c r="BE201" t="str">
        <f>IF(BA201="","",IFERROR(INDEX(wTests,132)+0,0))</f>
        <v/>
      </c>
      <c r="BF201" t="str">
        <f>IF(BA201="","",IFERROR(INDEX(wMean,132)+0,""))</f>
        <v/>
      </c>
      <c r="BG201" t="str">
        <f>IF(BA201="","",IFERROR(INDEX(wVs,132)+0,""))</f>
        <v/>
      </c>
      <c r="BH201" t="str">
        <f>IF(OR(BA201="",wLatest=""),"",IFERROR(INDEX(wData,132,MATCH(wLatest&amp;CHAR(10)&amp;"Stanine",wHdr,0))+0,""))</f>
        <v/>
      </c>
      <c r="BI201" t="str">
        <f>IF(BA201="","",IF(AND(ISNUMBER(BG201),N(BE201)&gt;=WlMinTests,BG201&lt;=-WlGap),"Below expected for KS2",IF(AND(NOT(ISNUMBER(BD201)),ISNUMBER(BF201),N(BE201)&gt;=WlMinTests,BF201&lt;=WlLowMean),"Low results, no KS2 data","")))</f>
        <v/>
      </c>
      <c r="BJ201" t="str">
        <f>IF(BI201="","",IF(BI201="Below expected for KS2",BG201,100+BF201)+ROW()/1000000)</f>
        <v/>
      </c>
    </row>
    <row r="202">
      <c r="H202" t="str">
        <f>IFERROR(INDEX(tblY7[Class],ROWS(H$10:H202))&amp;"","")</f>
        <v/>
      </c>
      <c r="I202" t="str">
        <f>IF(H202="","",IF(COUNTIF(H$10:H202,H202)=1,COUNTIF(H$10:H$609,"&lt;"&amp;H202)+1,""))</f>
        <v/>
      </c>
      <c r="J202" t="str">
        <f>IFERROR(INDEX(tblY8[Class],ROWS(J$10:J202))&amp;"","")</f>
        <v/>
      </c>
      <c r="K202" t="str">
        <f>IF(J202="","",IF(COUNTIF(J$10:J202,J202)=1,COUNTIF(J$10:J$609,"&lt;"&amp;J202)+1,""))</f>
        <v/>
      </c>
      <c r="L202" t="str">
        <f>IFERROR(INDEX(tblY9[Class],ROWS(L$10:L202))&amp;"","")</f>
        <v/>
      </c>
      <c r="M202" t="str">
        <f>IF(L202="","",IF(COUNTIF(L$10:L202,L202)=1,COUNTIF(L$10:L$609,"&lt;"&amp;L202)+1,""))</f>
        <v/>
      </c>
      <c r="N202" t="str">
        <f>IFERROR(INDEX(tblY10[Class],ROWS(N$10:N202))&amp;"","")</f>
        <v/>
      </c>
      <c r="O202" t="str">
        <f>IF(N202="","",IF(COUNTIF(N$10:N202,N202)=1,COUNTIF(N$10:N$609,"&lt;"&amp;N202)+1,""))</f>
        <v/>
      </c>
      <c r="P202" t="str">
        <f>IFERROR(INDEX(tblY11[Class],ROWS(P$10:P202))&amp;"","")</f>
        <v/>
      </c>
      <c r="Q202" t="str">
        <f>IF(P202="","",IF(COUNTIF(P$10:P202,P202)=1,COUNTIF(P$10:P$609,"&lt;"&amp;P202)+1,""))</f>
        <v/>
      </c>
      <c r="BA202" t="str">
        <f>IFERROR(INDEX(wLast,133)&amp;"","")</f>
        <v/>
      </c>
      <c r="BB202" t="str">
        <f>IF(BA202="","",IFERROR(INDEX(wFirst,133)&amp;"",""))</f>
        <v/>
      </c>
      <c r="BC202" t="str">
        <f>IF(BA202="","",IFERROR(INDEX(wClass,133)&amp;"",""))</f>
        <v/>
      </c>
      <c r="BD202" t="str">
        <f>IF(BA202="","",IFERROR(INDEX(wKsBand,133)+0,""))</f>
        <v/>
      </c>
      <c r="BE202" t="str">
        <f>IF(BA202="","",IFERROR(INDEX(wTests,133)+0,0))</f>
        <v/>
      </c>
      <c r="BF202" t="str">
        <f>IF(BA202="","",IFERROR(INDEX(wMean,133)+0,""))</f>
        <v/>
      </c>
      <c r="BG202" t="str">
        <f>IF(BA202="","",IFERROR(INDEX(wVs,133)+0,""))</f>
        <v/>
      </c>
      <c r="BH202" t="str">
        <f>IF(OR(BA202="",wLatest=""),"",IFERROR(INDEX(wData,133,MATCH(wLatest&amp;CHAR(10)&amp;"Stanine",wHdr,0))+0,""))</f>
        <v/>
      </c>
      <c r="BI202" t="str">
        <f>IF(BA202="","",IF(AND(ISNUMBER(BG202),N(BE202)&gt;=WlMinTests,BG202&lt;=-WlGap),"Below expected for KS2",IF(AND(NOT(ISNUMBER(BD202)),ISNUMBER(BF202),N(BE202)&gt;=WlMinTests,BF202&lt;=WlLowMean),"Low results, no KS2 data","")))</f>
        <v/>
      </c>
      <c r="BJ202" t="str">
        <f>IF(BI202="","",IF(BI202="Below expected for KS2",BG202,100+BF202)+ROW()/1000000)</f>
        <v/>
      </c>
    </row>
    <row r="203">
      <c r="H203" t="str">
        <f>IFERROR(INDEX(tblY7[Class],ROWS(H$10:H203))&amp;"","")</f>
        <v/>
      </c>
      <c r="I203" t="str">
        <f>IF(H203="","",IF(COUNTIF(H$10:H203,H203)=1,COUNTIF(H$10:H$609,"&lt;"&amp;H203)+1,""))</f>
        <v/>
      </c>
      <c r="J203" t="str">
        <f>IFERROR(INDEX(tblY8[Class],ROWS(J$10:J203))&amp;"","")</f>
        <v/>
      </c>
      <c r="K203" t="str">
        <f>IF(J203="","",IF(COUNTIF(J$10:J203,J203)=1,COUNTIF(J$10:J$609,"&lt;"&amp;J203)+1,""))</f>
        <v/>
      </c>
      <c r="L203" t="str">
        <f>IFERROR(INDEX(tblY9[Class],ROWS(L$10:L203))&amp;"","")</f>
        <v/>
      </c>
      <c r="M203" t="str">
        <f>IF(L203="","",IF(COUNTIF(L$10:L203,L203)=1,COUNTIF(L$10:L$609,"&lt;"&amp;L203)+1,""))</f>
        <v/>
      </c>
      <c r="N203" t="str">
        <f>IFERROR(INDEX(tblY10[Class],ROWS(N$10:N203))&amp;"","")</f>
        <v/>
      </c>
      <c r="O203" t="str">
        <f>IF(N203="","",IF(COUNTIF(N$10:N203,N203)=1,COUNTIF(N$10:N$609,"&lt;"&amp;N203)+1,""))</f>
        <v/>
      </c>
      <c r="P203" t="str">
        <f>IFERROR(INDEX(tblY11[Class],ROWS(P$10:P203))&amp;"","")</f>
        <v/>
      </c>
      <c r="Q203" t="str">
        <f>IF(P203="","",IF(COUNTIF(P$10:P203,P203)=1,COUNTIF(P$10:P$609,"&lt;"&amp;P203)+1,""))</f>
        <v/>
      </c>
      <c r="BA203" t="str">
        <f>IFERROR(INDEX(wLast,134)&amp;"","")</f>
        <v/>
      </c>
      <c r="BB203" t="str">
        <f>IF(BA203="","",IFERROR(INDEX(wFirst,134)&amp;"",""))</f>
        <v/>
      </c>
      <c r="BC203" t="str">
        <f>IF(BA203="","",IFERROR(INDEX(wClass,134)&amp;"",""))</f>
        <v/>
      </c>
      <c r="BD203" t="str">
        <f>IF(BA203="","",IFERROR(INDEX(wKsBand,134)+0,""))</f>
        <v/>
      </c>
      <c r="BE203" t="str">
        <f>IF(BA203="","",IFERROR(INDEX(wTests,134)+0,0))</f>
        <v/>
      </c>
      <c r="BF203" t="str">
        <f>IF(BA203="","",IFERROR(INDEX(wMean,134)+0,""))</f>
        <v/>
      </c>
      <c r="BG203" t="str">
        <f>IF(BA203="","",IFERROR(INDEX(wVs,134)+0,""))</f>
        <v/>
      </c>
      <c r="BH203" t="str">
        <f>IF(OR(BA203="",wLatest=""),"",IFERROR(INDEX(wData,134,MATCH(wLatest&amp;CHAR(10)&amp;"Stanine",wHdr,0))+0,""))</f>
        <v/>
      </c>
      <c r="BI203" t="str">
        <f>IF(BA203="","",IF(AND(ISNUMBER(BG203),N(BE203)&gt;=WlMinTests,BG203&lt;=-WlGap),"Below expected for KS2",IF(AND(NOT(ISNUMBER(BD203)),ISNUMBER(BF203),N(BE203)&gt;=WlMinTests,BF203&lt;=WlLowMean),"Low results, no KS2 data","")))</f>
        <v/>
      </c>
      <c r="BJ203" t="str">
        <f>IF(BI203="","",IF(BI203="Below expected for KS2",BG203,100+BF203)+ROW()/1000000)</f>
        <v/>
      </c>
    </row>
    <row r="204">
      <c r="H204" t="str">
        <f>IFERROR(INDEX(tblY7[Class],ROWS(H$10:H204))&amp;"","")</f>
        <v/>
      </c>
      <c r="I204" t="str">
        <f>IF(H204="","",IF(COUNTIF(H$10:H204,H204)=1,COUNTIF(H$10:H$609,"&lt;"&amp;H204)+1,""))</f>
        <v/>
      </c>
      <c r="J204" t="str">
        <f>IFERROR(INDEX(tblY8[Class],ROWS(J$10:J204))&amp;"","")</f>
        <v/>
      </c>
      <c r="K204" t="str">
        <f>IF(J204="","",IF(COUNTIF(J$10:J204,J204)=1,COUNTIF(J$10:J$609,"&lt;"&amp;J204)+1,""))</f>
        <v/>
      </c>
      <c r="L204" t="str">
        <f>IFERROR(INDEX(tblY9[Class],ROWS(L$10:L204))&amp;"","")</f>
        <v/>
      </c>
      <c r="M204" t="str">
        <f>IF(L204="","",IF(COUNTIF(L$10:L204,L204)=1,COUNTIF(L$10:L$609,"&lt;"&amp;L204)+1,""))</f>
        <v/>
      </c>
      <c r="N204" t="str">
        <f>IFERROR(INDEX(tblY10[Class],ROWS(N$10:N204))&amp;"","")</f>
        <v/>
      </c>
      <c r="O204" t="str">
        <f>IF(N204="","",IF(COUNTIF(N$10:N204,N204)=1,COUNTIF(N$10:N$609,"&lt;"&amp;N204)+1,""))</f>
        <v/>
      </c>
      <c r="P204" t="str">
        <f>IFERROR(INDEX(tblY11[Class],ROWS(P$10:P204))&amp;"","")</f>
        <v/>
      </c>
      <c r="Q204" t="str">
        <f>IF(P204="","",IF(COUNTIF(P$10:P204,P204)=1,COUNTIF(P$10:P$609,"&lt;"&amp;P204)+1,""))</f>
        <v/>
      </c>
      <c r="BA204" t="str">
        <f>IFERROR(INDEX(wLast,135)&amp;"","")</f>
        <v/>
      </c>
      <c r="BB204" t="str">
        <f>IF(BA204="","",IFERROR(INDEX(wFirst,135)&amp;"",""))</f>
        <v/>
      </c>
      <c r="BC204" t="str">
        <f>IF(BA204="","",IFERROR(INDEX(wClass,135)&amp;"",""))</f>
        <v/>
      </c>
      <c r="BD204" t="str">
        <f>IF(BA204="","",IFERROR(INDEX(wKsBand,135)+0,""))</f>
        <v/>
      </c>
      <c r="BE204" t="str">
        <f>IF(BA204="","",IFERROR(INDEX(wTests,135)+0,0))</f>
        <v/>
      </c>
      <c r="BF204" t="str">
        <f>IF(BA204="","",IFERROR(INDEX(wMean,135)+0,""))</f>
        <v/>
      </c>
      <c r="BG204" t="str">
        <f>IF(BA204="","",IFERROR(INDEX(wVs,135)+0,""))</f>
        <v/>
      </c>
      <c r="BH204" t="str">
        <f>IF(OR(BA204="",wLatest=""),"",IFERROR(INDEX(wData,135,MATCH(wLatest&amp;CHAR(10)&amp;"Stanine",wHdr,0))+0,""))</f>
        <v/>
      </c>
      <c r="BI204" t="str">
        <f>IF(BA204="","",IF(AND(ISNUMBER(BG204),N(BE204)&gt;=WlMinTests,BG204&lt;=-WlGap),"Below expected for KS2",IF(AND(NOT(ISNUMBER(BD204)),ISNUMBER(BF204),N(BE204)&gt;=WlMinTests,BF204&lt;=WlLowMean),"Low results, no KS2 data","")))</f>
        <v/>
      </c>
      <c r="BJ204" t="str">
        <f>IF(BI204="","",IF(BI204="Below expected for KS2",BG204,100+BF204)+ROW()/1000000)</f>
        <v/>
      </c>
    </row>
    <row r="205">
      <c r="H205" t="str">
        <f>IFERROR(INDEX(tblY7[Class],ROWS(H$10:H205))&amp;"","")</f>
        <v/>
      </c>
      <c r="I205" t="str">
        <f>IF(H205="","",IF(COUNTIF(H$10:H205,H205)=1,COUNTIF(H$10:H$609,"&lt;"&amp;H205)+1,""))</f>
        <v/>
      </c>
      <c r="J205" t="str">
        <f>IFERROR(INDEX(tblY8[Class],ROWS(J$10:J205))&amp;"","")</f>
        <v/>
      </c>
      <c r="K205" t="str">
        <f>IF(J205="","",IF(COUNTIF(J$10:J205,J205)=1,COUNTIF(J$10:J$609,"&lt;"&amp;J205)+1,""))</f>
        <v/>
      </c>
      <c r="L205" t="str">
        <f>IFERROR(INDEX(tblY9[Class],ROWS(L$10:L205))&amp;"","")</f>
        <v/>
      </c>
      <c r="M205" t="str">
        <f>IF(L205="","",IF(COUNTIF(L$10:L205,L205)=1,COUNTIF(L$10:L$609,"&lt;"&amp;L205)+1,""))</f>
        <v/>
      </c>
      <c r="N205" t="str">
        <f>IFERROR(INDEX(tblY10[Class],ROWS(N$10:N205))&amp;"","")</f>
        <v/>
      </c>
      <c r="O205" t="str">
        <f>IF(N205="","",IF(COUNTIF(N$10:N205,N205)=1,COUNTIF(N$10:N$609,"&lt;"&amp;N205)+1,""))</f>
        <v/>
      </c>
      <c r="P205" t="str">
        <f>IFERROR(INDEX(tblY11[Class],ROWS(P$10:P205))&amp;"","")</f>
        <v/>
      </c>
      <c r="Q205" t="str">
        <f>IF(P205="","",IF(COUNTIF(P$10:P205,P205)=1,COUNTIF(P$10:P$609,"&lt;"&amp;P205)+1,""))</f>
        <v/>
      </c>
      <c r="BA205" t="str">
        <f>IFERROR(INDEX(wLast,136)&amp;"","")</f>
        <v/>
      </c>
      <c r="BB205" t="str">
        <f>IF(BA205="","",IFERROR(INDEX(wFirst,136)&amp;"",""))</f>
        <v/>
      </c>
      <c r="BC205" t="str">
        <f>IF(BA205="","",IFERROR(INDEX(wClass,136)&amp;"",""))</f>
        <v/>
      </c>
      <c r="BD205" t="str">
        <f>IF(BA205="","",IFERROR(INDEX(wKsBand,136)+0,""))</f>
        <v/>
      </c>
      <c r="BE205" t="str">
        <f>IF(BA205="","",IFERROR(INDEX(wTests,136)+0,0))</f>
        <v/>
      </c>
      <c r="BF205" t="str">
        <f>IF(BA205="","",IFERROR(INDEX(wMean,136)+0,""))</f>
        <v/>
      </c>
      <c r="BG205" t="str">
        <f>IF(BA205="","",IFERROR(INDEX(wVs,136)+0,""))</f>
        <v/>
      </c>
      <c r="BH205" t="str">
        <f>IF(OR(BA205="",wLatest=""),"",IFERROR(INDEX(wData,136,MATCH(wLatest&amp;CHAR(10)&amp;"Stanine",wHdr,0))+0,""))</f>
        <v/>
      </c>
      <c r="BI205" t="str">
        <f>IF(BA205="","",IF(AND(ISNUMBER(BG205),N(BE205)&gt;=WlMinTests,BG205&lt;=-WlGap),"Below expected for KS2",IF(AND(NOT(ISNUMBER(BD205)),ISNUMBER(BF205),N(BE205)&gt;=WlMinTests,BF205&lt;=WlLowMean),"Low results, no KS2 data","")))</f>
        <v/>
      </c>
      <c r="BJ205" t="str">
        <f>IF(BI205="","",IF(BI205="Below expected for KS2",BG205,100+BF205)+ROW()/1000000)</f>
        <v/>
      </c>
    </row>
    <row r="206">
      <c r="H206" t="str">
        <f>IFERROR(INDEX(tblY7[Class],ROWS(H$10:H206))&amp;"","")</f>
        <v/>
      </c>
      <c r="I206" t="str">
        <f>IF(H206="","",IF(COUNTIF(H$10:H206,H206)=1,COUNTIF(H$10:H$609,"&lt;"&amp;H206)+1,""))</f>
        <v/>
      </c>
      <c r="J206" t="str">
        <f>IFERROR(INDEX(tblY8[Class],ROWS(J$10:J206))&amp;"","")</f>
        <v/>
      </c>
      <c r="K206" t="str">
        <f>IF(J206="","",IF(COUNTIF(J$10:J206,J206)=1,COUNTIF(J$10:J$609,"&lt;"&amp;J206)+1,""))</f>
        <v/>
      </c>
      <c r="L206" t="str">
        <f>IFERROR(INDEX(tblY9[Class],ROWS(L$10:L206))&amp;"","")</f>
        <v/>
      </c>
      <c r="M206" t="str">
        <f>IF(L206="","",IF(COUNTIF(L$10:L206,L206)=1,COUNTIF(L$10:L$609,"&lt;"&amp;L206)+1,""))</f>
        <v/>
      </c>
      <c r="N206" t="str">
        <f>IFERROR(INDEX(tblY10[Class],ROWS(N$10:N206))&amp;"","")</f>
        <v/>
      </c>
      <c r="O206" t="str">
        <f>IF(N206="","",IF(COUNTIF(N$10:N206,N206)=1,COUNTIF(N$10:N$609,"&lt;"&amp;N206)+1,""))</f>
        <v/>
      </c>
      <c r="P206" t="str">
        <f>IFERROR(INDEX(tblY11[Class],ROWS(P$10:P206))&amp;"","")</f>
        <v/>
      </c>
      <c r="Q206" t="str">
        <f>IF(P206="","",IF(COUNTIF(P$10:P206,P206)=1,COUNTIF(P$10:P$609,"&lt;"&amp;P206)+1,""))</f>
        <v/>
      </c>
      <c r="BA206" t="str">
        <f>IFERROR(INDEX(wLast,137)&amp;"","")</f>
        <v/>
      </c>
      <c r="BB206" t="str">
        <f>IF(BA206="","",IFERROR(INDEX(wFirst,137)&amp;"",""))</f>
        <v/>
      </c>
      <c r="BC206" t="str">
        <f>IF(BA206="","",IFERROR(INDEX(wClass,137)&amp;"",""))</f>
        <v/>
      </c>
      <c r="BD206" t="str">
        <f>IF(BA206="","",IFERROR(INDEX(wKsBand,137)+0,""))</f>
        <v/>
      </c>
      <c r="BE206" t="str">
        <f>IF(BA206="","",IFERROR(INDEX(wTests,137)+0,0))</f>
        <v/>
      </c>
      <c r="BF206" t="str">
        <f>IF(BA206="","",IFERROR(INDEX(wMean,137)+0,""))</f>
        <v/>
      </c>
      <c r="BG206" t="str">
        <f>IF(BA206="","",IFERROR(INDEX(wVs,137)+0,""))</f>
        <v/>
      </c>
      <c r="BH206" t="str">
        <f>IF(OR(BA206="",wLatest=""),"",IFERROR(INDEX(wData,137,MATCH(wLatest&amp;CHAR(10)&amp;"Stanine",wHdr,0))+0,""))</f>
        <v/>
      </c>
      <c r="BI206" t="str">
        <f>IF(BA206="","",IF(AND(ISNUMBER(BG206),N(BE206)&gt;=WlMinTests,BG206&lt;=-WlGap),"Below expected for KS2",IF(AND(NOT(ISNUMBER(BD206)),ISNUMBER(BF206),N(BE206)&gt;=WlMinTests,BF206&lt;=WlLowMean),"Low results, no KS2 data","")))</f>
        <v/>
      </c>
      <c r="BJ206" t="str">
        <f>IF(BI206="","",IF(BI206="Below expected for KS2",BG206,100+BF206)+ROW()/1000000)</f>
        <v/>
      </c>
    </row>
    <row r="207">
      <c r="H207" t="str">
        <f>IFERROR(INDEX(tblY7[Class],ROWS(H$10:H207))&amp;"","")</f>
        <v/>
      </c>
      <c r="I207" t="str">
        <f>IF(H207="","",IF(COUNTIF(H$10:H207,H207)=1,COUNTIF(H$10:H$609,"&lt;"&amp;H207)+1,""))</f>
        <v/>
      </c>
      <c r="J207" t="str">
        <f>IFERROR(INDEX(tblY8[Class],ROWS(J$10:J207))&amp;"","")</f>
        <v/>
      </c>
      <c r="K207" t="str">
        <f>IF(J207="","",IF(COUNTIF(J$10:J207,J207)=1,COUNTIF(J$10:J$609,"&lt;"&amp;J207)+1,""))</f>
        <v/>
      </c>
      <c r="L207" t="str">
        <f>IFERROR(INDEX(tblY9[Class],ROWS(L$10:L207))&amp;"","")</f>
        <v/>
      </c>
      <c r="M207" t="str">
        <f>IF(L207="","",IF(COUNTIF(L$10:L207,L207)=1,COUNTIF(L$10:L$609,"&lt;"&amp;L207)+1,""))</f>
        <v/>
      </c>
      <c r="N207" t="str">
        <f>IFERROR(INDEX(tblY10[Class],ROWS(N$10:N207))&amp;"","")</f>
        <v/>
      </c>
      <c r="O207" t="str">
        <f>IF(N207="","",IF(COUNTIF(N$10:N207,N207)=1,COUNTIF(N$10:N$609,"&lt;"&amp;N207)+1,""))</f>
        <v/>
      </c>
      <c r="P207" t="str">
        <f>IFERROR(INDEX(tblY11[Class],ROWS(P$10:P207))&amp;"","")</f>
        <v/>
      </c>
      <c r="Q207" t="str">
        <f>IF(P207="","",IF(COUNTIF(P$10:P207,P207)=1,COUNTIF(P$10:P$609,"&lt;"&amp;P207)+1,""))</f>
        <v/>
      </c>
      <c r="BA207" t="str">
        <f>IFERROR(INDEX(wLast,138)&amp;"","")</f>
        <v/>
      </c>
      <c r="BB207" t="str">
        <f>IF(BA207="","",IFERROR(INDEX(wFirst,138)&amp;"",""))</f>
        <v/>
      </c>
      <c r="BC207" t="str">
        <f>IF(BA207="","",IFERROR(INDEX(wClass,138)&amp;"",""))</f>
        <v/>
      </c>
      <c r="BD207" t="str">
        <f>IF(BA207="","",IFERROR(INDEX(wKsBand,138)+0,""))</f>
        <v/>
      </c>
      <c r="BE207" t="str">
        <f>IF(BA207="","",IFERROR(INDEX(wTests,138)+0,0))</f>
        <v/>
      </c>
      <c r="BF207" t="str">
        <f>IF(BA207="","",IFERROR(INDEX(wMean,138)+0,""))</f>
        <v/>
      </c>
      <c r="BG207" t="str">
        <f>IF(BA207="","",IFERROR(INDEX(wVs,138)+0,""))</f>
        <v/>
      </c>
      <c r="BH207" t="str">
        <f>IF(OR(BA207="",wLatest=""),"",IFERROR(INDEX(wData,138,MATCH(wLatest&amp;CHAR(10)&amp;"Stanine",wHdr,0))+0,""))</f>
        <v/>
      </c>
      <c r="BI207" t="str">
        <f>IF(BA207="","",IF(AND(ISNUMBER(BG207),N(BE207)&gt;=WlMinTests,BG207&lt;=-WlGap),"Below expected for KS2",IF(AND(NOT(ISNUMBER(BD207)),ISNUMBER(BF207),N(BE207)&gt;=WlMinTests,BF207&lt;=WlLowMean),"Low results, no KS2 data","")))</f>
        <v/>
      </c>
      <c r="BJ207" t="str">
        <f>IF(BI207="","",IF(BI207="Below expected for KS2",BG207,100+BF207)+ROW()/1000000)</f>
        <v/>
      </c>
    </row>
    <row r="208">
      <c r="H208" t="str">
        <f>IFERROR(INDEX(tblY7[Class],ROWS(H$10:H208))&amp;"","")</f>
        <v/>
      </c>
      <c r="I208" t="str">
        <f>IF(H208="","",IF(COUNTIF(H$10:H208,H208)=1,COUNTIF(H$10:H$609,"&lt;"&amp;H208)+1,""))</f>
        <v/>
      </c>
      <c r="J208" t="str">
        <f>IFERROR(INDEX(tblY8[Class],ROWS(J$10:J208))&amp;"","")</f>
        <v/>
      </c>
      <c r="K208" t="str">
        <f>IF(J208="","",IF(COUNTIF(J$10:J208,J208)=1,COUNTIF(J$10:J$609,"&lt;"&amp;J208)+1,""))</f>
        <v/>
      </c>
      <c r="L208" t="str">
        <f>IFERROR(INDEX(tblY9[Class],ROWS(L$10:L208))&amp;"","")</f>
        <v/>
      </c>
      <c r="M208" t="str">
        <f>IF(L208="","",IF(COUNTIF(L$10:L208,L208)=1,COUNTIF(L$10:L$609,"&lt;"&amp;L208)+1,""))</f>
        <v/>
      </c>
      <c r="N208" t="str">
        <f>IFERROR(INDEX(tblY10[Class],ROWS(N$10:N208))&amp;"","")</f>
        <v/>
      </c>
      <c r="O208" t="str">
        <f>IF(N208="","",IF(COUNTIF(N$10:N208,N208)=1,COUNTIF(N$10:N$609,"&lt;"&amp;N208)+1,""))</f>
        <v/>
      </c>
      <c r="P208" t="str">
        <f>IFERROR(INDEX(tblY11[Class],ROWS(P$10:P208))&amp;"","")</f>
        <v/>
      </c>
      <c r="Q208" t="str">
        <f>IF(P208="","",IF(COUNTIF(P$10:P208,P208)=1,COUNTIF(P$10:P$609,"&lt;"&amp;P208)+1,""))</f>
        <v/>
      </c>
      <c r="BA208" t="str">
        <f>IFERROR(INDEX(wLast,139)&amp;"","")</f>
        <v/>
      </c>
      <c r="BB208" t="str">
        <f>IF(BA208="","",IFERROR(INDEX(wFirst,139)&amp;"",""))</f>
        <v/>
      </c>
      <c r="BC208" t="str">
        <f>IF(BA208="","",IFERROR(INDEX(wClass,139)&amp;"",""))</f>
        <v/>
      </c>
      <c r="BD208" t="str">
        <f>IF(BA208="","",IFERROR(INDEX(wKsBand,139)+0,""))</f>
        <v/>
      </c>
      <c r="BE208" t="str">
        <f>IF(BA208="","",IFERROR(INDEX(wTests,139)+0,0))</f>
        <v/>
      </c>
      <c r="BF208" t="str">
        <f>IF(BA208="","",IFERROR(INDEX(wMean,139)+0,""))</f>
        <v/>
      </c>
      <c r="BG208" t="str">
        <f>IF(BA208="","",IFERROR(INDEX(wVs,139)+0,""))</f>
        <v/>
      </c>
      <c r="BH208" t="str">
        <f>IF(OR(BA208="",wLatest=""),"",IFERROR(INDEX(wData,139,MATCH(wLatest&amp;CHAR(10)&amp;"Stanine",wHdr,0))+0,""))</f>
        <v/>
      </c>
      <c r="BI208" t="str">
        <f>IF(BA208="","",IF(AND(ISNUMBER(BG208),N(BE208)&gt;=WlMinTests,BG208&lt;=-WlGap),"Below expected for KS2",IF(AND(NOT(ISNUMBER(BD208)),ISNUMBER(BF208),N(BE208)&gt;=WlMinTests,BF208&lt;=WlLowMean),"Low results, no KS2 data","")))</f>
        <v/>
      </c>
      <c r="BJ208" t="str">
        <f>IF(BI208="","",IF(BI208="Below expected for KS2",BG208,100+BF208)+ROW()/1000000)</f>
        <v/>
      </c>
    </row>
    <row r="209">
      <c r="H209" t="str">
        <f>IFERROR(INDEX(tblY7[Class],ROWS(H$10:H209))&amp;"","")</f>
        <v/>
      </c>
      <c r="I209" t="str">
        <f>IF(H209="","",IF(COUNTIF(H$10:H209,H209)=1,COUNTIF(H$10:H$609,"&lt;"&amp;H209)+1,""))</f>
        <v/>
      </c>
      <c r="J209" t="str">
        <f>IFERROR(INDEX(tblY8[Class],ROWS(J$10:J209))&amp;"","")</f>
        <v/>
      </c>
      <c r="K209" t="str">
        <f>IF(J209="","",IF(COUNTIF(J$10:J209,J209)=1,COUNTIF(J$10:J$609,"&lt;"&amp;J209)+1,""))</f>
        <v/>
      </c>
      <c r="L209" t="str">
        <f>IFERROR(INDEX(tblY9[Class],ROWS(L$10:L209))&amp;"","")</f>
        <v/>
      </c>
      <c r="M209" t="str">
        <f>IF(L209="","",IF(COUNTIF(L$10:L209,L209)=1,COUNTIF(L$10:L$609,"&lt;"&amp;L209)+1,""))</f>
        <v/>
      </c>
      <c r="N209" t="str">
        <f>IFERROR(INDEX(tblY10[Class],ROWS(N$10:N209))&amp;"","")</f>
        <v/>
      </c>
      <c r="O209" t="str">
        <f>IF(N209="","",IF(COUNTIF(N$10:N209,N209)=1,COUNTIF(N$10:N$609,"&lt;"&amp;N209)+1,""))</f>
        <v/>
      </c>
      <c r="P209" t="str">
        <f>IFERROR(INDEX(tblY11[Class],ROWS(P$10:P209))&amp;"","")</f>
        <v/>
      </c>
      <c r="Q209" t="str">
        <f>IF(P209="","",IF(COUNTIF(P$10:P209,P209)=1,COUNTIF(P$10:P$609,"&lt;"&amp;P209)+1,""))</f>
        <v/>
      </c>
      <c r="BA209" t="str">
        <f>IFERROR(INDEX(wLast,140)&amp;"","")</f>
        <v/>
      </c>
      <c r="BB209" t="str">
        <f>IF(BA209="","",IFERROR(INDEX(wFirst,140)&amp;"",""))</f>
        <v/>
      </c>
      <c r="BC209" t="str">
        <f>IF(BA209="","",IFERROR(INDEX(wClass,140)&amp;"",""))</f>
        <v/>
      </c>
      <c r="BD209" t="str">
        <f>IF(BA209="","",IFERROR(INDEX(wKsBand,140)+0,""))</f>
        <v/>
      </c>
      <c r="BE209" t="str">
        <f>IF(BA209="","",IFERROR(INDEX(wTests,140)+0,0))</f>
        <v/>
      </c>
      <c r="BF209" t="str">
        <f>IF(BA209="","",IFERROR(INDEX(wMean,140)+0,""))</f>
        <v/>
      </c>
      <c r="BG209" t="str">
        <f>IF(BA209="","",IFERROR(INDEX(wVs,140)+0,""))</f>
        <v/>
      </c>
      <c r="BH209" t="str">
        <f>IF(OR(BA209="",wLatest=""),"",IFERROR(INDEX(wData,140,MATCH(wLatest&amp;CHAR(10)&amp;"Stanine",wHdr,0))+0,""))</f>
        <v/>
      </c>
      <c r="BI209" t="str">
        <f>IF(BA209="","",IF(AND(ISNUMBER(BG209),N(BE209)&gt;=WlMinTests,BG209&lt;=-WlGap),"Below expected for KS2",IF(AND(NOT(ISNUMBER(BD209)),ISNUMBER(BF209),N(BE209)&gt;=WlMinTests,BF209&lt;=WlLowMean),"Low results, no KS2 data","")))</f>
        <v/>
      </c>
      <c r="BJ209" t="str">
        <f>IF(BI209="","",IF(BI209="Below expected for KS2",BG209,100+BF209)+ROW()/1000000)</f>
        <v/>
      </c>
    </row>
    <row r="210">
      <c r="H210" t="str">
        <f>IFERROR(INDEX(tblY7[Class],ROWS(H$10:H210))&amp;"","")</f>
        <v/>
      </c>
      <c r="I210" t="str">
        <f>IF(H210="","",IF(COUNTIF(H$10:H210,H210)=1,COUNTIF(H$10:H$609,"&lt;"&amp;H210)+1,""))</f>
        <v/>
      </c>
      <c r="J210" t="str">
        <f>IFERROR(INDEX(tblY8[Class],ROWS(J$10:J210))&amp;"","")</f>
        <v/>
      </c>
      <c r="K210" t="str">
        <f>IF(J210="","",IF(COUNTIF(J$10:J210,J210)=1,COUNTIF(J$10:J$609,"&lt;"&amp;J210)+1,""))</f>
        <v/>
      </c>
      <c r="L210" t="str">
        <f>IFERROR(INDEX(tblY9[Class],ROWS(L$10:L210))&amp;"","")</f>
        <v/>
      </c>
      <c r="M210" t="str">
        <f>IF(L210="","",IF(COUNTIF(L$10:L210,L210)=1,COUNTIF(L$10:L$609,"&lt;"&amp;L210)+1,""))</f>
        <v/>
      </c>
      <c r="N210" t="str">
        <f>IFERROR(INDEX(tblY10[Class],ROWS(N$10:N210))&amp;"","")</f>
        <v/>
      </c>
      <c r="O210" t="str">
        <f>IF(N210="","",IF(COUNTIF(N$10:N210,N210)=1,COUNTIF(N$10:N$609,"&lt;"&amp;N210)+1,""))</f>
        <v/>
      </c>
      <c r="P210" t="str">
        <f>IFERROR(INDEX(tblY11[Class],ROWS(P$10:P210))&amp;"","")</f>
        <v/>
      </c>
      <c r="Q210" t="str">
        <f>IF(P210="","",IF(COUNTIF(P$10:P210,P210)=1,COUNTIF(P$10:P$609,"&lt;"&amp;P210)+1,""))</f>
        <v/>
      </c>
      <c r="BA210" t="str">
        <f>IFERROR(INDEX(wLast,141)&amp;"","")</f>
        <v/>
      </c>
      <c r="BB210" t="str">
        <f>IF(BA210="","",IFERROR(INDEX(wFirst,141)&amp;"",""))</f>
        <v/>
      </c>
      <c r="BC210" t="str">
        <f>IF(BA210="","",IFERROR(INDEX(wClass,141)&amp;"",""))</f>
        <v/>
      </c>
      <c r="BD210" t="str">
        <f>IF(BA210="","",IFERROR(INDEX(wKsBand,141)+0,""))</f>
        <v/>
      </c>
      <c r="BE210" t="str">
        <f>IF(BA210="","",IFERROR(INDEX(wTests,141)+0,0))</f>
        <v/>
      </c>
      <c r="BF210" t="str">
        <f>IF(BA210="","",IFERROR(INDEX(wMean,141)+0,""))</f>
        <v/>
      </c>
      <c r="BG210" t="str">
        <f>IF(BA210="","",IFERROR(INDEX(wVs,141)+0,""))</f>
        <v/>
      </c>
      <c r="BH210" t="str">
        <f>IF(OR(BA210="",wLatest=""),"",IFERROR(INDEX(wData,141,MATCH(wLatest&amp;CHAR(10)&amp;"Stanine",wHdr,0))+0,""))</f>
        <v/>
      </c>
      <c r="BI210" t="str">
        <f>IF(BA210="","",IF(AND(ISNUMBER(BG210),N(BE210)&gt;=WlMinTests,BG210&lt;=-WlGap),"Below expected for KS2",IF(AND(NOT(ISNUMBER(BD210)),ISNUMBER(BF210),N(BE210)&gt;=WlMinTests,BF210&lt;=WlLowMean),"Low results, no KS2 data","")))</f>
        <v/>
      </c>
      <c r="BJ210" t="str">
        <f>IF(BI210="","",IF(BI210="Below expected for KS2",BG210,100+BF210)+ROW()/1000000)</f>
        <v/>
      </c>
    </row>
    <row r="211">
      <c r="H211" t="str">
        <f>IFERROR(INDEX(tblY7[Class],ROWS(H$10:H211))&amp;"","")</f>
        <v/>
      </c>
      <c r="I211" t="str">
        <f>IF(H211="","",IF(COUNTIF(H$10:H211,H211)=1,COUNTIF(H$10:H$609,"&lt;"&amp;H211)+1,""))</f>
        <v/>
      </c>
      <c r="J211" t="str">
        <f>IFERROR(INDEX(tblY8[Class],ROWS(J$10:J211))&amp;"","")</f>
        <v/>
      </c>
      <c r="K211" t="str">
        <f>IF(J211="","",IF(COUNTIF(J$10:J211,J211)=1,COUNTIF(J$10:J$609,"&lt;"&amp;J211)+1,""))</f>
        <v/>
      </c>
      <c r="L211" t="str">
        <f>IFERROR(INDEX(tblY9[Class],ROWS(L$10:L211))&amp;"","")</f>
        <v/>
      </c>
      <c r="M211" t="str">
        <f>IF(L211="","",IF(COUNTIF(L$10:L211,L211)=1,COUNTIF(L$10:L$609,"&lt;"&amp;L211)+1,""))</f>
        <v/>
      </c>
      <c r="N211" t="str">
        <f>IFERROR(INDEX(tblY10[Class],ROWS(N$10:N211))&amp;"","")</f>
        <v/>
      </c>
      <c r="O211" t="str">
        <f>IF(N211="","",IF(COUNTIF(N$10:N211,N211)=1,COUNTIF(N$10:N$609,"&lt;"&amp;N211)+1,""))</f>
        <v/>
      </c>
      <c r="P211" t="str">
        <f>IFERROR(INDEX(tblY11[Class],ROWS(P$10:P211))&amp;"","")</f>
        <v/>
      </c>
      <c r="Q211" t="str">
        <f>IF(P211="","",IF(COUNTIF(P$10:P211,P211)=1,COUNTIF(P$10:P$609,"&lt;"&amp;P211)+1,""))</f>
        <v/>
      </c>
      <c r="BA211" t="str">
        <f>IFERROR(INDEX(wLast,142)&amp;"","")</f>
        <v/>
      </c>
      <c r="BB211" t="str">
        <f>IF(BA211="","",IFERROR(INDEX(wFirst,142)&amp;"",""))</f>
        <v/>
      </c>
      <c r="BC211" t="str">
        <f>IF(BA211="","",IFERROR(INDEX(wClass,142)&amp;"",""))</f>
        <v/>
      </c>
      <c r="BD211" t="str">
        <f>IF(BA211="","",IFERROR(INDEX(wKsBand,142)+0,""))</f>
        <v/>
      </c>
      <c r="BE211" t="str">
        <f>IF(BA211="","",IFERROR(INDEX(wTests,142)+0,0))</f>
        <v/>
      </c>
      <c r="BF211" t="str">
        <f>IF(BA211="","",IFERROR(INDEX(wMean,142)+0,""))</f>
        <v/>
      </c>
      <c r="BG211" t="str">
        <f>IF(BA211="","",IFERROR(INDEX(wVs,142)+0,""))</f>
        <v/>
      </c>
      <c r="BH211" t="str">
        <f>IF(OR(BA211="",wLatest=""),"",IFERROR(INDEX(wData,142,MATCH(wLatest&amp;CHAR(10)&amp;"Stanine",wHdr,0))+0,""))</f>
        <v/>
      </c>
      <c r="BI211" t="str">
        <f>IF(BA211="","",IF(AND(ISNUMBER(BG211),N(BE211)&gt;=WlMinTests,BG211&lt;=-WlGap),"Below expected for KS2",IF(AND(NOT(ISNUMBER(BD211)),ISNUMBER(BF211),N(BE211)&gt;=WlMinTests,BF211&lt;=WlLowMean),"Low results, no KS2 data","")))</f>
        <v/>
      </c>
      <c r="BJ211" t="str">
        <f>IF(BI211="","",IF(BI211="Below expected for KS2",BG211,100+BF211)+ROW()/1000000)</f>
        <v/>
      </c>
    </row>
    <row r="212">
      <c r="H212" t="str">
        <f>IFERROR(INDEX(tblY7[Class],ROWS(H$10:H212))&amp;"","")</f>
        <v/>
      </c>
      <c r="I212" t="str">
        <f>IF(H212="","",IF(COUNTIF(H$10:H212,H212)=1,COUNTIF(H$10:H$609,"&lt;"&amp;H212)+1,""))</f>
        <v/>
      </c>
      <c r="J212" t="str">
        <f>IFERROR(INDEX(tblY8[Class],ROWS(J$10:J212))&amp;"","")</f>
        <v/>
      </c>
      <c r="K212" t="str">
        <f>IF(J212="","",IF(COUNTIF(J$10:J212,J212)=1,COUNTIF(J$10:J$609,"&lt;"&amp;J212)+1,""))</f>
        <v/>
      </c>
      <c r="L212" t="str">
        <f>IFERROR(INDEX(tblY9[Class],ROWS(L$10:L212))&amp;"","")</f>
        <v/>
      </c>
      <c r="M212" t="str">
        <f>IF(L212="","",IF(COUNTIF(L$10:L212,L212)=1,COUNTIF(L$10:L$609,"&lt;"&amp;L212)+1,""))</f>
        <v/>
      </c>
      <c r="N212" t="str">
        <f>IFERROR(INDEX(tblY10[Class],ROWS(N$10:N212))&amp;"","")</f>
        <v/>
      </c>
      <c r="O212" t="str">
        <f>IF(N212="","",IF(COUNTIF(N$10:N212,N212)=1,COUNTIF(N$10:N$609,"&lt;"&amp;N212)+1,""))</f>
        <v/>
      </c>
      <c r="P212" t="str">
        <f>IFERROR(INDEX(tblY11[Class],ROWS(P$10:P212))&amp;"","")</f>
        <v/>
      </c>
      <c r="Q212" t="str">
        <f>IF(P212="","",IF(COUNTIF(P$10:P212,P212)=1,COUNTIF(P$10:P$609,"&lt;"&amp;P212)+1,""))</f>
        <v/>
      </c>
      <c r="BA212" t="str">
        <f>IFERROR(INDEX(wLast,143)&amp;"","")</f>
        <v/>
      </c>
      <c r="BB212" t="str">
        <f>IF(BA212="","",IFERROR(INDEX(wFirst,143)&amp;"",""))</f>
        <v/>
      </c>
      <c r="BC212" t="str">
        <f>IF(BA212="","",IFERROR(INDEX(wClass,143)&amp;"",""))</f>
        <v/>
      </c>
      <c r="BD212" t="str">
        <f>IF(BA212="","",IFERROR(INDEX(wKsBand,143)+0,""))</f>
        <v/>
      </c>
      <c r="BE212" t="str">
        <f>IF(BA212="","",IFERROR(INDEX(wTests,143)+0,0))</f>
        <v/>
      </c>
      <c r="BF212" t="str">
        <f>IF(BA212="","",IFERROR(INDEX(wMean,143)+0,""))</f>
        <v/>
      </c>
      <c r="BG212" t="str">
        <f>IF(BA212="","",IFERROR(INDEX(wVs,143)+0,""))</f>
        <v/>
      </c>
      <c r="BH212" t="str">
        <f>IF(OR(BA212="",wLatest=""),"",IFERROR(INDEX(wData,143,MATCH(wLatest&amp;CHAR(10)&amp;"Stanine",wHdr,0))+0,""))</f>
        <v/>
      </c>
      <c r="BI212" t="str">
        <f>IF(BA212="","",IF(AND(ISNUMBER(BG212),N(BE212)&gt;=WlMinTests,BG212&lt;=-WlGap),"Below expected for KS2",IF(AND(NOT(ISNUMBER(BD212)),ISNUMBER(BF212),N(BE212)&gt;=WlMinTests,BF212&lt;=WlLowMean),"Low results, no KS2 data","")))</f>
        <v/>
      </c>
      <c r="BJ212" t="str">
        <f>IF(BI212="","",IF(BI212="Below expected for KS2",BG212,100+BF212)+ROW()/1000000)</f>
        <v/>
      </c>
    </row>
    <row r="213">
      <c r="H213" t="str">
        <f>IFERROR(INDEX(tblY7[Class],ROWS(H$10:H213))&amp;"","")</f>
        <v/>
      </c>
      <c r="I213" t="str">
        <f>IF(H213="","",IF(COUNTIF(H$10:H213,H213)=1,COUNTIF(H$10:H$609,"&lt;"&amp;H213)+1,""))</f>
        <v/>
      </c>
      <c r="J213" t="str">
        <f>IFERROR(INDEX(tblY8[Class],ROWS(J$10:J213))&amp;"","")</f>
        <v/>
      </c>
      <c r="K213" t="str">
        <f>IF(J213="","",IF(COUNTIF(J$10:J213,J213)=1,COUNTIF(J$10:J$609,"&lt;"&amp;J213)+1,""))</f>
        <v/>
      </c>
      <c r="L213" t="str">
        <f>IFERROR(INDEX(tblY9[Class],ROWS(L$10:L213))&amp;"","")</f>
        <v/>
      </c>
      <c r="M213" t="str">
        <f>IF(L213="","",IF(COUNTIF(L$10:L213,L213)=1,COUNTIF(L$10:L$609,"&lt;"&amp;L213)+1,""))</f>
        <v/>
      </c>
      <c r="N213" t="str">
        <f>IFERROR(INDEX(tblY10[Class],ROWS(N$10:N213))&amp;"","")</f>
        <v/>
      </c>
      <c r="O213" t="str">
        <f>IF(N213="","",IF(COUNTIF(N$10:N213,N213)=1,COUNTIF(N$10:N$609,"&lt;"&amp;N213)+1,""))</f>
        <v/>
      </c>
      <c r="P213" t="str">
        <f>IFERROR(INDEX(tblY11[Class],ROWS(P$10:P213))&amp;"","")</f>
        <v/>
      </c>
      <c r="Q213" t="str">
        <f>IF(P213="","",IF(COUNTIF(P$10:P213,P213)=1,COUNTIF(P$10:P$609,"&lt;"&amp;P213)+1,""))</f>
        <v/>
      </c>
      <c r="BA213" t="str">
        <f>IFERROR(INDEX(wLast,144)&amp;"","")</f>
        <v/>
      </c>
      <c r="BB213" t="str">
        <f>IF(BA213="","",IFERROR(INDEX(wFirst,144)&amp;"",""))</f>
        <v/>
      </c>
      <c r="BC213" t="str">
        <f>IF(BA213="","",IFERROR(INDEX(wClass,144)&amp;"",""))</f>
        <v/>
      </c>
      <c r="BD213" t="str">
        <f>IF(BA213="","",IFERROR(INDEX(wKsBand,144)+0,""))</f>
        <v/>
      </c>
      <c r="BE213" t="str">
        <f>IF(BA213="","",IFERROR(INDEX(wTests,144)+0,0))</f>
        <v/>
      </c>
      <c r="BF213" t="str">
        <f>IF(BA213="","",IFERROR(INDEX(wMean,144)+0,""))</f>
        <v/>
      </c>
      <c r="BG213" t="str">
        <f>IF(BA213="","",IFERROR(INDEX(wVs,144)+0,""))</f>
        <v/>
      </c>
      <c r="BH213" t="str">
        <f>IF(OR(BA213="",wLatest=""),"",IFERROR(INDEX(wData,144,MATCH(wLatest&amp;CHAR(10)&amp;"Stanine",wHdr,0))+0,""))</f>
        <v/>
      </c>
      <c r="BI213" t="str">
        <f>IF(BA213="","",IF(AND(ISNUMBER(BG213),N(BE213)&gt;=WlMinTests,BG213&lt;=-WlGap),"Below expected for KS2",IF(AND(NOT(ISNUMBER(BD213)),ISNUMBER(BF213),N(BE213)&gt;=WlMinTests,BF213&lt;=WlLowMean),"Low results, no KS2 data","")))</f>
        <v/>
      </c>
      <c r="BJ213" t="str">
        <f>IF(BI213="","",IF(BI213="Below expected for KS2",BG213,100+BF213)+ROW()/1000000)</f>
        <v/>
      </c>
    </row>
    <row r="214">
      <c r="H214" t="str">
        <f>IFERROR(INDEX(tblY7[Class],ROWS(H$10:H214))&amp;"","")</f>
        <v/>
      </c>
      <c r="I214" t="str">
        <f>IF(H214="","",IF(COUNTIF(H$10:H214,H214)=1,COUNTIF(H$10:H$609,"&lt;"&amp;H214)+1,""))</f>
        <v/>
      </c>
      <c r="J214" t="str">
        <f>IFERROR(INDEX(tblY8[Class],ROWS(J$10:J214))&amp;"","")</f>
        <v/>
      </c>
      <c r="K214" t="str">
        <f>IF(J214="","",IF(COUNTIF(J$10:J214,J214)=1,COUNTIF(J$10:J$609,"&lt;"&amp;J214)+1,""))</f>
        <v/>
      </c>
      <c r="L214" t="str">
        <f>IFERROR(INDEX(tblY9[Class],ROWS(L$10:L214))&amp;"","")</f>
        <v/>
      </c>
      <c r="M214" t="str">
        <f>IF(L214="","",IF(COUNTIF(L$10:L214,L214)=1,COUNTIF(L$10:L$609,"&lt;"&amp;L214)+1,""))</f>
        <v/>
      </c>
      <c r="N214" t="str">
        <f>IFERROR(INDEX(tblY10[Class],ROWS(N$10:N214))&amp;"","")</f>
        <v/>
      </c>
      <c r="O214" t="str">
        <f>IF(N214="","",IF(COUNTIF(N$10:N214,N214)=1,COUNTIF(N$10:N$609,"&lt;"&amp;N214)+1,""))</f>
        <v/>
      </c>
      <c r="P214" t="str">
        <f>IFERROR(INDEX(tblY11[Class],ROWS(P$10:P214))&amp;"","")</f>
        <v/>
      </c>
      <c r="Q214" t="str">
        <f>IF(P214="","",IF(COUNTIF(P$10:P214,P214)=1,COUNTIF(P$10:P$609,"&lt;"&amp;P214)+1,""))</f>
        <v/>
      </c>
      <c r="BA214" t="str">
        <f>IFERROR(INDEX(wLast,145)&amp;"","")</f>
        <v/>
      </c>
      <c r="BB214" t="str">
        <f>IF(BA214="","",IFERROR(INDEX(wFirst,145)&amp;"",""))</f>
        <v/>
      </c>
      <c r="BC214" t="str">
        <f>IF(BA214="","",IFERROR(INDEX(wClass,145)&amp;"",""))</f>
        <v/>
      </c>
      <c r="BD214" t="str">
        <f>IF(BA214="","",IFERROR(INDEX(wKsBand,145)+0,""))</f>
        <v/>
      </c>
      <c r="BE214" t="str">
        <f>IF(BA214="","",IFERROR(INDEX(wTests,145)+0,0))</f>
        <v/>
      </c>
      <c r="BF214" t="str">
        <f>IF(BA214="","",IFERROR(INDEX(wMean,145)+0,""))</f>
        <v/>
      </c>
      <c r="BG214" t="str">
        <f>IF(BA214="","",IFERROR(INDEX(wVs,145)+0,""))</f>
        <v/>
      </c>
      <c r="BH214" t="str">
        <f>IF(OR(BA214="",wLatest=""),"",IFERROR(INDEX(wData,145,MATCH(wLatest&amp;CHAR(10)&amp;"Stanine",wHdr,0))+0,""))</f>
        <v/>
      </c>
      <c r="BI214" t="str">
        <f>IF(BA214="","",IF(AND(ISNUMBER(BG214),N(BE214)&gt;=WlMinTests,BG214&lt;=-WlGap),"Below expected for KS2",IF(AND(NOT(ISNUMBER(BD214)),ISNUMBER(BF214),N(BE214)&gt;=WlMinTests,BF214&lt;=WlLowMean),"Low results, no KS2 data","")))</f>
        <v/>
      </c>
      <c r="BJ214" t="str">
        <f>IF(BI214="","",IF(BI214="Below expected for KS2",BG214,100+BF214)+ROW()/1000000)</f>
        <v/>
      </c>
    </row>
    <row r="215">
      <c r="H215" t="str">
        <f>IFERROR(INDEX(tblY7[Class],ROWS(H$10:H215))&amp;"","")</f>
        <v/>
      </c>
      <c r="I215" t="str">
        <f>IF(H215="","",IF(COUNTIF(H$10:H215,H215)=1,COUNTIF(H$10:H$609,"&lt;"&amp;H215)+1,""))</f>
        <v/>
      </c>
      <c r="J215" t="str">
        <f>IFERROR(INDEX(tblY8[Class],ROWS(J$10:J215))&amp;"","")</f>
        <v/>
      </c>
      <c r="K215" t="str">
        <f>IF(J215="","",IF(COUNTIF(J$10:J215,J215)=1,COUNTIF(J$10:J$609,"&lt;"&amp;J215)+1,""))</f>
        <v/>
      </c>
      <c r="L215" t="str">
        <f>IFERROR(INDEX(tblY9[Class],ROWS(L$10:L215))&amp;"","")</f>
        <v/>
      </c>
      <c r="M215" t="str">
        <f>IF(L215="","",IF(COUNTIF(L$10:L215,L215)=1,COUNTIF(L$10:L$609,"&lt;"&amp;L215)+1,""))</f>
        <v/>
      </c>
      <c r="N215" t="str">
        <f>IFERROR(INDEX(tblY10[Class],ROWS(N$10:N215))&amp;"","")</f>
        <v/>
      </c>
      <c r="O215" t="str">
        <f>IF(N215="","",IF(COUNTIF(N$10:N215,N215)=1,COUNTIF(N$10:N$609,"&lt;"&amp;N215)+1,""))</f>
        <v/>
      </c>
      <c r="P215" t="str">
        <f>IFERROR(INDEX(tblY11[Class],ROWS(P$10:P215))&amp;"","")</f>
        <v/>
      </c>
      <c r="Q215" t="str">
        <f>IF(P215="","",IF(COUNTIF(P$10:P215,P215)=1,COUNTIF(P$10:P$609,"&lt;"&amp;P215)+1,""))</f>
        <v/>
      </c>
      <c r="BA215" t="str">
        <f>IFERROR(INDEX(wLast,146)&amp;"","")</f>
        <v/>
      </c>
      <c r="BB215" t="str">
        <f>IF(BA215="","",IFERROR(INDEX(wFirst,146)&amp;"",""))</f>
        <v/>
      </c>
      <c r="BC215" t="str">
        <f>IF(BA215="","",IFERROR(INDEX(wClass,146)&amp;"",""))</f>
        <v/>
      </c>
      <c r="BD215" t="str">
        <f>IF(BA215="","",IFERROR(INDEX(wKsBand,146)+0,""))</f>
        <v/>
      </c>
      <c r="BE215" t="str">
        <f>IF(BA215="","",IFERROR(INDEX(wTests,146)+0,0))</f>
        <v/>
      </c>
      <c r="BF215" t="str">
        <f>IF(BA215="","",IFERROR(INDEX(wMean,146)+0,""))</f>
        <v/>
      </c>
      <c r="BG215" t="str">
        <f>IF(BA215="","",IFERROR(INDEX(wVs,146)+0,""))</f>
        <v/>
      </c>
      <c r="BH215" t="str">
        <f>IF(OR(BA215="",wLatest=""),"",IFERROR(INDEX(wData,146,MATCH(wLatest&amp;CHAR(10)&amp;"Stanine",wHdr,0))+0,""))</f>
        <v/>
      </c>
      <c r="BI215" t="str">
        <f>IF(BA215="","",IF(AND(ISNUMBER(BG215),N(BE215)&gt;=WlMinTests,BG215&lt;=-WlGap),"Below expected for KS2",IF(AND(NOT(ISNUMBER(BD215)),ISNUMBER(BF215),N(BE215)&gt;=WlMinTests,BF215&lt;=WlLowMean),"Low results, no KS2 data","")))</f>
        <v/>
      </c>
      <c r="BJ215" t="str">
        <f>IF(BI215="","",IF(BI215="Below expected for KS2",BG215,100+BF215)+ROW()/1000000)</f>
        <v/>
      </c>
    </row>
    <row r="216">
      <c r="H216" t="str">
        <f>IFERROR(INDEX(tblY7[Class],ROWS(H$10:H216))&amp;"","")</f>
        <v/>
      </c>
      <c r="I216" t="str">
        <f>IF(H216="","",IF(COUNTIF(H$10:H216,H216)=1,COUNTIF(H$10:H$609,"&lt;"&amp;H216)+1,""))</f>
        <v/>
      </c>
      <c r="J216" t="str">
        <f>IFERROR(INDEX(tblY8[Class],ROWS(J$10:J216))&amp;"","")</f>
        <v/>
      </c>
      <c r="K216" t="str">
        <f>IF(J216="","",IF(COUNTIF(J$10:J216,J216)=1,COUNTIF(J$10:J$609,"&lt;"&amp;J216)+1,""))</f>
        <v/>
      </c>
      <c r="L216" t="str">
        <f>IFERROR(INDEX(tblY9[Class],ROWS(L$10:L216))&amp;"","")</f>
        <v/>
      </c>
      <c r="M216" t="str">
        <f>IF(L216="","",IF(COUNTIF(L$10:L216,L216)=1,COUNTIF(L$10:L$609,"&lt;"&amp;L216)+1,""))</f>
        <v/>
      </c>
      <c r="N216" t="str">
        <f>IFERROR(INDEX(tblY10[Class],ROWS(N$10:N216))&amp;"","")</f>
        <v/>
      </c>
      <c r="O216" t="str">
        <f>IF(N216="","",IF(COUNTIF(N$10:N216,N216)=1,COUNTIF(N$10:N$609,"&lt;"&amp;N216)+1,""))</f>
        <v/>
      </c>
      <c r="P216" t="str">
        <f>IFERROR(INDEX(tblY11[Class],ROWS(P$10:P216))&amp;"","")</f>
        <v/>
      </c>
      <c r="Q216" t="str">
        <f>IF(P216="","",IF(COUNTIF(P$10:P216,P216)=1,COUNTIF(P$10:P$609,"&lt;"&amp;P216)+1,""))</f>
        <v/>
      </c>
      <c r="BA216" t="str">
        <f>IFERROR(INDEX(wLast,147)&amp;"","")</f>
        <v/>
      </c>
      <c r="BB216" t="str">
        <f>IF(BA216="","",IFERROR(INDEX(wFirst,147)&amp;"",""))</f>
        <v/>
      </c>
      <c r="BC216" t="str">
        <f>IF(BA216="","",IFERROR(INDEX(wClass,147)&amp;"",""))</f>
        <v/>
      </c>
      <c r="BD216" t="str">
        <f>IF(BA216="","",IFERROR(INDEX(wKsBand,147)+0,""))</f>
        <v/>
      </c>
      <c r="BE216" t="str">
        <f>IF(BA216="","",IFERROR(INDEX(wTests,147)+0,0))</f>
        <v/>
      </c>
      <c r="BF216" t="str">
        <f>IF(BA216="","",IFERROR(INDEX(wMean,147)+0,""))</f>
        <v/>
      </c>
      <c r="BG216" t="str">
        <f>IF(BA216="","",IFERROR(INDEX(wVs,147)+0,""))</f>
        <v/>
      </c>
      <c r="BH216" t="str">
        <f>IF(OR(BA216="",wLatest=""),"",IFERROR(INDEX(wData,147,MATCH(wLatest&amp;CHAR(10)&amp;"Stanine",wHdr,0))+0,""))</f>
        <v/>
      </c>
      <c r="BI216" t="str">
        <f>IF(BA216="","",IF(AND(ISNUMBER(BG216),N(BE216)&gt;=WlMinTests,BG216&lt;=-WlGap),"Below expected for KS2",IF(AND(NOT(ISNUMBER(BD216)),ISNUMBER(BF216),N(BE216)&gt;=WlMinTests,BF216&lt;=WlLowMean),"Low results, no KS2 data","")))</f>
        <v/>
      </c>
      <c r="BJ216" t="str">
        <f>IF(BI216="","",IF(BI216="Below expected for KS2",BG216,100+BF216)+ROW()/1000000)</f>
        <v/>
      </c>
    </row>
    <row r="217">
      <c r="H217" t="str">
        <f>IFERROR(INDEX(tblY7[Class],ROWS(H$10:H217))&amp;"","")</f>
        <v/>
      </c>
      <c r="I217" t="str">
        <f>IF(H217="","",IF(COUNTIF(H$10:H217,H217)=1,COUNTIF(H$10:H$609,"&lt;"&amp;H217)+1,""))</f>
        <v/>
      </c>
      <c r="J217" t="str">
        <f>IFERROR(INDEX(tblY8[Class],ROWS(J$10:J217))&amp;"","")</f>
        <v/>
      </c>
      <c r="K217" t="str">
        <f>IF(J217="","",IF(COUNTIF(J$10:J217,J217)=1,COUNTIF(J$10:J$609,"&lt;"&amp;J217)+1,""))</f>
        <v/>
      </c>
      <c r="L217" t="str">
        <f>IFERROR(INDEX(tblY9[Class],ROWS(L$10:L217))&amp;"","")</f>
        <v/>
      </c>
      <c r="M217" t="str">
        <f>IF(L217="","",IF(COUNTIF(L$10:L217,L217)=1,COUNTIF(L$10:L$609,"&lt;"&amp;L217)+1,""))</f>
        <v/>
      </c>
      <c r="N217" t="str">
        <f>IFERROR(INDEX(tblY10[Class],ROWS(N$10:N217))&amp;"","")</f>
        <v/>
      </c>
      <c r="O217" t="str">
        <f>IF(N217="","",IF(COUNTIF(N$10:N217,N217)=1,COUNTIF(N$10:N$609,"&lt;"&amp;N217)+1,""))</f>
        <v/>
      </c>
      <c r="P217" t="str">
        <f>IFERROR(INDEX(tblY11[Class],ROWS(P$10:P217))&amp;"","")</f>
        <v/>
      </c>
      <c r="Q217" t="str">
        <f>IF(P217="","",IF(COUNTIF(P$10:P217,P217)=1,COUNTIF(P$10:P$609,"&lt;"&amp;P217)+1,""))</f>
        <v/>
      </c>
      <c r="BA217" t="str">
        <f>IFERROR(INDEX(wLast,148)&amp;"","")</f>
        <v/>
      </c>
      <c r="BB217" t="str">
        <f>IF(BA217="","",IFERROR(INDEX(wFirst,148)&amp;"",""))</f>
        <v/>
      </c>
      <c r="BC217" t="str">
        <f>IF(BA217="","",IFERROR(INDEX(wClass,148)&amp;"",""))</f>
        <v/>
      </c>
      <c r="BD217" t="str">
        <f>IF(BA217="","",IFERROR(INDEX(wKsBand,148)+0,""))</f>
        <v/>
      </c>
      <c r="BE217" t="str">
        <f>IF(BA217="","",IFERROR(INDEX(wTests,148)+0,0))</f>
        <v/>
      </c>
      <c r="BF217" t="str">
        <f>IF(BA217="","",IFERROR(INDEX(wMean,148)+0,""))</f>
        <v/>
      </c>
      <c r="BG217" t="str">
        <f>IF(BA217="","",IFERROR(INDEX(wVs,148)+0,""))</f>
        <v/>
      </c>
      <c r="BH217" t="str">
        <f>IF(OR(BA217="",wLatest=""),"",IFERROR(INDEX(wData,148,MATCH(wLatest&amp;CHAR(10)&amp;"Stanine",wHdr,0))+0,""))</f>
        <v/>
      </c>
      <c r="BI217" t="str">
        <f>IF(BA217="","",IF(AND(ISNUMBER(BG217),N(BE217)&gt;=WlMinTests,BG217&lt;=-WlGap),"Below expected for KS2",IF(AND(NOT(ISNUMBER(BD217)),ISNUMBER(BF217),N(BE217)&gt;=WlMinTests,BF217&lt;=WlLowMean),"Low results, no KS2 data","")))</f>
        <v/>
      </c>
      <c r="BJ217" t="str">
        <f>IF(BI217="","",IF(BI217="Below expected for KS2",BG217,100+BF217)+ROW()/1000000)</f>
        <v/>
      </c>
    </row>
    <row r="218">
      <c r="H218" t="str">
        <f>IFERROR(INDEX(tblY7[Class],ROWS(H$10:H218))&amp;"","")</f>
        <v/>
      </c>
      <c r="I218" t="str">
        <f>IF(H218="","",IF(COUNTIF(H$10:H218,H218)=1,COUNTIF(H$10:H$609,"&lt;"&amp;H218)+1,""))</f>
        <v/>
      </c>
      <c r="J218" t="str">
        <f>IFERROR(INDEX(tblY8[Class],ROWS(J$10:J218))&amp;"","")</f>
        <v/>
      </c>
      <c r="K218" t="str">
        <f>IF(J218="","",IF(COUNTIF(J$10:J218,J218)=1,COUNTIF(J$10:J$609,"&lt;"&amp;J218)+1,""))</f>
        <v/>
      </c>
      <c r="L218" t="str">
        <f>IFERROR(INDEX(tblY9[Class],ROWS(L$10:L218))&amp;"","")</f>
        <v/>
      </c>
      <c r="M218" t="str">
        <f>IF(L218="","",IF(COUNTIF(L$10:L218,L218)=1,COUNTIF(L$10:L$609,"&lt;"&amp;L218)+1,""))</f>
        <v/>
      </c>
      <c r="N218" t="str">
        <f>IFERROR(INDEX(tblY10[Class],ROWS(N$10:N218))&amp;"","")</f>
        <v/>
      </c>
      <c r="O218" t="str">
        <f>IF(N218="","",IF(COUNTIF(N$10:N218,N218)=1,COUNTIF(N$10:N$609,"&lt;"&amp;N218)+1,""))</f>
        <v/>
      </c>
      <c r="P218" t="str">
        <f>IFERROR(INDEX(tblY11[Class],ROWS(P$10:P218))&amp;"","")</f>
        <v/>
      </c>
      <c r="Q218" t="str">
        <f>IF(P218="","",IF(COUNTIF(P$10:P218,P218)=1,COUNTIF(P$10:P$609,"&lt;"&amp;P218)+1,""))</f>
        <v/>
      </c>
      <c r="BA218" t="str">
        <f>IFERROR(INDEX(wLast,149)&amp;"","")</f>
        <v/>
      </c>
      <c r="BB218" t="str">
        <f>IF(BA218="","",IFERROR(INDEX(wFirst,149)&amp;"",""))</f>
        <v/>
      </c>
      <c r="BC218" t="str">
        <f>IF(BA218="","",IFERROR(INDEX(wClass,149)&amp;"",""))</f>
        <v/>
      </c>
      <c r="BD218" t="str">
        <f>IF(BA218="","",IFERROR(INDEX(wKsBand,149)+0,""))</f>
        <v/>
      </c>
      <c r="BE218" t="str">
        <f>IF(BA218="","",IFERROR(INDEX(wTests,149)+0,0))</f>
        <v/>
      </c>
      <c r="BF218" t="str">
        <f>IF(BA218="","",IFERROR(INDEX(wMean,149)+0,""))</f>
        <v/>
      </c>
      <c r="BG218" t="str">
        <f>IF(BA218="","",IFERROR(INDEX(wVs,149)+0,""))</f>
        <v/>
      </c>
      <c r="BH218" t="str">
        <f>IF(OR(BA218="",wLatest=""),"",IFERROR(INDEX(wData,149,MATCH(wLatest&amp;CHAR(10)&amp;"Stanine",wHdr,0))+0,""))</f>
        <v/>
      </c>
      <c r="BI218" t="str">
        <f>IF(BA218="","",IF(AND(ISNUMBER(BG218),N(BE218)&gt;=WlMinTests,BG218&lt;=-WlGap),"Below expected for KS2",IF(AND(NOT(ISNUMBER(BD218)),ISNUMBER(BF218),N(BE218)&gt;=WlMinTests,BF218&lt;=WlLowMean),"Low results, no KS2 data","")))</f>
        <v/>
      </c>
      <c r="BJ218" t="str">
        <f>IF(BI218="","",IF(BI218="Below expected for KS2",BG218,100+BF218)+ROW()/1000000)</f>
        <v/>
      </c>
    </row>
    <row r="219">
      <c r="H219" t="str">
        <f>IFERROR(INDEX(tblY7[Class],ROWS(H$10:H219))&amp;"","")</f>
        <v/>
      </c>
      <c r="I219" t="str">
        <f>IF(H219="","",IF(COUNTIF(H$10:H219,H219)=1,COUNTIF(H$10:H$609,"&lt;"&amp;H219)+1,""))</f>
        <v/>
      </c>
      <c r="J219" t="str">
        <f>IFERROR(INDEX(tblY8[Class],ROWS(J$10:J219))&amp;"","")</f>
        <v/>
      </c>
      <c r="K219" t="str">
        <f>IF(J219="","",IF(COUNTIF(J$10:J219,J219)=1,COUNTIF(J$10:J$609,"&lt;"&amp;J219)+1,""))</f>
        <v/>
      </c>
      <c r="L219" t="str">
        <f>IFERROR(INDEX(tblY9[Class],ROWS(L$10:L219))&amp;"","")</f>
        <v/>
      </c>
      <c r="M219" t="str">
        <f>IF(L219="","",IF(COUNTIF(L$10:L219,L219)=1,COUNTIF(L$10:L$609,"&lt;"&amp;L219)+1,""))</f>
        <v/>
      </c>
      <c r="N219" t="str">
        <f>IFERROR(INDEX(tblY10[Class],ROWS(N$10:N219))&amp;"","")</f>
        <v/>
      </c>
      <c r="O219" t="str">
        <f>IF(N219="","",IF(COUNTIF(N$10:N219,N219)=1,COUNTIF(N$10:N$609,"&lt;"&amp;N219)+1,""))</f>
        <v/>
      </c>
      <c r="P219" t="str">
        <f>IFERROR(INDEX(tblY11[Class],ROWS(P$10:P219))&amp;"","")</f>
        <v/>
      </c>
      <c r="Q219" t="str">
        <f>IF(P219="","",IF(COUNTIF(P$10:P219,P219)=1,COUNTIF(P$10:P$609,"&lt;"&amp;P219)+1,""))</f>
        <v/>
      </c>
      <c r="BA219" t="str">
        <f>IFERROR(INDEX(wLast,150)&amp;"","")</f>
        <v/>
      </c>
      <c r="BB219" t="str">
        <f>IF(BA219="","",IFERROR(INDEX(wFirst,150)&amp;"",""))</f>
        <v/>
      </c>
      <c r="BC219" t="str">
        <f>IF(BA219="","",IFERROR(INDEX(wClass,150)&amp;"",""))</f>
        <v/>
      </c>
      <c r="BD219" t="str">
        <f>IF(BA219="","",IFERROR(INDEX(wKsBand,150)+0,""))</f>
        <v/>
      </c>
      <c r="BE219" t="str">
        <f>IF(BA219="","",IFERROR(INDEX(wTests,150)+0,0))</f>
        <v/>
      </c>
      <c r="BF219" t="str">
        <f>IF(BA219="","",IFERROR(INDEX(wMean,150)+0,""))</f>
        <v/>
      </c>
      <c r="BG219" t="str">
        <f>IF(BA219="","",IFERROR(INDEX(wVs,150)+0,""))</f>
        <v/>
      </c>
      <c r="BH219" t="str">
        <f>IF(OR(BA219="",wLatest=""),"",IFERROR(INDEX(wData,150,MATCH(wLatest&amp;CHAR(10)&amp;"Stanine",wHdr,0))+0,""))</f>
        <v/>
      </c>
      <c r="BI219" t="str">
        <f>IF(BA219="","",IF(AND(ISNUMBER(BG219),N(BE219)&gt;=WlMinTests,BG219&lt;=-WlGap),"Below expected for KS2",IF(AND(NOT(ISNUMBER(BD219)),ISNUMBER(BF219),N(BE219)&gt;=WlMinTests,BF219&lt;=WlLowMean),"Low results, no KS2 data","")))</f>
        <v/>
      </c>
      <c r="BJ219" t="str">
        <f>IF(BI219="","",IF(BI219="Below expected for KS2",BG219,100+BF219)+ROW()/1000000)</f>
        <v/>
      </c>
    </row>
    <row r="220">
      <c r="H220" t="str">
        <f>IFERROR(INDEX(tblY7[Class],ROWS(H$10:H220))&amp;"","")</f>
        <v/>
      </c>
      <c r="I220" t="str">
        <f>IF(H220="","",IF(COUNTIF(H$10:H220,H220)=1,COUNTIF(H$10:H$609,"&lt;"&amp;H220)+1,""))</f>
        <v/>
      </c>
      <c r="J220" t="str">
        <f>IFERROR(INDEX(tblY8[Class],ROWS(J$10:J220))&amp;"","")</f>
        <v/>
      </c>
      <c r="K220" t="str">
        <f>IF(J220="","",IF(COUNTIF(J$10:J220,J220)=1,COUNTIF(J$10:J$609,"&lt;"&amp;J220)+1,""))</f>
        <v/>
      </c>
      <c r="L220" t="str">
        <f>IFERROR(INDEX(tblY9[Class],ROWS(L$10:L220))&amp;"","")</f>
        <v/>
      </c>
      <c r="M220" t="str">
        <f>IF(L220="","",IF(COUNTIF(L$10:L220,L220)=1,COUNTIF(L$10:L$609,"&lt;"&amp;L220)+1,""))</f>
        <v/>
      </c>
      <c r="N220" t="str">
        <f>IFERROR(INDEX(tblY10[Class],ROWS(N$10:N220))&amp;"","")</f>
        <v/>
      </c>
      <c r="O220" t="str">
        <f>IF(N220="","",IF(COUNTIF(N$10:N220,N220)=1,COUNTIF(N$10:N$609,"&lt;"&amp;N220)+1,""))</f>
        <v/>
      </c>
      <c r="P220" t="str">
        <f>IFERROR(INDEX(tblY11[Class],ROWS(P$10:P220))&amp;"","")</f>
        <v/>
      </c>
      <c r="Q220" t="str">
        <f>IF(P220="","",IF(COUNTIF(P$10:P220,P220)=1,COUNTIF(P$10:P$609,"&lt;"&amp;P220)+1,""))</f>
        <v/>
      </c>
      <c r="BA220" t="str">
        <f>IFERROR(INDEX(wLast,151)&amp;"","")</f>
        <v/>
      </c>
      <c r="BB220" t="str">
        <f>IF(BA220="","",IFERROR(INDEX(wFirst,151)&amp;"",""))</f>
        <v/>
      </c>
      <c r="BC220" t="str">
        <f>IF(BA220="","",IFERROR(INDEX(wClass,151)&amp;"",""))</f>
        <v/>
      </c>
      <c r="BD220" t="str">
        <f>IF(BA220="","",IFERROR(INDEX(wKsBand,151)+0,""))</f>
        <v/>
      </c>
      <c r="BE220" t="str">
        <f>IF(BA220="","",IFERROR(INDEX(wTests,151)+0,0))</f>
        <v/>
      </c>
      <c r="BF220" t="str">
        <f>IF(BA220="","",IFERROR(INDEX(wMean,151)+0,""))</f>
        <v/>
      </c>
      <c r="BG220" t="str">
        <f>IF(BA220="","",IFERROR(INDEX(wVs,151)+0,""))</f>
        <v/>
      </c>
      <c r="BH220" t="str">
        <f>IF(OR(BA220="",wLatest=""),"",IFERROR(INDEX(wData,151,MATCH(wLatest&amp;CHAR(10)&amp;"Stanine",wHdr,0))+0,""))</f>
        <v/>
      </c>
      <c r="BI220" t="str">
        <f>IF(BA220="","",IF(AND(ISNUMBER(BG220),N(BE220)&gt;=WlMinTests,BG220&lt;=-WlGap),"Below expected for KS2",IF(AND(NOT(ISNUMBER(BD220)),ISNUMBER(BF220),N(BE220)&gt;=WlMinTests,BF220&lt;=WlLowMean),"Low results, no KS2 data","")))</f>
        <v/>
      </c>
      <c r="BJ220" t="str">
        <f>IF(BI220="","",IF(BI220="Below expected for KS2",BG220,100+BF220)+ROW()/1000000)</f>
        <v/>
      </c>
    </row>
    <row r="221">
      <c r="H221" t="str">
        <f>IFERROR(INDEX(tblY7[Class],ROWS(H$10:H221))&amp;"","")</f>
        <v/>
      </c>
      <c r="I221" t="str">
        <f>IF(H221="","",IF(COUNTIF(H$10:H221,H221)=1,COUNTIF(H$10:H$609,"&lt;"&amp;H221)+1,""))</f>
        <v/>
      </c>
      <c r="J221" t="str">
        <f>IFERROR(INDEX(tblY8[Class],ROWS(J$10:J221))&amp;"","")</f>
        <v/>
      </c>
      <c r="K221" t="str">
        <f>IF(J221="","",IF(COUNTIF(J$10:J221,J221)=1,COUNTIF(J$10:J$609,"&lt;"&amp;J221)+1,""))</f>
        <v/>
      </c>
      <c r="L221" t="str">
        <f>IFERROR(INDEX(tblY9[Class],ROWS(L$10:L221))&amp;"","")</f>
        <v/>
      </c>
      <c r="M221" t="str">
        <f>IF(L221="","",IF(COUNTIF(L$10:L221,L221)=1,COUNTIF(L$10:L$609,"&lt;"&amp;L221)+1,""))</f>
        <v/>
      </c>
      <c r="N221" t="str">
        <f>IFERROR(INDEX(tblY10[Class],ROWS(N$10:N221))&amp;"","")</f>
        <v/>
      </c>
      <c r="O221" t="str">
        <f>IF(N221="","",IF(COUNTIF(N$10:N221,N221)=1,COUNTIF(N$10:N$609,"&lt;"&amp;N221)+1,""))</f>
        <v/>
      </c>
      <c r="P221" t="str">
        <f>IFERROR(INDEX(tblY11[Class],ROWS(P$10:P221))&amp;"","")</f>
        <v/>
      </c>
      <c r="Q221" t="str">
        <f>IF(P221="","",IF(COUNTIF(P$10:P221,P221)=1,COUNTIF(P$10:P$609,"&lt;"&amp;P221)+1,""))</f>
        <v/>
      </c>
      <c r="BA221" t="str">
        <f>IFERROR(INDEX(wLast,152)&amp;"","")</f>
        <v/>
      </c>
      <c r="BB221" t="str">
        <f>IF(BA221="","",IFERROR(INDEX(wFirst,152)&amp;"",""))</f>
        <v/>
      </c>
      <c r="BC221" t="str">
        <f>IF(BA221="","",IFERROR(INDEX(wClass,152)&amp;"",""))</f>
        <v/>
      </c>
      <c r="BD221" t="str">
        <f>IF(BA221="","",IFERROR(INDEX(wKsBand,152)+0,""))</f>
        <v/>
      </c>
      <c r="BE221" t="str">
        <f>IF(BA221="","",IFERROR(INDEX(wTests,152)+0,0))</f>
        <v/>
      </c>
      <c r="BF221" t="str">
        <f>IF(BA221="","",IFERROR(INDEX(wMean,152)+0,""))</f>
        <v/>
      </c>
      <c r="BG221" t="str">
        <f>IF(BA221="","",IFERROR(INDEX(wVs,152)+0,""))</f>
        <v/>
      </c>
      <c r="BH221" t="str">
        <f>IF(OR(BA221="",wLatest=""),"",IFERROR(INDEX(wData,152,MATCH(wLatest&amp;CHAR(10)&amp;"Stanine",wHdr,0))+0,""))</f>
        <v/>
      </c>
      <c r="BI221" t="str">
        <f>IF(BA221="","",IF(AND(ISNUMBER(BG221),N(BE221)&gt;=WlMinTests,BG221&lt;=-WlGap),"Below expected for KS2",IF(AND(NOT(ISNUMBER(BD221)),ISNUMBER(BF221),N(BE221)&gt;=WlMinTests,BF221&lt;=WlLowMean),"Low results, no KS2 data","")))</f>
        <v/>
      </c>
      <c r="BJ221" t="str">
        <f>IF(BI221="","",IF(BI221="Below expected for KS2",BG221,100+BF221)+ROW()/1000000)</f>
        <v/>
      </c>
    </row>
    <row r="222">
      <c r="H222" t="str">
        <f>IFERROR(INDEX(tblY7[Class],ROWS(H$10:H222))&amp;"","")</f>
        <v/>
      </c>
      <c r="I222" t="str">
        <f>IF(H222="","",IF(COUNTIF(H$10:H222,H222)=1,COUNTIF(H$10:H$609,"&lt;"&amp;H222)+1,""))</f>
        <v/>
      </c>
      <c r="J222" t="str">
        <f>IFERROR(INDEX(tblY8[Class],ROWS(J$10:J222))&amp;"","")</f>
        <v/>
      </c>
      <c r="K222" t="str">
        <f>IF(J222="","",IF(COUNTIF(J$10:J222,J222)=1,COUNTIF(J$10:J$609,"&lt;"&amp;J222)+1,""))</f>
        <v/>
      </c>
      <c r="L222" t="str">
        <f>IFERROR(INDEX(tblY9[Class],ROWS(L$10:L222))&amp;"","")</f>
        <v/>
      </c>
      <c r="M222" t="str">
        <f>IF(L222="","",IF(COUNTIF(L$10:L222,L222)=1,COUNTIF(L$10:L$609,"&lt;"&amp;L222)+1,""))</f>
        <v/>
      </c>
      <c r="N222" t="str">
        <f>IFERROR(INDEX(tblY10[Class],ROWS(N$10:N222))&amp;"","")</f>
        <v/>
      </c>
      <c r="O222" t="str">
        <f>IF(N222="","",IF(COUNTIF(N$10:N222,N222)=1,COUNTIF(N$10:N$609,"&lt;"&amp;N222)+1,""))</f>
        <v/>
      </c>
      <c r="P222" t="str">
        <f>IFERROR(INDEX(tblY11[Class],ROWS(P$10:P222))&amp;"","")</f>
        <v/>
      </c>
      <c r="Q222" t="str">
        <f>IF(P222="","",IF(COUNTIF(P$10:P222,P222)=1,COUNTIF(P$10:P$609,"&lt;"&amp;P222)+1,""))</f>
        <v/>
      </c>
      <c r="BA222" t="str">
        <f>IFERROR(INDEX(wLast,153)&amp;"","")</f>
        <v/>
      </c>
      <c r="BB222" t="str">
        <f>IF(BA222="","",IFERROR(INDEX(wFirst,153)&amp;"",""))</f>
        <v/>
      </c>
      <c r="BC222" t="str">
        <f>IF(BA222="","",IFERROR(INDEX(wClass,153)&amp;"",""))</f>
        <v/>
      </c>
      <c r="BD222" t="str">
        <f>IF(BA222="","",IFERROR(INDEX(wKsBand,153)+0,""))</f>
        <v/>
      </c>
      <c r="BE222" t="str">
        <f>IF(BA222="","",IFERROR(INDEX(wTests,153)+0,0))</f>
        <v/>
      </c>
      <c r="BF222" t="str">
        <f>IF(BA222="","",IFERROR(INDEX(wMean,153)+0,""))</f>
        <v/>
      </c>
      <c r="BG222" t="str">
        <f>IF(BA222="","",IFERROR(INDEX(wVs,153)+0,""))</f>
        <v/>
      </c>
      <c r="BH222" t="str">
        <f>IF(OR(BA222="",wLatest=""),"",IFERROR(INDEX(wData,153,MATCH(wLatest&amp;CHAR(10)&amp;"Stanine",wHdr,0))+0,""))</f>
        <v/>
      </c>
      <c r="BI222" t="str">
        <f>IF(BA222="","",IF(AND(ISNUMBER(BG222),N(BE222)&gt;=WlMinTests,BG222&lt;=-WlGap),"Below expected for KS2",IF(AND(NOT(ISNUMBER(BD222)),ISNUMBER(BF222),N(BE222)&gt;=WlMinTests,BF222&lt;=WlLowMean),"Low results, no KS2 data","")))</f>
        <v/>
      </c>
      <c r="BJ222" t="str">
        <f>IF(BI222="","",IF(BI222="Below expected for KS2",BG222,100+BF222)+ROW()/1000000)</f>
        <v/>
      </c>
    </row>
    <row r="223">
      <c r="H223" t="str">
        <f>IFERROR(INDEX(tblY7[Class],ROWS(H$10:H223))&amp;"","")</f>
        <v/>
      </c>
      <c r="I223" t="str">
        <f>IF(H223="","",IF(COUNTIF(H$10:H223,H223)=1,COUNTIF(H$10:H$609,"&lt;"&amp;H223)+1,""))</f>
        <v/>
      </c>
      <c r="J223" t="str">
        <f>IFERROR(INDEX(tblY8[Class],ROWS(J$10:J223))&amp;"","")</f>
        <v/>
      </c>
      <c r="K223" t="str">
        <f>IF(J223="","",IF(COUNTIF(J$10:J223,J223)=1,COUNTIF(J$10:J$609,"&lt;"&amp;J223)+1,""))</f>
        <v/>
      </c>
      <c r="L223" t="str">
        <f>IFERROR(INDEX(tblY9[Class],ROWS(L$10:L223))&amp;"","")</f>
        <v/>
      </c>
      <c r="M223" t="str">
        <f>IF(L223="","",IF(COUNTIF(L$10:L223,L223)=1,COUNTIF(L$10:L$609,"&lt;"&amp;L223)+1,""))</f>
        <v/>
      </c>
      <c r="N223" t="str">
        <f>IFERROR(INDEX(tblY10[Class],ROWS(N$10:N223))&amp;"","")</f>
        <v/>
      </c>
      <c r="O223" t="str">
        <f>IF(N223="","",IF(COUNTIF(N$10:N223,N223)=1,COUNTIF(N$10:N$609,"&lt;"&amp;N223)+1,""))</f>
        <v/>
      </c>
      <c r="P223" t="str">
        <f>IFERROR(INDEX(tblY11[Class],ROWS(P$10:P223))&amp;"","")</f>
        <v/>
      </c>
      <c r="Q223" t="str">
        <f>IF(P223="","",IF(COUNTIF(P$10:P223,P223)=1,COUNTIF(P$10:P$609,"&lt;"&amp;P223)+1,""))</f>
        <v/>
      </c>
      <c r="BA223" t="str">
        <f>IFERROR(INDEX(wLast,154)&amp;"","")</f>
        <v/>
      </c>
      <c r="BB223" t="str">
        <f>IF(BA223="","",IFERROR(INDEX(wFirst,154)&amp;"",""))</f>
        <v/>
      </c>
      <c r="BC223" t="str">
        <f>IF(BA223="","",IFERROR(INDEX(wClass,154)&amp;"",""))</f>
        <v/>
      </c>
      <c r="BD223" t="str">
        <f>IF(BA223="","",IFERROR(INDEX(wKsBand,154)+0,""))</f>
        <v/>
      </c>
      <c r="BE223" t="str">
        <f>IF(BA223="","",IFERROR(INDEX(wTests,154)+0,0))</f>
        <v/>
      </c>
      <c r="BF223" t="str">
        <f>IF(BA223="","",IFERROR(INDEX(wMean,154)+0,""))</f>
        <v/>
      </c>
      <c r="BG223" t="str">
        <f>IF(BA223="","",IFERROR(INDEX(wVs,154)+0,""))</f>
        <v/>
      </c>
      <c r="BH223" t="str">
        <f>IF(OR(BA223="",wLatest=""),"",IFERROR(INDEX(wData,154,MATCH(wLatest&amp;CHAR(10)&amp;"Stanine",wHdr,0))+0,""))</f>
        <v/>
      </c>
      <c r="BI223" t="str">
        <f>IF(BA223="","",IF(AND(ISNUMBER(BG223),N(BE223)&gt;=WlMinTests,BG223&lt;=-WlGap),"Below expected for KS2",IF(AND(NOT(ISNUMBER(BD223)),ISNUMBER(BF223),N(BE223)&gt;=WlMinTests,BF223&lt;=WlLowMean),"Low results, no KS2 data","")))</f>
        <v/>
      </c>
      <c r="BJ223" t="str">
        <f>IF(BI223="","",IF(BI223="Below expected for KS2",BG223,100+BF223)+ROW()/1000000)</f>
        <v/>
      </c>
    </row>
    <row r="224">
      <c r="H224" t="str">
        <f>IFERROR(INDEX(tblY7[Class],ROWS(H$10:H224))&amp;"","")</f>
        <v/>
      </c>
      <c r="I224" t="str">
        <f>IF(H224="","",IF(COUNTIF(H$10:H224,H224)=1,COUNTIF(H$10:H$609,"&lt;"&amp;H224)+1,""))</f>
        <v/>
      </c>
      <c r="J224" t="str">
        <f>IFERROR(INDEX(tblY8[Class],ROWS(J$10:J224))&amp;"","")</f>
        <v/>
      </c>
      <c r="K224" t="str">
        <f>IF(J224="","",IF(COUNTIF(J$10:J224,J224)=1,COUNTIF(J$10:J$609,"&lt;"&amp;J224)+1,""))</f>
        <v/>
      </c>
      <c r="L224" t="str">
        <f>IFERROR(INDEX(tblY9[Class],ROWS(L$10:L224))&amp;"","")</f>
        <v/>
      </c>
      <c r="M224" t="str">
        <f>IF(L224="","",IF(COUNTIF(L$10:L224,L224)=1,COUNTIF(L$10:L$609,"&lt;"&amp;L224)+1,""))</f>
        <v/>
      </c>
      <c r="N224" t="str">
        <f>IFERROR(INDEX(tblY10[Class],ROWS(N$10:N224))&amp;"","")</f>
        <v/>
      </c>
      <c r="O224" t="str">
        <f>IF(N224="","",IF(COUNTIF(N$10:N224,N224)=1,COUNTIF(N$10:N$609,"&lt;"&amp;N224)+1,""))</f>
        <v/>
      </c>
      <c r="P224" t="str">
        <f>IFERROR(INDEX(tblY11[Class],ROWS(P$10:P224))&amp;"","")</f>
        <v/>
      </c>
      <c r="Q224" t="str">
        <f>IF(P224="","",IF(COUNTIF(P$10:P224,P224)=1,COUNTIF(P$10:P$609,"&lt;"&amp;P224)+1,""))</f>
        <v/>
      </c>
      <c r="BA224" t="str">
        <f>IFERROR(INDEX(wLast,155)&amp;"","")</f>
        <v/>
      </c>
      <c r="BB224" t="str">
        <f>IF(BA224="","",IFERROR(INDEX(wFirst,155)&amp;"",""))</f>
        <v/>
      </c>
      <c r="BC224" t="str">
        <f>IF(BA224="","",IFERROR(INDEX(wClass,155)&amp;"",""))</f>
        <v/>
      </c>
      <c r="BD224" t="str">
        <f>IF(BA224="","",IFERROR(INDEX(wKsBand,155)+0,""))</f>
        <v/>
      </c>
      <c r="BE224" t="str">
        <f>IF(BA224="","",IFERROR(INDEX(wTests,155)+0,0))</f>
        <v/>
      </c>
      <c r="BF224" t="str">
        <f>IF(BA224="","",IFERROR(INDEX(wMean,155)+0,""))</f>
        <v/>
      </c>
      <c r="BG224" t="str">
        <f>IF(BA224="","",IFERROR(INDEX(wVs,155)+0,""))</f>
        <v/>
      </c>
      <c r="BH224" t="str">
        <f>IF(OR(BA224="",wLatest=""),"",IFERROR(INDEX(wData,155,MATCH(wLatest&amp;CHAR(10)&amp;"Stanine",wHdr,0))+0,""))</f>
        <v/>
      </c>
      <c r="BI224" t="str">
        <f>IF(BA224="","",IF(AND(ISNUMBER(BG224),N(BE224)&gt;=WlMinTests,BG224&lt;=-WlGap),"Below expected for KS2",IF(AND(NOT(ISNUMBER(BD224)),ISNUMBER(BF224),N(BE224)&gt;=WlMinTests,BF224&lt;=WlLowMean),"Low results, no KS2 data","")))</f>
        <v/>
      </c>
      <c r="BJ224" t="str">
        <f>IF(BI224="","",IF(BI224="Below expected for KS2",BG224,100+BF224)+ROW()/1000000)</f>
        <v/>
      </c>
    </row>
    <row r="225">
      <c r="H225" t="str">
        <f>IFERROR(INDEX(tblY7[Class],ROWS(H$10:H225))&amp;"","")</f>
        <v/>
      </c>
      <c r="I225" t="str">
        <f>IF(H225="","",IF(COUNTIF(H$10:H225,H225)=1,COUNTIF(H$10:H$609,"&lt;"&amp;H225)+1,""))</f>
        <v/>
      </c>
      <c r="J225" t="str">
        <f>IFERROR(INDEX(tblY8[Class],ROWS(J$10:J225))&amp;"","")</f>
        <v/>
      </c>
      <c r="K225" t="str">
        <f>IF(J225="","",IF(COUNTIF(J$10:J225,J225)=1,COUNTIF(J$10:J$609,"&lt;"&amp;J225)+1,""))</f>
        <v/>
      </c>
      <c r="L225" t="str">
        <f>IFERROR(INDEX(tblY9[Class],ROWS(L$10:L225))&amp;"","")</f>
        <v/>
      </c>
      <c r="M225" t="str">
        <f>IF(L225="","",IF(COUNTIF(L$10:L225,L225)=1,COUNTIF(L$10:L$609,"&lt;"&amp;L225)+1,""))</f>
        <v/>
      </c>
      <c r="N225" t="str">
        <f>IFERROR(INDEX(tblY10[Class],ROWS(N$10:N225))&amp;"","")</f>
        <v/>
      </c>
      <c r="O225" t="str">
        <f>IF(N225="","",IF(COUNTIF(N$10:N225,N225)=1,COUNTIF(N$10:N$609,"&lt;"&amp;N225)+1,""))</f>
        <v/>
      </c>
      <c r="P225" t="str">
        <f>IFERROR(INDEX(tblY11[Class],ROWS(P$10:P225))&amp;"","")</f>
        <v/>
      </c>
      <c r="Q225" t="str">
        <f>IF(P225="","",IF(COUNTIF(P$10:P225,P225)=1,COUNTIF(P$10:P$609,"&lt;"&amp;P225)+1,""))</f>
        <v/>
      </c>
      <c r="BA225" t="str">
        <f>IFERROR(INDEX(wLast,156)&amp;"","")</f>
        <v/>
      </c>
      <c r="BB225" t="str">
        <f>IF(BA225="","",IFERROR(INDEX(wFirst,156)&amp;"",""))</f>
        <v/>
      </c>
      <c r="BC225" t="str">
        <f>IF(BA225="","",IFERROR(INDEX(wClass,156)&amp;"",""))</f>
        <v/>
      </c>
      <c r="BD225" t="str">
        <f>IF(BA225="","",IFERROR(INDEX(wKsBand,156)+0,""))</f>
        <v/>
      </c>
      <c r="BE225" t="str">
        <f>IF(BA225="","",IFERROR(INDEX(wTests,156)+0,0))</f>
        <v/>
      </c>
      <c r="BF225" t="str">
        <f>IF(BA225="","",IFERROR(INDEX(wMean,156)+0,""))</f>
        <v/>
      </c>
      <c r="BG225" t="str">
        <f>IF(BA225="","",IFERROR(INDEX(wVs,156)+0,""))</f>
        <v/>
      </c>
      <c r="BH225" t="str">
        <f>IF(OR(BA225="",wLatest=""),"",IFERROR(INDEX(wData,156,MATCH(wLatest&amp;CHAR(10)&amp;"Stanine",wHdr,0))+0,""))</f>
        <v/>
      </c>
      <c r="BI225" t="str">
        <f>IF(BA225="","",IF(AND(ISNUMBER(BG225),N(BE225)&gt;=WlMinTests,BG225&lt;=-WlGap),"Below expected for KS2",IF(AND(NOT(ISNUMBER(BD225)),ISNUMBER(BF225),N(BE225)&gt;=WlMinTests,BF225&lt;=WlLowMean),"Low results, no KS2 data","")))</f>
        <v/>
      </c>
      <c r="BJ225" t="str">
        <f>IF(BI225="","",IF(BI225="Below expected for KS2",BG225,100+BF225)+ROW()/1000000)</f>
        <v/>
      </c>
    </row>
    <row r="226">
      <c r="H226" t="str">
        <f>IFERROR(INDEX(tblY7[Class],ROWS(H$10:H226))&amp;"","")</f>
        <v/>
      </c>
      <c r="I226" t="str">
        <f>IF(H226="","",IF(COUNTIF(H$10:H226,H226)=1,COUNTIF(H$10:H$609,"&lt;"&amp;H226)+1,""))</f>
        <v/>
      </c>
      <c r="J226" t="str">
        <f>IFERROR(INDEX(tblY8[Class],ROWS(J$10:J226))&amp;"","")</f>
        <v/>
      </c>
      <c r="K226" t="str">
        <f>IF(J226="","",IF(COUNTIF(J$10:J226,J226)=1,COUNTIF(J$10:J$609,"&lt;"&amp;J226)+1,""))</f>
        <v/>
      </c>
      <c r="L226" t="str">
        <f>IFERROR(INDEX(tblY9[Class],ROWS(L$10:L226))&amp;"","")</f>
        <v/>
      </c>
      <c r="M226" t="str">
        <f>IF(L226="","",IF(COUNTIF(L$10:L226,L226)=1,COUNTIF(L$10:L$609,"&lt;"&amp;L226)+1,""))</f>
        <v/>
      </c>
      <c r="N226" t="str">
        <f>IFERROR(INDEX(tblY10[Class],ROWS(N$10:N226))&amp;"","")</f>
        <v/>
      </c>
      <c r="O226" t="str">
        <f>IF(N226="","",IF(COUNTIF(N$10:N226,N226)=1,COUNTIF(N$10:N$609,"&lt;"&amp;N226)+1,""))</f>
        <v/>
      </c>
      <c r="P226" t="str">
        <f>IFERROR(INDEX(tblY11[Class],ROWS(P$10:P226))&amp;"","")</f>
        <v/>
      </c>
      <c r="Q226" t="str">
        <f>IF(P226="","",IF(COUNTIF(P$10:P226,P226)=1,COUNTIF(P$10:P$609,"&lt;"&amp;P226)+1,""))</f>
        <v/>
      </c>
      <c r="BA226" t="str">
        <f>IFERROR(INDEX(wLast,157)&amp;"","")</f>
        <v/>
      </c>
      <c r="BB226" t="str">
        <f>IF(BA226="","",IFERROR(INDEX(wFirst,157)&amp;"",""))</f>
        <v/>
      </c>
      <c r="BC226" t="str">
        <f>IF(BA226="","",IFERROR(INDEX(wClass,157)&amp;"",""))</f>
        <v/>
      </c>
      <c r="BD226" t="str">
        <f>IF(BA226="","",IFERROR(INDEX(wKsBand,157)+0,""))</f>
        <v/>
      </c>
      <c r="BE226" t="str">
        <f>IF(BA226="","",IFERROR(INDEX(wTests,157)+0,0))</f>
        <v/>
      </c>
      <c r="BF226" t="str">
        <f>IF(BA226="","",IFERROR(INDEX(wMean,157)+0,""))</f>
        <v/>
      </c>
      <c r="BG226" t="str">
        <f>IF(BA226="","",IFERROR(INDEX(wVs,157)+0,""))</f>
        <v/>
      </c>
      <c r="BH226" t="str">
        <f>IF(OR(BA226="",wLatest=""),"",IFERROR(INDEX(wData,157,MATCH(wLatest&amp;CHAR(10)&amp;"Stanine",wHdr,0))+0,""))</f>
        <v/>
      </c>
      <c r="BI226" t="str">
        <f>IF(BA226="","",IF(AND(ISNUMBER(BG226),N(BE226)&gt;=WlMinTests,BG226&lt;=-WlGap),"Below expected for KS2",IF(AND(NOT(ISNUMBER(BD226)),ISNUMBER(BF226),N(BE226)&gt;=WlMinTests,BF226&lt;=WlLowMean),"Low results, no KS2 data","")))</f>
        <v/>
      </c>
      <c r="BJ226" t="str">
        <f>IF(BI226="","",IF(BI226="Below expected for KS2",BG226,100+BF226)+ROW()/1000000)</f>
        <v/>
      </c>
    </row>
    <row r="227">
      <c r="H227" t="str">
        <f>IFERROR(INDEX(tblY7[Class],ROWS(H$10:H227))&amp;"","")</f>
        <v/>
      </c>
      <c r="I227" t="str">
        <f>IF(H227="","",IF(COUNTIF(H$10:H227,H227)=1,COUNTIF(H$10:H$609,"&lt;"&amp;H227)+1,""))</f>
        <v/>
      </c>
      <c r="J227" t="str">
        <f>IFERROR(INDEX(tblY8[Class],ROWS(J$10:J227))&amp;"","")</f>
        <v/>
      </c>
      <c r="K227" t="str">
        <f>IF(J227="","",IF(COUNTIF(J$10:J227,J227)=1,COUNTIF(J$10:J$609,"&lt;"&amp;J227)+1,""))</f>
        <v/>
      </c>
      <c r="L227" t="str">
        <f>IFERROR(INDEX(tblY9[Class],ROWS(L$10:L227))&amp;"","")</f>
        <v/>
      </c>
      <c r="M227" t="str">
        <f>IF(L227="","",IF(COUNTIF(L$10:L227,L227)=1,COUNTIF(L$10:L$609,"&lt;"&amp;L227)+1,""))</f>
        <v/>
      </c>
      <c r="N227" t="str">
        <f>IFERROR(INDEX(tblY10[Class],ROWS(N$10:N227))&amp;"","")</f>
        <v/>
      </c>
      <c r="O227" t="str">
        <f>IF(N227="","",IF(COUNTIF(N$10:N227,N227)=1,COUNTIF(N$10:N$609,"&lt;"&amp;N227)+1,""))</f>
        <v/>
      </c>
      <c r="P227" t="str">
        <f>IFERROR(INDEX(tblY11[Class],ROWS(P$10:P227))&amp;"","")</f>
        <v/>
      </c>
      <c r="Q227" t="str">
        <f>IF(P227="","",IF(COUNTIF(P$10:P227,P227)=1,COUNTIF(P$10:P$609,"&lt;"&amp;P227)+1,""))</f>
        <v/>
      </c>
      <c r="BA227" t="str">
        <f>IFERROR(INDEX(wLast,158)&amp;"","")</f>
        <v/>
      </c>
      <c r="BB227" t="str">
        <f>IF(BA227="","",IFERROR(INDEX(wFirst,158)&amp;"",""))</f>
        <v/>
      </c>
      <c r="BC227" t="str">
        <f>IF(BA227="","",IFERROR(INDEX(wClass,158)&amp;"",""))</f>
        <v/>
      </c>
      <c r="BD227" t="str">
        <f>IF(BA227="","",IFERROR(INDEX(wKsBand,158)+0,""))</f>
        <v/>
      </c>
      <c r="BE227" t="str">
        <f>IF(BA227="","",IFERROR(INDEX(wTests,158)+0,0))</f>
        <v/>
      </c>
      <c r="BF227" t="str">
        <f>IF(BA227="","",IFERROR(INDEX(wMean,158)+0,""))</f>
        <v/>
      </c>
      <c r="BG227" t="str">
        <f>IF(BA227="","",IFERROR(INDEX(wVs,158)+0,""))</f>
        <v/>
      </c>
      <c r="BH227" t="str">
        <f>IF(OR(BA227="",wLatest=""),"",IFERROR(INDEX(wData,158,MATCH(wLatest&amp;CHAR(10)&amp;"Stanine",wHdr,0))+0,""))</f>
        <v/>
      </c>
      <c r="BI227" t="str">
        <f>IF(BA227="","",IF(AND(ISNUMBER(BG227),N(BE227)&gt;=WlMinTests,BG227&lt;=-WlGap),"Below expected for KS2",IF(AND(NOT(ISNUMBER(BD227)),ISNUMBER(BF227),N(BE227)&gt;=WlMinTests,BF227&lt;=WlLowMean),"Low results, no KS2 data","")))</f>
        <v/>
      </c>
      <c r="BJ227" t="str">
        <f>IF(BI227="","",IF(BI227="Below expected for KS2",BG227,100+BF227)+ROW()/1000000)</f>
        <v/>
      </c>
    </row>
    <row r="228">
      <c r="H228" t="str">
        <f>IFERROR(INDEX(tblY7[Class],ROWS(H$10:H228))&amp;"","")</f>
        <v/>
      </c>
      <c r="I228" t="str">
        <f>IF(H228="","",IF(COUNTIF(H$10:H228,H228)=1,COUNTIF(H$10:H$609,"&lt;"&amp;H228)+1,""))</f>
        <v/>
      </c>
      <c r="J228" t="str">
        <f>IFERROR(INDEX(tblY8[Class],ROWS(J$10:J228))&amp;"","")</f>
        <v/>
      </c>
      <c r="K228" t="str">
        <f>IF(J228="","",IF(COUNTIF(J$10:J228,J228)=1,COUNTIF(J$10:J$609,"&lt;"&amp;J228)+1,""))</f>
        <v/>
      </c>
      <c r="L228" t="str">
        <f>IFERROR(INDEX(tblY9[Class],ROWS(L$10:L228))&amp;"","")</f>
        <v/>
      </c>
      <c r="M228" t="str">
        <f>IF(L228="","",IF(COUNTIF(L$10:L228,L228)=1,COUNTIF(L$10:L$609,"&lt;"&amp;L228)+1,""))</f>
        <v/>
      </c>
      <c r="N228" t="str">
        <f>IFERROR(INDEX(tblY10[Class],ROWS(N$10:N228))&amp;"","")</f>
        <v/>
      </c>
      <c r="O228" t="str">
        <f>IF(N228="","",IF(COUNTIF(N$10:N228,N228)=1,COUNTIF(N$10:N$609,"&lt;"&amp;N228)+1,""))</f>
        <v/>
      </c>
      <c r="P228" t="str">
        <f>IFERROR(INDEX(tblY11[Class],ROWS(P$10:P228))&amp;"","")</f>
        <v/>
      </c>
      <c r="Q228" t="str">
        <f>IF(P228="","",IF(COUNTIF(P$10:P228,P228)=1,COUNTIF(P$10:P$609,"&lt;"&amp;P228)+1,""))</f>
        <v/>
      </c>
      <c r="BA228" t="str">
        <f>IFERROR(INDEX(wLast,159)&amp;"","")</f>
        <v/>
      </c>
      <c r="BB228" t="str">
        <f>IF(BA228="","",IFERROR(INDEX(wFirst,159)&amp;"",""))</f>
        <v/>
      </c>
      <c r="BC228" t="str">
        <f>IF(BA228="","",IFERROR(INDEX(wClass,159)&amp;"",""))</f>
        <v/>
      </c>
      <c r="BD228" t="str">
        <f>IF(BA228="","",IFERROR(INDEX(wKsBand,159)+0,""))</f>
        <v/>
      </c>
      <c r="BE228" t="str">
        <f>IF(BA228="","",IFERROR(INDEX(wTests,159)+0,0))</f>
        <v/>
      </c>
      <c r="BF228" t="str">
        <f>IF(BA228="","",IFERROR(INDEX(wMean,159)+0,""))</f>
        <v/>
      </c>
      <c r="BG228" t="str">
        <f>IF(BA228="","",IFERROR(INDEX(wVs,159)+0,""))</f>
        <v/>
      </c>
      <c r="BH228" t="str">
        <f>IF(OR(BA228="",wLatest=""),"",IFERROR(INDEX(wData,159,MATCH(wLatest&amp;CHAR(10)&amp;"Stanine",wHdr,0))+0,""))</f>
        <v/>
      </c>
      <c r="BI228" t="str">
        <f>IF(BA228="","",IF(AND(ISNUMBER(BG228),N(BE228)&gt;=WlMinTests,BG228&lt;=-WlGap),"Below expected for KS2",IF(AND(NOT(ISNUMBER(BD228)),ISNUMBER(BF228),N(BE228)&gt;=WlMinTests,BF228&lt;=WlLowMean),"Low results, no KS2 data","")))</f>
        <v/>
      </c>
      <c r="BJ228" t="str">
        <f>IF(BI228="","",IF(BI228="Below expected for KS2",BG228,100+BF228)+ROW()/1000000)</f>
        <v/>
      </c>
    </row>
    <row r="229">
      <c r="H229" t="str">
        <f>IFERROR(INDEX(tblY7[Class],ROWS(H$10:H229))&amp;"","")</f>
        <v/>
      </c>
      <c r="I229" t="str">
        <f>IF(H229="","",IF(COUNTIF(H$10:H229,H229)=1,COUNTIF(H$10:H$609,"&lt;"&amp;H229)+1,""))</f>
        <v/>
      </c>
      <c r="J229" t="str">
        <f>IFERROR(INDEX(tblY8[Class],ROWS(J$10:J229))&amp;"","")</f>
        <v/>
      </c>
      <c r="K229" t="str">
        <f>IF(J229="","",IF(COUNTIF(J$10:J229,J229)=1,COUNTIF(J$10:J$609,"&lt;"&amp;J229)+1,""))</f>
        <v/>
      </c>
      <c r="L229" t="str">
        <f>IFERROR(INDEX(tblY9[Class],ROWS(L$10:L229))&amp;"","")</f>
        <v/>
      </c>
      <c r="M229" t="str">
        <f>IF(L229="","",IF(COUNTIF(L$10:L229,L229)=1,COUNTIF(L$10:L$609,"&lt;"&amp;L229)+1,""))</f>
        <v/>
      </c>
      <c r="N229" t="str">
        <f>IFERROR(INDEX(tblY10[Class],ROWS(N$10:N229))&amp;"","")</f>
        <v/>
      </c>
      <c r="O229" t="str">
        <f>IF(N229="","",IF(COUNTIF(N$10:N229,N229)=1,COUNTIF(N$10:N$609,"&lt;"&amp;N229)+1,""))</f>
        <v/>
      </c>
      <c r="P229" t="str">
        <f>IFERROR(INDEX(tblY11[Class],ROWS(P$10:P229))&amp;"","")</f>
        <v/>
      </c>
      <c r="Q229" t="str">
        <f>IF(P229="","",IF(COUNTIF(P$10:P229,P229)=1,COUNTIF(P$10:P$609,"&lt;"&amp;P229)+1,""))</f>
        <v/>
      </c>
      <c r="BA229" t="str">
        <f>IFERROR(INDEX(wLast,160)&amp;"","")</f>
        <v/>
      </c>
      <c r="BB229" t="str">
        <f>IF(BA229="","",IFERROR(INDEX(wFirst,160)&amp;"",""))</f>
        <v/>
      </c>
      <c r="BC229" t="str">
        <f>IF(BA229="","",IFERROR(INDEX(wClass,160)&amp;"",""))</f>
        <v/>
      </c>
      <c r="BD229" t="str">
        <f>IF(BA229="","",IFERROR(INDEX(wKsBand,160)+0,""))</f>
        <v/>
      </c>
      <c r="BE229" t="str">
        <f>IF(BA229="","",IFERROR(INDEX(wTests,160)+0,0))</f>
        <v/>
      </c>
      <c r="BF229" t="str">
        <f>IF(BA229="","",IFERROR(INDEX(wMean,160)+0,""))</f>
        <v/>
      </c>
      <c r="BG229" t="str">
        <f>IF(BA229="","",IFERROR(INDEX(wVs,160)+0,""))</f>
        <v/>
      </c>
      <c r="BH229" t="str">
        <f>IF(OR(BA229="",wLatest=""),"",IFERROR(INDEX(wData,160,MATCH(wLatest&amp;CHAR(10)&amp;"Stanine",wHdr,0))+0,""))</f>
        <v/>
      </c>
      <c r="BI229" t="str">
        <f>IF(BA229="","",IF(AND(ISNUMBER(BG229),N(BE229)&gt;=WlMinTests,BG229&lt;=-WlGap),"Below expected for KS2",IF(AND(NOT(ISNUMBER(BD229)),ISNUMBER(BF229),N(BE229)&gt;=WlMinTests,BF229&lt;=WlLowMean),"Low results, no KS2 data","")))</f>
        <v/>
      </c>
      <c r="BJ229" t="str">
        <f>IF(BI229="","",IF(BI229="Below expected for KS2",BG229,100+BF229)+ROW()/1000000)</f>
        <v/>
      </c>
    </row>
    <row r="230">
      <c r="H230" t="str">
        <f>IFERROR(INDEX(tblY7[Class],ROWS(H$10:H230))&amp;"","")</f>
        <v/>
      </c>
      <c r="I230" t="str">
        <f>IF(H230="","",IF(COUNTIF(H$10:H230,H230)=1,COUNTIF(H$10:H$609,"&lt;"&amp;H230)+1,""))</f>
        <v/>
      </c>
      <c r="J230" t="str">
        <f>IFERROR(INDEX(tblY8[Class],ROWS(J$10:J230))&amp;"","")</f>
        <v/>
      </c>
      <c r="K230" t="str">
        <f>IF(J230="","",IF(COUNTIF(J$10:J230,J230)=1,COUNTIF(J$10:J$609,"&lt;"&amp;J230)+1,""))</f>
        <v/>
      </c>
      <c r="L230" t="str">
        <f>IFERROR(INDEX(tblY9[Class],ROWS(L$10:L230))&amp;"","")</f>
        <v/>
      </c>
      <c r="M230" t="str">
        <f>IF(L230="","",IF(COUNTIF(L$10:L230,L230)=1,COUNTIF(L$10:L$609,"&lt;"&amp;L230)+1,""))</f>
        <v/>
      </c>
      <c r="N230" t="str">
        <f>IFERROR(INDEX(tblY10[Class],ROWS(N$10:N230))&amp;"","")</f>
        <v/>
      </c>
      <c r="O230" t="str">
        <f>IF(N230="","",IF(COUNTIF(N$10:N230,N230)=1,COUNTIF(N$10:N$609,"&lt;"&amp;N230)+1,""))</f>
        <v/>
      </c>
      <c r="P230" t="str">
        <f>IFERROR(INDEX(tblY11[Class],ROWS(P$10:P230))&amp;"","")</f>
        <v/>
      </c>
      <c r="Q230" t="str">
        <f>IF(P230="","",IF(COUNTIF(P$10:P230,P230)=1,COUNTIF(P$10:P$609,"&lt;"&amp;P230)+1,""))</f>
        <v/>
      </c>
      <c r="BA230" t="str">
        <f>IFERROR(INDEX(wLast,161)&amp;"","")</f>
        <v/>
      </c>
      <c r="BB230" t="str">
        <f>IF(BA230="","",IFERROR(INDEX(wFirst,161)&amp;"",""))</f>
        <v/>
      </c>
      <c r="BC230" t="str">
        <f>IF(BA230="","",IFERROR(INDEX(wClass,161)&amp;"",""))</f>
        <v/>
      </c>
      <c r="BD230" t="str">
        <f>IF(BA230="","",IFERROR(INDEX(wKsBand,161)+0,""))</f>
        <v/>
      </c>
      <c r="BE230" t="str">
        <f>IF(BA230="","",IFERROR(INDEX(wTests,161)+0,0))</f>
        <v/>
      </c>
      <c r="BF230" t="str">
        <f>IF(BA230="","",IFERROR(INDEX(wMean,161)+0,""))</f>
        <v/>
      </c>
      <c r="BG230" t="str">
        <f>IF(BA230="","",IFERROR(INDEX(wVs,161)+0,""))</f>
        <v/>
      </c>
      <c r="BH230" t="str">
        <f>IF(OR(BA230="",wLatest=""),"",IFERROR(INDEX(wData,161,MATCH(wLatest&amp;CHAR(10)&amp;"Stanine",wHdr,0))+0,""))</f>
        <v/>
      </c>
      <c r="BI230" t="str">
        <f>IF(BA230="","",IF(AND(ISNUMBER(BG230),N(BE230)&gt;=WlMinTests,BG230&lt;=-WlGap),"Below expected for KS2",IF(AND(NOT(ISNUMBER(BD230)),ISNUMBER(BF230),N(BE230)&gt;=WlMinTests,BF230&lt;=WlLowMean),"Low results, no KS2 data","")))</f>
        <v/>
      </c>
      <c r="BJ230" t="str">
        <f>IF(BI230="","",IF(BI230="Below expected for KS2",BG230,100+BF230)+ROW()/1000000)</f>
        <v/>
      </c>
    </row>
    <row r="231">
      <c r="H231" t="str">
        <f>IFERROR(INDEX(tblY7[Class],ROWS(H$10:H231))&amp;"","")</f>
        <v/>
      </c>
      <c r="I231" t="str">
        <f>IF(H231="","",IF(COUNTIF(H$10:H231,H231)=1,COUNTIF(H$10:H$609,"&lt;"&amp;H231)+1,""))</f>
        <v/>
      </c>
      <c r="J231" t="str">
        <f>IFERROR(INDEX(tblY8[Class],ROWS(J$10:J231))&amp;"","")</f>
        <v/>
      </c>
      <c r="K231" t="str">
        <f>IF(J231="","",IF(COUNTIF(J$10:J231,J231)=1,COUNTIF(J$10:J$609,"&lt;"&amp;J231)+1,""))</f>
        <v/>
      </c>
      <c r="L231" t="str">
        <f>IFERROR(INDEX(tblY9[Class],ROWS(L$10:L231))&amp;"","")</f>
        <v/>
      </c>
      <c r="M231" t="str">
        <f>IF(L231="","",IF(COUNTIF(L$10:L231,L231)=1,COUNTIF(L$10:L$609,"&lt;"&amp;L231)+1,""))</f>
        <v/>
      </c>
      <c r="N231" t="str">
        <f>IFERROR(INDEX(tblY10[Class],ROWS(N$10:N231))&amp;"","")</f>
        <v/>
      </c>
      <c r="O231" t="str">
        <f>IF(N231="","",IF(COUNTIF(N$10:N231,N231)=1,COUNTIF(N$10:N$609,"&lt;"&amp;N231)+1,""))</f>
        <v/>
      </c>
      <c r="P231" t="str">
        <f>IFERROR(INDEX(tblY11[Class],ROWS(P$10:P231))&amp;"","")</f>
        <v/>
      </c>
      <c r="Q231" t="str">
        <f>IF(P231="","",IF(COUNTIF(P$10:P231,P231)=1,COUNTIF(P$10:P$609,"&lt;"&amp;P231)+1,""))</f>
        <v/>
      </c>
      <c r="BA231" t="str">
        <f>IFERROR(INDEX(wLast,162)&amp;"","")</f>
        <v/>
      </c>
      <c r="BB231" t="str">
        <f>IF(BA231="","",IFERROR(INDEX(wFirst,162)&amp;"",""))</f>
        <v/>
      </c>
      <c r="BC231" t="str">
        <f>IF(BA231="","",IFERROR(INDEX(wClass,162)&amp;"",""))</f>
        <v/>
      </c>
      <c r="BD231" t="str">
        <f>IF(BA231="","",IFERROR(INDEX(wKsBand,162)+0,""))</f>
        <v/>
      </c>
      <c r="BE231" t="str">
        <f>IF(BA231="","",IFERROR(INDEX(wTests,162)+0,0))</f>
        <v/>
      </c>
      <c r="BF231" t="str">
        <f>IF(BA231="","",IFERROR(INDEX(wMean,162)+0,""))</f>
        <v/>
      </c>
      <c r="BG231" t="str">
        <f>IF(BA231="","",IFERROR(INDEX(wVs,162)+0,""))</f>
        <v/>
      </c>
      <c r="BH231" t="str">
        <f>IF(OR(BA231="",wLatest=""),"",IFERROR(INDEX(wData,162,MATCH(wLatest&amp;CHAR(10)&amp;"Stanine",wHdr,0))+0,""))</f>
        <v/>
      </c>
      <c r="BI231" t="str">
        <f>IF(BA231="","",IF(AND(ISNUMBER(BG231),N(BE231)&gt;=WlMinTests,BG231&lt;=-WlGap),"Below expected for KS2",IF(AND(NOT(ISNUMBER(BD231)),ISNUMBER(BF231),N(BE231)&gt;=WlMinTests,BF231&lt;=WlLowMean),"Low results, no KS2 data","")))</f>
        <v/>
      </c>
      <c r="BJ231" t="str">
        <f>IF(BI231="","",IF(BI231="Below expected for KS2",BG231,100+BF231)+ROW()/1000000)</f>
        <v/>
      </c>
    </row>
    <row r="232">
      <c r="H232" t="str">
        <f>IFERROR(INDEX(tblY7[Class],ROWS(H$10:H232))&amp;"","")</f>
        <v/>
      </c>
      <c r="I232" t="str">
        <f>IF(H232="","",IF(COUNTIF(H$10:H232,H232)=1,COUNTIF(H$10:H$609,"&lt;"&amp;H232)+1,""))</f>
        <v/>
      </c>
      <c r="J232" t="str">
        <f>IFERROR(INDEX(tblY8[Class],ROWS(J$10:J232))&amp;"","")</f>
        <v/>
      </c>
      <c r="K232" t="str">
        <f>IF(J232="","",IF(COUNTIF(J$10:J232,J232)=1,COUNTIF(J$10:J$609,"&lt;"&amp;J232)+1,""))</f>
        <v/>
      </c>
      <c r="L232" t="str">
        <f>IFERROR(INDEX(tblY9[Class],ROWS(L$10:L232))&amp;"","")</f>
        <v/>
      </c>
      <c r="M232" t="str">
        <f>IF(L232="","",IF(COUNTIF(L$10:L232,L232)=1,COUNTIF(L$10:L$609,"&lt;"&amp;L232)+1,""))</f>
        <v/>
      </c>
      <c r="N232" t="str">
        <f>IFERROR(INDEX(tblY10[Class],ROWS(N$10:N232))&amp;"","")</f>
        <v/>
      </c>
      <c r="O232" t="str">
        <f>IF(N232="","",IF(COUNTIF(N$10:N232,N232)=1,COUNTIF(N$10:N$609,"&lt;"&amp;N232)+1,""))</f>
        <v/>
      </c>
      <c r="P232" t="str">
        <f>IFERROR(INDEX(tblY11[Class],ROWS(P$10:P232))&amp;"","")</f>
        <v/>
      </c>
      <c r="Q232" t="str">
        <f>IF(P232="","",IF(COUNTIF(P$10:P232,P232)=1,COUNTIF(P$10:P$609,"&lt;"&amp;P232)+1,""))</f>
        <v/>
      </c>
      <c r="BA232" t="str">
        <f>IFERROR(INDEX(wLast,163)&amp;"","")</f>
        <v/>
      </c>
      <c r="BB232" t="str">
        <f>IF(BA232="","",IFERROR(INDEX(wFirst,163)&amp;"",""))</f>
        <v/>
      </c>
      <c r="BC232" t="str">
        <f>IF(BA232="","",IFERROR(INDEX(wClass,163)&amp;"",""))</f>
        <v/>
      </c>
      <c r="BD232" t="str">
        <f>IF(BA232="","",IFERROR(INDEX(wKsBand,163)+0,""))</f>
        <v/>
      </c>
      <c r="BE232" t="str">
        <f>IF(BA232="","",IFERROR(INDEX(wTests,163)+0,0))</f>
        <v/>
      </c>
      <c r="BF232" t="str">
        <f>IF(BA232="","",IFERROR(INDEX(wMean,163)+0,""))</f>
        <v/>
      </c>
      <c r="BG232" t="str">
        <f>IF(BA232="","",IFERROR(INDEX(wVs,163)+0,""))</f>
        <v/>
      </c>
      <c r="BH232" t="str">
        <f>IF(OR(BA232="",wLatest=""),"",IFERROR(INDEX(wData,163,MATCH(wLatest&amp;CHAR(10)&amp;"Stanine",wHdr,0))+0,""))</f>
        <v/>
      </c>
      <c r="BI232" t="str">
        <f>IF(BA232="","",IF(AND(ISNUMBER(BG232),N(BE232)&gt;=WlMinTests,BG232&lt;=-WlGap),"Below expected for KS2",IF(AND(NOT(ISNUMBER(BD232)),ISNUMBER(BF232),N(BE232)&gt;=WlMinTests,BF232&lt;=WlLowMean),"Low results, no KS2 data","")))</f>
        <v/>
      </c>
      <c r="BJ232" t="str">
        <f>IF(BI232="","",IF(BI232="Below expected for KS2",BG232,100+BF232)+ROW()/1000000)</f>
        <v/>
      </c>
    </row>
    <row r="233">
      <c r="H233" t="str">
        <f>IFERROR(INDEX(tblY7[Class],ROWS(H$10:H233))&amp;"","")</f>
        <v/>
      </c>
      <c r="I233" t="str">
        <f>IF(H233="","",IF(COUNTIF(H$10:H233,H233)=1,COUNTIF(H$10:H$609,"&lt;"&amp;H233)+1,""))</f>
        <v/>
      </c>
      <c r="J233" t="str">
        <f>IFERROR(INDEX(tblY8[Class],ROWS(J$10:J233))&amp;"","")</f>
        <v/>
      </c>
      <c r="K233" t="str">
        <f>IF(J233="","",IF(COUNTIF(J$10:J233,J233)=1,COUNTIF(J$10:J$609,"&lt;"&amp;J233)+1,""))</f>
        <v/>
      </c>
      <c r="L233" t="str">
        <f>IFERROR(INDEX(tblY9[Class],ROWS(L$10:L233))&amp;"","")</f>
        <v/>
      </c>
      <c r="M233" t="str">
        <f>IF(L233="","",IF(COUNTIF(L$10:L233,L233)=1,COUNTIF(L$10:L$609,"&lt;"&amp;L233)+1,""))</f>
        <v/>
      </c>
      <c r="N233" t="str">
        <f>IFERROR(INDEX(tblY10[Class],ROWS(N$10:N233))&amp;"","")</f>
        <v/>
      </c>
      <c r="O233" t="str">
        <f>IF(N233="","",IF(COUNTIF(N$10:N233,N233)=1,COUNTIF(N$10:N$609,"&lt;"&amp;N233)+1,""))</f>
        <v/>
      </c>
      <c r="P233" t="str">
        <f>IFERROR(INDEX(tblY11[Class],ROWS(P$10:P233))&amp;"","")</f>
        <v/>
      </c>
      <c r="Q233" t="str">
        <f>IF(P233="","",IF(COUNTIF(P$10:P233,P233)=1,COUNTIF(P$10:P$609,"&lt;"&amp;P233)+1,""))</f>
        <v/>
      </c>
      <c r="BA233" t="str">
        <f>IFERROR(INDEX(wLast,164)&amp;"","")</f>
        <v/>
      </c>
      <c r="BB233" t="str">
        <f>IF(BA233="","",IFERROR(INDEX(wFirst,164)&amp;"",""))</f>
        <v/>
      </c>
      <c r="BC233" t="str">
        <f>IF(BA233="","",IFERROR(INDEX(wClass,164)&amp;"",""))</f>
        <v/>
      </c>
      <c r="BD233" t="str">
        <f>IF(BA233="","",IFERROR(INDEX(wKsBand,164)+0,""))</f>
        <v/>
      </c>
      <c r="BE233" t="str">
        <f>IF(BA233="","",IFERROR(INDEX(wTests,164)+0,0))</f>
        <v/>
      </c>
      <c r="BF233" t="str">
        <f>IF(BA233="","",IFERROR(INDEX(wMean,164)+0,""))</f>
        <v/>
      </c>
      <c r="BG233" t="str">
        <f>IF(BA233="","",IFERROR(INDEX(wVs,164)+0,""))</f>
        <v/>
      </c>
      <c r="BH233" t="str">
        <f>IF(OR(BA233="",wLatest=""),"",IFERROR(INDEX(wData,164,MATCH(wLatest&amp;CHAR(10)&amp;"Stanine",wHdr,0))+0,""))</f>
        <v/>
      </c>
      <c r="BI233" t="str">
        <f>IF(BA233="","",IF(AND(ISNUMBER(BG233),N(BE233)&gt;=WlMinTests,BG233&lt;=-WlGap),"Below expected for KS2",IF(AND(NOT(ISNUMBER(BD233)),ISNUMBER(BF233),N(BE233)&gt;=WlMinTests,BF233&lt;=WlLowMean),"Low results, no KS2 data","")))</f>
        <v/>
      </c>
      <c r="BJ233" t="str">
        <f>IF(BI233="","",IF(BI233="Below expected for KS2",BG233,100+BF233)+ROW()/1000000)</f>
        <v/>
      </c>
    </row>
    <row r="234">
      <c r="H234" t="str">
        <f>IFERROR(INDEX(tblY7[Class],ROWS(H$10:H234))&amp;"","")</f>
        <v/>
      </c>
      <c r="I234" t="str">
        <f>IF(H234="","",IF(COUNTIF(H$10:H234,H234)=1,COUNTIF(H$10:H$609,"&lt;"&amp;H234)+1,""))</f>
        <v/>
      </c>
      <c r="J234" t="str">
        <f>IFERROR(INDEX(tblY8[Class],ROWS(J$10:J234))&amp;"","")</f>
        <v/>
      </c>
      <c r="K234" t="str">
        <f>IF(J234="","",IF(COUNTIF(J$10:J234,J234)=1,COUNTIF(J$10:J$609,"&lt;"&amp;J234)+1,""))</f>
        <v/>
      </c>
      <c r="L234" t="str">
        <f>IFERROR(INDEX(tblY9[Class],ROWS(L$10:L234))&amp;"","")</f>
        <v/>
      </c>
      <c r="M234" t="str">
        <f>IF(L234="","",IF(COUNTIF(L$10:L234,L234)=1,COUNTIF(L$10:L$609,"&lt;"&amp;L234)+1,""))</f>
        <v/>
      </c>
      <c r="N234" t="str">
        <f>IFERROR(INDEX(tblY10[Class],ROWS(N$10:N234))&amp;"","")</f>
        <v/>
      </c>
      <c r="O234" t="str">
        <f>IF(N234="","",IF(COUNTIF(N$10:N234,N234)=1,COUNTIF(N$10:N$609,"&lt;"&amp;N234)+1,""))</f>
        <v/>
      </c>
      <c r="P234" t="str">
        <f>IFERROR(INDEX(tblY11[Class],ROWS(P$10:P234))&amp;"","")</f>
        <v/>
      </c>
      <c r="Q234" t="str">
        <f>IF(P234="","",IF(COUNTIF(P$10:P234,P234)=1,COUNTIF(P$10:P$609,"&lt;"&amp;P234)+1,""))</f>
        <v/>
      </c>
      <c r="BA234" t="str">
        <f>IFERROR(INDEX(wLast,165)&amp;"","")</f>
        <v/>
      </c>
      <c r="BB234" t="str">
        <f>IF(BA234="","",IFERROR(INDEX(wFirst,165)&amp;"",""))</f>
        <v/>
      </c>
      <c r="BC234" t="str">
        <f>IF(BA234="","",IFERROR(INDEX(wClass,165)&amp;"",""))</f>
        <v/>
      </c>
      <c r="BD234" t="str">
        <f>IF(BA234="","",IFERROR(INDEX(wKsBand,165)+0,""))</f>
        <v/>
      </c>
      <c r="BE234" t="str">
        <f>IF(BA234="","",IFERROR(INDEX(wTests,165)+0,0))</f>
        <v/>
      </c>
      <c r="BF234" t="str">
        <f>IF(BA234="","",IFERROR(INDEX(wMean,165)+0,""))</f>
        <v/>
      </c>
      <c r="BG234" t="str">
        <f>IF(BA234="","",IFERROR(INDEX(wVs,165)+0,""))</f>
        <v/>
      </c>
      <c r="BH234" t="str">
        <f>IF(OR(BA234="",wLatest=""),"",IFERROR(INDEX(wData,165,MATCH(wLatest&amp;CHAR(10)&amp;"Stanine",wHdr,0))+0,""))</f>
        <v/>
      </c>
      <c r="BI234" t="str">
        <f>IF(BA234="","",IF(AND(ISNUMBER(BG234),N(BE234)&gt;=WlMinTests,BG234&lt;=-WlGap),"Below expected for KS2",IF(AND(NOT(ISNUMBER(BD234)),ISNUMBER(BF234),N(BE234)&gt;=WlMinTests,BF234&lt;=WlLowMean),"Low results, no KS2 data","")))</f>
        <v/>
      </c>
      <c r="BJ234" t="str">
        <f>IF(BI234="","",IF(BI234="Below expected for KS2",BG234,100+BF234)+ROW()/1000000)</f>
        <v/>
      </c>
    </row>
    <row r="235">
      <c r="H235" t="str">
        <f>IFERROR(INDEX(tblY7[Class],ROWS(H$10:H235))&amp;"","")</f>
        <v/>
      </c>
      <c r="I235" t="str">
        <f>IF(H235="","",IF(COUNTIF(H$10:H235,H235)=1,COUNTIF(H$10:H$609,"&lt;"&amp;H235)+1,""))</f>
        <v/>
      </c>
      <c r="J235" t="str">
        <f>IFERROR(INDEX(tblY8[Class],ROWS(J$10:J235))&amp;"","")</f>
        <v/>
      </c>
      <c r="K235" t="str">
        <f>IF(J235="","",IF(COUNTIF(J$10:J235,J235)=1,COUNTIF(J$10:J$609,"&lt;"&amp;J235)+1,""))</f>
        <v/>
      </c>
      <c r="L235" t="str">
        <f>IFERROR(INDEX(tblY9[Class],ROWS(L$10:L235))&amp;"","")</f>
        <v/>
      </c>
      <c r="M235" t="str">
        <f>IF(L235="","",IF(COUNTIF(L$10:L235,L235)=1,COUNTIF(L$10:L$609,"&lt;"&amp;L235)+1,""))</f>
        <v/>
      </c>
      <c r="N235" t="str">
        <f>IFERROR(INDEX(tblY10[Class],ROWS(N$10:N235))&amp;"","")</f>
        <v/>
      </c>
      <c r="O235" t="str">
        <f>IF(N235="","",IF(COUNTIF(N$10:N235,N235)=1,COUNTIF(N$10:N$609,"&lt;"&amp;N235)+1,""))</f>
        <v/>
      </c>
      <c r="P235" t="str">
        <f>IFERROR(INDEX(tblY11[Class],ROWS(P$10:P235))&amp;"","")</f>
        <v/>
      </c>
      <c r="Q235" t="str">
        <f>IF(P235="","",IF(COUNTIF(P$10:P235,P235)=1,COUNTIF(P$10:P$609,"&lt;"&amp;P235)+1,""))</f>
        <v/>
      </c>
      <c r="BA235" t="str">
        <f>IFERROR(INDEX(wLast,166)&amp;"","")</f>
        <v/>
      </c>
      <c r="BB235" t="str">
        <f>IF(BA235="","",IFERROR(INDEX(wFirst,166)&amp;"",""))</f>
        <v/>
      </c>
      <c r="BC235" t="str">
        <f>IF(BA235="","",IFERROR(INDEX(wClass,166)&amp;"",""))</f>
        <v/>
      </c>
      <c r="BD235" t="str">
        <f>IF(BA235="","",IFERROR(INDEX(wKsBand,166)+0,""))</f>
        <v/>
      </c>
      <c r="BE235" t="str">
        <f>IF(BA235="","",IFERROR(INDEX(wTests,166)+0,0))</f>
        <v/>
      </c>
      <c r="BF235" t="str">
        <f>IF(BA235="","",IFERROR(INDEX(wMean,166)+0,""))</f>
        <v/>
      </c>
      <c r="BG235" t="str">
        <f>IF(BA235="","",IFERROR(INDEX(wVs,166)+0,""))</f>
        <v/>
      </c>
      <c r="BH235" t="str">
        <f>IF(OR(BA235="",wLatest=""),"",IFERROR(INDEX(wData,166,MATCH(wLatest&amp;CHAR(10)&amp;"Stanine",wHdr,0))+0,""))</f>
        <v/>
      </c>
      <c r="BI235" t="str">
        <f>IF(BA235="","",IF(AND(ISNUMBER(BG235),N(BE235)&gt;=WlMinTests,BG235&lt;=-WlGap),"Below expected for KS2",IF(AND(NOT(ISNUMBER(BD235)),ISNUMBER(BF235),N(BE235)&gt;=WlMinTests,BF235&lt;=WlLowMean),"Low results, no KS2 data","")))</f>
        <v/>
      </c>
      <c r="BJ235" t="str">
        <f>IF(BI235="","",IF(BI235="Below expected for KS2",BG235,100+BF235)+ROW()/1000000)</f>
        <v/>
      </c>
    </row>
    <row r="236">
      <c r="H236" t="str">
        <f>IFERROR(INDEX(tblY7[Class],ROWS(H$10:H236))&amp;"","")</f>
        <v/>
      </c>
      <c r="I236" t="str">
        <f>IF(H236="","",IF(COUNTIF(H$10:H236,H236)=1,COUNTIF(H$10:H$609,"&lt;"&amp;H236)+1,""))</f>
        <v/>
      </c>
      <c r="J236" t="str">
        <f>IFERROR(INDEX(tblY8[Class],ROWS(J$10:J236))&amp;"","")</f>
        <v/>
      </c>
      <c r="K236" t="str">
        <f>IF(J236="","",IF(COUNTIF(J$10:J236,J236)=1,COUNTIF(J$10:J$609,"&lt;"&amp;J236)+1,""))</f>
        <v/>
      </c>
      <c r="L236" t="str">
        <f>IFERROR(INDEX(tblY9[Class],ROWS(L$10:L236))&amp;"","")</f>
        <v/>
      </c>
      <c r="M236" t="str">
        <f>IF(L236="","",IF(COUNTIF(L$10:L236,L236)=1,COUNTIF(L$10:L$609,"&lt;"&amp;L236)+1,""))</f>
        <v/>
      </c>
      <c r="N236" t="str">
        <f>IFERROR(INDEX(tblY10[Class],ROWS(N$10:N236))&amp;"","")</f>
        <v/>
      </c>
      <c r="O236" t="str">
        <f>IF(N236="","",IF(COUNTIF(N$10:N236,N236)=1,COUNTIF(N$10:N$609,"&lt;"&amp;N236)+1,""))</f>
        <v/>
      </c>
      <c r="P236" t="str">
        <f>IFERROR(INDEX(tblY11[Class],ROWS(P$10:P236))&amp;"","")</f>
        <v/>
      </c>
      <c r="Q236" t="str">
        <f>IF(P236="","",IF(COUNTIF(P$10:P236,P236)=1,COUNTIF(P$10:P$609,"&lt;"&amp;P236)+1,""))</f>
        <v/>
      </c>
      <c r="BA236" t="str">
        <f>IFERROR(INDEX(wLast,167)&amp;"","")</f>
        <v/>
      </c>
      <c r="BB236" t="str">
        <f>IF(BA236="","",IFERROR(INDEX(wFirst,167)&amp;"",""))</f>
        <v/>
      </c>
      <c r="BC236" t="str">
        <f>IF(BA236="","",IFERROR(INDEX(wClass,167)&amp;"",""))</f>
        <v/>
      </c>
      <c r="BD236" t="str">
        <f>IF(BA236="","",IFERROR(INDEX(wKsBand,167)+0,""))</f>
        <v/>
      </c>
      <c r="BE236" t="str">
        <f>IF(BA236="","",IFERROR(INDEX(wTests,167)+0,0))</f>
        <v/>
      </c>
      <c r="BF236" t="str">
        <f>IF(BA236="","",IFERROR(INDEX(wMean,167)+0,""))</f>
        <v/>
      </c>
      <c r="BG236" t="str">
        <f>IF(BA236="","",IFERROR(INDEX(wVs,167)+0,""))</f>
        <v/>
      </c>
      <c r="BH236" t="str">
        <f>IF(OR(BA236="",wLatest=""),"",IFERROR(INDEX(wData,167,MATCH(wLatest&amp;CHAR(10)&amp;"Stanine",wHdr,0))+0,""))</f>
        <v/>
      </c>
      <c r="BI236" t="str">
        <f>IF(BA236="","",IF(AND(ISNUMBER(BG236),N(BE236)&gt;=WlMinTests,BG236&lt;=-WlGap),"Below expected for KS2",IF(AND(NOT(ISNUMBER(BD236)),ISNUMBER(BF236),N(BE236)&gt;=WlMinTests,BF236&lt;=WlLowMean),"Low results, no KS2 data","")))</f>
        <v/>
      </c>
      <c r="BJ236" t="str">
        <f>IF(BI236="","",IF(BI236="Below expected for KS2",BG236,100+BF236)+ROW()/1000000)</f>
        <v/>
      </c>
    </row>
    <row r="237">
      <c r="H237" t="str">
        <f>IFERROR(INDEX(tblY7[Class],ROWS(H$10:H237))&amp;"","")</f>
        <v/>
      </c>
      <c r="I237" t="str">
        <f>IF(H237="","",IF(COUNTIF(H$10:H237,H237)=1,COUNTIF(H$10:H$609,"&lt;"&amp;H237)+1,""))</f>
        <v/>
      </c>
      <c r="J237" t="str">
        <f>IFERROR(INDEX(tblY8[Class],ROWS(J$10:J237))&amp;"","")</f>
        <v/>
      </c>
      <c r="K237" t="str">
        <f>IF(J237="","",IF(COUNTIF(J$10:J237,J237)=1,COUNTIF(J$10:J$609,"&lt;"&amp;J237)+1,""))</f>
        <v/>
      </c>
      <c r="L237" t="str">
        <f>IFERROR(INDEX(tblY9[Class],ROWS(L$10:L237))&amp;"","")</f>
        <v/>
      </c>
      <c r="M237" t="str">
        <f>IF(L237="","",IF(COUNTIF(L$10:L237,L237)=1,COUNTIF(L$10:L$609,"&lt;"&amp;L237)+1,""))</f>
        <v/>
      </c>
      <c r="N237" t="str">
        <f>IFERROR(INDEX(tblY10[Class],ROWS(N$10:N237))&amp;"","")</f>
        <v/>
      </c>
      <c r="O237" t="str">
        <f>IF(N237="","",IF(COUNTIF(N$10:N237,N237)=1,COUNTIF(N$10:N$609,"&lt;"&amp;N237)+1,""))</f>
        <v/>
      </c>
      <c r="P237" t="str">
        <f>IFERROR(INDEX(tblY11[Class],ROWS(P$10:P237))&amp;"","")</f>
        <v/>
      </c>
      <c r="Q237" t="str">
        <f>IF(P237="","",IF(COUNTIF(P$10:P237,P237)=1,COUNTIF(P$10:P$609,"&lt;"&amp;P237)+1,""))</f>
        <v/>
      </c>
      <c r="BA237" t="str">
        <f>IFERROR(INDEX(wLast,168)&amp;"","")</f>
        <v/>
      </c>
      <c r="BB237" t="str">
        <f>IF(BA237="","",IFERROR(INDEX(wFirst,168)&amp;"",""))</f>
        <v/>
      </c>
      <c r="BC237" t="str">
        <f>IF(BA237="","",IFERROR(INDEX(wClass,168)&amp;"",""))</f>
        <v/>
      </c>
      <c r="BD237" t="str">
        <f>IF(BA237="","",IFERROR(INDEX(wKsBand,168)+0,""))</f>
        <v/>
      </c>
      <c r="BE237" t="str">
        <f>IF(BA237="","",IFERROR(INDEX(wTests,168)+0,0))</f>
        <v/>
      </c>
      <c r="BF237" t="str">
        <f>IF(BA237="","",IFERROR(INDEX(wMean,168)+0,""))</f>
        <v/>
      </c>
      <c r="BG237" t="str">
        <f>IF(BA237="","",IFERROR(INDEX(wVs,168)+0,""))</f>
        <v/>
      </c>
      <c r="BH237" t="str">
        <f>IF(OR(BA237="",wLatest=""),"",IFERROR(INDEX(wData,168,MATCH(wLatest&amp;CHAR(10)&amp;"Stanine",wHdr,0))+0,""))</f>
        <v/>
      </c>
      <c r="BI237" t="str">
        <f>IF(BA237="","",IF(AND(ISNUMBER(BG237),N(BE237)&gt;=WlMinTests,BG237&lt;=-WlGap),"Below expected for KS2",IF(AND(NOT(ISNUMBER(BD237)),ISNUMBER(BF237),N(BE237)&gt;=WlMinTests,BF237&lt;=WlLowMean),"Low results, no KS2 data","")))</f>
        <v/>
      </c>
      <c r="BJ237" t="str">
        <f>IF(BI237="","",IF(BI237="Below expected for KS2",BG237,100+BF237)+ROW()/1000000)</f>
        <v/>
      </c>
    </row>
    <row r="238">
      <c r="H238" t="str">
        <f>IFERROR(INDEX(tblY7[Class],ROWS(H$10:H238))&amp;"","")</f>
        <v/>
      </c>
      <c r="I238" t="str">
        <f>IF(H238="","",IF(COUNTIF(H$10:H238,H238)=1,COUNTIF(H$10:H$609,"&lt;"&amp;H238)+1,""))</f>
        <v/>
      </c>
      <c r="J238" t="str">
        <f>IFERROR(INDEX(tblY8[Class],ROWS(J$10:J238))&amp;"","")</f>
        <v/>
      </c>
      <c r="K238" t="str">
        <f>IF(J238="","",IF(COUNTIF(J$10:J238,J238)=1,COUNTIF(J$10:J$609,"&lt;"&amp;J238)+1,""))</f>
        <v/>
      </c>
      <c r="L238" t="str">
        <f>IFERROR(INDEX(tblY9[Class],ROWS(L$10:L238))&amp;"","")</f>
        <v/>
      </c>
      <c r="M238" t="str">
        <f>IF(L238="","",IF(COUNTIF(L$10:L238,L238)=1,COUNTIF(L$10:L$609,"&lt;"&amp;L238)+1,""))</f>
        <v/>
      </c>
      <c r="N238" t="str">
        <f>IFERROR(INDEX(tblY10[Class],ROWS(N$10:N238))&amp;"","")</f>
        <v/>
      </c>
      <c r="O238" t="str">
        <f>IF(N238="","",IF(COUNTIF(N$10:N238,N238)=1,COUNTIF(N$10:N$609,"&lt;"&amp;N238)+1,""))</f>
        <v/>
      </c>
      <c r="P238" t="str">
        <f>IFERROR(INDEX(tblY11[Class],ROWS(P$10:P238))&amp;"","")</f>
        <v/>
      </c>
      <c r="Q238" t="str">
        <f>IF(P238="","",IF(COUNTIF(P$10:P238,P238)=1,COUNTIF(P$10:P$609,"&lt;"&amp;P238)+1,""))</f>
        <v/>
      </c>
      <c r="BA238" t="str">
        <f>IFERROR(INDEX(wLast,169)&amp;"","")</f>
        <v/>
      </c>
      <c r="BB238" t="str">
        <f>IF(BA238="","",IFERROR(INDEX(wFirst,169)&amp;"",""))</f>
        <v/>
      </c>
      <c r="BC238" t="str">
        <f>IF(BA238="","",IFERROR(INDEX(wClass,169)&amp;"",""))</f>
        <v/>
      </c>
      <c r="BD238" t="str">
        <f>IF(BA238="","",IFERROR(INDEX(wKsBand,169)+0,""))</f>
        <v/>
      </c>
      <c r="BE238" t="str">
        <f>IF(BA238="","",IFERROR(INDEX(wTests,169)+0,0))</f>
        <v/>
      </c>
      <c r="BF238" t="str">
        <f>IF(BA238="","",IFERROR(INDEX(wMean,169)+0,""))</f>
        <v/>
      </c>
      <c r="BG238" t="str">
        <f>IF(BA238="","",IFERROR(INDEX(wVs,169)+0,""))</f>
        <v/>
      </c>
      <c r="BH238" t="str">
        <f>IF(OR(BA238="",wLatest=""),"",IFERROR(INDEX(wData,169,MATCH(wLatest&amp;CHAR(10)&amp;"Stanine",wHdr,0))+0,""))</f>
        <v/>
      </c>
      <c r="BI238" t="str">
        <f>IF(BA238="","",IF(AND(ISNUMBER(BG238),N(BE238)&gt;=WlMinTests,BG238&lt;=-WlGap),"Below expected for KS2",IF(AND(NOT(ISNUMBER(BD238)),ISNUMBER(BF238),N(BE238)&gt;=WlMinTests,BF238&lt;=WlLowMean),"Low results, no KS2 data","")))</f>
        <v/>
      </c>
      <c r="BJ238" t="str">
        <f>IF(BI238="","",IF(BI238="Below expected for KS2",BG238,100+BF238)+ROW()/1000000)</f>
        <v/>
      </c>
    </row>
    <row r="239">
      <c r="H239" t="str">
        <f>IFERROR(INDEX(tblY7[Class],ROWS(H$10:H239))&amp;"","")</f>
        <v/>
      </c>
      <c r="I239" t="str">
        <f>IF(H239="","",IF(COUNTIF(H$10:H239,H239)=1,COUNTIF(H$10:H$609,"&lt;"&amp;H239)+1,""))</f>
        <v/>
      </c>
      <c r="J239" t="str">
        <f>IFERROR(INDEX(tblY8[Class],ROWS(J$10:J239))&amp;"","")</f>
        <v/>
      </c>
      <c r="K239" t="str">
        <f>IF(J239="","",IF(COUNTIF(J$10:J239,J239)=1,COUNTIF(J$10:J$609,"&lt;"&amp;J239)+1,""))</f>
        <v/>
      </c>
      <c r="L239" t="str">
        <f>IFERROR(INDEX(tblY9[Class],ROWS(L$10:L239))&amp;"","")</f>
        <v/>
      </c>
      <c r="M239" t="str">
        <f>IF(L239="","",IF(COUNTIF(L$10:L239,L239)=1,COUNTIF(L$10:L$609,"&lt;"&amp;L239)+1,""))</f>
        <v/>
      </c>
      <c r="N239" t="str">
        <f>IFERROR(INDEX(tblY10[Class],ROWS(N$10:N239))&amp;"","")</f>
        <v/>
      </c>
      <c r="O239" t="str">
        <f>IF(N239="","",IF(COUNTIF(N$10:N239,N239)=1,COUNTIF(N$10:N$609,"&lt;"&amp;N239)+1,""))</f>
        <v/>
      </c>
      <c r="P239" t="str">
        <f>IFERROR(INDEX(tblY11[Class],ROWS(P$10:P239))&amp;"","")</f>
        <v/>
      </c>
      <c r="Q239" t="str">
        <f>IF(P239="","",IF(COUNTIF(P$10:P239,P239)=1,COUNTIF(P$10:P$609,"&lt;"&amp;P239)+1,""))</f>
        <v/>
      </c>
      <c r="BA239" t="str">
        <f>IFERROR(INDEX(wLast,170)&amp;"","")</f>
        <v/>
      </c>
      <c r="BB239" t="str">
        <f>IF(BA239="","",IFERROR(INDEX(wFirst,170)&amp;"",""))</f>
        <v/>
      </c>
      <c r="BC239" t="str">
        <f>IF(BA239="","",IFERROR(INDEX(wClass,170)&amp;"",""))</f>
        <v/>
      </c>
      <c r="BD239" t="str">
        <f>IF(BA239="","",IFERROR(INDEX(wKsBand,170)+0,""))</f>
        <v/>
      </c>
      <c r="BE239" t="str">
        <f>IF(BA239="","",IFERROR(INDEX(wTests,170)+0,0))</f>
        <v/>
      </c>
      <c r="BF239" t="str">
        <f>IF(BA239="","",IFERROR(INDEX(wMean,170)+0,""))</f>
        <v/>
      </c>
      <c r="BG239" t="str">
        <f>IF(BA239="","",IFERROR(INDEX(wVs,170)+0,""))</f>
        <v/>
      </c>
      <c r="BH239" t="str">
        <f>IF(OR(BA239="",wLatest=""),"",IFERROR(INDEX(wData,170,MATCH(wLatest&amp;CHAR(10)&amp;"Stanine",wHdr,0))+0,""))</f>
        <v/>
      </c>
      <c r="BI239" t="str">
        <f>IF(BA239="","",IF(AND(ISNUMBER(BG239),N(BE239)&gt;=WlMinTests,BG239&lt;=-WlGap),"Below expected for KS2",IF(AND(NOT(ISNUMBER(BD239)),ISNUMBER(BF239),N(BE239)&gt;=WlMinTests,BF239&lt;=WlLowMean),"Low results, no KS2 data","")))</f>
        <v/>
      </c>
      <c r="BJ239" t="str">
        <f>IF(BI239="","",IF(BI239="Below expected for KS2",BG239,100+BF239)+ROW()/1000000)</f>
        <v/>
      </c>
    </row>
    <row r="240">
      <c r="H240" t="str">
        <f>IFERROR(INDEX(tblY7[Class],ROWS(H$10:H240))&amp;"","")</f>
        <v/>
      </c>
      <c r="I240" t="str">
        <f>IF(H240="","",IF(COUNTIF(H$10:H240,H240)=1,COUNTIF(H$10:H$609,"&lt;"&amp;H240)+1,""))</f>
        <v/>
      </c>
      <c r="J240" t="str">
        <f>IFERROR(INDEX(tblY8[Class],ROWS(J$10:J240))&amp;"","")</f>
        <v/>
      </c>
      <c r="K240" t="str">
        <f>IF(J240="","",IF(COUNTIF(J$10:J240,J240)=1,COUNTIF(J$10:J$609,"&lt;"&amp;J240)+1,""))</f>
        <v/>
      </c>
      <c r="L240" t="str">
        <f>IFERROR(INDEX(tblY9[Class],ROWS(L$10:L240))&amp;"","")</f>
        <v/>
      </c>
      <c r="M240" t="str">
        <f>IF(L240="","",IF(COUNTIF(L$10:L240,L240)=1,COUNTIF(L$10:L$609,"&lt;"&amp;L240)+1,""))</f>
        <v/>
      </c>
      <c r="N240" t="str">
        <f>IFERROR(INDEX(tblY10[Class],ROWS(N$10:N240))&amp;"","")</f>
        <v/>
      </c>
      <c r="O240" t="str">
        <f>IF(N240="","",IF(COUNTIF(N$10:N240,N240)=1,COUNTIF(N$10:N$609,"&lt;"&amp;N240)+1,""))</f>
        <v/>
      </c>
      <c r="P240" t="str">
        <f>IFERROR(INDEX(tblY11[Class],ROWS(P$10:P240))&amp;"","")</f>
        <v/>
      </c>
      <c r="Q240" t="str">
        <f>IF(P240="","",IF(COUNTIF(P$10:P240,P240)=1,COUNTIF(P$10:P$609,"&lt;"&amp;P240)+1,""))</f>
        <v/>
      </c>
      <c r="BA240" t="str">
        <f>IFERROR(INDEX(wLast,171)&amp;"","")</f>
        <v/>
      </c>
      <c r="BB240" t="str">
        <f>IF(BA240="","",IFERROR(INDEX(wFirst,171)&amp;"",""))</f>
        <v/>
      </c>
      <c r="BC240" t="str">
        <f>IF(BA240="","",IFERROR(INDEX(wClass,171)&amp;"",""))</f>
        <v/>
      </c>
      <c r="BD240" t="str">
        <f>IF(BA240="","",IFERROR(INDEX(wKsBand,171)+0,""))</f>
        <v/>
      </c>
      <c r="BE240" t="str">
        <f>IF(BA240="","",IFERROR(INDEX(wTests,171)+0,0))</f>
        <v/>
      </c>
      <c r="BF240" t="str">
        <f>IF(BA240="","",IFERROR(INDEX(wMean,171)+0,""))</f>
        <v/>
      </c>
      <c r="BG240" t="str">
        <f>IF(BA240="","",IFERROR(INDEX(wVs,171)+0,""))</f>
        <v/>
      </c>
      <c r="BH240" t="str">
        <f>IF(OR(BA240="",wLatest=""),"",IFERROR(INDEX(wData,171,MATCH(wLatest&amp;CHAR(10)&amp;"Stanine",wHdr,0))+0,""))</f>
        <v/>
      </c>
      <c r="BI240" t="str">
        <f>IF(BA240="","",IF(AND(ISNUMBER(BG240),N(BE240)&gt;=WlMinTests,BG240&lt;=-WlGap),"Below expected for KS2",IF(AND(NOT(ISNUMBER(BD240)),ISNUMBER(BF240),N(BE240)&gt;=WlMinTests,BF240&lt;=WlLowMean),"Low results, no KS2 data","")))</f>
        <v/>
      </c>
      <c r="BJ240" t="str">
        <f>IF(BI240="","",IF(BI240="Below expected for KS2",BG240,100+BF240)+ROW()/1000000)</f>
        <v/>
      </c>
    </row>
    <row r="241">
      <c r="H241" t="str">
        <f>IFERROR(INDEX(tblY7[Class],ROWS(H$10:H241))&amp;"","")</f>
        <v/>
      </c>
      <c r="I241" t="str">
        <f>IF(H241="","",IF(COUNTIF(H$10:H241,H241)=1,COUNTIF(H$10:H$609,"&lt;"&amp;H241)+1,""))</f>
        <v/>
      </c>
      <c r="J241" t="str">
        <f>IFERROR(INDEX(tblY8[Class],ROWS(J$10:J241))&amp;"","")</f>
        <v/>
      </c>
      <c r="K241" t="str">
        <f>IF(J241="","",IF(COUNTIF(J$10:J241,J241)=1,COUNTIF(J$10:J$609,"&lt;"&amp;J241)+1,""))</f>
        <v/>
      </c>
      <c r="L241" t="str">
        <f>IFERROR(INDEX(tblY9[Class],ROWS(L$10:L241))&amp;"","")</f>
        <v/>
      </c>
      <c r="M241" t="str">
        <f>IF(L241="","",IF(COUNTIF(L$10:L241,L241)=1,COUNTIF(L$10:L$609,"&lt;"&amp;L241)+1,""))</f>
        <v/>
      </c>
      <c r="N241" t="str">
        <f>IFERROR(INDEX(tblY10[Class],ROWS(N$10:N241))&amp;"","")</f>
        <v/>
      </c>
      <c r="O241" t="str">
        <f>IF(N241="","",IF(COUNTIF(N$10:N241,N241)=1,COUNTIF(N$10:N$609,"&lt;"&amp;N241)+1,""))</f>
        <v/>
      </c>
      <c r="P241" t="str">
        <f>IFERROR(INDEX(tblY11[Class],ROWS(P$10:P241))&amp;"","")</f>
        <v/>
      </c>
      <c r="Q241" t="str">
        <f>IF(P241="","",IF(COUNTIF(P$10:P241,P241)=1,COUNTIF(P$10:P$609,"&lt;"&amp;P241)+1,""))</f>
        <v/>
      </c>
      <c r="BA241" t="str">
        <f>IFERROR(INDEX(wLast,172)&amp;"","")</f>
        <v/>
      </c>
      <c r="BB241" t="str">
        <f>IF(BA241="","",IFERROR(INDEX(wFirst,172)&amp;"",""))</f>
        <v/>
      </c>
      <c r="BC241" t="str">
        <f>IF(BA241="","",IFERROR(INDEX(wClass,172)&amp;"",""))</f>
        <v/>
      </c>
      <c r="BD241" t="str">
        <f>IF(BA241="","",IFERROR(INDEX(wKsBand,172)+0,""))</f>
        <v/>
      </c>
      <c r="BE241" t="str">
        <f>IF(BA241="","",IFERROR(INDEX(wTests,172)+0,0))</f>
        <v/>
      </c>
      <c r="BF241" t="str">
        <f>IF(BA241="","",IFERROR(INDEX(wMean,172)+0,""))</f>
        <v/>
      </c>
      <c r="BG241" t="str">
        <f>IF(BA241="","",IFERROR(INDEX(wVs,172)+0,""))</f>
        <v/>
      </c>
      <c r="BH241" t="str">
        <f>IF(OR(BA241="",wLatest=""),"",IFERROR(INDEX(wData,172,MATCH(wLatest&amp;CHAR(10)&amp;"Stanine",wHdr,0))+0,""))</f>
        <v/>
      </c>
      <c r="BI241" t="str">
        <f>IF(BA241="","",IF(AND(ISNUMBER(BG241),N(BE241)&gt;=WlMinTests,BG241&lt;=-WlGap),"Below expected for KS2",IF(AND(NOT(ISNUMBER(BD241)),ISNUMBER(BF241),N(BE241)&gt;=WlMinTests,BF241&lt;=WlLowMean),"Low results, no KS2 data","")))</f>
        <v/>
      </c>
      <c r="BJ241" t="str">
        <f>IF(BI241="","",IF(BI241="Below expected for KS2",BG241,100+BF241)+ROW()/1000000)</f>
        <v/>
      </c>
    </row>
    <row r="242">
      <c r="H242" t="str">
        <f>IFERROR(INDEX(tblY7[Class],ROWS(H$10:H242))&amp;"","")</f>
        <v/>
      </c>
      <c r="I242" t="str">
        <f>IF(H242="","",IF(COUNTIF(H$10:H242,H242)=1,COUNTIF(H$10:H$609,"&lt;"&amp;H242)+1,""))</f>
        <v/>
      </c>
      <c r="J242" t="str">
        <f>IFERROR(INDEX(tblY8[Class],ROWS(J$10:J242))&amp;"","")</f>
        <v/>
      </c>
      <c r="K242" t="str">
        <f>IF(J242="","",IF(COUNTIF(J$10:J242,J242)=1,COUNTIF(J$10:J$609,"&lt;"&amp;J242)+1,""))</f>
        <v/>
      </c>
      <c r="L242" t="str">
        <f>IFERROR(INDEX(tblY9[Class],ROWS(L$10:L242))&amp;"","")</f>
        <v/>
      </c>
      <c r="M242" t="str">
        <f>IF(L242="","",IF(COUNTIF(L$10:L242,L242)=1,COUNTIF(L$10:L$609,"&lt;"&amp;L242)+1,""))</f>
        <v/>
      </c>
      <c r="N242" t="str">
        <f>IFERROR(INDEX(tblY10[Class],ROWS(N$10:N242))&amp;"","")</f>
        <v/>
      </c>
      <c r="O242" t="str">
        <f>IF(N242="","",IF(COUNTIF(N$10:N242,N242)=1,COUNTIF(N$10:N$609,"&lt;"&amp;N242)+1,""))</f>
        <v/>
      </c>
      <c r="P242" t="str">
        <f>IFERROR(INDEX(tblY11[Class],ROWS(P$10:P242))&amp;"","")</f>
        <v/>
      </c>
      <c r="Q242" t="str">
        <f>IF(P242="","",IF(COUNTIF(P$10:P242,P242)=1,COUNTIF(P$10:P$609,"&lt;"&amp;P242)+1,""))</f>
        <v/>
      </c>
      <c r="BA242" t="str">
        <f>IFERROR(INDEX(wLast,173)&amp;"","")</f>
        <v/>
      </c>
      <c r="BB242" t="str">
        <f>IF(BA242="","",IFERROR(INDEX(wFirst,173)&amp;"",""))</f>
        <v/>
      </c>
      <c r="BC242" t="str">
        <f>IF(BA242="","",IFERROR(INDEX(wClass,173)&amp;"",""))</f>
        <v/>
      </c>
      <c r="BD242" t="str">
        <f>IF(BA242="","",IFERROR(INDEX(wKsBand,173)+0,""))</f>
        <v/>
      </c>
      <c r="BE242" t="str">
        <f>IF(BA242="","",IFERROR(INDEX(wTests,173)+0,0))</f>
        <v/>
      </c>
      <c r="BF242" t="str">
        <f>IF(BA242="","",IFERROR(INDEX(wMean,173)+0,""))</f>
        <v/>
      </c>
      <c r="BG242" t="str">
        <f>IF(BA242="","",IFERROR(INDEX(wVs,173)+0,""))</f>
        <v/>
      </c>
      <c r="BH242" t="str">
        <f>IF(OR(BA242="",wLatest=""),"",IFERROR(INDEX(wData,173,MATCH(wLatest&amp;CHAR(10)&amp;"Stanine",wHdr,0))+0,""))</f>
        <v/>
      </c>
      <c r="BI242" t="str">
        <f>IF(BA242="","",IF(AND(ISNUMBER(BG242),N(BE242)&gt;=WlMinTests,BG242&lt;=-WlGap),"Below expected for KS2",IF(AND(NOT(ISNUMBER(BD242)),ISNUMBER(BF242),N(BE242)&gt;=WlMinTests,BF242&lt;=WlLowMean),"Low results, no KS2 data","")))</f>
        <v/>
      </c>
      <c r="BJ242" t="str">
        <f>IF(BI242="","",IF(BI242="Below expected for KS2",BG242,100+BF242)+ROW()/1000000)</f>
        <v/>
      </c>
    </row>
    <row r="243">
      <c r="H243" t="str">
        <f>IFERROR(INDEX(tblY7[Class],ROWS(H$10:H243))&amp;"","")</f>
        <v/>
      </c>
      <c r="I243" t="str">
        <f>IF(H243="","",IF(COUNTIF(H$10:H243,H243)=1,COUNTIF(H$10:H$609,"&lt;"&amp;H243)+1,""))</f>
        <v/>
      </c>
      <c r="J243" t="str">
        <f>IFERROR(INDEX(tblY8[Class],ROWS(J$10:J243))&amp;"","")</f>
        <v/>
      </c>
      <c r="K243" t="str">
        <f>IF(J243="","",IF(COUNTIF(J$10:J243,J243)=1,COUNTIF(J$10:J$609,"&lt;"&amp;J243)+1,""))</f>
        <v/>
      </c>
      <c r="L243" t="str">
        <f>IFERROR(INDEX(tblY9[Class],ROWS(L$10:L243))&amp;"","")</f>
        <v/>
      </c>
      <c r="M243" t="str">
        <f>IF(L243="","",IF(COUNTIF(L$10:L243,L243)=1,COUNTIF(L$10:L$609,"&lt;"&amp;L243)+1,""))</f>
        <v/>
      </c>
      <c r="N243" t="str">
        <f>IFERROR(INDEX(tblY10[Class],ROWS(N$10:N243))&amp;"","")</f>
        <v/>
      </c>
      <c r="O243" t="str">
        <f>IF(N243="","",IF(COUNTIF(N$10:N243,N243)=1,COUNTIF(N$10:N$609,"&lt;"&amp;N243)+1,""))</f>
        <v/>
      </c>
      <c r="P243" t="str">
        <f>IFERROR(INDEX(tblY11[Class],ROWS(P$10:P243))&amp;"","")</f>
        <v/>
      </c>
      <c r="Q243" t="str">
        <f>IF(P243="","",IF(COUNTIF(P$10:P243,P243)=1,COUNTIF(P$10:P$609,"&lt;"&amp;P243)+1,""))</f>
        <v/>
      </c>
      <c r="BA243" t="str">
        <f>IFERROR(INDEX(wLast,174)&amp;"","")</f>
        <v/>
      </c>
      <c r="BB243" t="str">
        <f>IF(BA243="","",IFERROR(INDEX(wFirst,174)&amp;"",""))</f>
        <v/>
      </c>
      <c r="BC243" t="str">
        <f>IF(BA243="","",IFERROR(INDEX(wClass,174)&amp;"",""))</f>
        <v/>
      </c>
      <c r="BD243" t="str">
        <f>IF(BA243="","",IFERROR(INDEX(wKsBand,174)+0,""))</f>
        <v/>
      </c>
      <c r="BE243" t="str">
        <f>IF(BA243="","",IFERROR(INDEX(wTests,174)+0,0))</f>
        <v/>
      </c>
      <c r="BF243" t="str">
        <f>IF(BA243="","",IFERROR(INDEX(wMean,174)+0,""))</f>
        <v/>
      </c>
      <c r="BG243" t="str">
        <f>IF(BA243="","",IFERROR(INDEX(wVs,174)+0,""))</f>
        <v/>
      </c>
      <c r="BH243" t="str">
        <f>IF(OR(BA243="",wLatest=""),"",IFERROR(INDEX(wData,174,MATCH(wLatest&amp;CHAR(10)&amp;"Stanine",wHdr,0))+0,""))</f>
        <v/>
      </c>
      <c r="BI243" t="str">
        <f>IF(BA243="","",IF(AND(ISNUMBER(BG243),N(BE243)&gt;=WlMinTests,BG243&lt;=-WlGap),"Below expected for KS2",IF(AND(NOT(ISNUMBER(BD243)),ISNUMBER(BF243),N(BE243)&gt;=WlMinTests,BF243&lt;=WlLowMean),"Low results, no KS2 data","")))</f>
        <v/>
      </c>
      <c r="BJ243" t="str">
        <f>IF(BI243="","",IF(BI243="Below expected for KS2",BG243,100+BF243)+ROW()/1000000)</f>
        <v/>
      </c>
    </row>
    <row r="244">
      <c r="H244" t="str">
        <f>IFERROR(INDEX(tblY7[Class],ROWS(H$10:H244))&amp;"","")</f>
        <v/>
      </c>
      <c r="I244" t="str">
        <f>IF(H244="","",IF(COUNTIF(H$10:H244,H244)=1,COUNTIF(H$10:H$609,"&lt;"&amp;H244)+1,""))</f>
        <v/>
      </c>
      <c r="J244" t="str">
        <f>IFERROR(INDEX(tblY8[Class],ROWS(J$10:J244))&amp;"","")</f>
        <v/>
      </c>
      <c r="K244" t="str">
        <f>IF(J244="","",IF(COUNTIF(J$10:J244,J244)=1,COUNTIF(J$10:J$609,"&lt;"&amp;J244)+1,""))</f>
        <v/>
      </c>
      <c r="L244" t="str">
        <f>IFERROR(INDEX(tblY9[Class],ROWS(L$10:L244))&amp;"","")</f>
        <v/>
      </c>
      <c r="M244" t="str">
        <f>IF(L244="","",IF(COUNTIF(L$10:L244,L244)=1,COUNTIF(L$10:L$609,"&lt;"&amp;L244)+1,""))</f>
        <v/>
      </c>
      <c r="N244" t="str">
        <f>IFERROR(INDEX(tblY10[Class],ROWS(N$10:N244))&amp;"","")</f>
        <v/>
      </c>
      <c r="O244" t="str">
        <f>IF(N244="","",IF(COUNTIF(N$10:N244,N244)=1,COUNTIF(N$10:N$609,"&lt;"&amp;N244)+1,""))</f>
        <v/>
      </c>
      <c r="P244" t="str">
        <f>IFERROR(INDEX(tblY11[Class],ROWS(P$10:P244))&amp;"","")</f>
        <v/>
      </c>
      <c r="Q244" t="str">
        <f>IF(P244="","",IF(COUNTIF(P$10:P244,P244)=1,COUNTIF(P$10:P$609,"&lt;"&amp;P244)+1,""))</f>
        <v/>
      </c>
      <c r="BA244" t="str">
        <f>IFERROR(INDEX(wLast,175)&amp;"","")</f>
        <v/>
      </c>
      <c r="BB244" t="str">
        <f>IF(BA244="","",IFERROR(INDEX(wFirst,175)&amp;"",""))</f>
        <v/>
      </c>
      <c r="BC244" t="str">
        <f>IF(BA244="","",IFERROR(INDEX(wClass,175)&amp;"",""))</f>
        <v/>
      </c>
      <c r="BD244" t="str">
        <f>IF(BA244="","",IFERROR(INDEX(wKsBand,175)+0,""))</f>
        <v/>
      </c>
      <c r="BE244" t="str">
        <f>IF(BA244="","",IFERROR(INDEX(wTests,175)+0,0))</f>
        <v/>
      </c>
      <c r="BF244" t="str">
        <f>IF(BA244="","",IFERROR(INDEX(wMean,175)+0,""))</f>
        <v/>
      </c>
      <c r="BG244" t="str">
        <f>IF(BA244="","",IFERROR(INDEX(wVs,175)+0,""))</f>
        <v/>
      </c>
      <c r="BH244" t="str">
        <f>IF(OR(BA244="",wLatest=""),"",IFERROR(INDEX(wData,175,MATCH(wLatest&amp;CHAR(10)&amp;"Stanine",wHdr,0))+0,""))</f>
        <v/>
      </c>
      <c r="BI244" t="str">
        <f>IF(BA244="","",IF(AND(ISNUMBER(BG244),N(BE244)&gt;=WlMinTests,BG244&lt;=-WlGap),"Below expected for KS2",IF(AND(NOT(ISNUMBER(BD244)),ISNUMBER(BF244),N(BE244)&gt;=WlMinTests,BF244&lt;=WlLowMean),"Low results, no KS2 data","")))</f>
        <v/>
      </c>
      <c r="BJ244" t="str">
        <f>IF(BI244="","",IF(BI244="Below expected for KS2",BG244,100+BF244)+ROW()/1000000)</f>
        <v/>
      </c>
    </row>
    <row r="245">
      <c r="H245" t="str">
        <f>IFERROR(INDEX(tblY7[Class],ROWS(H$10:H245))&amp;"","")</f>
        <v/>
      </c>
      <c r="I245" t="str">
        <f>IF(H245="","",IF(COUNTIF(H$10:H245,H245)=1,COUNTIF(H$10:H$609,"&lt;"&amp;H245)+1,""))</f>
        <v/>
      </c>
      <c r="J245" t="str">
        <f>IFERROR(INDEX(tblY8[Class],ROWS(J$10:J245))&amp;"","")</f>
        <v/>
      </c>
      <c r="K245" t="str">
        <f>IF(J245="","",IF(COUNTIF(J$10:J245,J245)=1,COUNTIF(J$10:J$609,"&lt;"&amp;J245)+1,""))</f>
        <v/>
      </c>
      <c r="L245" t="str">
        <f>IFERROR(INDEX(tblY9[Class],ROWS(L$10:L245))&amp;"","")</f>
        <v/>
      </c>
      <c r="M245" t="str">
        <f>IF(L245="","",IF(COUNTIF(L$10:L245,L245)=1,COUNTIF(L$10:L$609,"&lt;"&amp;L245)+1,""))</f>
        <v/>
      </c>
      <c r="N245" t="str">
        <f>IFERROR(INDEX(tblY10[Class],ROWS(N$10:N245))&amp;"","")</f>
        <v/>
      </c>
      <c r="O245" t="str">
        <f>IF(N245="","",IF(COUNTIF(N$10:N245,N245)=1,COUNTIF(N$10:N$609,"&lt;"&amp;N245)+1,""))</f>
        <v/>
      </c>
      <c r="P245" t="str">
        <f>IFERROR(INDEX(tblY11[Class],ROWS(P$10:P245))&amp;"","")</f>
        <v/>
      </c>
      <c r="Q245" t="str">
        <f>IF(P245="","",IF(COUNTIF(P$10:P245,P245)=1,COUNTIF(P$10:P$609,"&lt;"&amp;P245)+1,""))</f>
        <v/>
      </c>
      <c r="BA245" t="str">
        <f>IFERROR(INDEX(wLast,176)&amp;"","")</f>
        <v/>
      </c>
      <c r="BB245" t="str">
        <f>IF(BA245="","",IFERROR(INDEX(wFirst,176)&amp;"",""))</f>
        <v/>
      </c>
      <c r="BC245" t="str">
        <f>IF(BA245="","",IFERROR(INDEX(wClass,176)&amp;"",""))</f>
        <v/>
      </c>
      <c r="BD245" t="str">
        <f>IF(BA245="","",IFERROR(INDEX(wKsBand,176)+0,""))</f>
        <v/>
      </c>
      <c r="BE245" t="str">
        <f>IF(BA245="","",IFERROR(INDEX(wTests,176)+0,0))</f>
        <v/>
      </c>
      <c r="BF245" t="str">
        <f>IF(BA245="","",IFERROR(INDEX(wMean,176)+0,""))</f>
        <v/>
      </c>
      <c r="BG245" t="str">
        <f>IF(BA245="","",IFERROR(INDEX(wVs,176)+0,""))</f>
        <v/>
      </c>
      <c r="BH245" t="str">
        <f>IF(OR(BA245="",wLatest=""),"",IFERROR(INDEX(wData,176,MATCH(wLatest&amp;CHAR(10)&amp;"Stanine",wHdr,0))+0,""))</f>
        <v/>
      </c>
      <c r="BI245" t="str">
        <f>IF(BA245="","",IF(AND(ISNUMBER(BG245),N(BE245)&gt;=WlMinTests,BG245&lt;=-WlGap),"Below expected for KS2",IF(AND(NOT(ISNUMBER(BD245)),ISNUMBER(BF245),N(BE245)&gt;=WlMinTests,BF245&lt;=WlLowMean),"Low results, no KS2 data","")))</f>
        <v/>
      </c>
      <c r="BJ245" t="str">
        <f>IF(BI245="","",IF(BI245="Below expected for KS2",BG245,100+BF245)+ROW()/1000000)</f>
        <v/>
      </c>
    </row>
    <row r="246">
      <c r="H246" t="str">
        <f>IFERROR(INDEX(tblY7[Class],ROWS(H$10:H246))&amp;"","")</f>
        <v/>
      </c>
      <c r="I246" t="str">
        <f>IF(H246="","",IF(COUNTIF(H$10:H246,H246)=1,COUNTIF(H$10:H$609,"&lt;"&amp;H246)+1,""))</f>
        <v/>
      </c>
      <c r="J246" t="str">
        <f>IFERROR(INDEX(tblY8[Class],ROWS(J$10:J246))&amp;"","")</f>
        <v/>
      </c>
      <c r="K246" t="str">
        <f>IF(J246="","",IF(COUNTIF(J$10:J246,J246)=1,COUNTIF(J$10:J$609,"&lt;"&amp;J246)+1,""))</f>
        <v/>
      </c>
      <c r="L246" t="str">
        <f>IFERROR(INDEX(tblY9[Class],ROWS(L$10:L246))&amp;"","")</f>
        <v/>
      </c>
      <c r="M246" t="str">
        <f>IF(L246="","",IF(COUNTIF(L$10:L246,L246)=1,COUNTIF(L$10:L$609,"&lt;"&amp;L246)+1,""))</f>
        <v/>
      </c>
      <c r="N246" t="str">
        <f>IFERROR(INDEX(tblY10[Class],ROWS(N$10:N246))&amp;"","")</f>
        <v/>
      </c>
      <c r="O246" t="str">
        <f>IF(N246="","",IF(COUNTIF(N$10:N246,N246)=1,COUNTIF(N$10:N$609,"&lt;"&amp;N246)+1,""))</f>
        <v/>
      </c>
      <c r="P246" t="str">
        <f>IFERROR(INDEX(tblY11[Class],ROWS(P$10:P246))&amp;"","")</f>
        <v/>
      </c>
      <c r="Q246" t="str">
        <f>IF(P246="","",IF(COUNTIF(P$10:P246,P246)=1,COUNTIF(P$10:P$609,"&lt;"&amp;P246)+1,""))</f>
        <v/>
      </c>
      <c r="BA246" t="str">
        <f>IFERROR(INDEX(wLast,177)&amp;"","")</f>
        <v/>
      </c>
      <c r="BB246" t="str">
        <f>IF(BA246="","",IFERROR(INDEX(wFirst,177)&amp;"",""))</f>
        <v/>
      </c>
      <c r="BC246" t="str">
        <f>IF(BA246="","",IFERROR(INDEX(wClass,177)&amp;"",""))</f>
        <v/>
      </c>
      <c r="BD246" t="str">
        <f>IF(BA246="","",IFERROR(INDEX(wKsBand,177)+0,""))</f>
        <v/>
      </c>
      <c r="BE246" t="str">
        <f>IF(BA246="","",IFERROR(INDEX(wTests,177)+0,0))</f>
        <v/>
      </c>
      <c r="BF246" t="str">
        <f>IF(BA246="","",IFERROR(INDEX(wMean,177)+0,""))</f>
        <v/>
      </c>
      <c r="BG246" t="str">
        <f>IF(BA246="","",IFERROR(INDEX(wVs,177)+0,""))</f>
        <v/>
      </c>
      <c r="BH246" t="str">
        <f>IF(OR(BA246="",wLatest=""),"",IFERROR(INDEX(wData,177,MATCH(wLatest&amp;CHAR(10)&amp;"Stanine",wHdr,0))+0,""))</f>
        <v/>
      </c>
      <c r="BI246" t="str">
        <f>IF(BA246="","",IF(AND(ISNUMBER(BG246),N(BE246)&gt;=WlMinTests,BG246&lt;=-WlGap),"Below expected for KS2",IF(AND(NOT(ISNUMBER(BD246)),ISNUMBER(BF246),N(BE246)&gt;=WlMinTests,BF246&lt;=WlLowMean),"Low results, no KS2 data","")))</f>
        <v/>
      </c>
      <c r="BJ246" t="str">
        <f>IF(BI246="","",IF(BI246="Below expected for KS2",BG246,100+BF246)+ROW()/1000000)</f>
        <v/>
      </c>
    </row>
    <row r="247">
      <c r="H247" t="str">
        <f>IFERROR(INDEX(tblY7[Class],ROWS(H$10:H247))&amp;"","")</f>
        <v/>
      </c>
      <c r="I247" t="str">
        <f>IF(H247="","",IF(COUNTIF(H$10:H247,H247)=1,COUNTIF(H$10:H$609,"&lt;"&amp;H247)+1,""))</f>
        <v/>
      </c>
      <c r="J247" t="str">
        <f>IFERROR(INDEX(tblY8[Class],ROWS(J$10:J247))&amp;"","")</f>
        <v/>
      </c>
      <c r="K247" t="str">
        <f>IF(J247="","",IF(COUNTIF(J$10:J247,J247)=1,COUNTIF(J$10:J$609,"&lt;"&amp;J247)+1,""))</f>
        <v/>
      </c>
      <c r="L247" t="str">
        <f>IFERROR(INDEX(tblY9[Class],ROWS(L$10:L247))&amp;"","")</f>
        <v/>
      </c>
      <c r="M247" t="str">
        <f>IF(L247="","",IF(COUNTIF(L$10:L247,L247)=1,COUNTIF(L$10:L$609,"&lt;"&amp;L247)+1,""))</f>
        <v/>
      </c>
      <c r="N247" t="str">
        <f>IFERROR(INDEX(tblY10[Class],ROWS(N$10:N247))&amp;"","")</f>
        <v/>
      </c>
      <c r="O247" t="str">
        <f>IF(N247="","",IF(COUNTIF(N$10:N247,N247)=1,COUNTIF(N$10:N$609,"&lt;"&amp;N247)+1,""))</f>
        <v/>
      </c>
      <c r="P247" t="str">
        <f>IFERROR(INDEX(tblY11[Class],ROWS(P$10:P247))&amp;"","")</f>
        <v/>
      </c>
      <c r="Q247" t="str">
        <f>IF(P247="","",IF(COUNTIF(P$10:P247,P247)=1,COUNTIF(P$10:P$609,"&lt;"&amp;P247)+1,""))</f>
        <v/>
      </c>
      <c r="BA247" t="str">
        <f>IFERROR(INDEX(wLast,178)&amp;"","")</f>
        <v/>
      </c>
      <c r="BB247" t="str">
        <f>IF(BA247="","",IFERROR(INDEX(wFirst,178)&amp;"",""))</f>
        <v/>
      </c>
      <c r="BC247" t="str">
        <f>IF(BA247="","",IFERROR(INDEX(wClass,178)&amp;"",""))</f>
        <v/>
      </c>
      <c r="BD247" t="str">
        <f>IF(BA247="","",IFERROR(INDEX(wKsBand,178)+0,""))</f>
        <v/>
      </c>
      <c r="BE247" t="str">
        <f>IF(BA247="","",IFERROR(INDEX(wTests,178)+0,0))</f>
        <v/>
      </c>
      <c r="BF247" t="str">
        <f>IF(BA247="","",IFERROR(INDEX(wMean,178)+0,""))</f>
        <v/>
      </c>
      <c r="BG247" t="str">
        <f>IF(BA247="","",IFERROR(INDEX(wVs,178)+0,""))</f>
        <v/>
      </c>
      <c r="BH247" t="str">
        <f>IF(OR(BA247="",wLatest=""),"",IFERROR(INDEX(wData,178,MATCH(wLatest&amp;CHAR(10)&amp;"Stanine",wHdr,0))+0,""))</f>
        <v/>
      </c>
      <c r="BI247" t="str">
        <f>IF(BA247="","",IF(AND(ISNUMBER(BG247),N(BE247)&gt;=WlMinTests,BG247&lt;=-WlGap),"Below expected for KS2",IF(AND(NOT(ISNUMBER(BD247)),ISNUMBER(BF247),N(BE247)&gt;=WlMinTests,BF247&lt;=WlLowMean),"Low results, no KS2 data","")))</f>
        <v/>
      </c>
      <c r="BJ247" t="str">
        <f>IF(BI247="","",IF(BI247="Below expected for KS2",BG247,100+BF247)+ROW()/1000000)</f>
        <v/>
      </c>
    </row>
    <row r="248">
      <c r="H248" t="str">
        <f>IFERROR(INDEX(tblY7[Class],ROWS(H$10:H248))&amp;"","")</f>
        <v/>
      </c>
      <c r="I248" t="str">
        <f>IF(H248="","",IF(COUNTIF(H$10:H248,H248)=1,COUNTIF(H$10:H$609,"&lt;"&amp;H248)+1,""))</f>
        <v/>
      </c>
      <c r="J248" t="str">
        <f>IFERROR(INDEX(tblY8[Class],ROWS(J$10:J248))&amp;"","")</f>
        <v/>
      </c>
      <c r="K248" t="str">
        <f>IF(J248="","",IF(COUNTIF(J$10:J248,J248)=1,COUNTIF(J$10:J$609,"&lt;"&amp;J248)+1,""))</f>
        <v/>
      </c>
      <c r="L248" t="str">
        <f>IFERROR(INDEX(tblY9[Class],ROWS(L$10:L248))&amp;"","")</f>
        <v/>
      </c>
      <c r="M248" t="str">
        <f>IF(L248="","",IF(COUNTIF(L$10:L248,L248)=1,COUNTIF(L$10:L$609,"&lt;"&amp;L248)+1,""))</f>
        <v/>
      </c>
      <c r="N248" t="str">
        <f>IFERROR(INDEX(tblY10[Class],ROWS(N$10:N248))&amp;"","")</f>
        <v/>
      </c>
      <c r="O248" t="str">
        <f>IF(N248="","",IF(COUNTIF(N$10:N248,N248)=1,COUNTIF(N$10:N$609,"&lt;"&amp;N248)+1,""))</f>
        <v/>
      </c>
      <c r="P248" t="str">
        <f>IFERROR(INDEX(tblY11[Class],ROWS(P$10:P248))&amp;"","")</f>
        <v/>
      </c>
      <c r="Q248" t="str">
        <f>IF(P248="","",IF(COUNTIF(P$10:P248,P248)=1,COUNTIF(P$10:P$609,"&lt;"&amp;P248)+1,""))</f>
        <v/>
      </c>
      <c r="BA248" t="str">
        <f>IFERROR(INDEX(wLast,179)&amp;"","")</f>
        <v/>
      </c>
      <c r="BB248" t="str">
        <f>IF(BA248="","",IFERROR(INDEX(wFirst,179)&amp;"",""))</f>
        <v/>
      </c>
      <c r="BC248" t="str">
        <f>IF(BA248="","",IFERROR(INDEX(wClass,179)&amp;"",""))</f>
        <v/>
      </c>
      <c r="BD248" t="str">
        <f>IF(BA248="","",IFERROR(INDEX(wKsBand,179)+0,""))</f>
        <v/>
      </c>
      <c r="BE248" t="str">
        <f>IF(BA248="","",IFERROR(INDEX(wTests,179)+0,0))</f>
        <v/>
      </c>
      <c r="BF248" t="str">
        <f>IF(BA248="","",IFERROR(INDEX(wMean,179)+0,""))</f>
        <v/>
      </c>
      <c r="BG248" t="str">
        <f>IF(BA248="","",IFERROR(INDEX(wVs,179)+0,""))</f>
        <v/>
      </c>
      <c r="BH248" t="str">
        <f>IF(OR(BA248="",wLatest=""),"",IFERROR(INDEX(wData,179,MATCH(wLatest&amp;CHAR(10)&amp;"Stanine",wHdr,0))+0,""))</f>
        <v/>
      </c>
      <c r="BI248" t="str">
        <f>IF(BA248="","",IF(AND(ISNUMBER(BG248),N(BE248)&gt;=WlMinTests,BG248&lt;=-WlGap),"Below expected for KS2",IF(AND(NOT(ISNUMBER(BD248)),ISNUMBER(BF248),N(BE248)&gt;=WlMinTests,BF248&lt;=WlLowMean),"Low results, no KS2 data","")))</f>
        <v/>
      </c>
      <c r="BJ248" t="str">
        <f>IF(BI248="","",IF(BI248="Below expected for KS2",BG248,100+BF248)+ROW()/1000000)</f>
        <v/>
      </c>
    </row>
    <row r="249">
      <c r="H249" t="str">
        <f>IFERROR(INDEX(tblY7[Class],ROWS(H$10:H249))&amp;"","")</f>
        <v/>
      </c>
      <c r="I249" t="str">
        <f>IF(H249="","",IF(COUNTIF(H$10:H249,H249)=1,COUNTIF(H$10:H$609,"&lt;"&amp;H249)+1,""))</f>
        <v/>
      </c>
      <c r="J249" t="str">
        <f>IFERROR(INDEX(tblY8[Class],ROWS(J$10:J249))&amp;"","")</f>
        <v/>
      </c>
      <c r="K249" t="str">
        <f>IF(J249="","",IF(COUNTIF(J$10:J249,J249)=1,COUNTIF(J$10:J$609,"&lt;"&amp;J249)+1,""))</f>
        <v/>
      </c>
      <c r="L249" t="str">
        <f>IFERROR(INDEX(tblY9[Class],ROWS(L$10:L249))&amp;"","")</f>
        <v/>
      </c>
      <c r="M249" t="str">
        <f>IF(L249="","",IF(COUNTIF(L$10:L249,L249)=1,COUNTIF(L$10:L$609,"&lt;"&amp;L249)+1,""))</f>
        <v/>
      </c>
      <c r="N249" t="str">
        <f>IFERROR(INDEX(tblY10[Class],ROWS(N$10:N249))&amp;"","")</f>
        <v/>
      </c>
      <c r="O249" t="str">
        <f>IF(N249="","",IF(COUNTIF(N$10:N249,N249)=1,COUNTIF(N$10:N$609,"&lt;"&amp;N249)+1,""))</f>
        <v/>
      </c>
      <c r="P249" t="str">
        <f>IFERROR(INDEX(tblY11[Class],ROWS(P$10:P249))&amp;"","")</f>
        <v/>
      </c>
      <c r="Q249" t="str">
        <f>IF(P249="","",IF(COUNTIF(P$10:P249,P249)=1,COUNTIF(P$10:P$609,"&lt;"&amp;P249)+1,""))</f>
        <v/>
      </c>
      <c r="BA249" t="str">
        <f>IFERROR(INDEX(wLast,180)&amp;"","")</f>
        <v/>
      </c>
      <c r="BB249" t="str">
        <f>IF(BA249="","",IFERROR(INDEX(wFirst,180)&amp;"",""))</f>
        <v/>
      </c>
      <c r="BC249" t="str">
        <f>IF(BA249="","",IFERROR(INDEX(wClass,180)&amp;"",""))</f>
        <v/>
      </c>
      <c r="BD249" t="str">
        <f>IF(BA249="","",IFERROR(INDEX(wKsBand,180)+0,""))</f>
        <v/>
      </c>
      <c r="BE249" t="str">
        <f>IF(BA249="","",IFERROR(INDEX(wTests,180)+0,0))</f>
        <v/>
      </c>
      <c r="BF249" t="str">
        <f>IF(BA249="","",IFERROR(INDEX(wMean,180)+0,""))</f>
        <v/>
      </c>
      <c r="BG249" t="str">
        <f>IF(BA249="","",IFERROR(INDEX(wVs,180)+0,""))</f>
        <v/>
      </c>
      <c r="BH249" t="str">
        <f>IF(OR(BA249="",wLatest=""),"",IFERROR(INDEX(wData,180,MATCH(wLatest&amp;CHAR(10)&amp;"Stanine",wHdr,0))+0,""))</f>
        <v/>
      </c>
      <c r="BI249" t="str">
        <f>IF(BA249="","",IF(AND(ISNUMBER(BG249),N(BE249)&gt;=WlMinTests,BG249&lt;=-WlGap),"Below expected for KS2",IF(AND(NOT(ISNUMBER(BD249)),ISNUMBER(BF249),N(BE249)&gt;=WlMinTests,BF249&lt;=WlLowMean),"Low results, no KS2 data","")))</f>
        <v/>
      </c>
      <c r="BJ249" t="str">
        <f>IF(BI249="","",IF(BI249="Below expected for KS2",BG249,100+BF249)+ROW()/1000000)</f>
        <v/>
      </c>
    </row>
    <row r="250">
      <c r="H250" t="str">
        <f>IFERROR(INDEX(tblY7[Class],ROWS(H$10:H250))&amp;"","")</f>
        <v/>
      </c>
      <c r="I250" t="str">
        <f>IF(H250="","",IF(COUNTIF(H$10:H250,H250)=1,COUNTIF(H$10:H$609,"&lt;"&amp;H250)+1,""))</f>
        <v/>
      </c>
      <c r="J250" t="str">
        <f>IFERROR(INDEX(tblY8[Class],ROWS(J$10:J250))&amp;"","")</f>
        <v/>
      </c>
      <c r="K250" t="str">
        <f>IF(J250="","",IF(COUNTIF(J$10:J250,J250)=1,COUNTIF(J$10:J$609,"&lt;"&amp;J250)+1,""))</f>
        <v/>
      </c>
      <c r="L250" t="str">
        <f>IFERROR(INDEX(tblY9[Class],ROWS(L$10:L250))&amp;"","")</f>
        <v/>
      </c>
      <c r="M250" t="str">
        <f>IF(L250="","",IF(COUNTIF(L$10:L250,L250)=1,COUNTIF(L$10:L$609,"&lt;"&amp;L250)+1,""))</f>
        <v/>
      </c>
      <c r="N250" t="str">
        <f>IFERROR(INDEX(tblY10[Class],ROWS(N$10:N250))&amp;"","")</f>
        <v/>
      </c>
      <c r="O250" t="str">
        <f>IF(N250="","",IF(COUNTIF(N$10:N250,N250)=1,COUNTIF(N$10:N$609,"&lt;"&amp;N250)+1,""))</f>
        <v/>
      </c>
      <c r="P250" t="str">
        <f>IFERROR(INDEX(tblY11[Class],ROWS(P$10:P250))&amp;"","")</f>
        <v/>
      </c>
      <c r="Q250" t="str">
        <f>IF(P250="","",IF(COUNTIF(P$10:P250,P250)=1,COUNTIF(P$10:P$609,"&lt;"&amp;P250)+1,""))</f>
        <v/>
      </c>
      <c r="BA250" t="str">
        <f>IFERROR(INDEX(wLast,181)&amp;"","")</f>
        <v/>
      </c>
      <c r="BB250" t="str">
        <f>IF(BA250="","",IFERROR(INDEX(wFirst,181)&amp;"",""))</f>
        <v/>
      </c>
      <c r="BC250" t="str">
        <f>IF(BA250="","",IFERROR(INDEX(wClass,181)&amp;"",""))</f>
        <v/>
      </c>
      <c r="BD250" t="str">
        <f>IF(BA250="","",IFERROR(INDEX(wKsBand,181)+0,""))</f>
        <v/>
      </c>
      <c r="BE250" t="str">
        <f>IF(BA250="","",IFERROR(INDEX(wTests,181)+0,0))</f>
        <v/>
      </c>
      <c r="BF250" t="str">
        <f>IF(BA250="","",IFERROR(INDEX(wMean,181)+0,""))</f>
        <v/>
      </c>
      <c r="BG250" t="str">
        <f>IF(BA250="","",IFERROR(INDEX(wVs,181)+0,""))</f>
        <v/>
      </c>
      <c r="BH250" t="str">
        <f>IF(OR(BA250="",wLatest=""),"",IFERROR(INDEX(wData,181,MATCH(wLatest&amp;CHAR(10)&amp;"Stanine",wHdr,0))+0,""))</f>
        <v/>
      </c>
      <c r="BI250" t="str">
        <f>IF(BA250="","",IF(AND(ISNUMBER(BG250),N(BE250)&gt;=WlMinTests,BG250&lt;=-WlGap),"Below expected for KS2",IF(AND(NOT(ISNUMBER(BD250)),ISNUMBER(BF250),N(BE250)&gt;=WlMinTests,BF250&lt;=WlLowMean),"Low results, no KS2 data","")))</f>
        <v/>
      </c>
      <c r="BJ250" t="str">
        <f>IF(BI250="","",IF(BI250="Below expected for KS2",BG250,100+BF250)+ROW()/1000000)</f>
        <v/>
      </c>
    </row>
    <row r="251">
      <c r="H251" t="str">
        <f>IFERROR(INDEX(tblY7[Class],ROWS(H$10:H251))&amp;"","")</f>
        <v/>
      </c>
      <c r="I251" t="str">
        <f>IF(H251="","",IF(COUNTIF(H$10:H251,H251)=1,COUNTIF(H$10:H$609,"&lt;"&amp;H251)+1,""))</f>
        <v/>
      </c>
      <c r="J251" t="str">
        <f>IFERROR(INDEX(tblY8[Class],ROWS(J$10:J251))&amp;"","")</f>
        <v/>
      </c>
      <c r="K251" t="str">
        <f>IF(J251="","",IF(COUNTIF(J$10:J251,J251)=1,COUNTIF(J$10:J$609,"&lt;"&amp;J251)+1,""))</f>
        <v/>
      </c>
      <c r="L251" t="str">
        <f>IFERROR(INDEX(tblY9[Class],ROWS(L$10:L251))&amp;"","")</f>
        <v/>
      </c>
      <c r="M251" t="str">
        <f>IF(L251="","",IF(COUNTIF(L$10:L251,L251)=1,COUNTIF(L$10:L$609,"&lt;"&amp;L251)+1,""))</f>
        <v/>
      </c>
      <c r="N251" t="str">
        <f>IFERROR(INDEX(tblY10[Class],ROWS(N$10:N251))&amp;"","")</f>
        <v/>
      </c>
      <c r="O251" t="str">
        <f>IF(N251="","",IF(COUNTIF(N$10:N251,N251)=1,COUNTIF(N$10:N$609,"&lt;"&amp;N251)+1,""))</f>
        <v/>
      </c>
      <c r="P251" t="str">
        <f>IFERROR(INDEX(tblY11[Class],ROWS(P$10:P251))&amp;"","")</f>
        <v/>
      </c>
      <c r="Q251" t="str">
        <f>IF(P251="","",IF(COUNTIF(P$10:P251,P251)=1,COUNTIF(P$10:P$609,"&lt;"&amp;P251)+1,""))</f>
        <v/>
      </c>
      <c r="BA251" t="str">
        <f>IFERROR(INDEX(wLast,182)&amp;"","")</f>
        <v/>
      </c>
      <c r="BB251" t="str">
        <f>IF(BA251="","",IFERROR(INDEX(wFirst,182)&amp;"",""))</f>
        <v/>
      </c>
      <c r="BC251" t="str">
        <f>IF(BA251="","",IFERROR(INDEX(wClass,182)&amp;"",""))</f>
        <v/>
      </c>
      <c r="BD251" t="str">
        <f>IF(BA251="","",IFERROR(INDEX(wKsBand,182)+0,""))</f>
        <v/>
      </c>
      <c r="BE251" t="str">
        <f>IF(BA251="","",IFERROR(INDEX(wTests,182)+0,0))</f>
        <v/>
      </c>
      <c r="BF251" t="str">
        <f>IF(BA251="","",IFERROR(INDEX(wMean,182)+0,""))</f>
        <v/>
      </c>
      <c r="BG251" t="str">
        <f>IF(BA251="","",IFERROR(INDEX(wVs,182)+0,""))</f>
        <v/>
      </c>
      <c r="BH251" t="str">
        <f>IF(OR(BA251="",wLatest=""),"",IFERROR(INDEX(wData,182,MATCH(wLatest&amp;CHAR(10)&amp;"Stanine",wHdr,0))+0,""))</f>
        <v/>
      </c>
      <c r="BI251" t="str">
        <f>IF(BA251="","",IF(AND(ISNUMBER(BG251),N(BE251)&gt;=WlMinTests,BG251&lt;=-WlGap),"Below expected for KS2",IF(AND(NOT(ISNUMBER(BD251)),ISNUMBER(BF251),N(BE251)&gt;=WlMinTests,BF251&lt;=WlLowMean),"Low results, no KS2 data","")))</f>
        <v/>
      </c>
      <c r="BJ251" t="str">
        <f>IF(BI251="","",IF(BI251="Below expected for KS2",BG251,100+BF251)+ROW()/1000000)</f>
        <v/>
      </c>
    </row>
    <row r="252">
      <c r="H252" t="str">
        <f>IFERROR(INDEX(tblY7[Class],ROWS(H$10:H252))&amp;"","")</f>
        <v/>
      </c>
      <c r="I252" t="str">
        <f>IF(H252="","",IF(COUNTIF(H$10:H252,H252)=1,COUNTIF(H$10:H$609,"&lt;"&amp;H252)+1,""))</f>
        <v/>
      </c>
      <c r="J252" t="str">
        <f>IFERROR(INDEX(tblY8[Class],ROWS(J$10:J252))&amp;"","")</f>
        <v/>
      </c>
      <c r="K252" t="str">
        <f>IF(J252="","",IF(COUNTIF(J$10:J252,J252)=1,COUNTIF(J$10:J$609,"&lt;"&amp;J252)+1,""))</f>
        <v/>
      </c>
      <c r="L252" t="str">
        <f>IFERROR(INDEX(tblY9[Class],ROWS(L$10:L252))&amp;"","")</f>
        <v/>
      </c>
      <c r="M252" t="str">
        <f>IF(L252="","",IF(COUNTIF(L$10:L252,L252)=1,COUNTIF(L$10:L$609,"&lt;"&amp;L252)+1,""))</f>
        <v/>
      </c>
      <c r="N252" t="str">
        <f>IFERROR(INDEX(tblY10[Class],ROWS(N$10:N252))&amp;"","")</f>
        <v/>
      </c>
      <c r="O252" t="str">
        <f>IF(N252="","",IF(COUNTIF(N$10:N252,N252)=1,COUNTIF(N$10:N$609,"&lt;"&amp;N252)+1,""))</f>
        <v/>
      </c>
      <c r="P252" t="str">
        <f>IFERROR(INDEX(tblY11[Class],ROWS(P$10:P252))&amp;"","")</f>
        <v/>
      </c>
      <c r="Q252" t="str">
        <f>IF(P252="","",IF(COUNTIF(P$10:P252,P252)=1,COUNTIF(P$10:P$609,"&lt;"&amp;P252)+1,""))</f>
        <v/>
      </c>
      <c r="BA252" t="str">
        <f>IFERROR(INDEX(wLast,183)&amp;"","")</f>
        <v/>
      </c>
      <c r="BB252" t="str">
        <f>IF(BA252="","",IFERROR(INDEX(wFirst,183)&amp;"",""))</f>
        <v/>
      </c>
      <c r="BC252" t="str">
        <f>IF(BA252="","",IFERROR(INDEX(wClass,183)&amp;"",""))</f>
        <v/>
      </c>
      <c r="BD252" t="str">
        <f>IF(BA252="","",IFERROR(INDEX(wKsBand,183)+0,""))</f>
        <v/>
      </c>
      <c r="BE252" t="str">
        <f>IF(BA252="","",IFERROR(INDEX(wTests,183)+0,0))</f>
        <v/>
      </c>
      <c r="BF252" t="str">
        <f>IF(BA252="","",IFERROR(INDEX(wMean,183)+0,""))</f>
        <v/>
      </c>
      <c r="BG252" t="str">
        <f>IF(BA252="","",IFERROR(INDEX(wVs,183)+0,""))</f>
        <v/>
      </c>
      <c r="BH252" t="str">
        <f>IF(OR(BA252="",wLatest=""),"",IFERROR(INDEX(wData,183,MATCH(wLatest&amp;CHAR(10)&amp;"Stanine",wHdr,0))+0,""))</f>
        <v/>
      </c>
      <c r="BI252" t="str">
        <f>IF(BA252="","",IF(AND(ISNUMBER(BG252),N(BE252)&gt;=WlMinTests,BG252&lt;=-WlGap),"Below expected for KS2",IF(AND(NOT(ISNUMBER(BD252)),ISNUMBER(BF252),N(BE252)&gt;=WlMinTests,BF252&lt;=WlLowMean),"Low results, no KS2 data","")))</f>
        <v/>
      </c>
      <c r="BJ252" t="str">
        <f>IF(BI252="","",IF(BI252="Below expected for KS2",BG252,100+BF252)+ROW()/1000000)</f>
        <v/>
      </c>
    </row>
    <row r="253">
      <c r="H253" t="str">
        <f>IFERROR(INDEX(tblY7[Class],ROWS(H$10:H253))&amp;"","")</f>
        <v/>
      </c>
      <c r="I253" t="str">
        <f>IF(H253="","",IF(COUNTIF(H$10:H253,H253)=1,COUNTIF(H$10:H$609,"&lt;"&amp;H253)+1,""))</f>
        <v/>
      </c>
      <c r="J253" t="str">
        <f>IFERROR(INDEX(tblY8[Class],ROWS(J$10:J253))&amp;"","")</f>
        <v/>
      </c>
      <c r="K253" t="str">
        <f>IF(J253="","",IF(COUNTIF(J$10:J253,J253)=1,COUNTIF(J$10:J$609,"&lt;"&amp;J253)+1,""))</f>
        <v/>
      </c>
      <c r="L253" t="str">
        <f>IFERROR(INDEX(tblY9[Class],ROWS(L$10:L253))&amp;"","")</f>
        <v/>
      </c>
      <c r="M253" t="str">
        <f>IF(L253="","",IF(COUNTIF(L$10:L253,L253)=1,COUNTIF(L$10:L$609,"&lt;"&amp;L253)+1,""))</f>
        <v/>
      </c>
      <c r="N253" t="str">
        <f>IFERROR(INDEX(tblY10[Class],ROWS(N$10:N253))&amp;"","")</f>
        <v/>
      </c>
      <c r="O253" t="str">
        <f>IF(N253="","",IF(COUNTIF(N$10:N253,N253)=1,COUNTIF(N$10:N$609,"&lt;"&amp;N253)+1,""))</f>
        <v/>
      </c>
      <c r="P253" t="str">
        <f>IFERROR(INDEX(tblY11[Class],ROWS(P$10:P253))&amp;"","")</f>
        <v/>
      </c>
      <c r="Q253" t="str">
        <f>IF(P253="","",IF(COUNTIF(P$10:P253,P253)=1,COUNTIF(P$10:P$609,"&lt;"&amp;P253)+1,""))</f>
        <v/>
      </c>
      <c r="BA253" t="str">
        <f>IFERROR(INDEX(wLast,184)&amp;"","")</f>
        <v/>
      </c>
      <c r="BB253" t="str">
        <f>IF(BA253="","",IFERROR(INDEX(wFirst,184)&amp;"",""))</f>
        <v/>
      </c>
      <c r="BC253" t="str">
        <f>IF(BA253="","",IFERROR(INDEX(wClass,184)&amp;"",""))</f>
        <v/>
      </c>
      <c r="BD253" t="str">
        <f>IF(BA253="","",IFERROR(INDEX(wKsBand,184)+0,""))</f>
        <v/>
      </c>
      <c r="BE253" t="str">
        <f>IF(BA253="","",IFERROR(INDEX(wTests,184)+0,0))</f>
        <v/>
      </c>
      <c r="BF253" t="str">
        <f>IF(BA253="","",IFERROR(INDEX(wMean,184)+0,""))</f>
        <v/>
      </c>
      <c r="BG253" t="str">
        <f>IF(BA253="","",IFERROR(INDEX(wVs,184)+0,""))</f>
        <v/>
      </c>
      <c r="BH253" t="str">
        <f>IF(OR(BA253="",wLatest=""),"",IFERROR(INDEX(wData,184,MATCH(wLatest&amp;CHAR(10)&amp;"Stanine",wHdr,0))+0,""))</f>
        <v/>
      </c>
      <c r="BI253" t="str">
        <f>IF(BA253="","",IF(AND(ISNUMBER(BG253),N(BE253)&gt;=WlMinTests,BG253&lt;=-WlGap),"Below expected for KS2",IF(AND(NOT(ISNUMBER(BD253)),ISNUMBER(BF253),N(BE253)&gt;=WlMinTests,BF253&lt;=WlLowMean),"Low results, no KS2 data","")))</f>
        <v/>
      </c>
      <c r="BJ253" t="str">
        <f>IF(BI253="","",IF(BI253="Below expected for KS2",BG253,100+BF253)+ROW()/1000000)</f>
        <v/>
      </c>
    </row>
    <row r="254">
      <c r="H254" t="str">
        <f>IFERROR(INDEX(tblY7[Class],ROWS(H$10:H254))&amp;"","")</f>
        <v/>
      </c>
      <c r="I254" t="str">
        <f>IF(H254="","",IF(COUNTIF(H$10:H254,H254)=1,COUNTIF(H$10:H$609,"&lt;"&amp;H254)+1,""))</f>
        <v/>
      </c>
      <c r="J254" t="str">
        <f>IFERROR(INDEX(tblY8[Class],ROWS(J$10:J254))&amp;"","")</f>
        <v/>
      </c>
      <c r="K254" t="str">
        <f>IF(J254="","",IF(COUNTIF(J$10:J254,J254)=1,COUNTIF(J$10:J$609,"&lt;"&amp;J254)+1,""))</f>
        <v/>
      </c>
      <c r="L254" t="str">
        <f>IFERROR(INDEX(tblY9[Class],ROWS(L$10:L254))&amp;"","")</f>
        <v/>
      </c>
      <c r="M254" t="str">
        <f>IF(L254="","",IF(COUNTIF(L$10:L254,L254)=1,COUNTIF(L$10:L$609,"&lt;"&amp;L254)+1,""))</f>
        <v/>
      </c>
      <c r="N254" t="str">
        <f>IFERROR(INDEX(tblY10[Class],ROWS(N$10:N254))&amp;"","")</f>
        <v/>
      </c>
      <c r="O254" t="str">
        <f>IF(N254="","",IF(COUNTIF(N$10:N254,N254)=1,COUNTIF(N$10:N$609,"&lt;"&amp;N254)+1,""))</f>
        <v/>
      </c>
      <c r="P254" t="str">
        <f>IFERROR(INDEX(tblY11[Class],ROWS(P$10:P254))&amp;"","")</f>
        <v/>
      </c>
      <c r="Q254" t="str">
        <f>IF(P254="","",IF(COUNTIF(P$10:P254,P254)=1,COUNTIF(P$10:P$609,"&lt;"&amp;P254)+1,""))</f>
        <v/>
      </c>
      <c r="BA254" t="str">
        <f>IFERROR(INDEX(wLast,185)&amp;"","")</f>
        <v/>
      </c>
      <c r="BB254" t="str">
        <f>IF(BA254="","",IFERROR(INDEX(wFirst,185)&amp;"",""))</f>
        <v/>
      </c>
      <c r="BC254" t="str">
        <f>IF(BA254="","",IFERROR(INDEX(wClass,185)&amp;"",""))</f>
        <v/>
      </c>
      <c r="BD254" t="str">
        <f>IF(BA254="","",IFERROR(INDEX(wKsBand,185)+0,""))</f>
        <v/>
      </c>
      <c r="BE254" t="str">
        <f>IF(BA254="","",IFERROR(INDEX(wTests,185)+0,0))</f>
        <v/>
      </c>
      <c r="BF254" t="str">
        <f>IF(BA254="","",IFERROR(INDEX(wMean,185)+0,""))</f>
        <v/>
      </c>
      <c r="BG254" t="str">
        <f>IF(BA254="","",IFERROR(INDEX(wVs,185)+0,""))</f>
        <v/>
      </c>
      <c r="BH254" t="str">
        <f>IF(OR(BA254="",wLatest=""),"",IFERROR(INDEX(wData,185,MATCH(wLatest&amp;CHAR(10)&amp;"Stanine",wHdr,0))+0,""))</f>
        <v/>
      </c>
      <c r="BI254" t="str">
        <f>IF(BA254="","",IF(AND(ISNUMBER(BG254),N(BE254)&gt;=WlMinTests,BG254&lt;=-WlGap),"Below expected for KS2",IF(AND(NOT(ISNUMBER(BD254)),ISNUMBER(BF254),N(BE254)&gt;=WlMinTests,BF254&lt;=WlLowMean),"Low results, no KS2 data","")))</f>
        <v/>
      </c>
      <c r="BJ254" t="str">
        <f>IF(BI254="","",IF(BI254="Below expected for KS2",BG254,100+BF254)+ROW()/1000000)</f>
        <v/>
      </c>
    </row>
    <row r="255">
      <c r="H255" t="str">
        <f>IFERROR(INDEX(tblY7[Class],ROWS(H$10:H255))&amp;"","")</f>
        <v/>
      </c>
      <c r="I255" t="str">
        <f>IF(H255="","",IF(COUNTIF(H$10:H255,H255)=1,COUNTIF(H$10:H$609,"&lt;"&amp;H255)+1,""))</f>
        <v/>
      </c>
      <c r="J255" t="str">
        <f>IFERROR(INDEX(tblY8[Class],ROWS(J$10:J255))&amp;"","")</f>
        <v/>
      </c>
      <c r="K255" t="str">
        <f>IF(J255="","",IF(COUNTIF(J$10:J255,J255)=1,COUNTIF(J$10:J$609,"&lt;"&amp;J255)+1,""))</f>
        <v/>
      </c>
      <c r="L255" t="str">
        <f>IFERROR(INDEX(tblY9[Class],ROWS(L$10:L255))&amp;"","")</f>
        <v/>
      </c>
      <c r="M255" t="str">
        <f>IF(L255="","",IF(COUNTIF(L$10:L255,L255)=1,COUNTIF(L$10:L$609,"&lt;"&amp;L255)+1,""))</f>
        <v/>
      </c>
      <c r="N255" t="str">
        <f>IFERROR(INDEX(tblY10[Class],ROWS(N$10:N255))&amp;"","")</f>
        <v/>
      </c>
      <c r="O255" t="str">
        <f>IF(N255="","",IF(COUNTIF(N$10:N255,N255)=1,COUNTIF(N$10:N$609,"&lt;"&amp;N255)+1,""))</f>
        <v/>
      </c>
      <c r="P255" t="str">
        <f>IFERROR(INDEX(tblY11[Class],ROWS(P$10:P255))&amp;"","")</f>
        <v/>
      </c>
      <c r="Q255" t="str">
        <f>IF(P255="","",IF(COUNTIF(P$10:P255,P255)=1,COUNTIF(P$10:P$609,"&lt;"&amp;P255)+1,""))</f>
        <v/>
      </c>
      <c r="BA255" t="str">
        <f>IFERROR(INDEX(wLast,186)&amp;"","")</f>
        <v/>
      </c>
      <c r="BB255" t="str">
        <f>IF(BA255="","",IFERROR(INDEX(wFirst,186)&amp;"",""))</f>
        <v/>
      </c>
      <c r="BC255" t="str">
        <f>IF(BA255="","",IFERROR(INDEX(wClass,186)&amp;"",""))</f>
        <v/>
      </c>
      <c r="BD255" t="str">
        <f>IF(BA255="","",IFERROR(INDEX(wKsBand,186)+0,""))</f>
        <v/>
      </c>
      <c r="BE255" t="str">
        <f>IF(BA255="","",IFERROR(INDEX(wTests,186)+0,0))</f>
        <v/>
      </c>
      <c r="BF255" t="str">
        <f>IF(BA255="","",IFERROR(INDEX(wMean,186)+0,""))</f>
        <v/>
      </c>
      <c r="BG255" t="str">
        <f>IF(BA255="","",IFERROR(INDEX(wVs,186)+0,""))</f>
        <v/>
      </c>
      <c r="BH255" t="str">
        <f>IF(OR(BA255="",wLatest=""),"",IFERROR(INDEX(wData,186,MATCH(wLatest&amp;CHAR(10)&amp;"Stanine",wHdr,0))+0,""))</f>
        <v/>
      </c>
      <c r="BI255" t="str">
        <f>IF(BA255="","",IF(AND(ISNUMBER(BG255),N(BE255)&gt;=WlMinTests,BG255&lt;=-WlGap),"Below expected for KS2",IF(AND(NOT(ISNUMBER(BD255)),ISNUMBER(BF255),N(BE255)&gt;=WlMinTests,BF255&lt;=WlLowMean),"Low results, no KS2 data","")))</f>
        <v/>
      </c>
      <c r="BJ255" t="str">
        <f>IF(BI255="","",IF(BI255="Below expected for KS2",BG255,100+BF255)+ROW()/1000000)</f>
        <v/>
      </c>
    </row>
    <row r="256">
      <c r="H256" t="str">
        <f>IFERROR(INDEX(tblY7[Class],ROWS(H$10:H256))&amp;"","")</f>
        <v/>
      </c>
      <c r="I256" t="str">
        <f>IF(H256="","",IF(COUNTIF(H$10:H256,H256)=1,COUNTIF(H$10:H$609,"&lt;"&amp;H256)+1,""))</f>
        <v/>
      </c>
      <c r="J256" t="str">
        <f>IFERROR(INDEX(tblY8[Class],ROWS(J$10:J256))&amp;"","")</f>
        <v/>
      </c>
      <c r="K256" t="str">
        <f>IF(J256="","",IF(COUNTIF(J$10:J256,J256)=1,COUNTIF(J$10:J$609,"&lt;"&amp;J256)+1,""))</f>
        <v/>
      </c>
      <c r="L256" t="str">
        <f>IFERROR(INDEX(tblY9[Class],ROWS(L$10:L256))&amp;"","")</f>
        <v/>
      </c>
      <c r="M256" t="str">
        <f>IF(L256="","",IF(COUNTIF(L$10:L256,L256)=1,COUNTIF(L$10:L$609,"&lt;"&amp;L256)+1,""))</f>
        <v/>
      </c>
      <c r="N256" t="str">
        <f>IFERROR(INDEX(tblY10[Class],ROWS(N$10:N256))&amp;"","")</f>
        <v/>
      </c>
      <c r="O256" t="str">
        <f>IF(N256="","",IF(COUNTIF(N$10:N256,N256)=1,COUNTIF(N$10:N$609,"&lt;"&amp;N256)+1,""))</f>
        <v/>
      </c>
      <c r="P256" t="str">
        <f>IFERROR(INDEX(tblY11[Class],ROWS(P$10:P256))&amp;"","")</f>
        <v/>
      </c>
      <c r="Q256" t="str">
        <f>IF(P256="","",IF(COUNTIF(P$10:P256,P256)=1,COUNTIF(P$10:P$609,"&lt;"&amp;P256)+1,""))</f>
        <v/>
      </c>
      <c r="BA256" t="str">
        <f>IFERROR(INDEX(wLast,187)&amp;"","")</f>
        <v/>
      </c>
      <c r="BB256" t="str">
        <f>IF(BA256="","",IFERROR(INDEX(wFirst,187)&amp;"",""))</f>
        <v/>
      </c>
      <c r="BC256" t="str">
        <f>IF(BA256="","",IFERROR(INDEX(wClass,187)&amp;"",""))</f>
        <v/>
      </c>
      <c r="BD256" t="str">
        <f>IF(BA256="","",IFERROR(INDEX(wKsBand,187)+0,""))</f>
        <v/>
      </c>
      <c r="BE256" t="str">
        <f>IF(BA256="","",IFERROR(INDEX(wTests,187)+0,0))</f>
        <v/>
      </c>
      <c r="BF256" t="str">
        <f>IF(BA256="","",IFERROR(INDEX(wMean,187)+0,""))</f>
        <v/>
      </c>
      <c r="BG256" t="str">
        <f>IF(BA256="","",IFERROR(INDEX(wVs,187)+0,""))</f>
        <v/>
      </c>
      <c r="BH256" t="str">
        <f>IF(OR(BA256="",wLatest=""),"",IFERROR(INDEX(wData,187,MATCH(wLatest&amp;CHAR(10)&amp;"Stanine",wHdr,0))+0,""))</f>
        <v/>
      </c>
      <c r="BI256" t="str">
        <f>IF(BA256="","",IF(AND(ISNUMBER(BG256),N(BE256)&gt;=WlMinTests,BG256&lt;=-WlGap),"Below expected for KS2",IF(AND(NOT(ISNUMBER(BD256)),ISNUMBER(BF256),N(BE256)&gt;=WlMinTests,BF256&lt;=WlLowMean),"Low results, no KS2 data","")))</f>
        <v/>
      </c>
      <c r="BJ256" t="str">
        <f>IF(BI256="","",IF(BI256="Below expected for KS2",BG256,100+BF256)+ROW()/1000000)</f>
        <v/>
      </c>
    </row>
    <row r="257">
      <c r="H257" t="str">
        <f>IFERROR(INDEX(tblY7[Class],ROWS(H$10:H257))&amp;"","")</f>
        <v/>
      </c>
      <c r="I257" t="str">
        <f>IF(H257="","",IF(COUNTIF(H$10:H257,H257)=1,COUNTIF(H$10:H$609,"&lt;"&amp;H257)+1,""))</f>
        <v/>
      </c>
      <c r="J257" t="str">
        <f>IFERROR(INDEX(tblY8[Class],ROWS(J$10:J257))&amp;"","")</f>
        <v/>
      </c>
      <c r="K257" t="str">
        <f>IF(J257="","",IF(COUNTIF(J$10:J257,J257)=1,COUNTIF(J$10:J$609,"&lt;"&amp;J257)+1,""))</f>
        <v/>
      </c>
      <c r="L257" t="str">
        <f>IFERROR(INDEX(tblY9[Class],ROWS(L$10:L257))&amp;"","")</f>
        <v/>
      </c>
      <c r="M257" t="str">
        <f>IF(L257="","",IF(COUNTIF(L$10:L257,L257)=1,COUNTIF(L$10:L$609,"&lt;"&amp;L257)+1,""))</f>
        <v/>
      </c>
      <c r="N257" t="str">
        <f>IFERROR(INDEX(tblY10[Class],ROWS(N$10:N257))&amp;"","")</f>
        <v/>
      </c>
      <c r="O257" t="str">
        <f>IF(N257="","",IF(COUNTIF(N$10:N257,N257)=1,COUNTIF(N$10:N$609,"&lt;"&amp;N257)+1,""))</f>
        <v/>
      </c>
      <c r="P257" t="str">
        <f>IFERROR(INDEX(tblY11[Class],ROWS(P$10:P257))&amp;"","")</f>
        <v/>
      </c>
      <c r="Q257" t="str">
        <f>IF(P257="","",IF(COUNTIF(P$10:P257,P257)=1,COUNTIF(P$10:P$609,"&lt;"&amp;P257)+1,""))</f>
        <v/>
      </c>
      <c r="BA257" t="str">
        <f>IFERROR(INDEX(wLast,188)&amp;"","")</f>
        <v/>
      </c>
      <c r="BB257" t="str">
        <f>IF(BA257="","",IFERROR(INDEX(wFirst,188)&amp;"",""))</f>
        <v/>
      </c>
      <c r="BC257" t="str">
        <f>IF(BA257="","",IFERROR(INDEX(wClass,188)&amp;"",""))</f>
        <v/>
      </c>
      <c r="BD257" t="str">
        <f>IF(BA257="","",IFERROR(INDEX(wKsBand,188)+0,""))</f>
        <v/>
      </c>
      <c r="BE257" t="str">
        <f>IF(BA257="","",IFERROR(INDEX(wTests,188)+0,0))</f>
        <v/>
      </c>
      <c r="BF257" t="str">
        <f>IF(BA257="","",IFERROR(INDEX(wMean,188)+0,""))</f>
        <v/>
      </c>
      <c r="BG257" t="str">
        <f>IF(BA257="","",IFERROR(INDEX(wVs,188)+0,""))</f>
        <v/>
      </c>
      <c r="BH257" t="str">
        <f>IF(OR(BA257="",wLatest=""),"",IFERROR(INDEX(wData,188,MATCH(wLatest&amp;CHAR(10)&amp;"Stanine",wHdr,0))+0,""))</f>
        <v/>
      </c>
      <c r="BI257" t="str">
        <f>IF(BA257="","",IF(AND(ISNUMBER(BG257),N(BE257)&gt;=WlMinTests,BG257&lt;=-WlGap),"Below expected for KS2",IF(AND(NOT(ISNUMBER(BD257)),ISNUMBER(BF257),N(BE257)&gt;=WlMinTests,BF257&lt;=WlLowMean),"Low results, no KS2 data","")))</f>
        <v/>
      </c>
      <c r="BJ257" t="str">
        <f>IF(BI257="","",IF(BI257="Below expected for KS2",BG257,100+BF257)+ROW()/1000000)</f>
        <v/>
      </c>
    </row>
    <row r="258">
      <c r="H258" t="str">
        <f>IFERROR(INDEX(tblY7[Class],ROWS(H$10:H258))&amp;"","")</f>
        <v/>
      </c>
      <c r="I258" t="str">
        <f>IF(H258="","",IF(COUNTIF(H$10:H258,H258)=1,COUNTIF(H$10:H$609,"&lt;"&amp;H258)+1,""))</f>
        <v/>
      </c>
      <c r="J258" t="str">
        <f>IFERROR(INDEX(tblY8[Class],ROWS(J$10:J258))&amp;"","")</f>
        <v/>
      </c>
      <c r="K258" t="str">
        <f>IF(J258="","",IF(COUNTIF(J$10:J258,J258)=1,COUNTIF(J$10:J$609,"&lt;"&amp;J258)+1,""))</f>
        <v/>
      </c>
      <c r="L258" t="str">
        <f>IFERROR(INDEX(tblY9[Class],ROWS(L$10:L258))&amp;"","")</f>
        <v/>
      </c>
      <c r="M258" t="str">
        <f>IF(L258="","",IF(COUNTIF(L$10:L258,L258)=1,COUNTIF(L$10:L$609,"&lt;"&amp;L258)+1,""))</f>
        <v/>
      </c>
      <c r="N258" t="str">
        <f>IFERROR(INDEX(tblY10[Class],ROWS(N$10:N258))&amp;"","")</f>
        <v/>
      </c>
      <c r="O258" t="str">
        <f>IF(N258="","",IF(COUNTIF(N$10:N258,N258)=1,COUNTIF(N$10:N$609,"&lt;"&amp;N258)+1,""))</f>
        <v/>
      </c>
      <c r="P258" t="str">
        <f>IFERROR(INDEX(tblY11[Class],ROWS(P$10:P258))&amp;"","")</f>
        <v/>
      </c>
      <c r="Q258" t="str">
        <f>IF(P258="","",IF(COUNTIF(P$10:P258,P258)=1,COUNTIF(P$10:P$609,"&lt;"&amp;P258)+1,""))</f>
        <v/>
      </c>
      <c r="BA258" t="str">
        <f>IFERROR(INDEX(wLast,189)&amp;"","")</f>
        <v/>
      </c>
      <c r="BB258" t="str">
        <f>IF(BA258="","",IFERROR(INDEX(wFirst,189)&amp;"",""))</f>
        <v/>
      </c>
      <c r="BC258" t="str">
        <f>IF(BA258="","",IFERROR(INDEX(wClass,189)&amp;"",""))</f>
        <v/>
      </c>
      <c r="BD258" t="str">
        <f>IF(BA258="","",IFERROR(INDEX(wKsBand,189)+0,""))</f>
        <v/>
      </c>
      <c r="BE258" t="str">
        <f>IF(BA258="","",IFERROR(INDEX(wTests,189)+0,0))</f>
        <v/>
      </c>
      <c r="BF258" t="str">
        <f>IF(BA258="","",IFERROR(INDEX(wMean,189)+0,""))</f>
        <v/>
      </c>
      <c r="BG258" t="str">
        <f>IF(BA258="","",IFERROR(INDEX(wVs,189)+0,""))</f>
        <v/>
      </c>
      <c r="BH258" t="str">
        <f>IF(OR(BA258="",wLatest=""),"",IFERROR(INDEX(wData,189,MATCH(wLatest&amp;CHAR(10)&amp;"Stanine",wHdr,0))+0,""))</f>
        <v/>
      </c>
      <c r="BI258" t="str">
        <f>IF(BA258="","",IF(AND(ISNUMBER(BG258),N(BE258)&gt;=WlMinTests,BG258&lt;=-WlGap),"Below expected for KS2",IF(AND(NOT(ISNUMBER(BD258)),ISNUMBER(BF258),N(BE258)&gt;=WlMinTests,BF258&lt;=WlLowMean),"Low results, no KS2 data","")))</f>
        <v/>
      </c>
      <c r="BJ258" t="str">
        <f>IF(BI258="","",IF(BI258="Below expected for KS2",BG258,100+BF258)+ROW()/1000000)</f>
        <v/>
      </c>
    </row>
    <row r="259">
      <c r="H259" t="str">
        <f>IFERROR(INDEX(tblY7[Class],ROWS(H$10:H259))&amp;"","")</f>
        <v/>
      </c>
      <c r="I259" t="str">
        <f>IF(H259="","",IF(COUNTIF(H$10:H259,H259)=1,COUNTIF(H$10:H$609,"&lt;"&amp;H259)+1,""))</f>
        <v/>
      </c>
      <c r="J259" t="str">
        <f>IFERROR(INDEX(tblY8[Class],ROWS(J$10:J259))&amp;"","")</f>
        <v/>
      </c>
      <c r="K259" t="str">
        <f>IF(J259="","",IF(COUNTIF(J$10:J259,J259)=1,COUNTIF(J$10:J$609,"&lt;"&amp;J259)+1,""))</f>
        <v/>
      </c>
      <c r="L259" t="str">
        <f>IFERROR(INDEX(tblY9[Class],ROWS(L$10:L259))&amp;"","")</f>
        <v/>
      </c>
      <c r="M259" t="str">
        <f>IF(L259="","",IF(COUNTIF(L$10:L259,L259)=1,COUNTIF(L$10:L$609,"&lt;"&amp;L259)+1,""))</f>
        <v/>
      </c>
      <c r="N259" t="str">
        <f>IFERROR(INDEX(tblY10[Class],ROWS(N$10:N259))&amp;"","")</f>
        <v/>
      </c>
      <c r="O259" t="str">
        <f>IF(N259="","",IF(COUNTIF(N$10:N259,N259)=1,COUNTIF(N$10:N$609,"&lt;"&amp;N259)+1,""))</f>
        <v/>
      </c>
      <c r="P259" t="str">
        <f>IFERROR(INDEX(tblY11[Class],ROWS(P$10:P259))&amp;"","")</f>
        <v/>
      </c>
      <c r="Q259" t="str">
        <f>IF(P259="","",IF(COUNTIF(P$10:P259,P259)=1,COUNTIF(P$10:P$609,"&lt;"&amp;P259)+1,""))</f>
        <v/>
      </c>
      <c r="BA259" t="str">
        <f>IFERROR(INDEX(wLast,190)&amp;"","")</f>
        <v/>
      </c>
      <c r="BB259" t="str">
        <f>IF(BA259="","",IFERROR(INDEX(wFirst,190)&amp;"",""))</f>
        <v/>
      </c>
      <c r="BC259" t="str">
        <f>IF(BA259="","",IFERROR(INDEX(wClass,190)&amp;"",""))</f>
        <v/>
      </c>
      <c r="BD259" t="str">
        <f>IF(BA259="","",IFERROR(INDEX(wKsBand,190)+0,""))</f>
        <v/>
      </c>
      <c r="BE259" t="str">
        <f>IF(BA259="","",IFERROR(INDEX(wTests,190)+0,0))</f>
        <v/>
      </c>
      <c r="BF259" t="str">
        <f>IF(BA259="","",IFERROR(INDEX(wMean,190)+0,""))</f>
        <v/>
      </c>
      <c r="BG259" t="str">
        <f>IF(BA259="","",IFERROR(INDEX(wVs,190)+0,""))</f>
        <v/>
      </c>
      <c r="BH259" t="str">
        <f>IF(OR(BA259="",wLatest=""),"",IFERROR(INDEX(wData,190,MATCH(wLatest&amp;CHAR(10)&amp;"Stanine",wHdr,0))+0,""))</f>
        <v/>
      </c>
      <c r="BI259" t="str">
        <f>IF(BA259="","",IF(AND(ISNUMBER(BG259),N(BE259)&gt;=WlMinTests,BG259&lt;=-WlGap),"Below expected for KS2",IF(AND(NOT(ISNUMBER(BD259)),ISNUMBER(BF259),N(BE259)&gt;=WlMinTests,BF259&lt;=WlLowMean),"Low results, no KS2 data","")))</f>
        <v/>
      </c>
      <c r="BJ259" t="str">
        <f>IF(BI259="","",IF(BI259="Below expected for KS2",BG259,100+BF259)+ROW()/1000000)</f>
        <v/>
      </c>
    </row>
    <row r="260">
      <c r="H260" t="str">
        <f>IFERROR(INDEX(tblY7[Class],ROWS(H$10:H260))&amp;"","")</f>
        <v/>
      </c>
      <c r="I260" t="str">
        <f>IF(H260="","",IF(COUNTIF(H$10:H260,H260)=1,COUNTIF(H$10:H$609,"&lt;"&amp;H260)+1,""))</f>
        <v/>
      </c>
      <c r="J260" t="str">
        <f>IFERROR(INDEX(tblY8[Class],ROWS(J$10:J260))&amp;"","")</f>
        <v/>
      </c>
      <c r="K260" t="str">
        <f>IF(J260="","",IF(COUNTIF(J$10:J260,J260)=1,COUNTIF(J$10:J$609,"&lt;"&amp;J260)+1,""))</f>
        <v/>
      </c>
      <c r="L260" t="str">
        <f>IFERROR(INDEX(tblY9[Class],ROWS(L$10:L260))&amp;"","")</f>
        <v/>
      </c>
      <c r="M260" t="str">
        <f>IF(L260="","",IF(COUNTIF(L$10:L260,L260)=1,COUNTIF(L$10:L$609,"&lt;"&amp;L260)+1,""))</f>
        <v/>
      </c>
      <c r="N260" t="str">
        <f>IFERROR(INDEX(tblY10[Class],ROWS(N$10:N260))&amp;"","")</f>
        <v/>
      </c>
      <c r="O260" t="str">
        <f>IF(N260="","",IF(COUNTIF(N$10:N260,N260)=1,COUNTIF(N$10:N$609,"&lt;"&amp;N260)+1,""))</f>
        <v/>
      </c>
      <c r="P260" t="str">
        <f>IFERROR(INDEX(tblY11[Class],ROWS(P$10:P260))&amp;"","")</f>
        <v/>
      </c>
      <c r="Q260" t="str">
        <f>IF(P260="","",IF(COUNTIF(P$10:P260,P260)=1,COUNTIF(P$10:P$609,"&lt;"&amp;P260)+1,""))</f>
        <v/>
      </c>
      <c r="BA260" t="str">
        <f>IFERROR(INDEX(wLast,191)&amp;"","")</f>
        <v/>
      </c>
      <c r="BB260" t="str">
        <f>IF(BA260="","",IFERROR(INDEX(wFirst,191)&amp;"",""))</f>
        <v/>
      </c>
      <c r="BC260" t="str">
        <f>IF(BA260="","",IFERROR(INDEX(wClass,191)&amp;"",""))</f>
        <v/>
      </c>
      <c r="BD260" t="str">
        <f>IF(BA260="","",IFERROR(INDEX(wKsBand,191)+0,""))</f>
        <v/>
      </c>
      <c r="BE260" t="str">
        <f>IF(BA260="","",IFERROR(INDEX(wTests,191)+0,0))</f>
        <v/>
      </c>
      <c r="BF260" t="str">
        <f>IF(BA260="","",IFERROR(INDEX(wMean,191)+0,""))</f>
        <v/>
      </c>
      <c r="BG260" t="str">
        <f>IF(BA260="","",IFERROR(INDEX(wVs,191)+0,""))</f>
        <v/>
      </c>
      <c r="BH260" t="str">
        <f>IF(OR(BA260="",wLatest=""),"",IFERROR(INDEX(wData,191,MATCH(wLatest&amp;CHAR(10)&amp;"Stanine",wHdr,0))+0,""))</f>
        <v/>
      </c>
      <c r="BI260" t="str">
        <f>IF(BA260="","",IF(AND(ISNUMBER(BG260),N(BE260)&gt;=WlMinTests,BG260&lt;=-WlGap),"Below expected for KS2",IF(AND(NOT(ISNUMBER(BD260)),ISNUMBER(BF260),N(BE260)&gt;=WlMinTests,BF260&lt;=WlLowMean),"Low results, no KS2 data","")))</f>
        <v/>
      </c>
      <c r="BJ260" t="str">
        <f>IF(BI260="","",IF(BI260="Below expected for KS2",BG260,100+BF260)+ROW()/1000000)</f>
        <v/>
      </c>
    </row>
    <row r="261">
      <c r="H261" t="str">
        <f>IFERROR(INDEX(tblY7[Class],ROWS(H$10:H261))&amp;"","")</f>
        <v/>
      </c>
      <c r="I261" t="str">
        <f>IF(H261="","",IF(COUNTIF(H$10:H261,H261)=1,COUNTIF(H$10:H$609,"&lt;"&amp;H261)+1,""))</f>
        <v/>
      </c>
      <c r="J261" t="str">
        <f>IFERROR(INDEX(tblY8[Class],ROWS(J$10:J261))&amp;"","")</f>
        <v/>
      </c>
      <c r="K261" t="str">
        <f>IF(J261="","",IF(COUNTIF(J$10:J261,J261)=1,COUNTIF(J$10:J$609,"&lt;"&amp;J261)+1,""))</f>
        <v/>
      </c>
      <c r="L261" t="str">
        <f>IFERROR(INDEX(tblY9[Class],ROWS(L$10:L261))&amp;"","")</f>
        <v/>
      </c>
      <c r="M261" t="str">
        <f>IF(L261="","",IF(COUNTIF(L$10:L261,L261)=1,COUNTIF(L$10:L$609,"&lt;"&amp;L261)+1,""))</f>
        <v/>
      </c>
      <c r="N261" t="str">
        <f>IFERROR(INDEX(tblY10[Class],ROWS(N$10:N261))&amp;"","")</f>
        <v/>
      </c>
      <c r="O261" t="str">
        <f>IF(N261="","",IF(COUNTIF(N$10:N261,N261)=1,COUNTIF(N$10:N$609,"&lt;"&amp;N261)+1,""))</f>
        <v/>
      </c>
      <c r="P261" t="str">
        <f>IFERROR(INDEX(tblY11[Class],ROWS(P$10:P261))&amp;"","")</f>
        <v/>
      </c>
      <c r="Q261" t="str">
        <f>IF(P261="","",IF(COUNTIF(P$10:P261,P261)=1,COUNTIF(P$10:P$609,"&lt;"&amp;P261)+1,""))</f>
        <v/>
      </c>
      <c r="BA261" t="str">
        <f>IFERROR(INDEX(wLast,192)&amp;"","")</f>
        <v/>
      </c>
      <c r="BB261" t="str">
        <f>IF(BA261="","",IFERROR(INDEX(wFirst,192)&amp;"",""))</f>
        <v/>
      </c>
      <c r="BC261" t="str">
        <f>IF(BA261="","",IFERROR(INDEX(wClass,192)&amp;"",""))</f>
        <v/>
      </c>
      <c r="BD261" t="str">
        <f>IF(BA261="","",IFERROR(INDEX(wKsBand,192)+0,""))</f>
        <v/>
      </c>
      <c r="BE261" t="str">
        <f>IF(BA261="","",IFERROR(INDEX(wTests,192)+0,0))</f>
        <v/>
      </c>
      <c r="BF261" t="str">
        <f>IF(BA261="","",IFERROR(INDEX(wMean,192)+0,""))</f>
        <v/>
      </c>
      <c r="BG261" t="str">
        <f>IF(BA261="","",IFERROR(INDEX(wVs,192)+0,""))</f>
        <v/>
      </c>
      <c r="BH261" t="str">
        <f>IF(OR(BA261="",wLatest=""),"",IFERROR(INDEX(wData,192,MATCH(wLatest&amp;CHAR(10)&amp;"Stanine",wHdr,0))+0,""))</f>
        <v/>
      </c>
      <c r="BI261" t="str">
        <f>IF(BA261="","",IF(AND(ISNUMBER(BG261),N(BE261)&gt;=WlMinTests,BG261&lt;=-WlGap),"Below expected for KS2",IF(AND(NOT(ISNUMBER(BD261)),ISNUMBER(BF261),N(BE261)&gt;=WlMinTests,BF261&lt;=WlLowMean),"Low results, no KS2 data","")))</f>
        <v/>
      </c>
      <c r="BJ261" t="str">
        <f>IF(BI261="","",IF(BI261="Below expected for KS2",BG261,100+BF261)+ROW()/1000000)</f>
        <v/>
      </c>
    </row>
    <row r="262">
      <c r="H262" t="str">
        <f>IFERROR(INDEX(tblY7[Class],ROWS(H$10:H262))&amp;"","")</f>
        <v/>
      </c>
      <c r="I262" t="str">
        <f>IF(H262="","",IF(COUNTIF(H$10:H262,H262)=1,COUNTIF(H$10:H$609,"&lt;"&amp;H262)+1,""))</f>
        <v/>
      </c>
      <c r="J262" t="str">
        <f>IFERROR(INDEX(tblY8[Class],ROWS(J$10:J262))&amp;"","")</f>
        <v/>
      </c>
      <c r="K262" t="str">
        <f>IF(J262="","",IF(COUNTIF(J$10:J262,J262)=1,COUNTIF(J$10:J$609,"&lt;"&amp;J262)+1,""))</f>
        <v/>
      </c>
      <c r="L262" t="str">
        <f>IFERROR(INDEX(tblY9[Class],ROWS(L$10:L262))&amp;"","")</f>
        <v/>
      </c>
      <c r="M262" t="str">
        <f>IF(L262="","",IF(COUNTIF(L$10:L262,L262)=1,COUNTIF(L$10:L$609,"&lt;"&amp;L262)+1,""))</f>
        <v/>
      </c>
      <c r="N262" t="str">
        <f>IFERROR(INDEX(tblY10[Class],ROWS(N$10:N262))&amp;"","")</f>
        <v/>
      </c>
      <c r="O262" t="str">
        <f>IF(N262="","",IF(COUNTIF(N$10:N262,N262)=1,COUNTIF(N$10:N$609,"&lt;"&amp;N262)+1,""))</f>
        <v/>
      </c>
      <c r="P262" t="str">
        <f>IFERROR(INDEX(tblY11[Class],ROWS(P$10:P262))&amp;"","")</f>
        <v/>
      </c>
      <c r="Q262" t="str">
        <f>IF(P262="","",IF(COUNTIF(P$10:P262,P262)=1,COUNTIF(P$10:P$609,"&lt;"&amp;P262)+1,""))</f>
        <v/>
      </c>
      <c r="BA262" t="str">
        <f>IFERROR(INDEX(wLast,193)&amp;"","")</f>
        <v/>
      </c>
      <c r="BB262" t="str">
        <f>IF(BA262="","",IFERROR(INDEX(wFirst,193)&amp;"",""))</f>
        <v/>
      </c>
      <c r="BC262" t="str">
        <f>IF(BA262="","",IFERROR(INDEX(wClass,193)&amp;"",""))</f>
        <v/>
      </c>
      <c r="BD262" t="str">
        <f>IF(BA262="","",IFERROR(INDEX(wKsBand,193)+0,""))</f>
        <v/>
      </c>
      <c r="BE262" t="str">
        <f>IF(BA262="","",IFERROR(INDEX(wTests,193)+0,0))</f>
        <v/>
      </c>
      <c r="BF262" t="str">
        <f>IF(BA262="","",IFERROR(INDEX(wMean,193)+0,""))</f>
        <v/>
      </c>
      <c r="BG262" t="str">
        <f>IF(BA262="","",IFERROR(INDEX(wVs,193)+0,""))</f>
        <v/>
      </c>
      <c r="BH262" t="str">
        <f>IF(OR(BA262="",wLatest=""),"",IFERROR(INDEX(wData,193,MATCH(wLatest&amp;CHAR(10)&amp;"Stanine",wHdr,0))+0,""))</f>
        <v/>
      </c>
      <c r="BI262" t="str">
        <f>IF(BA262="","",IF(AND(ISNUMBER(BG262),N(BE262)&gt;=WlMinTests,BG262&lt;=-WlGap),"Below expected for KS2",IF(AND(NOT(ISNUMBER(BD262)),ISNUMBER(BF262),N(BE262)&gt;=WlMinTests,BF262&lt;=WlLowMean),"Low results, no KS2 data","")))</f>
        <v/>
      </c>
      <c r="BJ262" t="str">
        <f>IF(BI262="","",IF(BI262="Below expected for KS2",BG262,100+BF262)+ROW()/1000000)</f>
        <v/>
      </c>
    </row>
    <row r="263">
      <c r="H263" t="str">
        <f>IFERROR(INDEX(tblY7[Class],ROWS(H$10:H263))&amp;"","")</f>
        <v/>
      </c>
      <c r="I263" t="str">
        <f>IF(H263="","",IF(COUNTIF(H$10:H263,H263)=1,COUNTIF(H$10:H$609,"&lt;"&amp;H263)+1,""))</f>
        <v/>
      </c>
      <c r="J263" t="str">
        <f>IFERROR(INDEX(tblY8[Class],ROWS(J$10:J263))&amp;"","")</f>
        <v/>
      </c>
      <c r="K263" t="str">
        <f>IF(J263="","",IF(COUNTIF(J$10:J263,J263)=1,COUNTIF(J$10:J$609,"&lt;"&amp;J263)+1,""))</f>
        <v/>
      </c>
      <c r="L263" t="str">
        <f>IFERROR(INDEX(tblY9[Class],ROWS(L$10:L263))&amp;"","")</f>
        <v/>
      </c>
      <c r="M263" t="str">
        <f>IF(L263="","",IF(COUNTIF(L$10:L263,L263)=1,COUNTIF(L$10:L$609,"&lt;"&amp;L263)+1,""))</f>
        <v/>
      </c>
      <c r="N263" t="str">
        <f>IFERROR(INDEX(tblY10[Class],ROWS(N$10:N263))&amp;"","")</f>
        <v/>
      </c>
      <c r="O263" t="str">
        <f>IF(N263="","",IF(COUNTIF(N$10:N263,N263)=1,COUNTIF(N$10:N$609,"&lt;"&amp;N263)+1,""))</f>
        <v/>
      </c>
      <c r="P263" t="str">
        <f>IFERROR(INDEX(tblY11[Class],ROWS(P$10:P263))&amp;"","")</f>
        <v/>
      </c>
      <c r="Q263" t="str">
        <f>IF(P263="","",IF(COUNTIF(P$10:P263,P263)=1,COUNTIF(P$10:P$609,"&lt;"&amp;P263)+1,""))</f>
        <v/>
      </c>
      <c r="BA263" t="str">
        <f>IFERROR(INDEX(wLast,194)&amp;"","")</f>
        <v/>
      </c>
      <c r="BB263" t="str">
        <f>IF(BA263="","",IFERROR(INDEX(wFirst,194)&amp;"",""))</f>
        <v/>
      </c>
      <c r="BC263" t="str">
        <f>IF(BA263="","",IFERROR(INDEX(wClass,194)&amp;"",""))</f>
        <v/>
      </c>
      <c r="BD263" t="str">
        <f>IF(BA263="","",IFERROR(INDEX(wKsBand,194)+0,""))</f>
        <v/>
      </c>
      <c r="BE263" t="str">
        <f>IF(BA263="","",IFERROR(INDEX(wTests,194)+0,0))</f>
        <v/>
      </c>
      <c r="BF263" t="str">
        <f>IF(BA263="","",IFERROR(INDEX(wMean,194)+0,""))</f>
        <v/>
      </c>
      <c r="BG263" t="str">
        <f>IF(BA263="","",IFERROR(INDEX(wVs,194)+0,""))</f>
        <v/>
      </c>
      <c r="BH263" t="str">
        <f>IF(OR(BA263="",wLatest=""),"",IFERROR(INDEX(wData,194,MATCH(wLatest&amp;CHAR(10)&amp;"Stanine",wHdr,0))+0,""))</f>
        <v/>
      </c>
      <c r="BI263" t="str">
        <f>IF(BA263="","",IF(AND(ISNUMBER(BG263),N(BE263)&gt;=WlMinTests,BG263&lt;=-WlGap),"Below expected for KS2",IF(AND(NOT(ISNUMBER(BD263)),ISNUMBER(BF263),N(BE263)&gt;=WlMinTests,BF263&lt;=WlLowMean),"Low results, no KS2 data","")))</f>
        <v/>
      </c>
      <c r="BJ263" t="str">
        <f>IF(BI263="","",IF(BI263="Below expected for KS2",BG263,100+BF263)+ROW()/1000000)</f>
        <v/>
      </c>
    </row>
    <row r="264">
      <c r="H264" t="str">
        <f>IFERROR(INDEX(tblY7[Class],ROWS(H$10:H264))&amp;"","")</f>
        <v/>
      </c>
      <c r="I264" t="str">
        <f>IF(H264="","",IF(COUNTIF(H$10:H264,H264)=1,COUNTIF(H$10:H$609,"&lt;"&amp;H264)+1,""))</f>
        <v/>
      </c>
      <c r="J264" t="str">
        <f>IFERROR(INDEX(tblY8[Class],ROWS(J$10:J264))&amp;"","")</f>
        <v/>
      </c>
      <c r="K264" t="str">
        <f>IF(J264="","",IF(COUNTIF(J$10:J264,J264)=1,COUNTIF(J$10:J$609,"&lt;"&amp;J264)+1,""))</f>
        <v/>
      </c>
      <c r="L264" t="str">
        <f>IFERROR(INDEX(tblY9[Class],ROWS(L$10:L264))&amp;"","")</f>
        <v/>
      </c>
      <c r="M264" t="str">
        <f>IF(L264="","",IF(COUNTIF(L$10:L264,L264)=1,COUNTIF(L$10:L$609,"&lt;"&amp;L264)+1,""))</f>
        <v/>
      </c>
      <c r="N264" t="str">
        <f>IFERROR(INDEX(tblY10[Class],ROWS(N$10:N264))&amp;"","")</f>
        <v/>
      </c>
      <c r="O264" t="str">
        <f>IF(N264="","",IF(COUNTIF(N$10:N264,N264)=1,COUNTIF(N$10:N$609,"&lt;"&amp;N264)+1,""))</f>
        <v/>
      </c>
      <c r="P264" t="str">
        <f>IFERROR(INDEX(tblY11[Class],ROWS(P$10:P264))&amp;"","")</f>
        <v/>
      </c>
      <c r="Q264" t="str">
        <f>IF(P264="","",IF(COUNTIF(P$10:P264,P264)=1,COUNTIF(P$10:P$609,"&lt;"&amp;P264)+1,""))</f>
        <v/>
      </c>
      <c r="BA264" t="str">
        <f>IFERROR(INDEX(wLast,195)&amp;"","")</f>
        <v/>
      </c>
      <c r="BB264" t="str">
        <f>IF(BA264="","",IFERROR(INDEX(wFirst,195)&amp;"",""))</f>
        <v/>
      </c>
      <c r="BC264" t="str">
        <f>IF(BA264="","",IFERROR(INDEX(wClass,195)&amp;"",""))</f>
        <v/>
      </c>
      <c r="BD264" t="str">
        <f>IF(BA264="","",IFERROR(INDEX(wKsBand,195)+0,""))</f>
        <v/>
      </c>
      <c r="BE264" t="str">
        <f>IF(BA264="","",IFERROR(INDEX(wTests,195)+0,0))</f>
        <v/>
      </c>
      <c r="BF264" t="str">
        <f>IF(BA264="","",IFERROR(INDEX(wMean,195)+0,""))</f>
        <v/>
      </c>
      <c r="BG264" t="str">
        <f>IF(BA264="","",IFERROR(INDEX(wVs,195)+0,""))</f>
        <v/>
      </c>
      <c r="BH264" t="str">
        <f>IF(OR(BA264="",wLatest=""),"",IFERROR(INDEX(wData,195,MATCH(wLatest&amp;CHAR(10)&amp;"Stanine",wHdr,0))+0,""))</f>
        <v/>
      </c>
      <c r="BI264" t="str">
        <f>IF(BA264="","",IF(AND(ISNUMBER(BG264),N(BE264)&gt;=WlMinTests,BG264&lt;=-WlGap),"Below expected for KS2",IF(AND(NOT(ISNUMBER(BD264)),ISNUMBER(BF264),N(BE264)&gt;=WlMinTests,BF264&lt;=WlLowMean),"Low results, no KS2 data","")))</f>
        <v/>
      </c>
      <c r="BJ264" t="str">
        <f>IF(BI264="","",IF(BI264="Below expected for KS2",BG264,100+BF264)+ROW()/1000000)</f>
        <v/>
      </c>
    </row>
    <row r="265">
      <c r="H265" t="str">
        <f>IFERROR(INDEX(tblY7[Class],ROWS(H$10:H265))&amp;"","")</f>
        <v/>
      </c>
      <c r="I265" t="str">
        <f>IF(H265="","",IF(COUNTIF(H$10:H265,H265)=1,COUNTIF(H$10:H$609,"&lt;"&amp;H265)+1,""))</f>
        <v/>
      </c>
      <c r="J265" t="str">
        <f>IFERROR(INDEX(tblY8[Class],ROWS(J$10:J265))&amp;"","")</f>
        <v/>
      </c>
      <c r="K265" t="str">
        <f>IF(J265="","",IF(COUNTIF(J$10:J265,J265)=1,COUNTIF(J$10:J$609,"&lt;"&amp;J265)+1,""))</f>
        <v/>
      </c>
      <c r="L265" t="str">
        <f>IFERROR(INDEX(tblY9[Class],ROWS(L$10:L265))&amp;"","")</f>
        <v/>
      </c>
      <c r="M265" t="str">
        <f>IF(L265="","",IF(COUNTIF(L$10:L265,L265)=1,COUNTIF(L$10:L$609,"&lt;"&amp;L265)+1,""))</f>
        <v/>
      </c>
      <c r="N265" t="str">
        <f>IFERROR(INDEX(tblY10[Class],ROWS(N$10:N265))&amp;"","")</f>
        <v/>
      </c>
      <c r="O265" t="str">
        <f>IF(N265="","",IF(COUNTIF(N$10:N265,N265)=1,COUNTIF(N$10:N$609,"&lt;"&amp;N265)+1,""))</f>
        <v/>
      </c>
      <c r="P265" t="str">
        <f>IFERROR(INDEX(tblY11[Class],ROWS(P$10:P265))&amp;"","")</f>
        <v/>
      </c>
      <c r="Q265" t="str">
        <f>IF(P265="","",IF(COUNTIF(P$10:P265,P265)=1,COUNTIF(P$10:P$609,"&lt;"&amp;P265)+1,""))</f>
        <v/>
      </c>
      <c r="BA265" t="str">
        <f>IFERROR(INDEX(wLast,196)&amp;"","")</f>
        <v/>
      </c>
      <c r="BB265" t="str">
        <f>IF(BA265="","",IFERROR(INDEX(wFirst,196)&amp;"",""))</f>
        <v/>
      </c>
      <c r="BC265" t="str">
        <f>IF(BA265="","",IFERROR(INDEX(wClass,196)&amp;"",""))</f>
        <v/>
      </c>
      <c r="BD265" t="str">
        <f>IF(BA265="","",IFERROR(INDEX(wKsBand,196)+0,""))</f>
        <v/>
      </c>
      <c r="BE265" t="str">
        <f>IF(BA265="","",IFERROR(INDEX(wTests,196)+0,0))</f>
        <v/>
      </c>
      <c r="BF265" t="str">
        <f>IF(BA265="","",IFERROR(INDEX(wMean,196)+0,""))</f>
        <v/>
      </c>
      <c r="BG265" t="str">
        <f>IF(BA265="","",IFERROR(INDEX(wVs,196)+0,""))</f>
        <v/>
      </c>
      <c r="BH265" t="str">
        <f>IF(OR(BA265="",wLatest=""),"",IFERROR(INDEX(wData,196,MATCH(wLatest&amp;CHAR(10)&amp;"Stanine",wHdr,0))+0,""))</f>
        <v/>
      </c>
      <c r="BI265" t="str">
        <f>IF(BA265="","",IF(AND(ISNUMBER(BG265),N(BE265)&gt;=WlMinTests,BG265&lt;=-WlGap),"Below expected for KS2",IF(AND(NOT(ISNUMBER(BD265)),ISNUMBER(BF265),N(BE265)&gt;=WlMinTests,BF265&lt;=WlLowMean),"Low results, no KS2 data","")))</f>
        <v/>
      </c>
      <c r="BJ265" t="str">
        <f>IF(BI265="","",IF(BI265="Below expected for KS2",BG265,100+BF265)+ROW()/1000000)</f>
        <v/>
      </c>
    </row>
    <row r="266">
      <c r="H266" t="str">
        <f>IFERROR(INDEX(tblY7[Class],ROWS(H$10:H266))&amp;"","")</f>
        <v/>
      </c>
      <c r="I266" t="str">
        <f>IF(H266="","",IF(COUNTIF(H$10:H266,H266)=1,COUNTIF(H$10:H$609,"&lt;"&amp;H266)+1,""))</f>
        <v/>
      </c>
      <c r="J266" t="str">
        <f>IFERROR(INDEX(tblY8[Class],ROWS(J$10:J266))&amp;"","")</f>
        <v/>
      </c>
      <c r="K266" t="str">
        <f>IF(J266="","",IF(COUNTIF(J$10:J266,J266)=1,COUNTIF(J$10:J$609,"&lt;"&amp;J266)+1,""))</f>
        <v/>
      </c>
      <c r="L266" t="str">
        <f>IFERROR(INDEX(tblY9[Class],ROWS(L$10:L266))&amp;"","")</f>
        <v/>
      </c>
      <c r="M266" t="str">
        <f>IF(L266="","",IF(COUNTIF(L$10:L266,L266)=1,COUNTIF(L$10:L$609,"&lt;"&amp;L266)+1,""))</f>
        <v/>
      </c>
      <c r="N266" t="str">
        <f>IFERROR(INDEX(tblY10[Class],ROWS(N$10:N266))&amp;"","")</f>
        <v/>
      </c>
      <c r="O266" t="str">
        <f>IF(N266="","",IF(COUNTIF(N$10:N266,N266)=1,COUNTIF(N$10:N$609,"&lt;"&amp;N266)+1,""))</f>
        <v/>
      </c>
      <c r="P266" t="str">
        <f>IFERROR(INDEX(tblY11[Class],ROWS(P$10:P266))&amp;"","")</f>
        <v/>
      </c>
      <c r="Q266" t="str">
        <f>IF(P266="","",IF(COUNTIF(P$10:P266,P266)=1,COUNTIF(P$10:P$609,"&lt;"&amp;P266)+1,""))</f>
        <v/>
      </c>
      <c r="BA266" t="str">
        <f>IFERROR(INDEX(wLast,197)&amp;"","")</f>
        <v/>
      </c>
      <c r="BB266" t="str">
        <f>IF(BA266="","",IFERROR(INDEX(wFirst,197)&amp;"",""))</f>
        <v/>
      </c>
      <c r="BC266" t="str">
        <f>IF(BA266="","",IFERROR(INDEX(wClass,197)&amp;"",""))</f>
        <v/>
      </c>
      <c r="BD266" t="str">
        <f>IF(BA266="","",IFERROR(INDEX(wKsBand,197)+0,""))</f>
        <v/>
      </c>
      <c r="BE266" t="str">
        <f>IF(BA266="","",IFERROR(INDEX(wTests,197)+0,0))</f>
        <v/>
      </c>
      <c r="BF266" t="str">
        <f>IF(BA266="","",IFERROR(INDEX(wMean,197)+0,""))</f>
        <v/>
      </c>
      <c r="BG266" t="str">
        <f>IF(BA266="","",IFERROR(INDEX(wVs,197)+0,""))</f>
        <v/>
      </c>
      <c r="BH266" t="str">
        <f>IF(OR(BA266="",wLatest=""),"",IFERROR(INDEX(wData,197,MATCH(wLatest&amp;CHAR(10)&amp;"Stanine",wHdr,0))+0,""))</f>
        <v/>
      </c>
      <c r="BI266" t="str">
        <f>IF(BA266="","",IF(AND(ISNUMBER(BG266),N(BE266)&gt;=WlMinTests,BG266&lt;=-WlGap),"Below expected for KS2",IF(AND(NOT(ISNUMBER(BD266)),ISNUMBER(BF266),N(BE266)&gt;=WlMinTests,BF266&lt;=WlLowMean),"Low results, no KS2 data","")))</f>
        <v/>
      </c>
      <c r="BJ266" t="str">
        <f>IF(BI266="","",IF(BI266="Below expected for KS2",BG266,100+BF266)+ROW()/1000000)</f>
        <v/>
      </c>
    </row>
    <row r="267">
      <c r="H267" t="str">
        <f>IFERROR(INDEX(tblY7[Class],ROWS(H$10:H267))&amp;"","")</f>
        <v/>
      </c>
      <c r="I267" t="str">
        <f>IF(H267="","",IF(COUNTIF(H$10:H267,H267)=1,COUNTIF(H$10:H$609,"&lt;"&amp;H267)+1,""))</f>
        <v/>
      </c>
      <c r="J267" t="str">
        <f>IFERROR(INDEX(tblY8[Class],ROWS(J$10:J267))&amp;"","")</f>
        <v/>
      </c>
      <c r="K267" t="str">
        <f>IF(J267="","",IF(COUNTIF(J$10:J267,J267)=1,COUNTIF(J$10:J$609,"&lt;"&amp;J267)+1,""))</f>
        <v/>
      </c>
      <c r="L267" t="str">
        <f>IFERROR(INDEX(tblY9[Class],ROWS(L$10:L267))&amp;"","")</f>
        <v/>
      </c>
      <c r="M267" t="str">
        <f>IF(L267="","",IF(COUNTIF(L$10:L267,L267)=1,COUNTIF(L$10:L$609,"&lt;"&amp;L267)+1,""))</f>
        <v/>
      </c>
      <c r="N267" t="str">
        <f>IFERROR(INDEX(tblY10[Class],ROWS(N$10:N267))&amp;"","")</f>
        <v/>
      </c>
      <c r="O267" t="str">
        <f>IF(N267="","",IF(COUNTIF(N$10:N267,N267)=1,COUNTIF(N$10:N$609,"&lt;"&amp;N267)+1,""))</f>
        <v/>
      </c>
      <c r="P267" t="str">
        <f>IFERROR(INDEX(tblY11[Class],ROWS(P$10:P267))&amp;"","")</f>
        <v/>
      </c>
      <c r="Q267" t="str">
        <f>IF(P267="","",IF(COUNTIF(P$10:P267,P267)=1,COUNTIF(P$10:P$609,"&lt;"&amp;P267)+1,""))</f>
        <v/>
      </c>
      <c r="BA267" t="str">
        <f>IFERROR(INDEX(wLast,198)&amp;"","")</f>
        <v/>
      </c>
      <c r="BB267" t="str">
        <f>IF(BA267="","",IFERROR(INDEX(wFirst,198)&amp;"",""))</f>
        <v/>
      </c>
      <c r="BC267" t="str">
        <f>IF(BA267="","",IFERROR(INDEX(wClass,198)&amp;"",""))</f>
        <v/>
      </c>
      <c r="BD267" t="str">
        <f>IF(BA267="","",IFERROR(INDEX(wKsBand,198)+0,""))</f>
        <v/>
      </c>
      <c r="BE267" t="str">
        <f>IF(BA267="","",IFERROR(INDEX(wTests,198)+0,0))</f>
        <v/>
      </c>
      <c r="BF267" t="str">
        <f>IF(BA267="","",IFERROR(INDEX(wMean,198)+0,""))</f>
        <v/>
      </c>
      <c r="BG267" t="str">
        <f>IF(BA267="","",IFERROR(INDEX(wVs,198)+0,""))</f>
        <v/>
      </c>
      <c r="BH267" t="str">
        <f>IF(OR(BA267="",wLatest=""),"",IFERROR(INDEX(wData,198,MATCH(wLatest&amp;CHAR(10)&amp;"Stanine",wHdr,0))+0,""))</f>
        <v/>
      </c>
      <c r="BI267" t="str">
        <f>IF(BA267="","",IF(AND(ISNUMBER(BG267),N(BE267)&gt;=WlMinTests,BG267&lt;=-WlGap),"Below expected for KS2",IF(AND(NOT(ISNUMBER(BD267)),ISNUMBER(BF267),N(BE267)&gt;=WlMinTests,BF267&lt;=WlLowMean),"Low results, no KS2 data","")))</f>
        <v/>
      </c>
      <c r="BJ267" t="str">
        <f>IF(BI267="","",IF(BI267="Below expected for KS2",BG267,100+BF267)+ROW()/1000000)</f>
        <v/>
      </c>
    </row>
    <row r="268">
      <c r="H268" t="str">
        <f>IFERROR(INDEX(tblY7[Class],ROWS(H$10:H268))&amp;"","")</f>
        <v/>
      </c>
      <c r="I268" t="str">
        <f>IF(H268="","",IF(COUNTIF(H$10:H268,H268)=1,COUNTIF(H$10:H$609,"&lt;"&amp;H268)+1,""))</f>
        <v/>
      </c>
      <c r="J268" t="str">
        <f>IFERROR(INDEX(tblY8[Class],ROWS(J$10:J268))&amp;"","")</f>
        <v/>
      </c>
      <c r="K268" t="str">
        <f>IF(J268="","",IF(COUNTIF(J$10:J268,J268)=1,COUNTIF(J$10:J$609,"&lt;"&amp;J268)+1,""))</f>
        <v/>
      </c>
      <c r="L268" t="str">
        <f>IFERROR(INDEX(tblY9[Class],ROWS(L$10:L268))&amp;"","")</f>
        <v/>
      </c>
      <c r="M268" t="str">
        <f>IF(L268="","",IF(COUNTIF(L$10:L268,L268)=1,COUNTIF(L$10:L$609,"&lt;"&amp;L268)+1,""))</f>
        <v/>
      </c>
      <c r="N268" t="str">
        <f>IFERROR(INDEX(tblY10[Class],ROWS(N$10:N268))&amp;"","")</f>
        <v/>
      </c>
      <c r="O268" t="str">
        <f>IF(N268="","",IF(COUNTIF(N$10:N268,N268)=1,COUNTIF(N$10:N$609,"&lt;"&amp;N268)+1,""))</f>
        <v/>
      </c>
      <c r="P268" t="str">
        <f>IFERROR(INDEX(tblY11[Class],ROWS(P$10:P268))&amp;"","")</f>
        <v/>
      </c>
      <c r="Q268" t="str">
        <f>IF(P268="","",IF(COUNTIF(P$10:P268,P268)=1,COUNTIF(P$10:P$609,"&lt;"&amp;P268)+1,""))</f>
        <v/>
      </c>
      <c r="BA268" t="str">
        <f>IFERROR(INDEX(wLast,199)&amp;"","")</f>
        <v/>
      </c>
      <c r="BB268" t="str">
        <f>IF(BA268="","",IFERROR(INDEX(wFirst,199)&amp;"",""))</f>
        <v/>
      </c>
      <c r="BC268" t="str">
        <f>IF(BA268="","",IFERROR(INDEX(wClass,199)&amp;"",""))</f>
        <v/>
      </c>
      <c r="BD268" t="str">
        <f>IF(BA268="","",IFERROR(INDEX(wKsBand,199)+0,""))</f>
        <v/>
      </c>
      <c r="BE268" t="str">
        <f>IF(BA268="","",IFERROR(INDEX(wTests,199)+0,0))</f>
        <v/>
      </c>
      <c r="BF268" t="str">
        <f>IF(BA268="","",IFERROR(INDEX(wMean,199)+0,""))</f>
        <v/>
      </c>
      <c r="BG268" t="str">
        <f>IF(BA268="","",IFERROR(INDEX(wVs,199)+0,""))</f>
        <v/>
      </c>
      <c r="BH268" t="str">
        <f>IF(OR(BA268="",wLatest=""),"",IFERROR(INDEX(wData,199,MATCH(wLatest&amp;CHAR(10)&amp;"Stanine",wHdr,0))+0,""))</f>
        <v/>
      </c>
      <c r="BI268" t="str">
        <f>IF(BA268="","",IF(AND(ISNUMBER(BG268),N(BE268)&gt;=WlMinTests,BG268&lt;=-WlGap),"Below expected for KS2",IF(AND(NOT(ISNUMBER(BD268)),ISNUMBER(BF268),N(BE268)&gt;=WlMinTests,BF268&lt;=WlLowMean),"Low results, no KS2 data","")))</f>
        <v/>
      </c>
      <c r="BJ268" t="str">
        <f>IF(BI268="","",IF(BI268="Below expected for KS2",BG268,100+BF268)+ROW()/1000000)</f>
        <v/>
      </c>
    </row>
    <row r="269">
      <c r="H269" t="str">
        <f>IFERROR(INDEX(tblY7[Class],ROWS(H$10:H269))&amp;"","")</f>
        <v/>
      </c>
      <c r="I269" t="str">
        <f>IF(H269="","",IF(COUNTIF(H$10:H269,H269)=1,COUNTIF(H$10:H$609,"&lt;"&amp;H269)+1,""))</f>
        <v/>
      </c>
      <c r="J269" t="str">
        <f>IFERROR(INDEX(tblY8[Class],ROWS(J$10:J269))&amp;"","")</f>
        <v/>
      </c>
      <c r="K269" t="str">
        <f>IF(J269="","",IF(COUNTIF(J$10:J269,J269)=1,COUNTIF(J$10:J$609,"&lt;"&amp;J269)+1,""))</f>
        <v/>
      </c>
      <c r="L269" t="str">
        <f>IFERROR(INDEX(tblY9[Class],ROWS(L$10:L269))&amp;"","")</f>
        <v/>
      </c>
      <c r="M269" t="str">
        <f>IF(L269="","",IF(COUNTIF(L$10:L269,L269)=1,COUNTIF(L$10:L$609,"&lt;"&amp;L269)+1,""))</f>
        <v/>
      </c>
      <c r="N269" t="str">
        <f>IFERROR(INDEX(tblY10[Class],ROWS(N$10:N269))&amp;"","")</f>
        <v/>
      </c>
      <c r="O269" t="str">
        <f>IF(N269="","",IF(COUNTIF(N$10:N269,N269)=1,COUNTIF(N$10:N$609,"&lt;"&amp;N269)+1,""))</f>
        <v/>
      </c>
      <c r="P269" t="str">
        <f>IFERROR(INDEX(tblY11[Class],ROWS(P$10:P269))&amp;"","")</f>
        <v/>
      </c>
      <c r="Q269" t="str">
        <f>IF(P269="","",IF(COUNTIF(P$10:P269,P269)=1,COUNTIF(P$10:P$609,"&lt;"&amp;P269)+1,""))</f>
        <v/>
      </c>
      <c r="BA269" t="str">
        <f>IFERROR(INDEX(wLast,200)&amp;"","")</f>
        <v/>
      </c>
      <c r="BB269" t="str">
        <f>IF(BA269="","",IFERROR(INDEX(wFirst,200)&amp;"",""))</f>
        <v/>
      </c>
      <c r="BC269" t="str">
        <f>IF(BA269="","",IFERROR(INDEX(wClass,200)&amp;"",""))</f>
        <v/>
      </c>
      <c r="BD269" t="str">
        <f>IF(BA269="","",IFERROR(INDEX(wKsBand,200)+0,""))</f>
        <v/>
      </c>
      <c r="BE269" t="str">
        <f>IF(BA269="","",IFERROR(INDEX(wTests,200)+0,0))</f>
        <v/>
      </c>
      <c r="BF269" t="str">
        <f>IF(BA269="","",IFERROR(INDEX(wMean,200)+0,""))</f>
        <v/>
      </c>
      <c r="BG269" t="str">
        <f>IF(BA269="","",IFERROR(INDEX(wVs,200)+0,""))</f>
        <v/>
      </c>
      <c r="BH269" t="str">
        <f>IF(OR(BA269="",wLatest=""),"",IFERROR(INDEX(wData,200,MATCH(wLatest&amp;CHAR(10)&amp;"Stanine",wHdr,0))+0,""))</f>
        <v/>
      </c>
      <c r="BI269" t="str">
        <f>IF(BA269="","",IF(AND(ISNUMBER(BG269),N(BE269)&gt;=WlMinTests,BG269&lt;=-WlGap),"Below expected for KS2",IF(AND(NOT(ISNUMBER(BD269)),ISNUMBER(BF269),N(BE269)&gt;=WlMinTests,BF269&lt;=WlLowMean),"Low results, no KS2 data","")))</f>
        <v/>
      </c>
      <c r="BJ269" t="str">
        <f>IF(BI269="","",IF(BI269="Below expected for KS2",BG269,100+BF269)+ROW()/1000000)</f>
        <v/>
      </c>
    </row>
    <row r="270">
      <c r="H270" t="str">
        <f>IFERROR(INDEX(tblY7[Class],ROWS(H$10:H270))&amp;"","")</f>
        <v/>
      </c>
      <c r="I270" t="str">
        <f>IF(H270="","",IF(COUNTIF(H$10:H270,H270)=1,COUNTIF(H$10:H$609,"&lt;"&amp;H270)+1,""))</f>
        <v/>
      </c>
      <c r="J270" t="str">
        <f>IFERROR(INDEX(tblY8[Class],ROWS(J$10:J270))&amp;"","")</f>
        <v/>
      </c>
      <c r="K270" t="str">
        <f>IF(J270="","",IF(COUNTIF(J$10:J270,J270)=1,COUNTIF(J$10:J$609,"&lt;"&amp;J270)+1,""))</f>
        <v/>
      </c>
      <c r="L270" t="str">
        <f>IFERROR(INDEX(tblY9[Class],ROWS(L$10:L270))&amp;"","")</f>
        <v/>
      </c>
      <c r="M270" t="str">
        <f>IF(L270="","",IF(COUNTIF(L$10:L270,L270)=1,COUNTIF(L$10:L$609,"&lt;"&amp;L270)+1,""))</f>
        <v/>
      </c>
      <c r="N270" t="str">
        <f>IFERROR(INDEX(tblY10[Class],ROWS(N$10:N270))&amp;"","")</f>
        <v/>
      </c>
      <c r="O270" t="str">
        <f>IF(N270="","",IF(COUNTIF(N$10:N270,N270)=1,COUNTIF(N$10:N$609,"&lt;"&amp;N270)+1,""))</f>
        <v/>
      </c>
      <c r="P270" t="str">
        <f>IFERROR(INDEX(tblY11[Class],ROWS(P$10:P270))&amp;"","")</f>
        <v/>
      </c>
      <c r="Q270" t="str">
        <f>IF(P270="","",IF(COUNTIF(P$10:P270,P270)=1,COUNTIF(P$10:P$609,"&lt;"&amp;P270)+1,""))</f>
        <v/>
      </c>
      <c r="BA270" t="str">
        <f>IFERROR(INDEX(wLast,201)&amp;"","")</f>
        <v/>
      </c>
      <c r="BB270" t="str">
        <f>IF(BA270="","",IFERROR(INDEX(wFirst,201)&amp;"",""))</f>
        <v/>
      </c>
      <c r="BC270" t="str">
        <f>IF(BA270="","",IFERROR(INDEX(wClass,201)&amp;"",""))</f>
        <v/>
      </c>
      <c r="BD270" t="str">
        <f>IF(BA270="","",IFERROR(INDEX(wKsBand,201)+0,""))</f>
        <v/>
      </c>
      <c r="BE270" t="str">
        <f>IF(BA270="","",IFERROR(INDEX(wTests,201)+0,0))</f>
        <v/>
      </c>
      <c r="BF270" t="str">
        <f>IF(BA270="","",IFERROR(INDEX(wMean,201)+0,""))</f>
        <v/>
      </c>
      <c r="BG270" t="str">
        <f>IF(BA270="","",IFERROR(INDEX(wVs,201)+0,""))</f>
        <v/>
      </c>
      <c r="BH270" t="str">
        <f>IF(OR(BA270="",wLatest=""),"",IFERROR(INDEX(wData,201,MATCH(wLatest&amp;CHAR(10)&amp;"Stanine",wHdr,0))+0,""))</f>
        <v/>
      </c>
      <c r="BI270" t="str">
        <f>IF(BA270="","",IF(AND(ISNUMBER(BG270),N(BE270)&gt;=WlMinTests,BG270&lt;=-WlGap),"Below expected for KS2",IF(AND(NOT(ISNUMBER(BD270)),ISNUMBER(BF270),N(BE270)&gt;=WlMinTests,BF270&lt;=WlLowMean),"Low results, no KS2 data","")))</f>
        <v/>
      </c>
      <c r="BJ270" t="str">
        <f>IF(BI270="","",IF(BI270="Below expected for KS2",BG270,100+BF270)+ROW()/1000000)</f>
        <v/>
      </c>
    </row>
    <row r="271">
      <c r="H271" t="str">
        <f>IFERROR(INDEX(tblY7[Class],ROWS(H$10:H271))&amp;"","")</f>
        <v/>
      </c>
      <c r="I271" t="str">
        <f>IF(H271="","",IF(COUNTIF(H$10:H271,H271)=1,COUNTIF(H$10:H$609,"&lt;"&amp;H271)+1,""))</f>
        <v/>
      </c>
      <c r="J271" t="str">
        <f>IFERROR(INDEX(tblY8[Class],ROWS(J$10:J271))&amp;"","")</f>
        <v/>
      </c>
      <c r="K271" t="str">
        <f>IF(J271="","",IF(COUNTIF(J$10:J271,J271)=1,COUNTIF(J$10:J$609,"&lt;"&amp;J271)+1,""))</f>
        <v/>
      </c>
      <c r="L271" t="str">
        <f>IFERROR(INDEX(tblY9[Class],ROWS(L$10:L271))&amp;"","")</f>
        <v/>
      </c>
      <c r="M271" t="str">
        <f>IF(L271="","",IF(COUNTIF(L$10:L271,L271)=1,COUNTIF(L$10:L$609,"&lt;"&amp;L271)+1,""))</f>
        <v/>
      </c>
      <c r="N271" t="str">
        <f>IFERROR(INDEX(tblY10[Class],ROWS(N$10:N271))&amp;"","")</f>
        <v/>
      </c>
      <c r="O271" t="str">
        <f>IF(N271="","",IF(COUNTIF(N$10:N271,N271)=1,COUNTIF(N$10:N$609,"&lt;"&amp;N271)+1,""))</f>
        <v/>
      </c>
      <c r="P271" t="str">
        <f>IFERROR(INDEX(tblY11[Class],ROWS(P$10:P271))&amp;"","")</f>
        <v/>
      </c>
      <c r="Q271" t="str">
        <f>IF(P271="","",IF(COUNTIF(P$10:P271,P271)=1,COUNTIF(P$10:P$609,"&lt;"&amp;P271)+1,""))</f>
        <v/>
      </c>
      <c r="BA271" t="str">
        <f>IFERROR(INDEX(wLast,202)&amp;"","")</f>
        <v/>
      </c>
      <c r="BB271" t="str">
        <f>IF(BA271="","",IFERROR(INDEX(wFirst,202)&amp;"",""))</f>
        <v/>
      </c>
      <c r="BC271" t="str">
        <f>IF(BA271="","",IFERROR(INDEX(wClass,202)&amp;"",""))</f>
        <v/>
      </c>
      <c r="BD271" t="str">
        <f>IF(BA271="","",IFERROR(INDEX(wKsBand,202)+0,""))</f>
        <v/>
      </c>
      <c r="BE271" t="str">
        <f>IF(BA271="","",IFERROR(INDEX(wTests,202)+0,0))</f>
        <v/>
      </c>
      <c r="BF271" t="str">
        <f>IF(BA271="","",IFERROR(INDEX(wMean,202)+0,""))</f>
        <v/>
      </c>
      <c r="BG271" t="str">
        <f>IF(BA271="","",IFERROR(INDEX(wVs,202)+0,""))</f>
        <v/>
      </c>
      <c r="BH271" t="str">
        <f>IF(OR(BA271="",wLatest=""),"",IFERROR(INDEX(wData,202,MATCH(wLatest&amp;CHAR(10)&amp;"Stanine",wHdr,0))+0,""))</f>
        <v/>
      </c>
      <c r="BI271" t="str">
        <f>IF(BA271="","",IF(AND(ISNUMBER(BG271),N(BE271)&gt;=WlMinTests,BG271&lt;=-WlGap),"Below expected for KS2",IF(AND(NOT(ISNUMBER(BD271)),ISNUMBER(BF271),N(BE271)&gt;=WlMinTests,BF271&lt;=WlLowMean),"Low results, no KS2 data","")))</f>
        <v/>
      </c>
      <c r="BJ271" t="str">
        <f>IF(BI271="","",IF(BI271="Below expected for KS2",BG271,100+BF271)+ROW()/1000000)</f>
        <v/>
      </c>
    </row>
    <row r="272">
      <c r="H272" t="str">
        <f>IFERROR(INDEX(tblY7[Class],ROWS(H$10:H272))&amp;"","")</f>
        <v/>
      </c>
      <c r="I272" t="str">
        <f>IF(H272="","",IF(COUNTIF(H$10:H272,H272)=1,COUNTIF(H$10:H$609,"&lt;"&amp;H272)+1,""))</f>
        <v/>
      </c>
      <c r="J272" t="str">
        <f>IFERROR(INDEX(tblY8[Class],ROWS(J$10:J272))&amp;"","")</f>
        <v/>
      </c>
      <c r="K272" t="str">
        <f>IF(J272="","",IF(COUNTIF(J$10:J272,J272)=1,COUNTIF(J$10:J$609,"&lt;"&amp;J272)+1,""))</f>
        <v/>
      </c>
      <c r="L272" t="str">
        <f>IFERROR(INDEX(tblY9[Class],ROWS(L$10:L272))&amp;"","")</f>
        <v/>
      </c>
      <c r="M272" t="str">
        <f>IF(L272="","",IF(COUNTIF(L$10:L272,L272)=1,COUNTIF(L$10:L$609,"&lt;"&amp;L272)+1,""))</f>
        <v/>
      </c>
      <c r="N272" t="str">
        <f>IFERROR(INDEX(tblY10[Class],ROWS(N$10:N272))&amp;"","")</f>
        <v/>
      </c>
      <c r="O272" t="str">
        <f>IF(N272="","",IF(COUNTIF(N$10:N272,N272)=1,COUNTIF(N$10:N$609,"&lt;"&amp;N272)+1,""))</f>
        <v/>
      </c>
      <c r="P272" t="str">
        <f>IFERROR(INDEX(tblY11[Class],ROWS(P$10:P272))&amp;"","")</f>
        <v/>
      </c>
      <c r="Q272" t="str">
        <f>IF(P272="","",IF(COUNTIF(P$10:P272,P272)=1,COUNTIF(P$10:P$609,"&lt;"&amp;P272)+1,""))</f>
        <v/>
      </c>
      <c r="BA272" t="str">
        <f>IFERROR(INDEX(wLast,203)&amp;"","")</f>
        <v/>
      </c>
      <c r="BB272" t="str">
        <f>IF(BA272="","",IFERROR(INDEX(wFirst,203)&amp;"",""))</f>
        <v/>
      </c>
      <c r="BC272" t="str">
        <f>IF(BA272="","",IFERROR(INDEX(wClass,203)&amp;"",""))</f>
        <v/>
      </c>
      <c r="BD272" t="str">
        <f>IF(BA272="","",IFERROR(INDEX(wKsBand,203)+0,""))</f>
        <v/>
      </c>
      <c r="BE272" t="str">
        <f>IF(BA272="","",IFERROR(INDEX(wTests,203)+0,0))</f>
        <v/>
      </c>
      <c r="BF272" t="str">
        <f>IF(BA272="","",IFERROR(INDEX(wMean,203)+0,""))</f>
        <v/>
      </c>
      <c r="BG272" t="str">
        <f>IF(BA272="","",IFERROR(INDEX(wVs,203)+0,""))</f>
        <v/>
      </c>
      <c r="BH272" t="str">
        <f>IF(OR(BA272="",wLatest=""),"",IFERROR(INDEX(wData,203,MATCH(wLatest&amp;CHAR(10)&amp;"Stanine",wHdr,0))+0,""))</f>
        <v/>
      </c>
      <c r="BI272" t="str">
        <f>IF(BA272="","",IF(AND(ISNUMBER(BG272),N(BE272)&gt;=WlMinTests,BG272&lt;=-WlGap),"Below expected for KS2",IF(AND(NOT(ISNUMBER(BD272)),ISNUMBER(BF272),N(BE272)&gt;=WlMinTests,BF272&lt;=WlLowMean),"Low results, no KS2 data","")))</f>
        <v/>
      </c>
      <c r="BJ272" t="str">
        <f>IF(BI272="","",IF(BI272="Below expected for KS2",BG272,100+BF272)+ROW()/1000000)</f>
        <v/>
      </c>
    </row>
    <row r="273">
      <c r="H273" t="str">
        <f>IFERROR(INDEX(tblY7[Class],ROWS(H$10:H273))&amp;"","")</f>
        <v/>
      </c>
      <c r="I273" t="str">
        <f>IF(H273="","",IF(COUNTIF(H$10:H273,H273)=1,COUNTIF(H$10:H$609,"&lt;"&amp;H273)+1,""))</f>
        <v/>
      </c>
      <c r="J273" t="str">
        <f>IFERROR(INDEX(tblY8[Class],ROWS(J$10:J273))&amp;"","")</f>
        <v/>
      </c>
      <c r="K273" t="str">
        <f>IF(J273="","",IF(COUNTIF(J$10:J273,J273)=1,COUNTIF(J$10:J$609,"&lt;"&amp;J273)+1,""))</f>
        <v/>
      </c>
      <c r="L273" t="str">
        <f>IFERROR(INDEX(tblY9[Class],ROWS(L$10:L273))&amp;"","")</f>
        <v/>
      </c>
      <c r="M273" t="str">
        <f>IF(L273="","",IF(COUNTIF(L$10:L273,L273)=1,COUNTIF(L$10:L$609,"&lt;"&amp;L273)+1,""))</f>
        <v/>
      </c>
      <c r="N273" t="str">
        <f>IFERROR(INDEX(tblY10[Class],ROWS(N$10:N273))&amp;"","")</f>
        <v/>
      </c>
      <c r="O273" t="str">
        <f>IF(N273="","",IF(COUNTIF(N$10:N273,N273)=1,COUNTIF(N$10:N$609,"&lt;"&amp;N273)+1,""))</f>
        <v/>
      </c>
      <c r="P273" t="str">
        <f>IFERROR(INDEX(tblY11[Class],ROWS(P$10:P273))&amp;"","")</f>
        <v/>
      </c>
      <c r="Q273" t="str">
        <f>IF(P273="","",IF(COUNTIF(P$10:P273,P273)=1,COUNTIF(P$10:P$609,"&lt;"&amp;P273)+1,""))</f>
        <v/>
      </c>
      <c r="BA273" t="str">
        <f>IFERROR(INDEX(wLast,204)&amp;"","")</f>
        <v/>
      </c>
      <c r="BB273" t="str">
        <f>IF(BA273="","",IFERROR(INDEX(wFirst,204)&amp;"",""))</f>
        <v/>
      </c>
      <c r="BC273" t="str">
        <f>IF(BA273="","",IFERROR(INDEX(wClass,204)&amp;"",""))</f>
        <v/>
      </c>
      <c r="BD273" t="str">
        <f>IF(BA273="","",IFERROR(INDEX(wKsBand,204)+0,""))</f>
        <v/>
      </c>
      <c r="BE273" t="str">
        <f>IF(BA273="","",IFERROR(INDEX(wTests,204)+0,0))</f>
        <v/>
      </c>
      <c r="BF273" t="str">
        <f>IF(BA273="","",IFERROR(INDEX(wMean,204)+0,""))</f>
        <v/>
      </c>
      <c r="BG273" t="str">
        <f>IF(BA273="","",IFERROR(INDEX(wVs,204)+0,""))</f>
        <v/>
      </c>
      <c r="BH273" t="str">
        <f>IF(OR(BA273="",wLatest=""),"",IFERROR(INDEX(wData,204,MATCH(wLatest&amp;CHAR(10)&amp;"Stanine",wHdr,0))+0,""))</f>
        <v/>
      </c>
      <c r="BI273" t="str">
        <f>IF(BA273="","",IF(AND(ISNUMBER(BG273),N(BE273)&gt;=WlMinTests,BG273&lt;=-WlGap),"Below expected for KS2",IF(AND(NOT(ISNUMBER(BD273)),ISNUMBER(BF273),N(BE273)&gt;=WlMinTests,BF273&lt;=WlLowMean),"Low results, no KS2 data","")))</f>
        <v/>
      </c>
      <c r="BJ273" t="str">
        <f>IF(BI273="","",IF(BI273="Below expected for KS2",BG273,100+BF273)+ROW()/1000000)</f>
        <v/>
      </c>
    </row>
    <row r="274">
      <c r="H274" t="str">
        <f>IFERROR(INDEX(tblY7[Class],ROWS(H$10:H274))&amp;"","")</f>
        <v/>
      </c>
      <c r="I274" t="str">
        <f>IF(H274="","",IF(COUNTIF(H$10:H274,H274)=1,COUNTIF(H$10:H$609,"&lt;"&amp;H274)+1,""))</f>
        <v/>
      </c>
      <c r="J274" t="str">
        <f>IFERROR(INDEX(tblY8[Class],ROWS(J$10:J274))&amp;"","")</f>
        <v/>
      </c>
      <c r="K274" t="str">
        <f>IF(J274="","",IF(COUNTIF(J$10:J274,J274)=1,COUNTIF(J$10:J$609,"&lt;"&amp;J274)+1,""))</f>
        <v/>
      </c>
      <c r="L274" t="str">
        <f>IFERROR(INDEX(tblY9[Class],ROWS(L$10:L274))&amp;"","")</f>
        <v/>
      </c>
      <c r="M274" t="str">
        <f>IF(L274="","",IF(COUNTIF(L$10:L274,L274)=1,COUNTIF(L$10:L$609,"&lt;"&amp;L274)+1,""))</f>
        <v/>
      </c>
      <c r="N274" t="str">
        <f>IFERROR(INDEX(tblY10[Class],ROWS(N$10:N274))&amp;"","")</f>
        <v/>
      </c>
      <c r="O274" t="str">
        <f>IF(N274="","",IF(COUNTIF(N$10:N274,N274)=1,COUNTIF(N$10:N$609,"&lt;"&amp;N274)+1,""))</f>
        <v/>
      </c>
      <c r="P274" t="str">
        <f>IFERROR(INDEX(tblY11[Class],ROWS(P$10:P274))&amp;"","")</f>
        <v/>
      </c>
      <c r="Q274" t="str">
        <f>IF(P274="","",IF(COUNTIF(P$10:P274,P274)=1,COUNTIF(P$10:P$609,"&lt;"&amp;P274)+1,""))</f>
        <v/>
      </c>
      <c r="BA274" t="str">
        <f>IFERROR(INDEX(wLast,205)&amp;"","")</f>
        <v/>
      </c>
      <c r="BB274" t="str">
        <f>IF(BA274="","",IFERROR(INDEX(wFirst,205)&amp;"",""))</f>
        <v/>
      </c>
      <c r="BC274" t="str">
        <f>IF(BA274="","",IFERROR(INDEX(wClass,205)&amp;"",""))</f>
        <v/>
      </c>
      <c r="BD274" t="str">
        <f>IF(BA274="","",IFERROR(INDEX(wKsBand,205)+0,""))</f>
        <v/>
      </c>
      <c r="BE274" t="str">
        <f>IF(BA274="","",IFERROR(INDEX(wTests,205)+0,0))</f>
        <v/>
      </c>
      <c r="BF274" t="str">
        <f>IF(BA274="","",IFERROR(INDEX(wMean,205)+0,""))</f>
        <v/>
      </c>
      <c r="BG274" t="str">
        <f>IF(BA274="","",IFERROR(INDEX(wVs,205)+0,""))</f>
        <v/>
      </c>
      <c r="BH274" t="str">
        <f>IF(OR(BA274="",wLatest=""),"",IFERROR(INDEX(wData,205,MATCH(wLatest&amp;CHAR(10)&amp;"Stanine",wHdr,0))+0,""))</f>
        <v/>
      </c>
      <c r="BI274" t="str">
        <f>IF(BA274="","",IF(AND(ISNUMBER(BG274),N(BE274)&gt;=WlMinTests,BG274&lt;=-WlGap),"Below expected for KS2",IF(AND(NOT(ISNUMBER(BD274)),ISNUMBER(BF274),N(BE274)&gt;=WlMinTests,BF274&lt;=WlLowMean),"Low results, no KS2 data","")))</f>
        <v/>
      </c>
      <c r="BJ274" t="str">
        <f>IF(BI274="","",IF(BI274="Below expected for KS2",BG274,100+BF274)+ROW()/1000000)</f>
        <v/>
      </c>
    </row>
    <row r="275">
      <c r="H275" t="str">
        <f>IFERROR(INDEX(tblY7[Class],ROWS(H$10:H275))&amp;"","")</f>
        <v/>
      </c>
      <c r="I275" t="str">
        <f>IF(H275="","",IF(COUNTIF(H$10:H275,H275)=1,COUNTIF(H$10:H$609,"&lt;"&amp;H275)+1,""))</f>
        <v/>
      </c>
      <c r="J275" t="str">
        <f>IFERROR(INDEX(tblY8[Class],ROWS(J$10:J275))&amp;"","")</f>
        <v/>
      </c>
      <c r="K275" t="str">
        <f>IF(J275="","",IF(COUNTIF(J$10:J275,J275)=1,COUNTIF(J$10:J$609,"&lt;"&amp;J275)+1,""))</f>
        <v/>
      </c>
      <c r="L275" t="str">
        <f>IFERROR(INDEX(tblY9[Class],ROWS(L$10:L275))&amp;"","")</f>
        <v/>
      </c>
      <c r="M275" t="str">
        <f>IF(L275="","",IF(COUNTIF(L$10:L275,L275)=1,COUNTIF(L$10:L$609,"&lt;"&amp;L275)+1,""))</f>
        <v/>
      </c>
      <c r="N275" t="str">
        <f>IFERROR(INDEX(tblY10[Class],ROWS(N$10:N275))&amp;"","")</f>
        <v/>
      </c>
      <c r="O275" t="str">
        <f>IF(N275="","",IF(COUNTIF(N$10:N275,N275)=1,COUNTIF(N$10:N$609,"&lt;"&amp;N275)+1,""))</f>
        <v/>
      </c>
      <c r="P275" t="str">
        <f>IFERROR(INDEX(tblY11[Class],ROWS(P$10:P275))&amp;"","")</f>
        <v/>
      </c>
      <c r="Q275" t="str">
        <f>IF(P275="","",IF(COUNTIF(P$10:P275,P275)=1,COUNTIF(P$10:P$609,"&lt;"&amp;P275)+1,""))</f>
        <v/>
      </c>
      <c r="BA275" t="str">
        <f>IFERROR(INDEX(wLast,206)&amp;"","")</f>
        <v/>
      </c>
      <c r="BB275" t="str">
        <f>IF(BA275="","",IFERROR(INDEX(wFirst,206)&amp;"",""))</f>
        <v/>
      </c>
      <c r="BC275" t="str">
        <f>IF(BA275="","",IFERROR(INDEX(wClass,206)&amp;"",""))</f>
        <v/>
      </c>
      <c r="BD275" t="str">
        <f>IF(BA275="","",IFERROR(INDEX(wKsBand,206)+0,""))</f>
        <v/>
      </c>
      <c r="BE275" t="str">
        <f>IF(BA275="","",IFERROR(INDEX(wTests,206)+0,0))</f>
        <v/>
      </c>
      <c r="BF275" t="str">
        <f>IF(BA275="","",IFERROR(INDEX(wMean,206)+0,""))</f>
        <v/>
      </c>
      <c r="BG275" t="str">
        <f>IF(BA275="","",IFERROR(INDEX(wVs,206)+0,""))</f>
        <v/>
      </c>
      <c r="BH275" t="str">
        <f>IF(OR(BA275="",wLatest=""),"",IFERROR(INDEX(wData,206,MATCH(wLatest&amp;CHAR(10)&amp;"Stanine",wHdr,0))+0,""))</f>
        <v/>
      </c>
      <c r="BI275" t="str">
        <f>IF(BA275="","",IF(AND(ISNUMBER(BG275),N(BE275)&gt;=WlMinTests,BG275&lt;=-WlGap),"Below expected for KS2",IF(AND(NOT(ISNUMBER(BD275)),ISNUMBER(BF275),N(BE275)&gt;=WlMinTests,BF275&lt;=WlLowMean),"Low results, no KS2 data","")))</f>
        <v/>
      </c>
      <c r="BJ275" t="str">
        <f>IF(BI275="","",IF(BI275="Below expected for KS2",BG275,100+BF275)+ROW()/1000000)</f>
        <v/>
      </c>
    </row>
    <row r="276">
      <c r="H276" t="str">
        <f>IFERROR(INDEX(tblY7[Class],ROWS(H$10:H276))&amp;"","")</f>
        <v/>
      </c>
      <c r="I276" t="str">
        <f>IF(H276="","",IF(COUNTIF(H$10:H276,H276)=1,COUNTIF(H$10:H$609,"&lt;"&amp;H276)+1,""))</f>
        <v/>
      </c>
      <c r="J276" t="str">
        <f>IFERROR(INDEX(tblY8[Class],ROWS(J$10:J276))&amp;"","")</f>
        <v/>
      </c>
      <c r="K276" t="str">
        <f>IF(J276="","",IF(COUNTIF(J$10:J276,J276)=1,COUNTIF(J$10:J$609,"&lt;"&amp;J276)+1,""))</f>
        <v/>
      </c>
      <c r="L276" t="str">
        <f>IFERROR(INDEX(tblY9[Class],ROWS(L$10:L276))&amp;"","")</f>
        <v/>
      </c>
      <c r="M276" t="str">
        <f>IF(L276="","",IF(COUNTIF(L$10:L276,L276)=1,COUNTIF(L$10:L$609,"&lt;"&amp;L276)+1,""))</f>
        <v/>
      </c>
      <c r="N276" t="str">
        <f>IFERROR(INDEX(tblY10[Class],ROWS(N$10:N276))&amp;"","")</f>
        <v/>
      </c>
      <c r="O276" t="str">
        <f>IF(N276="","",IF(COUNTIF(N$10:N276,N276)=1,COUNTIF(N$10:N$609,"&lt;"&amp;N276)+1,""))</f>
        <v/>
      </c>
      <c r="P276" t="str">
        <f>IFERROR(INDEX(tblY11[Class],ROWS(P$10:P276))&amp;"","")</f>
        <v/>
      </c>
      <c r="Q276" t="str">
        <f>IF(P276="","",IF(COUNTIF(P$10:P276,P276)=1,COUNTIF(P$10:P$609,"&lt;"&amp;P276)+1,""))</f>
        <v/>
      </c>
      <c r="BA276" t="str">
        <f>IFERROR(INDEX(wLast,207)&amp;"","")</f>
        <v/>
      </c>
      <c r="BB276" t="str">
        <f>IF(BA276="","",IFERROR(INDEX(wFirst,207)&amp;"",""))</f>
        <v/>
      </c>
      <c r="BC276" t="str">
        <f>IF(BA276="","",IFERROR(INDEX(wClass,207)&amp;"",""))</f>
        <v/>
      </c>
      <c r="BD276" t="str">
        <f>IF(BA276="","",IFERROR(INDEX(wKsBand,207)+0,""))</f>
        <v/>
      </c>
      <c r="BE276" t="str">
        <f>IF(BA276="","",IFERROR(INDEX(wTests,207)+0,0))</f>
        <v/>
      </c>
      <c r="BF276" t="str">
        <f>IF(BA276="","",IFERROR(INDEX(wMean,207)+0,""))</f>
        <v/>
      </c>
      <c r="BG276" t="str">
        <f>IF(BA276="","",IFERROR(INDEX(wVs,207)+0,""))</f>
        <v/>
      </c>
      <c r="BH276" t="str">
        <f>IF(OR(BA276="",wLatest=""),"",IFERROR(INDEX(wData,207,MATCH(wLatest&amp;CHAR(10)&amp;"Stanine",wHdr,0))+0,""))</f>
        <v/>
      </c>
      <c r="BI276" t="str">
        <f>IF(BA276="","",IF(AND(ISNUMBER(BG276),N(BE276)&gt;=WlMinTests,BG276&lt;=-WlGap),"Below expected for KS2",IF(AND(NOT(ISNUMBER(BD276)),ISNUMBER(BF276),N(BE276)&gt;=WlMinTests,BF276&lt;=WlLowMean),"Low results, no KS2 data","")))</f>
        <v/>
      </c>
      <c r="BJ276" t="str">
        <f>IF(BI276="","",IF(BI276="Below expected for KS2",BG276,100+BF276)+ROW()/1000000)</f>
        <v/>
      </c>
    </row>
    <row r="277">
      <c r="H277" t="str">
        <f>IFERROR(INDEX(tblY7[Class],ROWS(H$10:H277))&amp;"","")</f>
        <v/>
      </c>
      <c r="I277" t="str">
        <f>IF(H277="","",IF(COUNTIF(H$10:H277,H277)=1,COUNTIF(H$10:H$609,"&lt;"&amp;H277)+1,""))</f>
        <v/>
      </c>
      <c r="J277" t="str">
        <f>IFERROR(INDEX(tblY8[Class],ROWS(J$10:J277))&amp;"","")</f>
        <v/>
      </c>
      <c r="K277" t="str">
        <f>IF(J277="","",IF(COUNTIF(J$10:J277,J277)=1,COUNTIF(J$10:J$609,"&lt;"&amp;J277)+1,""))</f>
        <v/>
      </c>
      <c r="L277" t="str">
        <f>IFERROR(INDEX(tblY9[Class],ROWS(L$10:L277))&amp;"","")</f>
        <v/>
      </c>
      <c r="M277" t="str">
        <f>IF(L277="","",IF(COUNTIF(L$10:L277,L277)=1,COUNTIF(L$10:L$609,"&lt;"&amp;L277)+1,""))</f>
        <v/>
      </c>
      <c r="N277" t="str">
        <f>IFERROR(INDEX(tblY10[Class],ROWS(N$10:N277))&amp;"","")</f>
        <v/>
      </c>
      <c r="O277" t="str">
        <f>IF(N277="","",IF(COUNTIF(N$10:N277,N277)=1,COUNTIF(N$10:N$609,"&lt;"&amp;N277)+1,""))</f>
        <v/>
      </c>
      <c r="P277" t="str">
        <f>IFERROR(INDEX(tblY11[Class],ROWS(P$10:P277))&amp;"","")</f>
        <v/>
      </c>
      <c r="Q277" t="str">
        <f>IF(P277="","",IF(COUNTIF(P$10:P277,P277)=1,COUNTIF(P$10:P$609,"&lt;"&amp;P277)+1,""))</f>
        <v/>
      </c>
      <c r="BA277" t="str">
        <f>IFERROR(INDEX(wLast,208)&amp;"","")</f>
        <v/>
      </c>
      <c r="BB277" t="str">
        <f>IF(BA277="","",IFERROR(INDEX(wFirst,208)&amp;"",""))</f>
        <v/>
      </c>
      <c r="BC277" t="str">
        <f>IF(BA277="","",IFERROR(INDEX(wClass,208)&amp;"",""))</f>
        <v/>
      </c>
      <c r="BD277" t="str">
        <f>IF(BA277="","",IFERROR(INDEX(wKsBand,208)+0,""))</f>
        <v/>
      </c>
      <c r="BE277" t="str">
        <f>IF(BA277="","",IFERROR(INDEX(wTests,208)+0,0))</f>
        <v/>
      </c>
      <c r="BF277" t="str">
        <f>IF(BA277="","",IFERROR(INDEX(wMean,208)+0,""))</f>
        <v/>
      </c>
      <c r="BG277" t="str">
        <f>IF(BA277="","",IFERROR(INDEX(wVs,208)+0,""))</f>
        <v/>
      </c>
      <c r="BH277" t="str">
        <f>IF(OR(BA277="",wLatest=""),"",IFERROR(INDEX(wData,208,MATCH(wLatest&amp;CHAR(10)&amp;"Stanine",wHdr,0))+0,""))</f>
        <v/>
      </c>
      <c r="BI277" t="str">
        <f>IF(BA277="","",IF(AND(ISNUMBER(BG277),N(BE277)&gt;=WlMinTests,BG277&lt;=-WlGap),"Below expected for KS2",IF(AND(NOT(ISNUMBER(BD277)),ISNUMBER(BF277),N(BE277)&gt;=WlMinTests,BF277&lt;=WlLowMean),"Low results, no KS2 data","")))</f>
        <v/>
      </c>
      <c r="BJ277" t="str">
        <f>IF(BI277="","",IF(BI277="Below expected for KS2",BG277,100+BF277)+ROW()/1000000)</f>
        <v/>
      </c>
    </row>
    <row r="278">
      <c r="H278" t="str">
        <f>IFERROR(INDEX(tblY7[Class],ROWS(H$10:H278))&amp;"","")</f>
        <v/>
      </c>
      <c r="I278" t="str">
        <f>IF(H278="","",IF(COUNTIF(H$10:H278,H278)=1,COUNTIF(H$10:H$609,"&lt;"&amp;H278)+1,""))</f>
        <v/>
      </c>
      <c r="J278" t="str">
        <f>IFERROR(INDEX(tblY8[Class],ROWS(J$10:J278))&amp;"","")</f>
        <v/>
      </c>
      <c r="K278" t="str">
        <f>IF(J278="","",IF(COUNTIF(J$10:J278,J278)=1,COUNTIF(J$10:J$609,"&lt;"&amp;J278)+1,""))</f>
        <v/>
      </c>
      <c r="L278" t="str">
        <f>IFERROR(INDEX(tblY9[Class],ROWS(L$10:L278))&amp;"","")</f>
        <v/>
      </c>
      <c r="M278" t="str">
        <f>IF(L278="","",IF(COUNTIF(L$10:L278,L278)=1,COUNTIF(L$10:L$609,"&lt;"&amp;L278)+1,""))</f>
        <v/>
      </c>
      <c r="N278" t="str">
        <f>IFERROR(INDEX(tblY10[Class],ROWS(N$10:N278))&amp;"","")</f>
        <v/>
      </c>
      <c r="O278" t="str">
        <f>IF(N278="","",IF(COUNTIF(N$10:N278,N278)=1,COUNTIF(N$10:N$609,"&lt;"&amp;N278)+1,""))</f>
        <v/>
      </c>
      <c r="P278" t="str">
        <f>IFERROR(INDEX(tblY11[Class],ROWS(P$10:P278))&amp;"","")</f>
        <v/>
      </c>
      <c r="Q278" t="str">
        <f>IF(P278="","",IF(COUNTIF(P$10:P278,P278)=1,COUNTIF(P$10:P$609,"&lt;"&amp;P278)+1,""))</f>
        <v/>
      </c>
      <c r="BA278" t="str">
        <f>IFERROR(INDEX(wLast,209)&amp;"","")</f>
        <v/>
      </c>
      <c r="BB278" t="str">
        <f>IF(BA278="","",IFERROR(INDEX(wFirst,209)&amp;"",""))</f>
        <v/>
      </c>
      <c r="BC278" t="str">
        <f>IF(BA278="","",IFERROR(INDEX(wClass,209)&amp;"",""))</f>
        <v/>
      </c>
      <c r="BD278" t="str">
        <f>IF(BA278="","",IFERROR(INDEX(wKsBand,209)+0,""))</f>
        <v/>
      </c>
      <c r="BE278" t="str">
        <f>IF(BA278="","",IFERROR(INDEX(wTests,209)+0,0))</f>
        <v/>
      </c>
      <c r="BF278" t="str">
        <f>IF(BA278="","",IFERROR(INDEX(wMean,209)+0,""))</f>
        <v/>
      </c>
      <c r="BG278" t="str">
        <f>IF(BA278="","",IFERROR(INDEX(wVs,209)+0,""))</f>
        <v/>
      </c>
      <c r="BH278" t="str">
        <f>IF(OR(BA278="",wLatest=""),"",IFERROR(INDEX(wData,209,MATCH(wLatest&amp;CHAR(10)&amp;"Stanine",wHdr,0))+0,""))</f>
        <v/>
      </c>
      <c r="BI278" t="str">
        <f>IF(BA278="","",IF(AND(ISNUMBER(BG278),N(BE278)&gt;=WlMinTests,BG278&lt;=-WlGap),"Below expected for KS2",IF(AND(NOT(ISNUMBER(BD278)),ISNUMBER(BF278),N(BE278)&gt;=WlMinTests,BF278&lt;=WlLowMean),"Low results, no KS2 data","")))</f>
        <v/>
      </c>
      <c r="BJ278" t="str">
        <f>IF(BI278="","",IF(BI278="Below expected for KS2",BG278,100+BF278)+ROW()/1000000)</f>
        <v/>
      </c>
    </row>
    <row r="279">
      <c r="H279" t="str">
        <f>IFERROR(INDEX(tblY7[Class],ROWS(H$10:H279))&amp;"","")</f>
        <v/>
      </c>
      <c r="I279" t="str">
        <f>IF(H279="","",IF(COUNTIF(H$10:H279,H279)=1,COUNTIF(H$10:H$609,"&lt;"&amp;H279)+1,""))</f>
        <v/>
      </c>
      <c r="J279" t="str">
        <f>IFERROR(INDEX(tblY8[Class],ROWS(J$10:J279))&amp;"","")</f>
        <v/>
      </c>
      <c r="K279" t="str">
        <f>IF(J279="","",IF(COUNTIF(J$10:J279,J279)=1,COUNTIF(J$10:J$609,"&lt;"&amp;J279)+1,""))</f>
        <v/>
      </c>
      <c r="L279" t="str">
        <f>IFERROR(INDEX(tblY9[Class],ROWS(L$10:L279))&amp;"","")</f>
        <v/>
      </c>
      <c r="M279" t="str">
        <f>IF(L279="","",IF(COUNTIF(L$10:L279,L279)=1,COUNTIF(L$10:L$609,"&lt;"&amp;L279)+1,""))</f>
        <v/>
      </c>
      <c r="N279" t="str">
        <f>IFERROR(INDEX(tblY10[Class],ROWS(N$10:N279))&amp;"","")</f>
        <v/>
      </c>
      <c r="O279" t="str">
        <f>IF(N279="","",IF(COUNTIF(N$10:N279,N279)=1,COUNTIF(N$10:N$609,"&lt;"&amp;N279)+1,""))</f>
        <v/>
      </c>
      <c r="P279" t="str">
        <f>IFERROR(INDEX(tblY11[Class],ROWS(P$10:P279))&amp;"","")</f>
        <v/>
      </c>
      <c r="Q279" t="str">
        <f>IF(P279="","",IF(COUNTIF(P$10:P279,P279)=1,COUNTIF(P$10:P$609,"&lt;"&amp;P279)+1,""))</f>
        <v/>
      </c>
      <c r="BA279" t="str">
        <f>IFERROR(INDEX(wLast,210)&amp;"","")</f>
        <v/>
      </c>
      <c r="BB279" t="str">
        <f>IF(BA279="","",IFERROR(INDEX(wFirst,210)&amp;"",""))</f>
        <v/>
      </c>
      <c r="BC279" t="str">
        <f>IF(BA279="","",IFERROR(INDEX(wClass,210)&amp;"",""))</f>
        <v/>
      </c>
      <c r="BD279" t="str">
        <f>IF(BA279="","",IFERROR(INDEX(wKsBand,210)+0,""))</f>
        <v/>
      </c>
      <c r="BE279" t="str">
        <f>IF(BA279="","",IFERROR(INDEX(wTests,210)+0,0))</f>
        <v/>
      </c>
      <c r="BF279" t="str">
        <f>IF(BA279="","",IFERROR(INDEX(wMean,210)+0,""))</f>
        <v/>
      </c>
      <c r="BG279" t="str">
        <f>IF(BA279="","",IFERROR(INDEX(wVs,210)+0,""))</f>
        <v/>
      </c>
      <c r="BH279" t="str">
        <f>IF(OR(BA279="",wLatest=""),"",IFERROR(INDEX(wData,210,MATCH(wLatest&amp;CHAR(10)&amp;"Stanine",wHdr,0))+0,""))</f>
        <v/>
      </c>
      <c r="BI279" t="str">
        <f>IF(BA279="","",IF(AND(ISNUMBER(BG279),N(BE279)&gt;=WlMinTests,BG279&lt;=-WlGap),"Below expected for KS2",IF(AND(NOT(ISNUMBER(BD279)),ISNUMBER(BF279),N(BE279)&gt;=WlMinTests,BF279&lt;=WlLowMean),"Low results, no KS2 data","")))</f>
        <v/>
      </c>
      <c r="BJ279" t="str">
        <f>IF(BI279="","",IF(BI279="Below expected for KS2",BG279,100+BF279)+ROW()/1000000)</f>
        <v/>
      </c>
    </row>
    <row r="280">
      <c r="H280" t="str">
        <f>IFERROR(INDEX(tblY7[Class],ROWS(H$10:H280))&amp;"","")</f>
        <v/>
      </c>
      <c r="I280" t="str">
        <f>IF(H280="","",IF(COUNTIF(H$10:H280,H280)=1,COUNTIF(H$10:H$609,"&lt;"&amp;H280)+1,""))</f>
        <v/>
      </c>
      <c r="J280" t="str">
        <f>IFERROR(INDEX(tblY8[Class],ROWS(J$10:J280))&amp;"","")</f>
        <v/>
      </c>
      <c r="K280" t="str">
        <f>IF(J280="","",IF(COUNTIF(J$10:J280,J280)=1,COUNTIF(J$10:J$609,"&lt;"&amp;J280)+1,""))</f>
        <v/>
      </c>
      <c r="L280" t="str">
        <f>IFERROR(INDEX(tblY9[Class],ROWS(L$10:L280))&amp;"","")</f>
        <v/>
      </c>
      <c r="M280" t="str">
        <f>IF(L280="","",IF(COUNTIF(L$10:L280,L280)=1,COUNTIF(L$10:L$609,"&lt;"&amp;L280)+1,""))</f>
        <v/>
      </c>
      <c r="N280" t="str">
        <f>IFERROR(INDEX(tblY10[Class],ROWS(N$10:N280))&amp;"","")</f>
        <v/>
      </c>
      <c r="O280" t="str">
        <f>IF(N280="","",IF(COUNTIF(N$10:N280,N280)=1,COUNTIF(N$10:N$609,"&lt;"&amp;N280)+1,""))</f>
        <v/>
      </c>
      <c r="P280" t="str">
        <f>IFERROR(INDEX(tblY11[Class],ROWS(P$10:P280))&amp;"","")</f>
        <v/>
      </c>
      <c r="Q280" t="str">
        <f>IF(P280="","",IF(COUNTIF(P$10:P280,P280)=1,COUNTIF(P$10:P$609,"&lt;"&amp;P280)+1,""))</f>
        <v/>
      </c>
      <c r="BA280" t="str">
        <f>IFERROR(INDEX(wLast,211)&amp;"","")</f>
        <v/>
      </c>
      <c r="BB280" t="str">
        <f>IF(BA280="","",IFERROR(INDEX(wFirst,211)&amp;"",""))</f>
        <v/>
      </c>
      <c r="BC280" t="str">
        <f>IF(BA280="","",IFERROR(INDEX(wClass,211)&amp;"",""))</f>
        <v/>
      </c>
      <c r="BD280" t="str">
        <f>IF(BA280="","",IFERROR(INDEX(wKsBand,211)+0,""))</f>
        <v/>
      </c>
      <c r="BE280" t="str">
        <f>IF(BA280="","",IFERROR(INDEX(wTests,211)+0,0))</f>
        <v/>
      </c>
      <c r="BF280" t="str">
        <f>IF(BA280="","",IFERROR(INDEX(wMean,211)+0,""))</f>
        <v/>
      </c>
      <c r="BG280" t="str">
        <f>IF(BA280="","",IFERROR(INDEX(wVs,211)+0,""))</f>
        <v/>
      </c>
      <c r="BH280" t="str">
        <f>IF(OR(BA280="",wLatest=""),"",IFERROR(INDEX(wData,211,MATCH(wLatest&amp;CHAR(10)&amp;"Stanine",wHdr,0))+0,""))</f>
        <v/>
      </c>
      <c r="BI280" t="str">
        <f>IF(BA280="","",IF(AND(ISNUMBER(BG280),N(BE280)&gt;=WlMinTests,BG280&lt;=-WlGap),"Below expected for KS2",IF(AND(NOT(ISNUMBER(BD280)),ISNUMBER(BF280),N(BE280)&gt;=WlMinTests,BF280&lt;=WlLowMean),"Low results, no KS2 data","")))</f>
        <v/>
      </c>
      <c r="BJ280" t="str">
        <f>IF(BI280="","",IF(BI280="Below expected for KS2",BG280,100+BF280)+ROW()/1000000)</f>
        <v/>
      </c>
    </row>
    <row r="281">
      <c r="H281" t="str">
        <f>IFERROR(INDEX(tblY7[Class],ROWS(H$10:H281))&amp;"","")</f>
        <v/>
      </c>
      <c r="I281" t="str">
        <f>IF(H281="","",IF(COUNTIF(H$10:H281,H281)=1,COUNTIF(H$10:H$609,"&lt;"&amp;H281)+1,""))</f>
        <v/>
      </c>
      <c r="J281" t="str">
        <f>IFERROR(INDEX(tblY8[Class],ROWS(J$10:J281))&amp;"","")</f>
        <v/>
      </c>
      <c r="K281" t="str">
        <f>IF(J281="","",IF(COUNTIF(J$10:J281,J281)=1,COUNTIF(J$10:J$609,"&lt;"&amp;J281)+1,""))</f>
        <v/>
      </c>
      <c r="L281" t="str">
        <f>IFERROR(INDEX(tblY9[Class],ROWS(L$10:L281))&amp;"","")</f>
        <v/>
      </c>
      <c r="M281" t="str">
        <f>IF(L281="","",IF(COUNTIF(L$10:L281,L281)=1,COUNTIF(L$10:L$609,"&lt;"&amp;L281)+1,""))</f>
        <v/>
      </c>
      <c r="N281" t="str">
        <f>IFERROR(INDEX(tblY10[Class],ROWS(N$10:N281))&amp;"","")</f>
        <v/>
      </c>
      <c r="O281" t="str">
        <f>IF(N281="","",IF(COUNTIF(N$10:N281,N281)=1,COUNTIF(N$10:N$609,"&lt;"&amp;N281)+1,""))</f>
        <v/>
      </c>
      <c r="P281" t="str">
        <f>IFERROR(INDEX(tblY11[Class],ROWS(P$10:P281))&amp;"","")</f>
        <v/>
      </c>
      <c r="Q281" t="str">
        <f>IF(P281="","",IF(COUNTIF(P$10:P281,P281)=1,COUNTIF(P$10:P$609,"&lt;"&amp;P281)+1,""))</f>
        <v/>
      </c>
      <c r="BA281" t="str">
        <f>IFERROR(INDEX(wLast,212)&amp;"","")</f>
        <v/>
      </c>
      <c r="BB281" t="str">
        <f>IF(BA281="","",IFERROR(INDEX(wFirst,212)&amp;"",""))</f>
        <v/>
      </c>
      <c r="BC281" t="str">
        <f>IF(BA281="","",IFERROR(INDEX(wClass,212)&amp;"",""))</f>
        <v/>
      </c>
      <c r="BD281" t="str">
        <f>IF(BA281="","",IFERROR(INDEX(wKsBand,212)+0,""))</f>
        <v/>
      </c>
      <c r="BE281" t="str">
        <f>IF(BA281="","",IFERROR(INDEX(wTests,212)+0,0))</f>
        <v/>
      </c>
      <c r="BF281" t="str">
        <f>IF(BA281="","",IFERROR(INDEX(wMean,212)+0,""))</f>
        <v/>
      </c>
      <c r="BG281" t="str">
        <f>IF(BA281="","",IFERROR(INDEX(wVs,212)+0,""))</f>
        <v/>
      </c>
      <c r="BH281" t="str">
        <f>IF(OR(BA281="",wLatest=""),"",IFERROR(INDEX(wData,212,MATCH(wLatest&amp;CHAR(10)&amp;"Stanine",wHdr,0))+0,""))</f>
        <v/>
      </c>
      <c r="BI281" t="str">
        <f>IF(BA281="","",IF(AND(ISNUMBER(BG281),N(BE281)&gt;=WlMinTests,BG281&lt;=-WlGap),"Below expected for KS2",IF(AND(NOT(ISNUMBER(BD281)),ISNUMBER(BF281),N(BE281)&gt;=WlMinTests,BF281&lt;=WlLowMean),"Low results, no KS2 data","")))</f>
        <v/>
      </c>
      <c r="BJ281" t="str">
        <f>IF(BI281="","",IF(BI281="Below expected for KS2",BG281,100+BF281)+ROW()/1000000)</f>
        <v/>
      </c>
    </row>
    <row r="282">
      <c r="H282" t="str">
        <f>IFERROR(INDEX(tblY7[Class],ROWS(H$10:H282))&amp;"","")</f>
        <v/>
      </c>
      <c r="I282" t="str">
        <f>IF(H282="","",IF(COUNTIF(H$10:H282,H282)=1,COUNTIF(H$10:H$609,"&lt;"&amp;H282)+1,""))</f>
        <v/>
      </c>
      <c r="J282" t="str">
        <f>IFERROR(INDEX(tblY8[Class],ROWS(J$10:J282))&amp;"","")</f>
        <v/>
      </c>
      <c r="K282" t="str">
        <f>IF(J282="","",IF(COUNTIF(J$10:J282,J282)=1,COUNTIF(J$10:J$609,"&lt;"&amp;J282)+1,""))</f>
        <v/>
      </c>
      <c r="L282" t="str">
        <f>IFERROR(INDEX(tblY9[Class],ROWS(L$10:L282))&amp;"","")</f>
        <v/>
      </c>
      <c r="M282" t="str">
        <f>IF(L282="","",IF(COUNTIF(L$10:L282,L282)=1,COUNTIF(L$10:L$609,"&lt;"&amp;L282)+1,""))</f>
        <v/>
      </c>
      <c r="N282" t="str">
        <f>IFERROR(INDEX(tblY10[Class],ROWS(N$10:N282))&amp;"","")</f>
        <v/>
      </c>
      <c r="O282" t="str">
        <f>IF(N282="","",IF(COUNTIF(N$10:N282,N282)=1,COUNTIF(N$10:N$609,"&lt;"&amp;N282)+1,""))</f>
        <v/>
      </c>
      <c r="P282" t="str">
        <f>IFERROR(INDEX(tblY11[Class],ROWS(P$10:P282))&amp;"","")</f>
        <v/>
      </c>
      <c r="Q282" t="str">
        <f>IF(P282="","",IF(COUNTIF(P$10:P282,P282)=1,COUNTIF(P$10:P$609,"&lt;"&amp;P282)+1,""))</f>
        <v/>
      </c>
      <c r="BA282" t="str">
        <f>IFERROR(INDEX(wLast,213)&amp;"","")</f>
        <v/>
      </c>
      <c r="BB282" t="str">
        <f>IF(BA282="","",IFERROR(INDEX(wFirst,213)&amp;"",""))</f>
        <v/>
      </c>
      <c r="BC282" t="str">
        <f>IF(BA282="","",IFERROR(INDEX(wClass,213)&amp;"",""))</f>
        <v/>
      </c>
      <c r="BD282" t="str">
        <f>IF(BA282="","",IFERROR(INDEX(wKsBand,213)+0,""))</f>
        <v/>
      </c>
      <c r="BE282" t="str">
        <f>IF(BA282="","",IFERROR(INDEX(wTests,213)+0,0))</f>
        <v/>
      </c>
      <c r="BF282" t="str">
        <f>IF(BA282="","",IFERROR(INDEX(wMean,213)+0,""))</f>
        <v/>
      </c>
      <c r="BG282" t="str">
        <f>IF(BA282="","",IFERROR(INDEX(wVs,213)+0,""))</f>
        <v/>
      </c>
      <c r="BH282" t="str">
        <f>IF(OR(BA282="",wLatest=""),"",IFERROR(INDEX(wData,213,MATCH(wLatest&amp;CHAR(10)&amp;"Stanine",wHdr,0))+0,""))</f>
        <v/>
      </c>
      <c r="BI282" t="str">
        <f>IF(BA282="","",IF(AND(ISNUMBER(BG282),N(BE282)&gt;=WlMinTests,BG282&lt;=-WlGap),"Below expected for KS2",IF(AND(NOT(ISNUMBER(BD282)),ISNUMBER(BF282),N(BE282)&gt;=WlMinTests,BF282&lt;=WlLowMean),"Low results, no KS2 data","")))</f>
        <v/>
      </c>
      <c r="BJ282" t="str">
        <f>IF(BI282="","",IF(BI282="Below expected for KS2",BG282,100+BF282)+ROW()/1000000)</f>
        <v/>
      </c>
    </row>
    <row r="283">
      <c r="H283" t="str">
        <f>IFERROR(INDEX(tblY7[Class],ROWS(H$10:H283))&amp;"","")</f>
        <v/>
      </c>
      <c r="I283" t="str">
        <f>IF(H283="","",IF(COUNTIF(H$10:H283,H283)=1,COUNTIF(H$10:H$609,"&lt;"&amp;H283)+1,""))</f>
        <v/>
      </c>
      <c r="J283" t="str">
        <f>IFERROR(INDEX(tblY8[Class],ROWS(J$10:J283))&amp;"","")</f>
        <v/>
      </c>
      <c r="K283" t="str">
        <f>IF(J283="","",IF(COUNTIF(J$10:J283,J283)=1,COUNTIF(J$10:J$609,"&lt;"&amp;J283)+1,""))</f>
        <v/>
      </c>
      <c r="L283" t="str">
        <f>IFERROR(INDEX(tblY9[Class],ROWS(L$10:L283))&amp;"","")</f>
        <v/>
      </c>
      <c r="M283" t="str">
        <f>IF(L283="","",IF(COUNTIF(L$10:L283,L283)=1,COUNTIF(L$10:L$609,"&lt;"&amp;L283)+1,""))</f>
        <v/>
      </c>
      <c r="N283" t="str">
        <f>IFERROR(INDEX(tblY10[Class],ROWS(N$10:N283))&amp;"","")</f>
        <v/>
      </c>
      <c r="O283" t="str">
        <f>IF(N283="","",IF(COUNTIF(N$10:N283,N283)=1,COUNTIF(N$10:N$609,"&lt;"&amp;N283)+1,""))</f>
        <v/>
      </c>
      <c r="P283" t="str">
        <f>IFERROR(INDEX(tblY11[Class],ROWS(P$10:P283))&amp;"","")</f>
        <v/>
      </c>
      <c r="Q283" t="str">
        <f>IF(P283="","",IF(COUNTIF(P$10:P283,P283)=1,COUNTIF(P$10:P$609,"&lt;"&amp;P283)+1,""))</f>
        <v/>
      </c>
      <c r="BA283" t="str">
        <f>IFERROR(INDEX(wLast,214)&amp;"","")</f>
        <v/>
      </c>
      <c r="BB283" t="str">
        <f>IF(BA283="","",IFERROR(INDEX(wFirst,214)&amp;"",""))</f>
        <v/>
      </c>
      <c r="BC283" t="str">
        <f>IF(BA283="","",IFERROR(INDEX(wClass,214)&amp;"",""))</f>
        <v/>
      </c>
      <c r="BD283" t="str">
        <f>IF(BA283="","",IFERROR(INDEX(wKsBand,214)+0,""))</f>
        <v/>
      </c>
      <c r="BE283" t="str">
        <f>IF(BA283="","",IFERROR(INDEX(wTests,214)+0,0))</f>
        <v/>
      </c>
      <c r="BF283" t="str">
        <f>IF(BA283="","",IFERROR(INDEX(wMean,214)+0,""))</f>
        <v/>
      </c>
      <c r="BG283" t="str">
        <f>IF(BA283="","",IFERROR(INDEX(wVs,214)+0,""))</f>
        <v/>
      </c>
      <c r="BH283" t="str">
        <f>IF(OR(BA283="",wLatest=""),"",IFERROR(INDEX(wData,214,MATCH(wLatest&amp;CHAR(10)&amp;"Stanine",wHdr,0))+0,""))</f>
        <v/>
      </c>
      <c r="BI283" t="str">
        <f>IF(BA283="","",IF(AND(ISNUMBER(BG283),N(BE283)&gt;=WlMinTests,BG283&lt;=-WlGap),"Below expected for KS2",IF(AND(NOT(ISNUMBER(BD283)),ISNUMBER(BF283),N(BE283)&gt;=WlMinTests,BF283&lt;=WlLowMean),"Low results, no KS2 data","")))</f>
        <v/>
      </c>
      <c r="BJ283" t="str">
        <f>IF(BI283="","",IF(BI283="Below expected for KS2",BG283,100+BF283)+ROW()/1000000)</f>
        <v/>
      </c>
    </row>
    <row r="284">
      <c r="H284" t="str">
        <f>IFERROR(INDEX(tblY7[Class],ROWS(H$10:H284))&amp;"","")</f>
        <v/>
      </c>
      <c r="I284" t="str">
        <f>IF(H284="","",IF(COUNTIF(H$10:H284,H284)=1,COUNTIF(H$10:H$609,"&lt;"&amp;H284)+1,""))</f>
        <v/>
      </c>
      <c r="J284" t="str">
        <f>IFERROR(INDEX(tblY8[Class],ROWS(J$10:J284))&amp;"","")</f>
        <v/>
      </c>
      <c r="K284" t="str">
        <f>IF(J284="","",IF(COUNTIF(J$10:J284,J284)=1,COUNTIF(J$10:J$609,"&lt;"&amp;J284)+1,""))</f>
        <v/>
      </c>
      <c r="L284" t="str">
        <f>IFERROR(INDEX(tblY9[Class],ROWS(L$10:L284))&amp;"","")</f>
        <v/>
      </c>
      <c r="M284" t="str">
        <f>IF(L284="","",IF(COUNTIF(L$10:L284,L284)=1,COUNTIF(L$10:L$609,"&lt;"&amp;L284)+1,""))</f>
        <v/>
      </c>
      <c r="N284" t="str">
        <f>IFERROR(INDEX(tblY10[Class],ROWS(N$10:N284))&amp;"","")</f>
        <v/>
      </c>
      <c r="O284" t="str">
        <f>IF(N284="","",IF(COUNTIF(N$10:N284,N284)=1,COUNTIF(N$10:N$609,"&lt;"&amp;N284)+1,""))</f>
        <v/>
      </c>
      <c r="P284" t="str">
        <f>IFERROR(INDEX(tblY11[Class],ROWS(P$10:P284))&amp;"","")</f>
        <v/>
      </c>
      <c r="Q284" t="str">
        <f>IF(P284="","",IF(COUNTIF(P$10:P284,P284)=1,COUNTIF(P$10:P$609,"&lt;"&amp;P284)+1,""))</f>
        <v/>
      </c>
      <c r="BA284" t="str">
        <f>IFERROR(INDEX(wLast,215)&amp;"","")</f>
        <v/>
      </c>
      <c r="BB284" t="str">
        <f>IF(BA284="","",IFERROR(INDEX(wFirst,215)&amp;"",""))</f>
        <v/>
      </c>
      <c r="BC284" t="str">
        <f>IF(BA284="","",IFERROR(INDEX(wClass,215)&amp;"",""))</f>
        <v/>
      </c>
      <c r="BD284" t="str">
        <f>IF(BA284="","",IFERROR(INDEX(wKsBand,215)+0,""))</f>
        <v/>
      </c>
      <c r="BE284" t="str">
        <f>IF(BA284="","",IFERROR(INDEX(wTests,215)+0,0))</f>
        <v/>
      </c>
      <c r="BF284" t="str">
        <f>IF(BA284="","",IFERROR(INDEX(wMean,215)+0,""))</f>
        <v/>
      </c>
      <c r="BG284" t="str">
        <f>IF(BA284="","",IFERROR(INDEX(wVs,215)+0,""))</f>
        <v/>
      </c>
      <c r="BH284" t="str">
        <f>IF(OR(BA284="",wLatest=""),"",IFERROR(INDEX(wData,215,MATCH(wLatest&amp;CHAR(10)&amp;"Stanine",wHdr,0))+0,""))</f>
        <v/>
      </c>
      <c r="BI284" t="str">
        <f>IF(BA284="","",IF(AND(ISNUMBER(BG284),N(BE284)&gt;=WlMinTests,BG284&lt;=-WlGap),"Below expected for KS2",IF(AND(NOT(ISNUMBER(BD284)),ISNUMBER(BF284),N(BE284)&gt;=WlMinTests,BF284&lt;=WlLowMean),"Low results, no KS2 data","")))</f>
        <v/>
      </c>
      <c r="BJ284" t="str">
        <f>IF(BI284="","",IF(BI284="Below expected for KS2",BG284,100+BF284)+ROW()/1000000)</f>
        <v/>
      </c>
    </row>
    <row r="285">
      <c r="H285" t="str">
        <f>IFERROR(INDEX(tblY7[Class],ROWS(H$10:H285))&amp;"","")</f>
        <v/>
      </c>
      <c r="I285" t="str">
        <f>IF(H285="","",IF(COUNTIF(H$10:H285,H285)=1,COUNTIF(H$10:H$609,"&lt;"&amp;H285)+1,""))</f>
        <v/>
      </c>
      <c r="J285" t="str">
        <f>IFERROR(INDEX(tblY8[Class],ROWS(J$10:J285))&amp;"","")</f>
        <v/>
      </c>
      <c r="K285" t="str">
        <f>IF(J285="","",IF(COUNTIF(J$10:J285,J285)=1,COUNTIF(J$10:J$609,"&lt;"&amp;J285)+1,""))</f>
        <v/>
      </c>
      <c r="L285" t="str">
        <f>IFERROR(INDEX(tblY9[Class],ROWS(L$10:L285))&amp;"","")</f>
        <v/>
      </c>
      <c r="M285" t="str">
        <f>IF(L285="","",IF(COUNTIF(L$10:L285,L285)=1,COUNTIF(L$10:L$609,"&lt;"&amp;L285)+1,""))</f>
        <v/>
      </c>
      <c r="N285" t="str">
        <f>IFERROR(INDEX(tblY10[Class],ROWS(N$10:N285))&amp;"","")</f>
        <v/>
      </c>
      <c r="O285" t="str">
        <f>IF(N285="","",IF(COUNTIF(N$10:N285,N285)=1,COUNTIF(N$10:N$609,"&lt;"&amp;N285)+1,""))</f>
        <v/>
      </c>
      <c r="P285" t="str">
        <f>IFERROR(INDEX(tblY11[Class],ROWS(P$10:P285))&amp;"","")</f>
        <v/>
      </c>
      <c r="Q285" t="str">
        <f>IF(P285="","",IF(COUNTIF(P$10:P285,P285)=1,COUNTIF(P$10:P$609,"&lt;"&amp;P285)+1,""))</f>
        <v/>
      </c>
      <c r="BA285" t="str">
        <f>IFERROR(INDEX(wLast,216)&amp;"","")</f>
        <v/>
      </c>
      <c r="BB285" t="str">
        <f>IF(BA285="","",IFERROR(INDEX(wFirst,216)&amp;"",""))</f>
        <v/>
      </c>
      <c r="BC285" t="str">
        <f>IF(BA285="","",IFERROR(INDEX(wClass,216)&amp;"",""))</f>
        <v/>
      </c>
      <c r="BD285" t="str">
        <f>IF(BA285="","",IFERROR(INDEX(wKsBand,216)+0,""))</f>
        <v/>
      </c>
      <c r="BE285" t="str">
        <f>IF(BA285="","",IFERROR(INDEX(wTests,216)+0,0))</f>
        <v/>
      </c>
      <c r="BF285" t="str">
        <f>IF(BA285="","",IFERROR(INDEX(wMean,216)+0,""))</f>
        <v/>
      </c>
      <c r="BG285" t="str">
        <f>IF(BA285="","",IFERROR(INDEX(wVs,216)+0,""))</f>
        <v/>
      </c>
      <c r="BH285" t="str">
        <f>IF(OR(BA285="",wLatest=""),"",IFERROR(INDEX(wData,216,MATCH(wLatest&amp;CHAR(10)&amp;"Stanine",wHdr,0))+0,""))</f>
        <v/>
      </c>
      <c r="BI285" t="str">
        <f>IF(BA285="","",IF(AND(ISNUMBER(BG285),N(BE285)&gt;=WlMinTests,BG285&lt;=-WlGap),"Below expected for KS2",IF(AND(NOT(ISNUMBER(BD285)),ISNUMBER(BF285),N(BE285)&gt;=WlMinTests,BF285&lt;=WlLowMean),"Low results, no KS2 data","")))</f>
        <v/>
      </c>
      <c r="BJ285" t="str">
        <f>IF(BI285="","",IF(BI285="Below expected for KS2",BG285,100+BF285)+ROW()/1000000)</f>
        <v/>
      </c>
    </row>
    <row r="286">
      <c r="H286" t="str">
        <f>IFERROR(INDEX(tblY7[Class],ROWS(H$10:H286))&amp;"","")</f>
        <v/>
      </c>
      <c r="I286" t="str">
        <f>IF(H286="","",IF(COUNTIF(H$10:H286,H286)=1,COUNTIF(H$10:H$609,"&lt;"&amp;H286)+1,""))</f>
        <v/>
      </c>
      <c r="J286" t="str">
        <f>IFERROR(INDEX(tblY8[Class],ROWS(J$10:J286))&amp;"","")</f>
        <v/>
      </c>
      <c r="K286" t="str">
        <f>IF(J286="","",IF(COUNTIF(J$10:J286,J286)=1,COUNTIF(J$10:J$609,"&lt;"&amp;J286)+1,""))</f>
        <v/>
      </c>
      <c r="L286" t="str">
        <f>IFERROR(INDEX(tblY9[Class],ROWS(L$10:L286))&amp;"","")</f>
        <v/>
      </c>
      <c r="M286" t="str">
        <f>IF(L286="","",IF(COUNTIF(L$10:L286,L286)=1,COUNTIF(L$10:L$609,"&lt;"&amp;L286)+1,""))</f>
        <v/>
      </c>
      <c r="N286" t="str">
        <f>IFERROR(INDEX(tblY10[Class],ROWS(N$10:N286))&amp;"","")</f>
        <v/>
      </c>
      <c r="O286" t="str">
        <f>IF(N286="","",IF(COUNTIF(N$10:N286,N286)=1,COUNTIF(N$10:N$609,"&lt;"&amp;N286)+1,""))</f>
        <v/>
      </c>
      <c r="P286" t="str">
        <f>IFERROR(INDEX(tblY11[Class],ROWS(P$10:P286))&amp;"","")</f>
        <v/>
      </c>
      <c r="Q286" t="str">
        <f>IF(P286="","",IF(COUNTIF(P$10:P286,P286)=1,COUNTIF(P$10:P$609,"&lt;"&amp;P286)+1,""))</f>
        <v/>
      </c>
      <c r="BA286" t="str">
        <f>IFERROR(INDEX(wLast,217)&amp;"","")</f>
        <v/>
      </c>
      <c r="BB286" t="str">
        <f>IF(BA286="","",IFERROR(INDEX(wFirst,217)&amp;"",""))</f>
        <v/>
      </c>
      <c r="BC286" t="str">
        <f>IF(BA286="","",IFERROR(INDEX(wClass,217)&amp;"",""))</f>
        <v/>
      </c>
      <c r="BD286" t="str">
        <f>IF(BA286="","",IFERROR(INDEX(wKsBand,217)+0,""))</f>
        <v/>
      </c>
      <c r="BE286" t="str">
        <f>IF(BA286="","",IFERROR(INDEX(wTests,217)+0,0))</f>
        <v/>
      </c>
      <c r="BF286" t="str">
        <f>IF(BA286="","",IFERROR(INDEX(wMean,217)+0,""))</f>
        <v/>
      </c>
      <c r="BG286" t="str">
        <f>IF(BA286="","",IFERROR(INDEX(wVs,217)+0,""))</f>
        <v/>
      </c>
      <c r="BH286" t="str">
        <f>IF(OR(BA286="",wLatest=""),"",IFERROR(INDEX(wData,217,MATCH(wLatest&amp;CHAR(10)&amp;"Stanine",wHdr,0))+0,""))</f>
        <v/>
      </c>
      <c r="BI286" t="str">
        <f>IF(BA286="","",IF(AND(ISNUMBER(BG286),N(BE286)&gt;=WlMinTests,BG286&lt;=-WlGap),"Below expected for KS2",IF(AND(NOT(ISNUMBER(BD286)),ISNUMBER(BF286),N(BE286)&gt;=WlMinTests,BF286&lt;=WlLowMean),"Low results, no KS2 data","")))</f>
        <v/>
      </c>
      <c r="BJ286" t="str">
        <f>IF(BI286="","",IF(BI286="Below expected for KS2",BG286,100+BF286)+ROW()/1000000)</f>
        <v/>
      </c>
    </row>
    <row r="287">
      <c r="H287" t="str">
        <f>IFERROR(INDEX(tblY7[Class],ROWS(H$10:H287))&amp;"","")</f>
        <v/>
      </c>
      <c r="I287" t="str">
        <f>IF(H287="","",IF(COUNTIF(H$10:H287,H287)=1,COUNTIF(H$10:H$609,"&lt;"&amp;H287)+1,""))</f>
        <v/>
      </c>
      <c r="J287" t="str">
        <f>IFERROR(INDEX(tblY8[Class],ROWS(J$10:J287))&amp;"","")</f>
        <v/>
      </c>
      <c r="K287" t="str">
        <f>IF(J287="","",IF(COUNTIF(J$10:J287,J287)=1,COUNTIF(J$10:J$609,"&lt;"&amp;J287)+1,""))</f>
        <v/>
      </c>
      <c r="L287" t="str">
        <f>IFERROR(INDEX(tblY9[Class],ROWS(L$10:L287))&amp;"","")</f>
        <v/>
      </c>
      <c r="M287" t="str">
        <f>IF(L287="","",IF(COUNTIF(L$10:L287,L287)=1,COUNTIF(L$10:L$609,"&lt;"&amp;L287)+1,""))</f>
        <v/>
      </c>
      <c r="N287" t="str">
        <f>IFERROR(INDEX(tblY10[Class],ROWS(N$10:N287))&amp;"","")</f>
        <v/>
      </c>
      <c r="O287" t="str">
        <f>IF(N287="","",IF(COUNTIF(N$10:N287,N287)=1,COUNTIF(N$10:N$609,"&lt;"&amp;N287)+1,""))</f>
        <v/>
      </c>
      <c r="P287" t="str">
        <f>IFERROR(INDEX(tblY11[Class],ROWS(P$10:P287))&amp;"","")</f>
        <v/>
      </c>
      <c r="Q287" t="str">
        <f>IF(P287="","",IF(COUNTIF(P$10:P287,P287)=1,COUNTIF(P$10:P$609,"&lt;"&amp;P287)+1,""))</f>
        <v/>
      </c>
      <c r="BA287" t="str">
        <f>IFERROR(INDEX(wLast,218)&amp;"","")</f>
        <v/>
      </c>
      <c r="BB287" t="str">
        <f>IF(BA287="","",IFERROR(INDEX(wFirst,218)&amp;"",""))</f>
        <v/>
      </c>
      <c r="BC287" t="str">
        <f>IF(BA287="","",IFERROR(INDEX(wClass,218)&amp;"",""))</f>
        <v/>
      </c>
      <c r="BD287" t="str">
        <f>IF(BA287="","",IFERROR(INDEX(wKsBand,218)+0,""))</f>
        <v/>
      </c>
      <c r="BE287" t="str">
        <f>IF(BA287="","",IFERROR(INDEX(wTests,218)+0,0))</f>
        <v/>
      </c>
      <c r="BF287" t="str">
        <f>IF(BA287="","",IFERROR(INDEX(wMean,218)+0,""))</f>
        <v/>
      </c>
      <c r="BG287" t="str">
        <f>IF(BA287="","",IFERROR(INDEX(wVs,218)+0,""))</f>
        <v/>
      </c>
      <c r="BH287" t="str">
        <f>IF(OR(BA287="",wLatest=""),"",IFERROR(INDEX(wData,218,MATCH(wLatest&amp;CHAR(10)&amp;"Stanine",wHdr,0))+0,""))</f>
        <v/>
      </c>
      <c r="BI287" t="str">
        <f>IF(BA287="","",IF(AND(ISNUMBER(BG287),N(BE287)&gt;=WlMinTests,BG287&lt;=-WlGap),"Below expected for KS2",IF(AND(NOT(ISNUMBER(BD287)),ISNUMBER(BF287),N(BE287)&gt;=WlMinTests,BF287&lt;=WlLowMean),"Low results, no KS2 data","")))</f>
        <v/>
      </c>
      <c r="BJ287" t="str">
        <f>IF(BI287="","",IF(BI287="Below expected for KS2",BG287,100+BF287)+ROW()/1000000)</f>
        <v/>
      </c>
    </row>
    <row r="288">
      <c r="H288" t="str">
        <f>IFERROR(INDEX(tblY7[Class],ROWS(H$10:H288))&amp;"","")</f>
        <v/>
      </c>
      <c r="I288" t="str">
        <f>IF(H288="","",IF(COUNTIF(H$10:H288,H288)=1,COUNTIF(H$10:H$609,"&lt;"&amp;H288)+1,""))</f>
        <v/>
      </c>
      <c r="J288" t="str">
        <f>IFERROR(INDEX(tblY8[Class],ROWS(J$10:J288))&amp;"","")</f>
        <v/>
      </c>
      <c r="K288" t="str">
        <f>IF(J288="","",IF(COUNTIF(J$10:J288,J288)=1,COUNTIF(J$10:J$609,"&lt;"&amp;J288)+1,""))</f>
        <v/>
      </c>
      <c r="L288" t="str">
        <f>IFERROR(INDEX(tblY9[Class],ROWS(L$10:L288))&amp;"","")</f>
        <v/>
      </c>
      <c r="M288" t="str">
        <f>IF(L288="","",IF(COUNTIF(L$10:L288,L288)=1,COUNTIF(L$10:L$609,"&lt;"&amp;L288)+1,""))</f>
        <v/>
      </c>
      <c r="N288" t="str">
        <f>IFERROR(INDEX(tblY10[Class],ROWS(N$10:N288))&amp;"","")</f>
        <v/>
      </c>
      <c r="O288" t="str">
        <f>IF(N288="","",IF(COUNTIF(N$10:N288,N288)=1,COUNTIF(N$10:N$609,"&lt;"&amp;N288)+1,""))</f>
        <v/>
      </c>
      <c r="P288" t="str">
        <f>IFERROR(INDEX(tblY11[Class],ROWS(P$10:P288))&amp;"","")</f>
        <v/>
      </c>
      <c r="Q288" t="str">
        <f>IF(P288="","",IF(COUNTIF(P$10:P288,P288)=1,COUNTIF(P$10:P$609,"&lt;"&amp;P288)+1,""))</f>
        <v/>
      </c>
      <c r="BA288" t="str">
        <f>IFERROR(INDEX(wLast,219)&amp;"","")</f>
        <v/>
      </c>
      <c r="BB288" t="str">
        <f>IF(BA288="","",IFERROR(INDEX(wFirst,219)&amp;"",""))</f>
        <v/>
      </c>
      <c r="BC288" t="str">
        <f>IF(BA288="","",IFERROR(INDEX(wClass,219)&amp;"",""))</f>
        <v/>
      </c>
      <c r="BD288" t="str">
        <f>IF(BA288="","",IFERROR(INDEX(wKsBand,219)+0,""))</f>
        <v/>
      </c>
      <c r="BE288" t="str">
        <f>IF(BA288="","",IFERROR(INDEX(wTests,219)+0,0))</f>
        <v/>
      </c>
      <c r="BF288" t="str">
        <f>IF(BA288="","",IFERROR(INDEX(wMean,219)+0,""))</f>
        <v/>
      </c>
      <c r="BG288" t="str">
        <f>IF(BA288="","",IFERROR(INDEX(wVs,219)+0,""))</f>
        <v/>
      </c>
      <c r="BH288" t="str">
        <f>IF(OR(BA288="",wLatest=""),"",IFERROR(INDEX(wData,219,MATCH(wLatest&amp;CHAR(10)&amp;"Stanine",wHdr,0))+0,""))</f>
        <v/>
      </c>
      <c r="BI288" t="str">
        <f>IF(BA288="","",IF(AND(ISNUMBER(BG288),N(BE288)&gt;=WlMinTests,BG288&lt;=-WlGap),"Below expected for KS2",IF(AND(NOT(ISNUMBER(BD288)),ISNUMBER(BF288),N(BE288)&gt;=WlMinTests,BF288&lt;=WlLowMean),"Low results, no KS2 data","")))</f>
        <v/>
      </c>
      <c r="BJ288" t="str">
        <f>IF(BI288="","",IF(BI288="Below expected for KS2",BG288,100+BF288)+ROW()/1000000)</f>
        <v/>
      </c>
    </row>
    <row r="289">
      <c r="H289" t="str">
        <f>IFERROR(INDEX(tblY7[Class],ROWS(H$10:H289))&amp;"","")</f>
        <v/>
      </c>
      <c r="I289" t="str">
        <f>IF(H289="","",IF(COUNTIF(H$10:H289,H289)=1,COUNTIF(H$10:H$609,"&lt;"&amp;H289)+1,""))</f>
        <v/>
      </c>
      <c r="J289" t="str">
        <f>IFERROR(INDEX(tblY8[Class],ROWS(J$10:J289))&amp;"","")</f>
        <v/>
      </c>
      <c r="K289" t="str">
        <f>IF(J289="","",IF(COUNTIF(J$10:J289,J289)=1,COUNTIF(J$10:J$609,"&lt;"&amp;J289)+1,""))</f>
        <v/>
      </c>
      <c r="L289" t="str">
        <f>IFERROR(INDEX(tblY9[Class],ROWS(L$10:L289))&amp;"","")</f>
        <v/>
      </c>
      <c r="M289" t="str">
        <f>IF(L289="","",IF(COUNTIF(L$10:L289,L289)=1,COUNTIF(L$10:L$609,"&lt;"&amp;L289)+1,""))</f>
        <v/>
      </c>
      <c r="N289" t="str">
        <f>IFERROR(INDEX(tblY10[Class],ROWS(N$10:N289))&amp;"","")</f>
        <v/>
      </c>
      <c r="O289" t="str">
        <f>IF(N289="","",IF(COUNTIF(N$10:N289,N289)=1,COUNTIF(N$10:N$609,"&lt;"&amp;N289)+1,""))</f>
        <v/>
      </c>
      <c r="P289" t="str">
        <f>IFERROR(INDEX(tblY11[Class],ROWS(P$10:P289))&amp;"","")</f>
        <v/>
      </c>
      <c r="Q289" t="str">
        <f>IF(P289="","",IF(COUNTIF(P$10:P289,P289)=1,COUNTIF(P$10:P$609,"&lt;"&amp;P289)+1,""))</f>
        <v/>
      </c>
      <c r="BA289" t="str">
        <f>IFERROR(INDEX(wLast,220)&amp;"","")</f>
        <v/>
      </c>
      <c r="BB289" t="str">
        <f>IF(BA289="","",IFERROR(INDEX(wFirst,220)&amp;"",""))</f>
        <v/>
      </c>
      <c r="BC289" t="str">
        <f>IF(BA289="","",IFERROR(INDEX(wClass,220)&amp;"",""))</f>
        <v/>
      </c>
      <c r="BD289" t="str">
        <f>IF(BA289="","",IFERROR(INDEX(wKsBand,220)+0,""))</f>
        <v/>
      </c>
      <c r="BE289" t="str">
        <f>IF(BA289="","",IFERROR(INDEX(wTests,220)+0,0))</f>
        <v/>
      </c>
      <c r="BF289" t="str">
        <f>IF(BA289="","",IFERROR(INDEX(wMean,220)+0,""))</f>
        <v/>
      </c>
      <c r="BG289" t="str">
        <f>IF(BA289="","",IFERROR(INDEX(wVs,220)+0,""))</f>
        <v/>
      </c>
      <c r="BH289" t="str">
        <f>IF(OR(BA289="",wLatest=""),"",IFERROR(INDEX(wData,220,MATCH(wLatest&amp;CHAR(10)&amp;"Stanine",wHdr,0))+0,""))</f>
        <v/>
      </c>
      <c r="BI289" t="str">
        <f>IF(BA289="","",IF(AND(ISNUMBER(BG289),N(BE289)&gt;=WlMinTests,BG289&lt;=-WlGap),"Below expected for KS2",IF(AND(NOT(ISNUMBER(BD289)),ISNUMBER(BF289),N(BE289)&gt;=WlMinTests,BF289&lt;=WlLowMean),"Low results, no KS2 data","")))</f>
        <v/>
      </c>
      <c r="BJ289" t="str">
        <f>IF(BI289="","",IF(BI289="Below expected for KS2",BG289,100+BF289)+ROW()/1000000)</f>
        <v/>
      </c>
    </row>
    <row r="290">
      <c r="H290" t="str">
        <f>IFERROR(INDEX(tblY7[Class],ROWS(H$10:H290))&amp;"","")</f>
        <v/>
      </c>
      <c r="I290" t="str">
        <f>IF(H290="","",IF(COUNTIF(H$10:H290,H290)=1,COUNTIF(H$10:H$609,"&lt;"&amp;H290)+1,""))</f>
        <v/>
      </c>
      <c r="J290" t="str">
        <f>IFERROR(INDEX(tblY8[Class],ROWS(J$10:J290))&amp;"","")</f>
        <v/>
      </c>
      <c r="K290" t="str">
        <f>IF(J290="","",IF(COUNTIF(J$10:J290,J290)=1,COUNTIF(J$10:J$609,"&lt;"&amp;J290)+1,""))</f>
        <v/>
      </c>
      <c r="L290" t="str">
        <f>IFERROR(INDEX(tblY9[Class],ROWS(L$10:L290))&amp;"","")</f>
        <v/>
      </c>
      <c r="M290" t="str">
        <f>IF(L290="","",IF(COUNTIF(L$10:L290,L290)=1,COUNTIF(L$10:L$609,"&lt;"&amp;L290)+1,""))</f>
        <v/>
      </c>
      <c r="N290" t="str">
        <f>IFERROR(INDEX(tblY10[Class],ROWS(N$10:N290))&amp;"","")</f>
        <v/>
      </c>
      <c r="O290" t="str">
        <f>IF(N290="","",IF(COUNTIF(N$10:N290,N290)=1,COUNTIF(N$10:N$609,"&lt;"&amp;N290)+1,""))</f>
        <v/>
      </c>
      <c r="P290" t="str">
        <f>IFERROR(INDEX(tblY11[Class],ROWS(P$10:P290))&amp;"","")</f>
        <v/>
      </c>
      <c r="Q290" t="str">
        <f>IF(P290="","",IF(COUNTIF(P$10:P290,P290)=1,COUNTIF(P$10:P$609,"&lt;"&amp;P290)+1,""))</f>
        <v/>
      </c>
      <c r="BA290" t="str">
        <f>IFERROR(INDEX(wLast,221)&amp;"","")</f>
        <v/>
      </c>
      <c r="BB290" t="str">
        <f>IF(BA290="","",IFERROR(INDEX(wFirst,221)&amp;"",""))</f>
        <v/>
      </c>
      <c r="BC290" t="str">
        <f>IF(BA290="","",IFERROR(INDEX(wClass,221)&amp;"",""))</f>
        <v/>
      </c>
      <c r="BD290" t="str">
        <f>IF(BA290="","",IFERROR(INDEX(wKsBand,221)+0,""))</f>
        <v/>
      </c>
      <c r="BE290" t="str">
        <f>IF(BA290="","",IFERROR(INDEX(wTests,221)+0,0))</f>
        <v/>
      </c>
      <c r="BF290" t="str">
        <f>IF(BA290="","",IFERROR(INDEX(wMean,221)+0,""))</f>
        <v/>
      </c>
      <c r="BG290" t="str">
        <f>IF(BA290="","",IFERROR(INDEX(wVs,221)+0,""))</f>
        <v/>
      </c>
      <c r="BH290" t="str">
        <f>IF(OR(BA290="",wLatest=""),"",IFERROR(INDEX(wData,221,MATCH(wLatest&amp;CHAR(10)&amp;"Stanine",wHdr,0))+0,""))</f>
        <v/>
      </c>
      <c r="BI290" t="str">
        <f>IF(BA290="","",IF(AND(ISNUMBER(BG290),N(BE290)&gt;=WlMinTests,BG290&lt;=-WlGap),"Below expected for KS2",IF(AND(NOT(ISNUMBER(BD290)),ISNUMBER(BF290),N(BE290)&gt;=WlMinTests,BF290&lt;=WlLowMean),"Low results, no KS2 data","")))</f>
        <v/>
      </c>
      <c r="BJ290" t="str">
        <f>IF(BI290="","",IF(BI290="Below expected for KS2",BG290,100+BF290)+ROW()/1000000)</f>
        <v/>
      </c>
    </row>
    <row r="291">
      <c r="H291" t="str">
        <f>IFERROR(INDEX(tblY7[Class],ROWS(H$10:H291))&amp;"","")</f>
        <v/>
      </c>
      <c r="I291" t="str">
        <f>IF(H291="","",IF(COUNTIF(H$10:H291,H291)=1,COUNTIF(H$10:H$609,"&lt;"&amp;H291)+1,""))</f>
        <v/>
      </c>
      <c r="J291" t="str">
        <f>IFERROR(INDEX(tblY8[Class],ROWS(J$10:J291))&amp;"","")</f>
        <v/>
      </c>
      <c r="K291" t="str">
        <f>IF(J291="","",IF(COUNTIF(J$10:J291,J291)=1,COUNTIF(J$10:J$609,"&lt;"&amp;J291)+1,""))</f>
        <v/>
      </c>
      <c r="L291" t="str">
        <f>IFERROR(INDEX(tblY9[Class],ROWS(L$10:L291))&amp;"","")</f>
        <v/>
      </c>
      <c r="M291" t="str">
        <f>IF(L291="","",IF(COUNTIF(L$10:L291,L291)=1,COUNTIF(L$10:L$609,"&lt;"&amp;L291)+1,""))</f>
        <v/>
      </c>
      <c r="N291" t="str">
        <f>IFERROR(INDEX(tblY10[Class],ROWS(N$10:N291))&amp;"","")</f>
        <v/>
      </c>
      <c r="O291" t="str">
        <f>IF(N291="","",IF(COUNTIF(N$10:N291,N291)=1,COUNTIF(N$10:N$609,"&lt;"&amp;N291)+1,""))</f>
        <v/>
      </c>
      <c r="P291" t="str">
        <f>IFERROR(INDEX(tblY11[Class],ROWS(P$10:P291))&amp;"","")</f>
        <v/>
      </c>
      <c r="Q291" t="str">
        <f>IF(P291="","",IF(COUNTIF(P$10:P291,P291)=1,COUNTIF(P$10:P$609,"&lt;"&amp;P291)+1,""))</f>
        <v/>
      </c>
      <c r="BA291" t="str">
        <f>IFERROR(INDEX(wLast,222)&amp;"","")</f>
        <v/>
      </c>
      <c r="BB291" t="str">
        <f>IF(BA291="","",IFERROR(INDEX(wFirst,222)&amp;"",""))</f>
        <v/>
      </c>
      <c r="BC291" t="str">
        <f>IF(BA291="","",IFERROR(INDEX(wClass,222)&amp;"",""))</f>
        <v/>
      </c>
      <c r="BD291" t="str">
        <f>IF(BA291="","",IFERROR(INDEX(wKsBand,222)+0,""))</f>
        <v/>
      </c>
      <c r="BE291" t="str">
        <f>IF(BA291="","",IFERROR(INDEX(wTests,222)+0,0))</f>
        <v/>
      </c>
      <c r="BF291" t="str">
        <f>IF(BA291="","",IFERROR(INDEX(wMean,222)+0,""))</f>
        <v/>
      </c>
      <c r="BG291" t="str">
        <f>IF(BA291="","",IFERROR(INDEX(wVs,222)+0,""))</f>
        <v/>
      </c>
      <c r="BH291" t="str">
        <f>IF(OR(BA291="",wLatest=""),"",IFERROR(INDEX(wData,222,MATCH(wLatest&amp;CHAR(10)&amp;"Stanine",wHdr,0))+0,""))</f>
        <v/>
      </c>
      <c r="BI291" t="str">
        <f>IF(BA291="","",IF(AND(ISNUMBER(BG291),N(BE291)&gt;=WlMinTests,BG291&lt;=-WlGap),"Below expected for KS2",IF(AND(NOT(ISNUMBER(BD291)),ISNUMBER(BF291),N(BE291)&gt;=WlMinTests,BF291&lt;=WlLowMean),"Low results, no KS2 data","")))</f>
        <v/>
      </c>
      <c r="BJ291" t="str">
        <f>IF(BI291="","",IF(BI291="Below expected for KS2",BG291,100+BF291)+ROW()/1000000)</f>
        <v/>
      </c>
    </row>
    <row r="292">
      <c r="H292" t="str">
        <f>IFERROR(INDEX(tblY7[Class],ROWS(H$10:H292))&amp;"","")</f>
        <v/>
      </c>
      <c r="I292" t="str">
        <f>IF(H292="","",IF(COUNTIF(H$10:H292,H292)=1,COUNTIF(H$10:H$609,"&lt;"&amp;H292)+1,""))</f>
        <v/>
      </c>
      <c r="J292" t="str">
        <f>IFERROR(INDEX(tblY8[Class],ROWS(J$10:J292))&amp;"","")</f>
        <v/>
      </c>
      <c r="K292" t="str">
        <f>IF(J292="","",IF(COUNTIF(J$10:J292,J292)=1,COUNTIF(J$10:J$609,"&lt;"&amp;J292)+1,""))</f>
        <v/>
      </c>
      <c r="L292" t="str">
        <f>IFERROR(INDEX(tblY9[Class],ROWS(L$10:L292))&amp;"","")</f>
        <v/>
      </c>
      <c r="M292" t="str">
        <f>IF(L292="","",IF(COUNTIF(L$10:L292,L292)=1,COUNTIF(L$10:L$609,"&lt;"&amp;L292)+1,""))</f>
        <v/>
      </c>
      <c r="N292" t="str">
        <f>IFERROR(INDEX(tblY10[Class],ROWS(N$10:N292))&amp;"","")</f>
        <v/>
      </c>
      <c r="O292" t="str">
        <f>IF(N292="","",IF(COUNTIF(N$10:N292,N292)=1,COUNTIF(N$10:N$609,"&lt;"&amp;N292)+1,""))</f>
        <v/>
      </c>
      <c r="P292" t="str">
        <f>IFERROR(INDEX(tblY11[Class],ROWS(P$10:P292))&amp;"","")</f>
        <v/>
      </c>
      <c r="Q292" t="str">
        <f>IF(P292="","",IF(COUNTIF(P$10:P292,P292)=1,COUNTIF(P$10:P$609,"&lt;"&amp;P292)+1,""))</f>
        <v/>
      </c>
      <c r="BA292" t="str">
        <f>IFERROR(INDEX(wLast,223)&amp;"","")</f>
        <v/>
      </c>
      <c r="BB292" t="str">
        <f>IF(BA292="","",IFERROR(INDEX(wFirst,223)&amp;"",""))</f>
        <v/>
      </c>
      <c r="BC292" t="str">
        <f>IF(BA292="","",IFERROR(INDEX(wClass,223)&amp;"",""))</f>
        <v/>
      </c>
      <c r="BD292" t="str">
        <f>IF(BA292="","",IFERROR(INDEX(wKsBand,223)+0,""))</f>
        <v/>
      </c>
      <c r="BE292" t="str">
        <f>IF(BA292="","",IFERROR(INDEX(wTests,223)+0,0))</f>
        <v/>
      </c>
      <c r="BF292" t="str">
        <f>IF(BA292="","",IFERROR(INDEX(wMean,223)+0,""))</f>
        <v/>
      </c>
      <c r="BG292" t="str">
        <f>IF(BA292="","",IFERROR(INDEX(wVs,223)+0,""))</f>
        <v/>
      </c>
      <c r="BH292" t="str">
        <f>IF(OR(BA292="",wLatest=""),"",IFERROR(INDEX(wData,223,MATCH(wLatest&amp;CHAR(10)&amp;"Stanine",wHdr,0))+0,""))</f>
        <v/>
      </c>
      <c r="BI292" t="str">
        <f>IF(BA292="","",IF(AND(ISNUMBER(BG292),N(BE292)&gt;=WlMinTests,BG292&lt;=-WlGap),"Below expected for KS2",IF(AND(NOT(ISNUMBER(BD292)),ISNUMBER(BF292),N(BE292)&gt;=WlMinTests,BF292&lt;=WlLowMean),"Low results, no KS2 data","")))</f>
        <v/>
      </c>
      <c r="BJ292" t="str">
        <f>IF(BI292="","",IF(BI292="Below expected for KS2",BG292,100+BF292)+ROW()/1000000)</f>
        <v/>
      </c>
    </row>
    <row r="293">
      <c r="H293" t="str">
        <f>IFERROR(INDEX(tblY7[Class],ROWS(H$10:H293))&amp;"","")</f>
        <v/>
      </c>
      <c r="I293" t="str">
        <f>IF(H293="","",IF(COUNTIF(H$10:H293,H293)=1,COUNTIF(H$10:H$609,"&lt;"&amp;H293)+1,""))</f>
        <v/>
      </c>
      <c r="J293" t="str">
        <f>IFERROR(INDEX(tblY8[Class],ROWS(J$10:J293))&amp;"","")</f>
        <v/>
      </c>
      <c r="K293" t="str">
        <f>IF(J293="","",IF(COUNTIF(J$10:J293,J293)=1,COUNTIF(J$10:J$609,"&lt;"&amp;J293)+1,""))</f>
        <v/>
      </c>
      <c r="L293" t="str">
        <f>IFERROR(INDEX(tblY9[Class],ROWS(L$10:L293))&amp;"","")</f>
        <v/>
      </c>
      <c r="M293" t="str">
        <f>IF(L293="","",IF(COUNTIF(L$10:L293,L293)=1,COUNTIF(L$10:L$609,"&lt;"&amp;L293)+1,""))</f>
        <v/>
      </c>
      <c r="N293" t="str">
        <f>IFERROR(INDEX(tblY10[Class],ROWS(N$10:N293))&amp;"","")</f>
        <v/>
      </c>
      <c r="O293" t="str">
        <f>IF(N293="","",IF(COUNTIF(N$10:N293,N293)=1,COUNTIF(N$10:N$609,"&lt;"&amp;N293)+1,""))</f>
        <v/>
      </c>
      <c r="P293" t="str">
        <f>IFERROR(INDEX(tblY11[Class],ROWS(P$10:P293))&amp;"","")</f>
        <v/>
      </c>
      <c r="Q293" t="str">
        <f>IF(P293="","",IF(COUNTIF(P$10:P293,P293)=1,COUNTIF(P$10:P$609,"&lt;"&amp;P293)+1,""))</f>
        <v/>
      </c>
      <c r="BA293" t="str">
        <f>IFERROR(INDEX(wLast,224)&amp;"","")</f>
        <v/>
      </c>
      <c r="BB293" t="str">
        <f>IF(BA293="","",IFERROR(INDEX(wFirst,224)&amp;"",""))</f>
        <v/>
      </c>
      <c r="BC293" t="str">
        <f>IF(BA293="","",IFERROR(INDEX(wClass,224)&amp;"",""))</f>
        <v/>
      </c>
      <c r="BD293" t="str">
        <f>IF(BA293="","",IFERROR(INDEX(wKsBand,224)+0,""))</f>
        <v/>
      </c>
      <c r="BE293" t="str">
        <f>IF(BA293="","",IFERROR(INDEX(wTests,224)+0,0))</f>
        <v/>
      </c>
      <c r="BF293" t="str">
        <f>IF(BA293="","",IFERROR(INDEX(wMean,224)+0,""))</f>
        <v/>
      </c>
      <c r="BG293" t="str">
        <f>IF(BA293="","",IFERROR(INDEX(wVs,224)+0,""))</f>
        <v/>
      </c>
      <c r="BH293" t="str">
        <f>IF(OR(BA293="",wLatest=""),"",IFERROR(INDEX(wData,224,MATCH(wLatest&amp;CHAR(10)&amp;"Stanine",wHdr,0))+0,""))</f>
        <v/>
      </c>
      <c r="BI293" t="str">
        <f>IF(BA293="","",IF(AND(ISNUMBER(BG293),N(BE293)&gt;=WlMinTests,BG293&lt;=-WlGap),"Below expected for KS2",IF(AND(NOT(ISNUMBER(BD293)),ISNUMBER(BF293),N(BE293)&gt;=WlMinTests,BF293&lt;=WlLowMean),"Low results, no KS2 data","")))</f>
        <v/>
      </c>
      <c r="BJ293" t="str">
        <f>IF(BI293="","",IF(BI293="Below expected for KS2",BG293,100+BF293)+ROW()/1000000)</f>
        <v/>
      </c>
    </row>
    <row r="294">
      <c r="H294" t="str">
        <f>IFERROR(INDEX(tblY7[Class],ROWS(H$10:H294))&amp;"","")</f>
        <v/>
      </c>
      <c r="I294" t="str">
        <f>IF(H294="","",IF(COUNTIF(H$10:H294,H294)=1,COUNTIF(H$10:H$609,"&lt;"&amp;H294)+1,""))</f>
        <v/>
      </c>
      <c r="J294" t="str">
        <f>IFERROR(INDEX(tblY8[Class],ROWS(J$10:J294))&amp;"","")</f>
        <v/>
      </c>
      <c r="K294" t="str">
        <f>IF(J294="","",IF(COUNTIF(J$10:J294,J294)=1,COUNTIF(J$10:J$609,"&lt;"&amp;J294)+1,""))</f>
        <v/>
      </c>
      <c r="L294" t="str">
        <f>IFERROR(INDEX(tblY9[Class],ROWS(L$10:L294))&amp;"","")</f>
        <v/>
      </c>
      <c r="M294" t="str">
        <f>IF(L294="","",IF(COUNTIF(L$10:L294,L294)=1,COUNTIF(L$10:L$609,"&lt;"&amp;L294)+1,""))</f>
        <v/>
      </c>
      <c r="N294" t="str">
        <f>IFERROR(INDEX(tblY10[Class],ROWS(N$10:N294))&amp;"","")</f>
        <v/>
      </c>
      <c r="O294" t="str">
        <f>IF(N294="","",IF(COUNTIF(N$10:N294,N294)=1,COUNTIF(N$10:N$609,"&lt;"&amp;N294)+1,""))</f>
        <v/>
      </c>
      <c r="P294" t="str">
        <f>IFERROR(INDEX(tblY11[Class],ROWS(P$10:P294))&amp;"","")</f>
        <v/>
      </c>
      <c r="Q294" t="str">
        <f>IF(P294="","",IF(COUNTIF(P$10:P294,P294)=1,COUNTIF(P$10:P$609,"&lt;"&amp;P294)+1,""))</f>
        <v/>
      </c>
      <c r="BA294" t="str">
        <f>IFERROR(INDEX(wLast,225)&amp;"","")</f>
        <v/>
      </c>
      <c r="BB294" t="str">
        <f>IF(BA294="","",IFERROR(INDEX(wFirst,225)&amp;"",""))</f>
        <v/>
      </c>
      <c r="BC294" t="str">
        <f>IF(BA294="","",IFERROR(INDEX(wClass,225)&amp;"",""))</f>
        <v/>
      </c>
      <c r="BD294" t="str">
        <f>IF(BA294="","",IFERROR(INDEX(wKsBand,225)+0,""))</f>
        <v/>
      </c>
      <c r="BE294" t="str">
        <f>IF(BA294="","",IFERROR(INDEX(wTests,225)+0,0))</f>
        <v/>
      </c>
      <c r="BF294" t="str">
        <f>IF(BA294="","",IFERROR(INDEX(wMean,225)+0,""))</f>
        <v/>
      </c>
      <c r="BG294" t="str">
        <f>IF(BA294="","",IFERROR(INDEX(wVs,225)+0,""))</f>
        <v/>
      </c>
      <c r="BH294" t="str">
        <f>IF(OR(BA294="",wLatest=""),"",IFERROR(INDEX(wData,225,MATCH(wLatest&amp;CHAR(10)&amp;"Stanine",wHdr,0))+0,""))</f>
        <v/>
      </c>
      <c r="BI294" t="str">
        <f>IF(BA294="","",IF(AND(ISNUMBER(BG294),N(BE294)&gt;=WlMinTests,BG294&lt;=-WlGap),"Below expected for KS2",IF(AND(NOT(ISNUMBER(BD294)),ISNUMBER(BF294),N(BE294)&gt;=WlMinTests,BF294&lt;=WlLowMean),"Low results, no KS2 data","")))</f>
        <v/>
      </c>
      <c r="BJ294" t="str">
        <f>IF(BI294="","",IF(BI294="Below expected for KS2",BG294,100+BF294)+ROW()/1000000)</f>
        <v/>
      </c>
    </row>
    <row r="295">
      <c r="H295" t="str">
        <f>IFERROR(INDEX(tblY7[Class],ROWS(H$10:H295))&amp;"","")</f>
        <v/>
      </c>
      <c r="I295" t="str">
        <f>IF(H295="","",IF(COUNTIF(H$10:H295,H295)=1,COUNTIF(H$10:H$609,"&lt;"&amp;H295)+1,""))</f>
        <v/>
      </c>
      <c r="J295" t="str">
        <f>IFERROR(INDEX(tblY8[Class],ROWS(J$10:J295))&amp;"","")</f>
        <v/>
      </c>
      <c r="K295" t="str">
        <f>IF(J295="","",IF(COUNTIF(J$10:J295,J295)=1,COUNTIF(J$10:J$609,"&lt;"&amp;J295)+1,""))</f>
        <v/>
      </c>
      <c r="L295" t="str">
        <f>IFERROR(INDEX(tblY9[Class],ROWS(L$10:L295))&amp;"","")</f>
        <v/>
      </c>
      <c r="M295" t="str">
        <f>IF(L295="","",IF(COUNTIF(L$10:L295,L295)=1,COUNTIF(L$10:L$609,"&lt;"&amp;L295)+1,""))</f>
        <v/>
      </c>
      <c r="N295" t="str">
        <f>IFERROR(INDEX(tblY10[Class],ROWS(N$10:N295))&amp;"","")</f>
        <v/>
      </c>
      <c r="O295" t="str">
        <f>IF(N295="","",IF(COUNTIF(N$10:N295,N295)=1,COUNTIF(N$10:N$609,"&lt;"&amp;N295)+1,""))</f>
        <v/>
      </c>
      <c r="P295" t="str">
        <f>IFERROR(INDEX(tblY11[Class],ROWS(P$10:P295))&amp;"","")</f>
        <v/>
      </c>
      <c r="Q295" t="str">
        <f>IF(P295="","",IF(COUNTIF(P$10:P295,P295)=1,COUNTIF(P$10:P$609,"&lt;"&amp;P295)+1,""))</f>
        <v/>
      </c>
      <c r="BA295" t="str">
        <f>IFERROR(INDEX(wLast,226)&amp;"","")</f>
        <v/>
      </c>
      <c r="BB295" t="str">
        <f>IF(BA295="","",IFERROR(INDEX(wFirst,226)&amp;"",""))</f>
        <v/>
      </c>
      <c r="BC295" t="str">
        <f>IF(BA295="","",IFERROR(INDEX(wClass,226)&amp;"",""))</f>
        <v/>
      </c>
      <c r="BD295" t="str">
        <f>IF(BA295="","",IFERROR(INDEX(wKsBand,226)+0,""))</f>
        <v/>
      </c>
      <c r="BE295" t="str">
        <f>IF(BA295="","",IFERROR(INDEX(wTests,226)+0,0))</f>
        <v/>
      </c>
      <c r="BF295" t="str">
        <f>IF(BA295="","",IFERROR(INDEX(wMean,226)+0,""))</f>
        <v/>
      </c>
      <c r="BG295" t="str">
        <f>IF(BA295="","",IFERROR(INDEX(wVs,226)+0,""))</f>
        <v/>
      </c>
      <c r="BH295" t="str">
        <f>IF(OR(BA295="",wLatest=""),"",IFERROR(INDEX(wData,226,MATCH(wLatest&amp;CHAR(10)&amp;"Stanine",wHdr,0))+0,""))</f>
        <v/>
      </c>
      <c r="BI295" t="str">
        <f>IF(BA295="","",IF(AND(ISNUMBER(BG295),N(BE295)&gt;=WlMinTests,BG295&lt;=-WlGap),"Below expected for KS2",IF(AND(NOT(ISNUMBER(BD295)),ISNUMBER(BF295),N(BE295)&gt;=WlMinTests,BF295&lt;=WlLowMean),"Low results, no KS2 data","")))</f>
        <v/>
      </c>
      <c r="BJ295" t="str">
        <f>IF(BI295="","",IF(BI295="Below expected for KS2",BG295,100+BF295)+ROW()/1000000)</f>
        <v/>
      </c>
    </row>
    <row r="296">
      <c r="H296" t="str">
        <f>IFERROR(INDEX(tblY7[Class],ROWS(H$10:H296))&amp;"","")</f>
        <v/>
      </c>
      <c r="I296" t="str">
        <f>IF(H296="","",IF(COUNTIF(H$10:H296,H296)=1,COUNTIF(H$10:H$609,"&lt;"&amp;H296)+1,""))</f>
        <v/>
      </c>
      <c r="J296" t="str">
        <f>IFERROR(INDEX(tblY8[Class],ROWS(J$10:J296))&amp;"","")</f>
        <v/>
      </c>
      <c r="K296" t="str">
        <f>IF(J296="","",IF(COUNTIF(J$10:J296,J296)=1,COUNTIF(J$10:J$609,"&lt;"&amp;J296)+1,""))</f>
        <v/>
      </c>
      <c r="L296" t="str">
        <f>IFERROR(INDEX(tblY9[Class],ROWS(L$10:L296))&amp;"","")</f>
        <v/>
      </c>
      <c r="M296" t="str">
        <f>IF(L296="","",IF(COUNTIF(L$10:L296,L296)=1,COUNTIF(L$10:L$609,"&lt;"&amp;L296)+1,""))</f>
        <v/>
      </c>
      <c r="N296" t="str">
        <f>IFERROR(INDEX(tblY10[Class],ROWS(N$10:N296))&amp;"","")</f>
        <v/>
      </c>
      <c r="O296" t="str">
        <f>IF(N296="","",IF(COUNTIF(N$10:N296,N296)=1,COUNTIF(N$10:N$609,"&lt;"&amp;N296)+1,""))</f>
        <v/>
      </c>
      <c r="P296" t="str">
        <f>IFERROR(INDEX(tblY11[Class],ROWS(P$10:P296))&amp;"","")</f>
        <v/>
      </c>
      <c r="Q296" t="str">
        <f>IF(P296="","",IF(COUNTIF(P$10:P296,P296)=1,COUNTIF(P$10:P$609,"&lt;"&amp;P296)+1,""))</f>
        <v/>
      </c>
      <c r="BA296" t="str">
        <f>IFERROR(INDEX(wLast,227)&amp;"","")</f>
        <v/>
      </c>
      <c r="BB296" t="str">
        <f>IF(BA296="","",IFERROR(INDEX(wFirst,227)&amp;"",""))</f>
        <v/>
      </c>
      <c r="BC296" t="str">
        <f>IF(BA296="","",IFERROR(INDEX(wClass,227)&amp;"",""))</f>
        <v/>
      </c>
      <c r="BD296" t="str">
        <f>IF(BA296="","",IFERROR(INDEX(wKsBand,227)+0,""))</f>
        <v/>
      </c>
      <c r="BE296" t="str">
        <f>IF(BA296="","",IFERROR(INDEX(wTests,227)+0,0))</f>
        <v/>
      </c>
      <c r="BF296" t="str">
        <f>IF(BA296="","",IFERROR(INDEX(wMean,227)+0,""))</f>
        <v/>
      </c>
      <c r="BG296" t="str">
        <f>IF(BA296="","",IFERROR(INDEX(wVs,227)+0,""))</f>
        <v/>
      </c>
      <c r="BH296" t="str">
        <f>IF(OR(BA296="",wLatest=""),"",IFERROR(INDEX(wData,227,MATCH(wLatest&amp;CHAR(10)&amp;"Stanine",wHdr,0))+0,""))</f>
        <v/>
      </c>
      <c r="BI296" t="str">
        <f>IF(BA296="","",IF(AND(ISNUMBER(BG296),N(BE296)&gt;=WlMinTests,BG296&lt;=-WlGap),"Below expected for KS2",IF(AND(NOT(ISNUMBER(BD296)),ISNUMBER(BF296),N(BE296)&gt;=WlMinTests,BF296&lt;=WlLowMean),"Low results, no KS2 data","")))</f>
        <v/>
      </c>
      <c r="BJ296" t="str">
        <f>IF(BI296="","",IF(BI296="Below expected for KS2",BG296,100+BF296)+ROW()/1000000)</f>
        <v/>
      </c>
    </row>
    <row r="297">
      <c r="H297" t="str">
        <f>IFERROR(INDEX(tblY7[Class],ROWS(H$10:H297))&amp;"","")</f>
        <v/>
      </c>
      <c r="I297" t="str">
        <f>IF(H297="","",IF(COUNTIF(H$10:H297,H297)=1,COUNTIF(H$10:H$609,"&lt;"&amp;H297)+1,""))</f>
        <v/>
      </c>
      <c r="J297" t="str">
        <f>IFERROR(INDEX(tblY8[Class],ROWS(J$10:J297))&amp;"","")</f>
        <v/>
      </c>
      <c r="K297" t="str">
        <f>IF(J297="","",IF(COUNTIF(J$10:J297,J297)=1,COUNTIF(J$10:J$609,"&lt;"&amp;J297)+1,""))</f>
        <v/>
      </c>
      <c r="L297" t="str">
        <f>IFERROR(INDEX(tblY9[Class],ROWS(L$10:L297))&amp;"","")</f>
        <v/>
      </c>
      <c r="M297" t="str">
        <f>IF(L297="","",IF(COUNTIF(L$10:L297,L297)=1,COUNTIF(L$10:L$609,"&lt;"&amp;L297)+1,""))</f>
        <v/>
      </c>
      <c r="N297" t="str">
        <f>IFERROR(INDEX(tblY10[Class],ROWS(N$10:N297))&amp;"","")</f>
        <v/>
      </c>
      <c r="O297" t="str">
        <f>IF(N297="","",IF(COUNTIF(N$10:N297,N297)=1,COUNTIF(N$10:N$609,"&lt;"&amp;N297)+1,""))</f>
        <v/>
      </c>
      <c r="P297" t="str">
        <f>IFERROR(INDEX(tblY11[Class],ROWS(P$10:P297))&amp;"","")</f>
        <v/>
      </c>
      <c r="Q297" t="str">
        <f>IF(P297="","",IF(COUNTIF(P$10:P297,P297)=1,COUNTIF(P$10:P$609,"&lt;"&amp;P297)+1,""))</f>
        <v/>
      </c>
      <c r="BA297" t="str">
        <f>IFERROR(INDEX(wLast,228)&amp;"","")</f>
        <v/>
      </c>
      <c r="BB297" t="str">
        <f>IF(BA297="","",IFERROR(INDEX(wFirst,228)&amp;"",""))</f>
        <v/>
      </c>
      <c r="BC297" t="str">
        <f>IF(BA297="","",IFERROR(INDEX(wClass,228)&amp;"",""))</f>
        <v/>
      </c>
      <c r="BD297" t="str">
        <f>IF(BA297="","",IFERROR(INDEX(wKsBand,228)+0,""))</f>
        <v/>
      </c>
      <c r="BE297" t="str">
        <f>IF(BA297="","",IFERROR(INDEX(wTests,228)+0,0))</f>
        <v/>
      </c>
      <c r="BF297" t="str">
        <f>IF(BA297="","",IFERROR(INDEX(wMean,228)+0,""))</f>
        <v/>
      </c>
      <c r="BG297" t="str">
        <f>IF(BA297="","",IFERROR(INDEX(wVs,228)+0,""))</f>
        <v/>
      </c>
      <c r="BH297" t="str">
        <f>IF(OR(BA297="",wLatest=""),"",IFERROR(INDEX(wData,228,MATCH(wLatest&amp;CHAR(10)&amp;"Stanine",wHdr,0))+0,""))</f>
        <v/>
      </c>
      <c r="BI297" t="str">
        <f>IF(BA297="","",IF(AND(ISNUMBER(BG297),N(BE297)&gt;=WlMinTests,BG297&lt;=-WlGap),"Below expected for KS2",IF(AND(NOT(ISNUMBER(BD297)),ISNUMBER(BF297),N(BE297)&gt;=WlMinTests,BF297&lt;=WlLowMean),"Low results, no KS2 data","")))</f>
        <v/>
      </c>
      <c r="BJ297" t="str">
        <f>IF(BI297="","",IF(BI297="Below expected for KS2",BG297,100+BF297)+ROW()/1000000)</f>
        <v/>
      </c>
    </row>
    <row r="298">
      <c r="H298" t="str">
        <f>IFERROR(INDEX(tblY7[Class],ROWS(H$10:H298))&amp;"","")</f>
        <v/>
      </c>
      <c r="I298" t="str">
        <f>IF(H298="","",IF(COUNTIF(H$10:H298,H298)=1,COUNTIF(H$10:H$609,"&lt;"&amp;H298)+1,""))</f>
        <v/>
      </c>
      <c r="J298" t="str">
        <f>IFERROR(INDEX(tblY8[Class],ROWS(J$10:J298))&amp;"","")</f>
        <v/>
      </c>
      <c r="K298" t="str">
        <f>IF(J298="","",IF(COUNTIF(J$10:J298,J298)=1,COUNTIF(J$10:J$609,"&lt;"&amp;J298)+1,""))</f>
        <v/>
      </c>
      <c r="L298" t="str">
        <f>IFERROR(INDEX(tblY9[Class],ROWS(L$10:L298))&amp;"","")</f>
        <v/>
      </c>
      <c r="M298" t="str">
        <f>IF(L298="","",IF(COUNTIF(L$10:L298,L298)=1,COUNTIF(L$10:L$609,"&lt;"&amp;L298)+1,""))</f>
        <v/>
      </c>
      <c r="N298" t="str">
        <f>IFERROR(INDEX(tblY10[Class],ROWS(N$10:N298))&amp;"","")</f>
        <v/>
      </c>
      <c r="O298" t="str">
        <f>IF(N298="","",IF(COUNTIF(N$10:N298,N298)=1,COUNTIF(N$10:N$609,"&lt;"&amp;N298)+1,""))</f>
        <v/>
      </c>
      <c r="P298" t="str">
        <f>IFERROR(INDEX(tblY11[Class],ROWS(P$10:P298))&amp;"","")</f>
        <v/>
      </c>
      <c r="Q298" t="str">
        <f>IF(P298="","",IF(COUNTIF(P$10:P298,P298)=1,COUNTIF(P$10:P$609,"&lt;"&amp;P298)+1,""))</f>
        <v/>
      </c>
      <c r="BA298" t="str">
        <f>IFERROR(INDEX(wLast,229)&amp;"","")</f>
        <v/>
      </c>
      <c r="BB298" t="str">
        <f>IF(BA298="","",IFERROR(INDEX(wFirst,229)&amp;"",""))</f>
        <v/>
      </c>
      <c r="BC298" t="str">
        <f>IF(BA298="","",IFERROR(INDEX(wClass,229)&amp;"",""))</f>
        <v/>
      </c>
      <c r="BD298" t="str">
        <f>IF(BA298="","",IFERROR(INDEX(wKsBand,229)+0,""))</f>
        <v/>
      </c>
      <c r="BE298" t="str">
        <f>IF(BA298="","",IFERROR(INDEX(wTests,229)+0,0))</f>
        <v/>
      </c>
      <c r="BF298" t="str">
        <f>IF(BA298="","",IFERROR(INDEX(wMean,229)+0,""))</f>
        <v/>
      </c>
      <c r="BG298" t="str">
        <f>IF(BA298="","",IFERROR(INDEX(wVs,229)+0,""))</f>
        <v/>
      </c>
      <c r="BH298" t="str">
        <f>IF(OR(BA298="",wLatest=""),"",IFERROR(INDEX(wData,229,MATCH(wLatest&amp;CHAR(10)&amp;"Stanine",wHdr,0))+0,""))</f>
        <v/>
      </c>
      <c r="BI298" t="str">
        <f>IF(BA298="","",IF(AND(ISNUMBER(BG298),N(BE298)&gt;=WlMinTests,BG298&lt;=-WlGap),"Below expected for KS2",IF(AND(NOT(ISNUMBER(BD298)),ISNUMBER(BF298),N(BE298)&gt;=WlMinTests,BF298&lt;=WlLowMean),"Low results, no KS2 data","")))</f>
        <v/>
      </c>
      <c r="BJ298" t="str">
        <f>IF(BI298="","",IF(BI298="Below expected for KS2",BG298,100+BF298)+ROW()/1000000)</f>
        <v/>
      </c>
    </row>
    <row r="299">
      <c r="H299" t="str">
        <f>IFERROR(INDEX(tblY7[Class],ROWS(H$10:H299))&amp;"","")</f>
        <v/>
      </c>
      <c r="I299" t="str">
        <f>IF(H299="","",IF(COUNTIF(H$10:H299,H299)=1,COUNTIF(H$10:H$609,"&lt;"&amp;H299)+1,""))</f>
        <v/>
      </c>
      <c r="J299" t="str">
        <f>IFERROR(INDEX(tblY8[Class],ROWS(J$10:J299))&amp;"","")</f>
        <v/>
      </c>
      <c r="K299" t="str">
        <f>IF(J299="","",IF(COUNTIF(J$10:J299,J299)=1,COUNTIF(J$10:J$609,"&lt;"&amp;J299)+1,""))</f>
        <v/>
      </c>
      <c r="L299" t="str">
        <f>IFERROR(INDEX(tblY9[Class],ROWS(L$10:L299))&amp;"","")</f>
        <v/>
      </c>
      <c r="M299" t="str">
        <f>IF(L299="","",IF(COUNTIF(L$10:L299,L299)=1,COUNTIF(L$10:L$609,"&lt;"&amp;L299)+1,""))</f>
        <v/>
      </c>
      <c r="N299" t="str">
        <f>IFERROR(INDEX(tblY10[Class],ROWS(N$10:N299))&amp;"","")</f>
        <v/>
      </c>
      <c r="O299" t="str">
        <f>IF(N299="","",IF(COUNTIF(N$10:N299,N299)=1,COUNTIF(N$10:N$609,"&lt;"&amp;N299)+1,""))</f>
        <v/>
      </c>
      <c r="P299" t="str">
        <f>IFERROR(INDEX(tblY11[Class],ROWS(P$10:P299))&amp;"","")</f>
        <v/>
      </c>
      <c r="Q299" t="str">
        <f>IF(P299="","",IF(COUNTIF(P$10:P299,P299)=1,COUNTIF(P$10:P$609,"&lt;"&amp;P299)+1,""))</f>
        <v/>
      </c>
      <c r="BA299" t="str">
        <f>IFERROR(INDEX(wLast,230)&amp;"","")</f>
        <v/>
      </c>
      <c r="BB299" t="str">
        <f>IF(BA299="","",IFERROR(INDEX(wFirst,230)&amp;"",""))</f>
        <v/>
      </c>
      <c r="BC299" t="str">
        <f>IF(BA299="","",IFERROR(INDEX(wClass,230)&amp;"",""))</f>
        <v/>
      </c>
      <c r="BD299" t="str">
        <f>IF(BA299="","",IFERROR(INDEX(wKsBand,230)+0,""))</f>
        <v/>
      </c>
      <c r="BE299" t="str">
        <f>IF(BA299="","",IFERROR(INDEX(wTests,230)+0,0))</f>
        <v/>
      </c>
      <c r="BF299" t="str">
        <f>IF(BA299="","",IFERROR(INDEX(wMean,230)+0,""))</f>
        <v/>
      </c>
      <c r="BG299" t="str">
        <f>IF(BA299="","",IFERROR(INDEX(wVs,230)+0,""))</f>
        <v/>
      </c>
      <c r="BH299" t="str">
        <f>IF(OR(BA299="",wLatest=""),"",IFERROR(INDEX(wData,230,MATCH(wLatest&amp;CHAR(10)&amp;"Stanine",wHdr,0))+0,""))</f>
        <v/>
      </c>
      <c r="BI299" t="str">
        <f>IF(BA299="","",IF(AND(ISNUMBER(BG299),N(BE299)&gt;=WlMinTests,BG299&lt;=-WlGap),"Below expected for KS2",IF(AND(NOT(ISNUMBER(BD299)),ISNUMBER(BF299),N(BE299)&gt;=WlMinTests,BF299&lt;=WlLowMean),"Low results, no KS2 data","")))</f>
        <v/>
      </c>
      <c r="BJ299" t="str">
        <f>IF(BI299="","",IF(BI299="Below expected for KS2",BG299,100+BF299)+ROW()/1000000)</f>
        <v/>
      </c>
    </row>
    <row r="300">
      <c r="H300" t="str">
        <f>IFERROR(INDEX(tblY7[Class],ROWS(H$10:H300))&amp;"","")</f>
        <v/>
      </c>
      <c r="I300" t="str">
        <f>IF(H300="","",IF(COUNTIF(H$10:H300,H300)=1,COUNTIF(H$10:H$609,"&lt;"&amp;H300)+1,""))</f>
        <v/>
      </c>
      <c r="J300" t="str">
        <f>IFERROR(INDEX(tblY8[Class],ROWS(J$10:J300))&amp;"","")</f>
        <v/>
      </c>
      <c r="K300" t="str">
        <f>IF(J300="","",IF(COUNTIF(J$10:J300,J300)=1,COUNTIF(J$10:J$609,"&lt;"&amp;J300)+1,""))</f>
        <v/>
      </c>
      <c r="L300" t="str">
        <f>IFERROR(INDEX(tblY9[Class],ROWS(L$10:L300))&amp;"","")</f>
        <v/>
      </c>
      <c r="M300" t="str">
        <f>IF(L300="","",IF(COUNTIF(L$10:L300,L300)=1,COUNTIF(L$10:L$609,"&lt;"&amp;L300)+1,""))</f>
        <v/>
      </c>
      <c r="N300" t="str">
        <f>IFERROR(INDEX(tblY10[Class],ROWS(N$10:N300))&amp;"","")</f>
        <v/>
      </c>
      <c r="O300" t="str">
        <f>IF(N300="","",IF(COUNTIF(N$10:N300,N300)=1,COUNTIF(N$10:N$609,"&lt;"&amp;N300)+1,""))</f>
        <v/>
      </c>
      <c r="P300" t="str">
        <f>IFERROR(INDEX(tblY11[Class],ROWS(P$10:P300))&amp;"","")</f>
        <v/>
      </c>
      <c r="Q300" t="str">
        <f>IF(P300="","",IF(COUNTIF(P$10:P300,P300)=1,COUNTIF(P$10:P$609,"&lt;"&amp;P300)+1,""))</f>
        <v/>
      </c>
      <c r="BA300" t="str">
        <f>IFERROR(INDEX(wLast,231)&amp;"","")</f>
        <v/>
      </c>
      <c r="BB300" t="str">
        <f>IF(BA300="","",IFERROR(INDEX(wFirst,231)&amp;"",""))</f>
        <v/>
      </c>
      <c r="BC300" t="str">
        <f>IF(BA300="","",IFERROR(INDEX(wClass,231)&amp;"",""))</f>
        <v/>
      </c>
      <c r="BD300" t="str">
        <f>IF(BA300="","",IFERROR(INDEX(wKsBand,231)+0,""))</f>
        <v/>
      </c>
      <c r="BE300" t="str">
        <f>IF(BA300="","",IFERROR(INDEX(wTests,231)+0,0))</f>
        <v/>
      </c>
      <c r="BF300" t="str">
        <f>IF(BA300="","",IFERROR(INDEX(wMean,231)+0,""))</f>
        <v/>
      </c>
      <c r="BG300" t="str">
        <f>IF(BA300="","",IFERROR(INDEX(wVs,231)+0,""))</f>
        <v/>
      </c>
      <c r="BH300" t="str">
        <f>IF(OR(BA300="",wLatest=""),"",IFERROR(INDEX(wData,231,MATCH(wLatest&amp;CHAR(10)&amp;"Stanine",wHdr,0))+0,""))</f>
        <v/>
      </c>
      <c r="BI300" t="str">
        <f>IF(BA300="","",IF(AND(ISNUMBER(BG300),N(BE300)&gt;=WlMinTests,BG300&lt;=-WlGap),"Below expected for KS2",IF(AND(NOT(ISNUMBER(BD300)),ISNUMBER(BF300),N(BE300)&gt;=WlMinTests,BF300&lt;=WlLowMean),"Low results, no KS2 data","")))</f>
        <v/>
      </c>
      <c r="BJ300" t="str">
        <f>IF(BI300="","",IF(BI300="Below expected for KS2",BG300,100+BF300)+ROW()/1000000)</f>
        <v/>
      </c>
    </row>
    <row r="301">
      <c r="H301" t="str">
        <f>IFERROR(INDEX(tblY7[Class],ROWS(H$10:H301))&amp;"","")</f>
        <v/>
      </c>
      <c r="I301" t="str">
        <f>IF(H301="","",IF(COUNTIF(H$10:H301,H301)=1,COUNTIF(H$10:H$609,"&lt;"&amp;H301)+1,""))</f>
        <v/>
      </c>
      <c r="J301" t="str">
        <f>IFERROR(INDEX(tblY8[Class],ROWS(J$10:J301))&amp;"","")</f>
        <v/>
      </c>
      <c r="K301" t="str">
        <f>IF(J301="","",IF(COUNTIF(J$10:J301,J301)=1,COUNTIF(J$10:J$609,"&lt;"&amp;J301)+1,""))</f>
        <v/>
      </c>
      <c r="L301" t="str">
        <f>IFERROR(INDEX(tblY9[Class],ROWS(L$10:L301))&amp;"","")</f>
        <v/>
      </c>
      <c r="M301" t="str">
        <f>IF(L301="","",IF(COUNTIF(L$10:L301,L301)=1,COUNTIF(L$10:L$609,"&lt;"&amp;L301)+1,""))</f>
        <v/>
      </c>
      <c r="N301" t="str">
        <f>IFERROR(INDEX(tblY10[Class],ROWS(N$10:N301))&amp;"","")</f>
        <v/>
      </c>
      <c r="O301" t="str">
        <f>IF(N301="","",IF(COUNTIF(N$10:N301,N301)=1,COUNTIF(N$10:N$609,"&lt;"&amp;N301)+1,""))</f>
        <v/>
      </c>
      <c r="P301" t="str">
        <f>IFERROR(INDEX(tblY11[Class],ROWS(P$10:P301))&amp;"","")</f>
        <v/>
      </c>
      <c r="Q301" t="str">
        <f>IF(P301="","",IF(COUNTIF(P$10:P301,P301)=1,COUNTIF(P$10:P$609,"&lt;"&amp;P301)+1,""))</f>
        <v/>
      </c>
      <c r="BA301" t="str">
        <f>IFERROR(INDEX(wLast,232)&amp;"","")</f>
        <v/>
      </c>
      <c r="BB301" t="str">
        <f>IF(BA301="","",IFERROR(INDEX(wFirst,232)&amp;"",""))</f>
        <v/>
      </c>
      <c r="BC301" t="str">
        <f>IF(BA301="","",IFERROR(INDEX(wClass,232)&amp;"",""))</f>
        <v/>
      </c>
      <c r="BD301" t="str">
        <f>IF(BA301="","",IFERROR(INDEX(wKsBand,232)+0,""))</f>
        <v/>
      </c>
      <c r="BE301" t="str">
        <f>IF(BA301="","",IFERROR(INDEX(wTests,232)+0,0))</f>
        <v/>
      </c>
      <c r="BF301" t="str">
        <f>IF(BA301="","",IFERROR(INDEX(wMean,232)+0,""))</f>
        <v/>
      </c>
      <c r="BG301" t="str">
        <f>IF(BA301="","",IFERROR(INDEX(wVs,232)+0,""))</f>
        <v/>
      </c>
      <c r="BH301" t="str">
        <f>IF(OR(BA301="",wLatest=""),"",IFERROR(INDEX(wData,232,MATCH(wLatest&amp;CHAR(10)&amp;"Stanine",wHdr,0))+0,""))</f>
        <v/>
      </c>
      <c r="BI301" t="str">
        <f>IF(BA301="","",IF(AND(ISNUMBER(BG301),N(BE301)&gt;=WlMinTests,BG301&lt;=-WlGap),"Below expected for KS2",IF(AND(NOT(ISNUMBER(BD301)),ISNUMBER(BF301),N(BE301)&gt;=WlMinTests,BF301&lt;=WlLowMean),"Low results, no KS2 data","")))</f>
        <v/>
      </c>
      <c r="BJ301" t="str">
        <f>IF(BI301="","",IF(BI301="Below expected for KS2",BG301,100+BF301)+ROW()/1000000)</f>
        <v/>
      </c>
    </row>
    <row r="302">
      <c r="H302" t="str">
        <f>IFERROR(INDEX(tblY7[Class],ROWS(H$10:H302))&amp;"","")</f>
        <v/>
      </c>
      <c r="I302" t="str">
        <f>IF(H302="","",IF(COUNTIF(H$10:H302,H302)=1,COUNTIF(H$10:H$609,"&lt;"&amp;H302)+1,""))</f>
        <v/>
      </c>
      <c r="J302" t="str">
        <f>IFERROR(INDEX(tblY8[Class],ROWS(J$10:J302))&amp;"","")</f>
        <v/>
      </c>
      <c r="K302" t="str">
        <f>IF(J302="","",IF(COUNTIF(J$10:J302,J302)=1,COUNTIF(J$10:J$609,"&lt;"&amp;J302)+1,""))</f>
        <v/>
      </c>
      <c r="L302" t="str">
        <f>IFERROR(INDEX(tblY9[Class],ROWS(L$10:L302))&amp;"","")</f>
        <v/>
      </c>
      <c r="M302" t="str">
        <f>IF(L302="","",IF(COUNTIF(L$10:L302,L302)=1,COUNTIF(L$10:L$609,"&lt;"&amp;L302)+1,""))</f>
        <v/>
      </c>
      <c r="N302" t="str">
        <f>IFERROR(INDEX(tblY10[Class],ROWS(N$10:N302))&amp;"","")</f>
        <v/>
      </c>
      <c r="O302" t="str">
        <f>IF(N302="","",IF(COUNTIF(N$10:N302,N302)=1,COUNTIF(N$10:N$609,"&lt;"&amp;N302)+1,""))</f>
        <v/>
      </c>
      <c r="P302" t="str">
        <f>IFERROR(INDEX(tblY11[Class],ROWS(P$10:P302))&amp;"","")</f>
        <v/>
      </c>
      <c r="Q302" t="str">
        <f>IF(P302="","",IF(COUNTIF(P$10:P302,P302)=1,COUNTIF(P$10:P$609,"&lt;"&amp;P302)+1,""))</f>
        <v/>
      </c>
      <c r="BA302" t="str">
        <f>IFERROR(INDEX(wLast,233)&amp;"","")</f>
        <v/>
      </c>
      <c r="BB302" t="str">
        <f>IF(BA302="","",IFERROR(INDEX(wFirst,233)&amp;"",""))</f>
        <v/>
      </c>
      <c r="BC302" t="str">
        <f>IF(BA302="","",IFERROR(INDEX(wClass,233)&amp;"",""))</f>
        <v/>
      </c>
      <c r="BD302" t="str">
        <f>IF(BA302="","",IFERROR(INDEX(wKsBand,233)+0,""))</f>
        <v/>
      </c>
      <c r="BE302" t="str">
        <f>IF(BA302="","",IFERROR(INDEX(wTests,233)+0,0))</f>
        <v/>
      </c>
      <c r="BF302" t="str">
        <f>IF(BA302="","",IFERROR(INDEX(wMean,233)+0,""))</f>
        <v/>
      </c>
      <c r="BG302" t="str">
        <f>IF(BA302="","",IFERROR(INDEX(wVs,233)+0,""))</f>
        <v/>
      </c>
      <c r="BH302" t="str">
        <f>IF(OR(BA302="",wLatest=""),"",IFERROR(INDEX(wData,233,MATCH(wLatest&amp;CHAR(10)&amp;"Stanine",wHdr,0))+0,""))</f>
        <v/>
      </c>
      <c r="BI302" t="str">
        <f>IF(BA302="","",IF(AND(ISNUMBER(BG302),N(BE302)&gt;=WlMinTests,BG302&lt;=-WlGap),"Below expected for KS2",IF(AND(NOT(ISNUMBER(BD302)),ISNUMBER(BF302),N(BE302)&gt;=WlMinTests,BF302&lt;=WlLowMean),"Low results, no KS2 data","")))</f>
        <v/>
      </c>
      <c r="BJ302" t="str">
        <f>IF(BI302="","",IF(BI302="Below expected for KS2",BG302,100+BF302)+ROW()/1000000)</f>
        <v/>
      </c>
    </row>
    <row r="303">
      <c r="H303" t="str">
        <f>IFERROR(INDEX(tblY7[Class],ROWS(H$10:H303))&amp;"","")</f>
        <v/>
      </c>
      <c r="I303" t="str">
        <f>IF(H303="","",IF(COUNTIF(H$10:H303,H303)=1,COUNTIF(H$10:H$609,"&lt;"&amp;H303)+1,""))</f>
        <v/>
      </c>
      <c r="J303" t="str">
        <f>IFERROR(INDEX(tblY8[Class],ROWS(J$10:J303))&amp;"","")</f>
        <v/>
      </c>
      <c r="K303" t="str">
        <f>IF(J303="","",IF(COUNTIF(J$10:J303,J303)=1,COUNTIF(J$10:J$609,"&lt;"&amp;J303)+1,""))</f>
        <v/>
      </c>
      <c r="L303" t="str">
        <f>IFERROR(INDEX(tblY9[Class],ROWS(L$10:L303))&amp;"","")</f>
        <v/>
      </c>
      <c r="M303" t="str">
        <f>IF(L303="","",IF(COUNTIF(L$10:L303,L303)=1,COUNTIF(L$10:L$609,"&lt;"&amp;L303)+1,""))</f>
        <v/>
      </c>
      <c r="N303" t="str">
        <f>IFERROR(INDEX(tblY10[Class],ROWS(N$10:N303))&amp;"","")</f>
        <v/>
      </c>
      <c r="O303" t="str">
        <f>IF(N303="","",IF(COUNTIF(N$10:N303,N303)=1,COUNTIF(N$10:N$609,"&lt;"&amp;N303)+1,""))</f>
        <v/>
      </c>
      <c r="P303" t="str">
        <f>IFERROR(INDEX(tblY11[Class],ROWS(P$10:P303))&amp;"","")</f>
        <v/>
      </c>
      <c r="Q303" t="str">
        <f>IF(P303="","",IF(COUNTIF(P$10:P303,P303)=1,COUNTIF(P$10:P$609,"&lt;"&amp;P303)+1,""))</f>
        <v/>
      </c>
      <c r="BA303" t="str">
        <f>IFERROR(INDEX(wLast,234)&amp;"","")</f>
        <v/>
      </c>
      <c r="BB303" t="str">
        <f>IF(BA303="","",IFERROR(INDEX(wFirst,234)&amp;"",""))</f>
        <v/>
      </c>
      <c r="BC303" t="str">
        <f>IF(BA303="","",IFERROR(INDEX(wClass,234)&amp;"",""))</f>
        <v/>
      </c>
      <c r="BD303" t="str">
        <f>IF(BA303="","",IFERROR(INDEX(wKsBand,234)+0,""))</f>
        <v/>
      </c>
      <c r="BE303" t="str">
        <f>IF(BA303="","",IFERROR(INDEX(wTests,234)+0,0))</f>
        <v/>
      </c>
      <c r="BF303" t="str">
        <f>IF(BA303="","",IFERROR(INDEX(wMean,234)+0,""))</f>
        <v/>
      </c>
      <c r="BG303" t="str">
        <f>IF(BA303="","",IFERROR(INDEX(wVs,234)+0,""))</f>
        <v/>
      </c>
      <c r="BH303" t="str">
        <f>IF(OR(BA303="",wLatest=""),"",IFERROR(INDEX(wData,234,MATCH(wLatest&amp;CHAR(10)&amp;"Stanine",wHdr,0))+0,""))</f>
        <v/>
      </c>
      <c r="BI303" t="str">
        <f>IF(BA303="","",IF(AND(ISNUMBER(BG303),N(BE303)&gt;=WlMinTests,BG303&lt;=-WlGap),"Below expected for KS2",IF(AND(NOT(ISNUMBER(BD303)),ISNUMBER(BF303),N(BE303)&gt;=WlMinTests,BF303&lt;=WlLowMean),"Low results, no KS2 data","")))</f>
        <v/>
      </c>
      <c r="BJ303" t="str">
        <f>IF(BI303="","",IF(BI303="Below expected for KS2",BG303,100+BF303)+ROW()/1000000)</f>
        <v/>
      </c>
    </row>
    <row r="304">
      <c r="H304" t="str">
        <f>IFERROR(INDEX(tblY7[Class],ROWS(H$10:H304))&amp;"","")</f>
        <v/>
      </c>
      <c r="I304" t="str">
        <f>IF(H304="","",IF(COUNTIF(H$10:H304,H304)=1,COUNTIF(H$10:H$609,"&lt;"&amp;H304)+1,""))</f>
        <v/>
      </c>
      <c r="J304" t="str">
        <f>IFERROR(INDEX(tblY8[Class],ROWS(J$10:J304))&amp;"","")</f>
        <v/>
      </c>
      <c r="K304" t="str">
        <f>IF(J304="","",IF(COUNTIF(J$10:J304,J304)=1,COUNTIF(J$10:J$609,"&lt;"&amp;J304)+1,""))</f>
        <v/>
      </c>
      <c r="L304" t="str">
        <f>IFERROR(INDEX(tblY9[Class],ROWS(L$10:L304))&amp;"","")</f>
        <v/>
      </c>
      <c r="M304" t="str">
        <f>IF(L304="","",IF(COUNTIF(L$10:L304,L304)=1,COUNTIF(L$10:L$609,"&lt;"&amp;L304)+1,""))</f>
        <v/>
      </c>
      <c r="N304" t="str">
        <f>IFERROR(INDEX(tblY10[Class],ROWS(N$10:N304))&amp;"","")</f>
        <v/>
      </c>
      <c r="O304" t="str">
        <f>IF(N304="","",IF(COUNTIF(N$10:N304,N304)=1,COUNTIF(N$10:N$609,"&lt;"&amp;N304)+1,""))</f>
        <v/>
      </c>
      <c r="P304" t="str">
        <f>IFERROR(INDEX(tblY11[Class],ROWS(P$10:P304))&amp;"","")</f>
        <v/>
      </c>
      <c r="Q304" t="str">
        <f>IF(P304="","",IF(COUNTIF(P$10:P304,P304)=1,COUNTIF(P$10:P$609,"&lt;"&amp;P304)+1,""))</f>
        <v/>
      </c>
      <c r="BA304" t="str">
        <f>IFERROR(INDEX(wLast,235)&amp;"","")</f>
        <v/>
      </c>
      <c r="BB304" t="str">
        <f>IF(BA304="","",IFERROR(INDEX(wFirst,235)&amp;"",""))</f>
        <v/>
      </c>
      <c r="BC304" t="str">
        <f>IF(BA304="","",IFERROR(INDEX(wClass,235)&amp;"",""))</f>
        <v/>
      </c>
      <c r="BD304" t="str">
        <f>IF(BA304="","",IFERROR(INDEX(wKsBand,235)+0,""))</f>
        <v/>
      </c>
      <c r="BE304" t="str">
        <f>IF(BA304="","",IFERROR(INDEX(wTests,235)+0,0))</f>
        <v/>
      </c>
      <c r="BF304" t="str">
        <f>IF(BA304="","",IFERROR(INDEX(wMean,235)+0,""))</f>
        <v/>
      </c>
      <c r="BG304" t="str">
        <f>IF(BA304="","",IFERROR(INDEX(wVs,235)+0,""))</f>
        <v/>
      </c>
      <c r="BH304" t="str">
        <f>IF(OR(BA304="",wLatest=""),"",IFERROR(INDEX(wData,235,MATCH(wLatest&amp;CHAR(10)&amp;"Stanine",wHdr,0))+0,""))</f>
        <v/>
      </c>
      <c r="BI304" t="str">
        <f>IF(BA304="","",IF(AND(ISNUMBER(BG304),N(BE304)&gt;=WlMinTests,BG304&lt;=-WlGap),"Below expected for KS2",IF(AND(NOT(ISNUMBER(BD304)),ISNUMBER(BF304),N(BE304)&gt;=WlMinTests,BF304&lt;=WlLowMean),"Low results, no KS2 data","")))</f>
        <v/>
      </c>
      <c r="BJ304" t="str">
        <f>IF(BI304="","",IF(BI304="Below expected for KS2",BG304,100+BF304)+ROW()/1000000)</f>
        <v/>
      </c>
    </row>
    <row r="305">
      <c r="H305" t="str">
        <f>IFERROR(INDEX(tblY7[Class],ROWS(H$10:H305))&amp;"","")</f>
        <v/>
      </c>
      <c r="I305" t="str">
        <f>IF(H305="","",IF(COUNTIF(H$10:H305,H305)=1,COUNTIF(H$10:H$609,"&lt;"&amp;H305)+1,""))</f>
        <v/>
      </c>
      <c r="J305" t="str">
        <f>IFERROR(INDEX(tblY8[Class],ROWS(J$10:J305))&amp;"","")</f>
        <v/>
      </c>
      <c r="K305" t="str">
        <f>IF(J305="","",IF(COUNTIF(J$10:J305,J305)=1,COUNTIF(J$10:J$609,"&lt;"&amp;J305)+1,""))</f>
        <v/>
      </c>
      <c r="L305" t="str">
        <f>IFERROR(INDEX(tblY9[Class],ROWS(L$10:L305))&amp;"","")</f>
        <v/>
      </c>
      <c r="M305" t="str">
        <f>IF(L305="","",IF(COUNTIF(L$10:L305,L305)=1,COUNTIF(L$10:L$609,"&lt;"&amp;L305)+1,""))</f>
        <v/>
      </c>
      <c r="N305" t="str">
        <f>IFERROR(INDEX(tblY10[Class],ROWS(N$10:N305))&amp;"","")</f>
        <v/>
      </c>
      <c r="O305" t="str">
        <f>IF(N305="","",IF(COUNTIF(N$10:N305,N305)=1,COUNTIF(N$10:N$609,"&lt;"&amp;N305)+1,""))</f>
        <v/>
      </c>
      <c r="P305" t="str">
        <f>IFERROR(INDEX(tblY11[Class],ROWS(P$10:P305))&amp;"","")</f>
        <v/>
      </c>
      <c r="Q305" t="str">
        <f>IF(P305="","",IF(COUNTIF(P$10:P305,P305)=1,COUNTIF(P$10:P$609,"&lt;"&amp;P305)+1,""))</f>
        <v/>
      </c>
      <c r="BA305" t="str">
        <f>IFERROR(INDEX(wLast,236)&amp;"","")</f>
        <v/>
      </c>
      <c r="BB305" t="str">
        <f>IF(BA305="","",IFERROR(INDEX(wFirst,236)&amp;"",""))</f>
        <v/>
      </c>
      <c r="BC305" t="str">
        <f>IF(BA305="","",IFERROR(INDEX(wClass,236)&amp;"",""))</f>
        <v/>
      </c>
      <c r="BD305" t="str">
        <f>IF(BA305="","",IFERROR(INDEX(wKsBand,236)+0,""))</f>
        <v/>
      </c>
      <c r="BE305" t="str">
        <f>IF(BA305="","",IFERROR(INDEX(wTests,236)+0,0))</f>
        <v/>
      </c>
      <c r="BF305" t="str">
        <f>IF(BA305="","",IFERROR(INDEX(wMean,236)+0,""))</f>
        <v/>
      </c>
      <c r="BG305" t="str">
        <f>IF(BA305="","",IFERROR(INDEX(wVs,236)+0,""))</f>
        <v/>
      </c>
      <c r="BH305" t="str">
        <f>IF(OR(BA305="",wLatest=""),"",IFERROR(INDEX(wData,236,MATCH(wLatest&amp;CHAR(10)&amp;"Stanine",wHdr,0))+0,""))</f>
        <v/>
      </c>
      <c r="BI305" t="str">
        <f>IF(BA305="","",IF(AND(ISNUMBER(BG305),N(BE305)&gt;=WlMinTests,BG305&lt;=-WlGap),"Below expected for KS2",IF(AND(NOT(ISNUMBER(BD305)),ISNUMBER(BF305),N(BE305)&gt;=WlMinTests,BF305&lt;=WlLowMean),"Low results, no KS2 data","")))</f>
        <v/>
      </c>
      <c r="BJ305" t="str">
        <f>IF(BI305="","",IF(BI305="Below expected for KS2",BG305,100+BF305)+ROW()/1000000)</f>
        <v/>
      </c>
    </row>
    <row r="306">
      <c r="H306" t="str">
        <f>IFERROR(INDEX(tblY7[Class],ROWS(H$10:H306))&amp;"","")</f>
        <v/>
      </c>
      <c r="I306" t="str">
        <f>IF(H306="","",IF(COUNTIF(H$10:H306,H306)=1,COUNTIF(H$10:H$609,"&lt;"&amp;H306)+1,""))</f>
        <v/>
      </c>
      <c r="J306" t="str">
        <f>IFERROR(INDEX(tblY8[Class],ROWS(J$10:J306))&amp;"","")</f>
        <v/>
      </c>
      <c r="K306" t="str">
        <f>IF(J306="","",IF(COUNTIF(J$10:J306,J306)=1,COUNTIF(J$10:J$609,"&lt;"&amp;J306)+1,""))</f>
        <v/>
      </c>
      <c r="L306" t="str">
        <f>IFERROR(INDEX(tblY9[Class],ROWS(L$10:L306))&amp;"","")</f>
        <v/>
      </c>
      <c r="M306" t="str">
        <f>IF(L306="","",IF(COUNTIF(L$10:L306,L306)=1,COUNTIF(L$10:L$609,"&lt;"&amp;L306)+1,""))</f>
        <v/>
      </c>
      <c r="N306" t="str">
        <f>IFERROR(INDEX(tblY10[Class],ROWS(N$10:N306))&amp;"","")</f>
        <v/>
      </c>
      <c r="O306" t="str">
        <f>IF(N306="","",IF(COUNTIF(N$10:N306,N306)=1,COUNTIF(N$10:N$609,"&lt;"&amp;N306)+1,""))</f>
        <v/>
      </c>
      <c r="P306" t="str">
        <f>IFERROR(INDEX(tblY11[Class],ROWS(P$10:P306))&amp;"","")</f>
        <v/>
      </c>
      <c r="Q306" t="str">
        <f>IF(P306="","",IF(COUNTIF(P$10:P306,P306)=1,COUNTIF(P$10:P$609,"&lt;"&amp;P306)+1,""))</f>
        <v/>
      </c>
      <c r="BA306" t="str">
        <f>IFERROR(INDEX(wLast,237)&amp;"","")</f>
        <v/>
      </c>
      <c r="BB306" t="str">
        <f>IF(BA306="","",IFERROR(INDEX(wFirst,237)&amp;"",""))</f>
        <v/>
      </c>
      <c r="BC306" t="str">
        <f>IF(BA306="","",IFERROR(INDEX(wClass,237)&amp;"",""))</f>
        <v/>
      </c>
      <c r="BD306" t="str">
        <f>IF(BA306="","",IFERROR(INDEX(wKsBand,237)+0,""))</f>
        <v/>
      </c>
      <c r="BE306" t="str">
        <f>IF(BA306="","",IFERROR(INDEX(wTests,237)+0,0))</f>
        <v/>
      </c>
      <c r="BF306" t="str">
        <f>IF(BA306="","",IFERROR(INDEX(wMean,237)+0,""))</f>
        <v/>
      </c>
      <c r="BG306" t="str">
        <f>IF(BA306="","",IFERROR(INDEX(wVs,237)+0,""))</f>
        <v/>
      </c>
      <c r="BH306" t="str">
        <f>IF(OR(BA306="",wLatest=""),"",IFERROR(INDEX(wData,237,MATCH(wLatest&amp;CHAR(10)&amp;"Stanine",wHdr,0))+0,""))</f>
        <v/>
      </c>
      <c r="BI306" t="str">
        <f>IF(BA306="","",IF(AND(ISNUMBER(BG306),N(BE306)&gt;=WlMinTests,BG306&lt;=-WlGap),"Below expected for KS2",IF(AND(NOT(ISNUMBER(BD306)),ISNUMBER(BF306),N(BE306)&gt;=WlMinTests,BF306&lt;=WlLowMean),"Low results, no KS2 data","")))</f>
        <v/>
      </c>
      <c r="BJ306" t="str">
        <f>IF(BI306="","",IF(BI306="Below expected for KS2",BG306,100+BF306)+ROW()/1000000)</f>
        <v/>
      </c>
    </row>
    <row r="307">
      <c r="H307" t="str">
        <f>IFERROR(INDEX(tblY7[Class],ROWS(H$10:H307))&amp;"","")</f>
        <v/>
      </c>
      <c r="I307" t="str">
        <f>IF(H307="","",IF(COUNTIF(H$10:H307,H307)=1,COUNTIF(H$10:H$609,"&lt;"&amp;H307)+1,""))</f>
        <v/>
      </c>
      <c r="J307" t="str">
        <f>IFERROR(INDEX(tblY8[Class],ROWS(J$10:J307))&amp;"","")</f>
        <v/>
      </c>
      <c r="K307" t="str">
        <f>IF(J307="","",IF(COUNTIF(J$10:J307,J307)=1,COUNTIF(J$10:J$609,"&lt;"&amp;J307)+1,""))</f>
        <v/>
      </c>
      <c r="L307" t="str">
        <f>IFERROR(INDEX(tblY9[Class],ROWS(L$10:L307))&amp;"","")</f>
        <v/>
      </c>
      <c r="M307" t="str">
        <f>IF(L307="","",IF(COUNTIF(L$10:L307,L307)=1,COUNTIF(L$10:L$609,"&lt;"&amp;L307)+1,""))</f>
        <v/>
      </c>
      <c r="N307" t="str">
        <f>IFERROR(INDEX(tblY10[Class],ROWS(N$10:N307))&amp;"","")</f>
        <v/>
      </c>
      <c r="O307" t="str">
        <f>IF(N307="","",IF(COUNTIF(N$10:N307,N307)=1,COUNTIF(N$10:N$609,"&lt;"&amp;N307)+1,""))</f>
        <v/>
      </c>
      <c r="P307" t="str">
        <f>IFERROR(INDEX(tblY11[Class],ROWS(P$10:P307))&amp;"","")</f>
        <v/>
      </c>
      <c r="Q307" t="str">
        <f>IF(P307="","",IF(COUNTIF(P$10:P307,P307)=1,COUNTIF(P$10:P$609,"&lt;"&amp;P307)+1,""))</f>
        <v/>
      </c>
      <c r="BA307" t="str">
        <f>IFERROR(INDEX(wLast,238)&amp;"","")</f>
        <v/>
      </c>
      <c r="BB307" t="str">
        <f>IF(BA307="","",IFERROR(INDEX(wFirst,238)&amp;"",""))</f>
        <v/>
      </c>
      <c r="BC307" t="str">
        <f>IF(BA307="","",IFERROR(INDEX(wClass,238)&amp;"",""))</f>
        <v/>
      </c>
      <c r="BD307" t="str">
        <f>IF(BA307="","",IFERROR(INDEX(wKsBand,238)+0,""))</f>
        <v/>
      </c>
      <c r="BE307" t="str">
        <f>IF(BA307="","",IFERROR(INDEX(wTests,238)+0,0))</f>
        <v/>
      </c>
      <c r="BF307" t="str">
        <f>IF(BA307="","",IFERROR(INDEX(wMean,238)+0,""))</f>
        <v/>
      </c>
      <c r="BG307" t="str">
        <f>IF(BA307="","",IFERROR(INDEX(wVs,238)+0,""))</f>
        <v/>
      </c>
      <c r="BH307" t="str">
        <f>IF(OR(BA307="",wLatest=""),"",IFERROR(INDEX(wData,238,MATCH(wLatest&amp;CHAR(10)&amp;"Stanine",wHdr,0))+0,""))</f>
        <v/>
      </c>
      <c r="BI307" t="str">
        <f>IF(BA307="","",IF(AND(ISNUMBER(BG307),N(BE307)&gt;=WlMinTests,BG307&lt;=-WlGap),"Below expected for KS2",IF(AND(NOT(ISNUMBER(BD307)),ISNUMBER(BF307),N(BE307)&gt;=WlMinTests,BF307&lt;=WlLowMean),"Low results, no KS2 data","")))</f>
        <v/>
      </c>
      <c r="BJ307" t="str">
        <f>IF(BI307="","",IF(BI307="Below expected for KS2",BG307,100+BF307)+ROW()/1000000)</f>
        <v/>
      </c>
    </row>
    <row r="308">
      <c r="H308" t="str">
        <f>IFERROR(INDEX(tblY7[Class],ROWS(H$10:H308))&amp;"","")</f>
        <v/>
      </c>
      <c r="I308" t="str">
        <f>IF(H308="","",IF(COUNTIF(H$10:H308,H308)=1,COUNTIF(H$10:H$609,"&lt;"&amp;H308)+1,""))</f>
        <v/>
      </c>
      <c r="J308" t="str">
        <f>IFERROR(INDEX(tblY8[Class],ROWS(J$10:J308))&amp;"","")</f>
        <v/>
      </c>
      <c r="K308" t="str">
        <f>IF(J308="","",IF(COUNTIF(J$10:J308,J308)=1,COUNTIF(J$10:J$609,"&lt;"&amp;J308)+1,""))</f>
        <v/>
      </c>
      <c r="L308" t="str">
        <f>IFERROR(INDEX(tblY9[Class],ROWS(L$10:L308))&amp;"","")</f>
        <v/>
      </c>
      <c r="M308" t="str">
        <f>IF(L308="","",IF(COUNTIF(L$10:L308,L308)=1,COUNTIF(L$10:L$609,"&lt;"&amp;L308)+1,""))</f>
        <v/>
      </c>
      <c r="N308" t="str">
        <f>IFERROR(INDEX(tblY10[Class],ROWS(N$10:N308))&amp;"","")</f>
        <v/>
      </c>
      <c r="O308" t="str">
        <f>IF(N308="","",IF(COUNTIF(N$10:N308,N308)=1,COUNTIF(N$10:N$609,"&lt;"&amp;N308)+1,""))</f>
        <v/>
      </c>
      <c r="P308" t="str">
        <f>IFERROR(INDEX(tblY11[Class],ROWS(P$10:P308))&amp;"","")</f>
        <v/>
      </c>
      <c r="Q308" t="str">
        <f>IF(P308="","",IF(COUNTIF(P$10:P308,P308)=1,COUNTIF(P$10:P$609,"&lt;"&amp;P308)+1,""))</f>
        <v/>
      </c>
      <c r="BA308" t="str">
        <f>IFERROR(INDEX(wLast,239)&amp;"","")</f>
        <v/>
      </c>
      <c r="BB308" t="str">
        <f>IF(BA308="","",IFERROR(INDEX(wFirst,239)&amp;"",""))</f>
        <v/>
      </c>
      <c r="BC308" t="str">
        <f>IF(BA308="","",IFERROR(INDEX(wClass,239)&amp;"",""))</f>
        <v/>
      </c>
      <c r="BD308" t="str">
        <f>IF(BA308="","",IFERROR(INDEX(wKsBand,239)+0,""))</f>
        <v/>
      </c>
      <c r="BE308" t="str">
        <f>IF(BA308="","",IFERROR(INDEX(wTests,239)+0,0))</f>
        <v/>
      </c>
      <c r="BF308" t="str">
        <f>IF(BA308="","",IFERROR(INDEX(wMean,239)+0,""))</f>
        <v/>
      </c>
      <c r="BG308" t="str">
        <f>IF(BA308="","",IFERROR(INDEX(wVs,239)+0,""))</f>
        <v/>
      </c>
      <c r="BH308" t="str">
        <f>IF(OR(BA308="",wLatest=""),"",IFERROR(INDEX(wData,239,MATCH(wLatest&amp;CHAR(10)&amp;"Stanine",wHdr,0))+0,""))</f>
        <v/>
      </c>
      <c r="BI308" t="str">
        <f>IF(BA308="","",IF(AND(ISNUMBER(BG308),N(BE308)&gt;=WlMinTests,BG308&lt;=-WlGap),"Below expected for KS2",IF(AND(NOT(ISNUMBER(BD308)),ISNUMBER(BF308),N(BE308)&gt;=WlMinTests,BF308&lt;=WlLowMean),"Low results, no KS2 data","")))</f>
        <v/>
      </c>
      <c r="BJ308" t="str">
        <f>IF(BI308="","",IF(BI308="Below expected for KS2",BG308,100+BF308)+ROW()/1000000)</f>
        <v/>
      </c>
    </row>
    <row r="309">
      <c r="H309" t="str">
        <f>IFERROR(INDEX(tblY7[Class],ROWS(H$10:H309))&amp;"","")</f>
        <v/>
      </c>
      <c r="I309" t="str">
        <f>IF(H309="","",IF(COUNTIF(H$10:H309,H309)=1,COUNTIF(H$10:H$609,"&lt;"&amp;H309)+1,""))</f>
        <v/>
      </c>
      <c r="J309" t="str">
        <f>IFERROR(INDEX(tblY8[Class],ROWS(J$10:J309))&amp;"","")</f>
        <v/>
      </c>
      <c r="K309" t="str">
        <f>IF(J309="","",IF(COUNTIF(J$10:J309,J309)=1,COUNTIF(J$10:J$609,"&lt;"&amp;J309)+1,""))</f>
        <v/>
      </c>
      <c r="L309" t="str">
        <f>IFERROR(INDEX(tblY9[Class],ROWS(L$10:L309))&amp;"","")</f>
        <v/>
      </c>
      <c r="M309" t="str">
        <f>IF(L309="","",IF(COUNTIF(L$10:L309,L309)=1,COUNTIF(L$10:L$609,"&lt;"&amp;L309)+1,""))</f>
        <v/>
      </c>
      <c r="N309" t="str">
        <f>IFERROR(INDEX(tblY10[Class],ROWS(N$10:N309))&amp;"","")</f>
        <v/>
      </c>
      <c r="O309" t="str">
        <f>IF(N309="","",IF(COUNTIF(N$10:N309,N309)=1,COUNTIF(N$10:N$609,"&lt;"&amp;N309)+1,""))</f>
        <v/>
      </c>
      <c r="P309" t="str">
        <f>IFERROR(INDEX(tblY11[Class],ROWS(P$10:P309))&amp;"","")</f>
        <v/>
      </c>
      <c r="Q309" t="str">
        <f>IF(P309="","",IF(COUNTIF(P$10:P309,P309)=1,COUNTIF(P$10:P$609,"&lt;"&amp;P309)+1,""))</f>
        <v/>
      </c>
      <c r="BA309" t="str">
        <f>IFERROR(INDEX(wLast,240)&amp;"","")</f>
        <v/>
      </c>
      <c r="BB309" t="str">
        <f>IF(BA309="","",IFERROR(INDEX(wFirst,240)&amp;"",""))</f>
        <v/>
      </c>
      <c r="BC309" t="str">
        <f>IF(BA309="","",IFERROR(INDEX(wClass,240)&amp;"",""))</f>
        <v/>
      </c>
      <c r="BD309" t="str">
        <f>IF(BA309="","",IFERROR(INDEX(wKsBand,240)+0,""))</f>
        <v/>
      </c>
      <c r="BE309" t="str">
        <f>IF(BA309="","",IFERROR(INDEX(wTests,240)+0,0))</f>
        <v/>
      </c>
      <c r="BF309" t="str">
        <f>IF(BA309="","",IFERROR(INDEX(wMean,240)+0,""))</f>
        <v/>
      </c>
      <c r="BG309" t="str">
        <f>IF(BA309="","",IFERROR(INDEX(wVs,240)+0,""))</f>
        <v/>
      </c>
      <c r="BH309" t="str">
        <f>IF(OR(BA309="",wLatest=""),"",IFERROR(INDEX(wData,240,MATCH(wLatest&amp;CHAR(10)&amp;"Stanine",wHdr,0))+0,""))</f>
        <v/>
      </c>
      <c r="BI309" t="str">
        <f>IF(BA309="","",IF(AND(ISNUMBER(BG309),N(BE309)&gt;=WlMinTests,BG309&lt;=-WlGap),"Below expected for KS2",IF(AND(NOT(ISNUMBER(BD309)),ISNUMBER(BF309),N(BE309)&gt;=WlMinTests,BF309&lt;=WlLowMean),"Low results, no KS2 data","")))</f>
        <v/>
      </c>
      <c r="BJ309" t="str">
        <f>IF(BI309="","",IF(BI309="Below expected for KS2",BG309,100+BF309)+ROW()/1000000)</f>
        <v/>
      </c>
    </row>
    <row r="310">
      <c r="H310" t="str">
        <f>IFERROR(INDEX(tblY7[Class],ROWS(H$10:H310))&amp;"","")</f>
        <v/>
      </c>
      <c r="I310" t="str">
        <f>IF(H310="","",IF(COUNTIF(H$10:H310,H310)=1,COUNTIF(H$10:H$609,"&lt;"&amp;H310)+1,""))</f>
        <v/>
      </c>
      <c r="J310" t="str">
        <f>IFERROR(INDEX(tblY8[Class],ROWS(J$10:J310))&amp;"","")</f>
        <v/>
      </c>
      <c r="K310" t="str">
        <f>IF(J310="","",IF(COUNTIF(J$10:J310,J310)=1,COUNTIF(J$10:J$609,"&lt;"&amp;J310)+1,""))</f>
        <v/>
      </c>
      <c r="L310" t="str">
        <f>IFERROR(INDEX(tblY9[Class],ROWS(L$10:L310))&amp;"","")</f>
        <v/>
      </c>
      <c r="M310" t="str">
        <f>IF(L310="","",IF(COUNTIF(L$10:L310,L310)=1,COUNTIF(L$10:L$609,"&lt;"&amp;L310)+1,""))</f>
        <v/>
      </c>
      <c r="N310" t="str">
        <f>IFERROR(INDEX(tblY10[Class],ROWS(N$10:N310))&amp;"","")</f>
        <v/>
      </c>
      <c r="O310" t="str">
        <f>IF(N310="","",IF(COUNTIF(N$10:N310,N310)=1,COUNTIF(N$10:N$609,"&lt;"&amp;N310)+1,""))</f>
        <v/>
      </c>
      <c r="P310" t="str">
        <f>IFERROR(INDEX(tblY11[Class],ROWS(P$10:P310))&amp;"","")</f>
        <v/>
      </c>
      <c r="Q310" t="str">
        <f>IF(P310="","",IF(COUNTIF(P$10:P310,P310)=1,COUNTIF(P$10:P$609,"&lt;"&amp;P310)+1,""))</f>
        <v/>
      </c>
      <c r="BA310" t="str">
        <f>IFERROR(INDEX(wLast,241)&amp;"","")</f>
        <v/>
      </c>
      <c r="BB310" t="str">
        <f>IF(BA310="","",IFERROR(INDEX(wFirst,241)&amp;"",""))</f>
        <v/>
      </c>
      <c r="BC310" t="str">
        <f>IF(BA310="","",IFERROR(INDEX(wClass,241)&amp;"",""))</f>
        <v/>
      </c>
      <c r="BD310" t="str">
        <f>IF(BA310="","",IFERROR(INDEX(wKsBand,241)+0,""))</f>
        <v/>
      </c>
      <c r="BE310" t="str">
        <f>IF(BA310="","",IFERROR(INDEX(wTests,241)+0,0))</f>
        <v/>
      </c>
      <c r="BF310" t="str">
        <f>IF(BA310="","",IFERROR(INDEX(wMean,241)+0,""))</f>
        <v/>
      </c>
      <c r="BG310" t="str">
        <f>IF(BA310="","",IFERROR(INDEX(wVs,241)+0,""))</f>
        <v/>
      </c>
      <c r="BH310" t="str">
        <f>IF(OR(BA310="",wLatest=""),"",IFERROR(INDEX(wData,241,MATCH(wLatest&amp;CHAR(10)&amp;"Stanine",wHdr,0))+0,""))</f>
        <v/>
      </c>
      <c r="BI310" t="str">
        <f>IF(BA310="","",IF(AND(ISNUMBER(BG310),N(BE310)&gt;=WlMinTests,BG310&lt;=-WlGap),"Below expected for KS2",IF(AND(NOT(ISNUMBER(BD310)),ISNUMBER(BF310),N(BE310)&gt;=WlMinTests,BF310&lt;=WlLowMean),"Low results, no KS2 data","")))</f>
        <v/>
      </c>
      <c r="BJ310" t="str">
        <f>IF(BI310="","",IF(BI310="Below expected for KS2",BG310,100+BF310)+ROW()/1000000)</f>
        <v/>
      </c>
    </row>
    <row r="311">
      <c r="H311" t="str">
        <f>IFERROR(INDEX(tblY7[Class],ROWS(H$10:H311))&amp;"","")</f>
        <v/>
      </c>
      <c r="I311" t="str">
        <f>IF(H311="","",IF(COUNTIF(H$10:H311,H311)=1,COUNTIF(H$10:H$609,"&lt;"&amp;H311)+1,""))</f>
        <v/>
      </c>
      <c r="J311" t="str">
        <f>IFERROR(INDEX(tblY8[Class],ROWS(J$10:J311))&amp;"","")</f>
        <v/>
      </c>
      <c r="K311" t="str">
        <f>IF(J311="","",IF(COUNTIF(J$10:J311,J311)=1,COUNTIF(J$10:J$609,"&lt;"&amp;J311)+1,""))</f>
        <v/>
      </c>
      <c r="L311" t="str">
        <f>IFERROR(INDEX(tblY9[Class],ROWS(L$10:L311))&amp;"","")</f>
        <v/>
      </c>
      <c r="M311" t="str">
        <f>IF(L311="","",IF(COUNTIF(L$10:L311,L311)=1,COUNTIF(L$10:L$609,"&lt;"&amp;L311)+1,""))</f>
        <v/>
      </c>
      <c r="N311" t="str">
        <f>IFERROR(INDEX(tblY10[Class],ROWS(N$10:N311))&amp;"","")</f>
        <v/>
      </c>
      <c r="O311" t="str">
        <f>IF(N311="","",IF(COUNTIF(N$10:N311,N311)=1,COUNTIF(N$10:N$609,"&lt;"&amp;N311)+1,""))</f>
        <v/>
      </c>
      <c r="P311" t="str">
        <f>IFERROR(INDEX(tblY11[Class],ROWS(P$10:P311))&amp;"","")</f>
        <v/>
      </c>
      <c r="Q311" t="str">
        <f>IF(P311="","",IF(COUNTIF(P$10:P311,P311)=1,COUNTIF(P$10:P$609,"&lt;"&amp;P311)+1,""))</f>
        <v/>
      </c>
      <c r="BA311" t="str">
        <f>IFERROR(INDEX(wLast,242)&amp;"","")</f>
        <v/>
      </c>
      <c r="BB311" t="str">
        <f>IF(BA311="","",IFERROR(INDEX(wFirst,242)&amp;"",""))</f>
        <v/>
      </c>
      <c r="BC311" t="str">
        <f>IF(BA311="","",IFERROR(INDEX(wClass,242)&amp;"",""))</f>
        <v/>
      </c>
      <c r="BD311" t="str">
        <f>IF(BA311="","",IFERROR(INDEX(wKsBand,242)+0,""))</f>
        <v/>
      </c>
      <c r="BE311" t="str">
        <f>IF(BA311="","",IFERROR(INDEX(wTests,242)+0,0))</f>
        <v/>
      </c>
      <c r="BF311" t="str">
        <f>IF(BA311="","",IFERROR(INDEX(wMean,242)+0,""))</f>
        <v/>
      </c>
      <c r="BG311" t="str">
        <f>IF(BA311="","",IFERROR(INDEX(wVs,242)+0,""))</f>
        <v/>
      </c>
      <c r="BH311" t="str">
        <f>IF(OR(BA311="",wLatest=""),"",IFERROR(INDEX(wData,242,MATCH(wLatest&amp;CHAR(10)&amp;"Stanine",wHdr,0))+0,""))</f>
        <v/>
      </c>
      <c r="BI311" t="str">
        <f>IF(BA311="","",IF(AND(ISNUMBER(BG311),N(BE311)&gt;=WlMinTests,BG311&lt;=-WlGap),"Below expected for KS2",IF(AND(NOT(ISNUMBER(BD311)),ISNUMBER(BF311),N(BE311)&gt;=WlMinTests,BF311&lt;=WlLowMean),"Low results, no KS2 data","")))</f>
        <v/>
      </c>
      <c r="BJ311" t="str">
        <f>IF(BI311="","",IF(BI311="Below expected for KS2",BG311,100+BF311)+ROW()/1000000)</f>
        <v/>
      </c>
    </row>
    <row r="312">
      <c r="H312" t="str">
        <f>IFERROR(INDEX(tblY7[Class],ROWS(H$10:H312))&amp;"","")</f>
        <v/>
      </c>
      <c r="I312" t="str">
        <f>IF(H312="","",IF(COUNTIF(H$10:H312,H312)=1,COUNTIF(H$10:H$609,"&lt;"&amp;H312)+1,""))</f>
        <v/>
      </c>
      <c r="J312" t="str">
        <f>IFERROR(INDEX(tblY8[Class],ROWS(J$10:J312))&amp;"","")</f>
        <v/>
      </c>
      <c r="K312" t="str">
        <f>IF(J312="","",IF(COUNTIF(J$10:J312,J312)=1,COUNTIF(J$10:J$609,"&lt;"&amp;J312)+1,""))</f>
        <v/>
      </c>
      <c r="L312" t="str">
        <f>IFERROR(INDEX(tblY9[Class],ROWS(L$10:L312))&amp;"","")</f>
        <v/>
      </c>
      <c r="M312" t="str">
        <f>IF(L312="","",IF(COUNTIF(L$10:L312,L312)=1,COUNTIF(L$10:L$609,"&lt;"&amp;L312)+1,""))</f>
        <v/>
      </c>
      <c r="N312" t="str">
        <f>IFERROR(INDEX(tblY10[Class],ROWS(N$10:N312))&amp;"","")</f>
        <v/>
      </c>
      <c r="O312" t="str">
        <f>IF(N312="","",IF(COUNTIF(N$10:N312,N312)=1,COUNTIF(N$10:N$609,"&lt;"&amp;N312)+1,""))</f>
        <v/>
      </c>
      <c r="P312" t="str">
        <f>IFERROR(INDEX(tblY11[Class],ROWS(P$10:P312))&amp;"","")</f>
        <v/>
      </c>
      <c r="Q312" t="str">
        <f>IF(P312="","",IF(COUNTIF(P$10:P312,P312)=1,COUNTIF(P$10:P$609,"&lt;"&amp;P312)+1,""))</f>
        <v/>
      </c>
      <c r="BA312" t="str">
        <f>IFERROR(INDEX(wLast,243)&amp;"","")</f>
        <v/>
      </c>
      <c r="BB312" t="str">
        <f>IF(BA312="","",IFERROR(INDEX(wFirst,243)&amp;"",""))</f>
        <v/>
      </c>
      <c r="BC312" t="str">
        <f>IF(BA312="","",IFERROR(INDEX(wClass,243)&amp;"",""))</f>
        <v/>
      </c>
      <c r="BD312" t="str">
        <f>IF(BA312="","",IFERROR(INDEX(wKsBand,243)+0,""))</f>
        <v/>
      </c>
      <c r="BE312" t="str">
        <f>IF(BA312="","",IFERROR(INDEX(wTests,243)+0,0))</f>
        <v/>
      </c>
      <c r="BF312" t="str">
        <f>IF(BA312="","",IFERROR(INDEX(wMean,243)+0,""))</f>
        <v/>
      </c>
      <c r="BG312" t="str">
        <f>IF(BA312="","",IFERROR(INDEX(wVs,243)+0,""))</f>
        <v/>
      </c>
      <c r="BH312" t="str">
        <f>IF(OR(BA312="",wLatest=""),"",IFERROR(INDEX(wData,243,MATCH(wLatest&amp;CHAR(10)&amp;"Stanine",wHdr,0))+0,""))</f>
        <v/>
      </c>
      <c r="BI312" t="str">
        <f>IF(BA312="","",IF(AND(ISNUMBER(BG312),N(BE312)&gt;=WlMinTests,BG312&lt;=-WlGap),"Below expected for KS2",IF(AND(NOT(ISNUMBER(BD312)),ISNUMBER(BF312),N(BE312)&gt;=WlMinTests,BF312&lt;=WlLowMean),"Low results, no KS2 data","")))</f>
        <v/>
      </c>
      <c r="BJ312" t="str">
        <f>IF(BI312="","",IF(BI312="Below expected for KS2",BG312,100+BF312)+ROW()/1000000)</f>
        <v/>
      </c>
    </row>
    <row r="313">
      <c r="H313" t="str">
        <f>IFERROR(INDEX(tblY7[Class],ROWS(H$10:H313))&amp;"","")</f>
        <v/>
      </c>
      <c r="I313" t="str">
        <f>IF(H313="","",IF(COUNTIF(H$10:H313,H313)=1,COUNTIF(H$10:H$609,"&lt;"&amp;H313)+1,""))</f>
        <v/>
      </c>
      <c r="J313" t="str">
        <f>IFERROR(INDEX(tblY8[Class],ROWS(J$10:J313))&amp;"","")</f>
        <v/>
      </c>
      <c r="K313" t="str">
        <f>IF(J313="","",IF(COUNTIF(J$10:J313,J313)=1,COUNTIF(J$10:J$609,"&lt;"&amp;J313)+1,""))</f>
        <v/>
      </c>
      <c r="L313" t="str">
        <f>IFERROR(INDEX(tblY9[Class],ROWS(L$10:L313))&amp;"","")</f>
        <v/>
      </c>
      <c r="M313" t="str">
        <f>IF(L313="","",IF(COUNTIF(L$10:L313,L313)=1,COUNTIF(L$10:L$609,"&lt;"&amp;L313)+1,""))</f>
        <v/>
      </c>
      <c r="N313" t="str">
        <f>IFERROR(INDEX(tblY10[Class],ROWS(N$10:N313))&amp;"","")</f>
        <v/>
      </c>
      <c r="O313" t="str">
        <f>IF(N313="","",IF(COUNTIF(N$10:N313,N313)=1,COUNTIF(N$10:N$609,"&lt;"&amp;N313)+1,""))</f>
        <v/>
      </c>
      <c r="P313" t="str">
        <f>IFERROR(INDEX(tblY11[Class],ROWS(P$10:P313))&amp;"","")</f>
        <v/>
      </c>
      <c r="Q313" t="str">
        <f>IF(P313="","",IF(COUNTIF(P$10:P313,P313)=1,COUNTIF(P$10:P$609,"&lt;"&amp;P313)+1,""))</f>
        <v/>
      </c>
      <c r="BA313" t="str">
        <f>IFERROR(INDEX(wLast,244)&amp;"","")</f>
        <v/>
      </c>
      <c r="BB313" t="str">
        <f>IF(BA313="","",IFERROR(INDEX(wFirst,244)&amp;"",""))</f>
        <v/>
      </c>
      <c r="BC313" t="str">
        <f>IF(BA313="","",IFERROR(INDEX(wClass,244)&amp;"",""))</f>
        <v/>
      </c>
      <c r="BD313" t="str">
        <f>IF(BA313="","",IFERROR(INDEX(wKsBand,244)+0,""))</f>
        <v/>
      </c>
      <c r="BE313" t="str">
        <f>IF(BA313="","",IFERROR(INDEX(wTests,244)+0,0))</f>
        <v/>
      </c>
      <c r="BF313" t="str">
        <f>IF(BA313="","",IFERROR(INDEX(wMean,244)+0,""))</f>
        <v/>
      </c>
      <c r="BG313" t="str">
        <f>IF(BA313="","",IFERROR(INDEX(wVs,244)+0,""))</f>
        <v/>
      </c>
      <c r="BH313" t="str">
        <f>IF(OR(BA313="",wLatest=""),"",IFERROR(INDEX(wData,244,MATCH(wLatest&amp;CHAR(10)&amp;"Stanine",wHdr,0))+0,""))</f>
        <v/>
      </c>
      <c r="BI313" t="str">
        <f>IF(BA313="","",IF(AND(ISNUMBER(BG313),N(BE313)&gt;=WlMinTests,BG313&lt;=-WlGap),"Below expected for KS2",IF(AND(NOT(ISNUMBER(BD313)),ISNUMBER(BF313),N(BE313)&gt;=WlMinTests,BF313&lt;=WlLowMean),"Low results, no KS2 data","")))</f>
        <v/>
      </c>
      <c r="BJ313" t="str">
        <f>IF(BI313="","",IF(BI313="Below expected for KS2",BG313,100+BF313)+ROW()/1000000)</f>
        <v/>
      </c>
    </row>
    <row r="314">
      <c r="H314" t="str">
        <f>IFERROR(INDEX(tblY7[Class],ROWS(H$10:H314))&amp;"","")</f>
        <v/>
      </c>
      <c r="I314" t="str">
        <f>IF(H314="","",IF(COUNTIF(H$10:H314,H314)=1,COUNTIF(H$10:H$609,"&lt;"&amp;H314)+1,""))</f>
        <v/>
      </c>
      <c r="J314" t="str">
        <f>IFERROR(INDEX(tblY8[Class],ROWS(J$10:J314))&amp;"","")</f>
        <v/>
      </c>
      <c r="K314" t="str">
        <f>IF(J314="","",IF(COUNTIF(J$10:J314,J314)=1,COUNTIF(J$10:J$609,"&lt;"&amp;J314)+1,""))</f>
        <v/>
      </c>
      <c r="L314" t="str">
        <f>IFERROR(INDEX(tblY9[Class],ROWS(L$10:L314))&amp;"","")</f>
        <v/>
      </c>
      <c r="M314" t="str">
        <f>IF(L314="","",IF(COUNTIF(L$10:L314,L314)=1,COUNTIF(L$10:L$609,"&lt;"&amp;L314)+1,""))</f>
        <v/>
      </c>
      <c r="N314" t="str">
        <f>IFERROR(INDEX(tblY10[Class],ROWS(N$10:N314))&amp;"","")</f>
        <v/>
      </c>
      <c r="O314" t="str">
        <f>IF(N314="","",IF(COUNTIF(N$10:N314,N314)=1,COUNTIF(N$10:N$609,"&lt;"&amp;N314)+1,""))</f>
        <v/>
      </c>
      <c r="P314" t="str">
        <f>IFERROR(INDEX(tblY11[Class],ROWS(P$10:P314))&amp;"","")</f>
        <v/>
      </c>
      <c r="Q314" t="str">
        <f>IF(P314="","",IF(COUNTIF(P$10:P314,P314)=1,COUNTIF(P$10:P$609,"&lt;"&amp;P314)+1,""))</f>
        <v/>
      </c>
      <c r="BA314" t="str">
        <f>IFERROR(INDEX(wLast,245)&amp;"","")</f>
        <v/>
      </c>
      <c r="BB314" t="str">
        <f>IF(BA314="","",IFERROR(INDEX(wFirst,245)&amp;"",""))</f>
        <v/>
      </c>
      <c r="BC314" t="str">
        <f>IF(BA314="","",IFERROR(INDEX(wClass,245)&amp;"",""))</f>
        <v/>
      </c>
      <c r="BD314" t="str">
        <f>IF(BA314="","",IFERROR(INDEX(wKsBand,245)+0,""))</f>
        <v/>
      </c>
      <c r="BE314" t="str">
        <f>IF(BA314="","",IFERROR(INDEX(wTests,245)+0,0))</f>
        <v/>
      </c>
      <c r="BF314" t="str">
        <f>IF(BA314="","",IFERROR(INDEX(wMean,245)+0,""))</f>
        <v/>
      </c>
      <c r="BG314" t="str">
        <f>IF(BA314="","",IFERROR(INDEX(wVs,245)+0,""))</f>
        <v/>
      </c>
      <c r="BH314" t="str">
        <f>IF(OR(BA314="",wLatest=""),"",IFERROR(INDEX(wData,245,MATCH(wLatest&amp;CHAR(10)&amp;"Stanine",wHdr,0))+0,""))</f>
        <v/>
      </c>
      <c r="BI314" t="str">
        <f>IF(BA314="","",IF(AND(ISNUMBER(BG314),N(BE314)&gt;=WlMinTests,BG314&lt;=-WlGap),"Below expected for KS2",IF(AND(NOT(ISNUMBER(BD314)),ISNUMBER(BF314),N(BE314)&gt;=WlMinTests,BF314&lt;=WlLowMean),"Low results, no KS2 data","")))</f>
        <v/>
      </c>
      <c r="BJ314" t="str">
        <f>IF(BI314="","",IF(BI314="Below expected for KS2",BG314,100+BF314)+ROW()/1000000)</f>
        <v/>
      </c>
    </row>
    <row r="315">
      <c r="H315" t="str">
        <f>IFERROR(INDEX(tblY7[Class],ROWS(H$10:H315))&amp;"","")</f>
        <v/>
      </c>
      <c r="I315" t="str">
        <f>IF(H315="","",IF(COUNTIF(H$10:H315,H315)=1,COUNTIF(H$10:H$609,"&lt;"&amp;H315)+1,""))</f>
        <v/>
      </c>
      <c r="J315" t="str">
        <f>IFERROR(INDEX(tblY8[Class],ROWS(J$10:J315))&amp;"","")</f>
        <v/>
      </c>
      <c r="K315" t="str">
        <f>IF(J315="","",IF(COUNTIF(J$10:J315,J315)=1,COUNTIF(J$10:J$609,"&lt;"&amp;J315)+1,""))</f>
        <v/>
      </c>
      <c r="L315" t="str">
        <f>IFERROR(INDEX(tblY9[Class],ROWS(L$10:L315))&amp;"","")</f>
        <v/>
      </c>
      <c r="M315" t="str">
        <f>IF(L315="","",IF(COUNTIF(L$10:L315,L315)=1,COUNTIF(L$10:L$609,"&lt;"&amp;L315)+1,""))</f>
        <v/>
      </c>
      <c r="N315" t="str">
        <f>IFERROR(INDEX(tblY10[Class],ROWS(N$10:N315))&amp;"","")</f>
        <v/>
      </c>
      <c r="O315" t="str">
        <f>IF(N315="","",IF(COUNTIF(N$10:N315,N315)=1,COUNTIF(N$10:N$609,"&lt;"&amp;N315)+1,""))</f>
        <v/>
      </c>
      <c r="P315" t="str">
        <f>IFERROR(INDEX(tblY11[Class],ROWS(P$10:P315))&amp;"","")</f>
        <v/>
      </c>
      <c r="Q315" t="str">
        <f>IF(P315="","",IF(COUNTIF(P$10:P315,P315)=1,COUNTIF(P$10:P$609,"&lt;"&amp;P315)+1,""))</f>
        <v/>
      </c>
      <c r="BA315" t="str">
        <f>IFERROR(INDEX(wLast,246)&amp;"","")</f>
        <v/>
      </c>
      <c r="BB315" t="str">
        <f>IF(BA315="","",IFERROR(INDEX(wFirst,246)&amp;"",""))</f>
        <v/>
      </c>
      <c r="BC315" t="str">
        <f>IF(BA315="","",IFERROR(INDEX(wClass,246)&amp;"",""))</f>
        <v/>
      </c>
      <c r="BD315" t="str">
        <f>IF(BA315="","",IFERROR(INDEX(wKsBand,246)+0,""))</f>
        <v/>
      </c>
      <c r="BE315" t="str">
        <f>IF(BA315="","",IFERROR(INDEX(wTests,246)+0,0))</f>
        <v/>
      </c>
      <c r="BF315" t="str">
        <f>IF(BA315="","",IFERROR(INDEX(wMean,246)+0,""))</f>
        <v/>
      </c>
      <c r="BG315" t="str">
        <f>IF(BA315="","",IFERROR(INDEX(wVs,246)+0,""))</f>
        <v/>
      </c>
      <c r="BH315" t="str">
        <f>IF(OR(BA315="",wLatest=""),"",IFERROR(INDEX(wData,246,MATCH(wLatest&amp;CHAR(10)&amp;"Stanine",wHdr,0))+0,""))</f>
        <v/>
      </c>
      <c r="BI315" t="str">
        <f>IF(BA315="","",IF(AND(ISNUMBER(BG315),N(BE315)&gt;=WlMinTests,BG315&lt;=-WlGap),"Below expected for KS2",IF(AND(NOT(ISNUMBER(BD315)),ISNUMBER(BF315),N(BE315)&gt;=WlMinTests,BF315&lt;=WlLowMean),"Low results, no KS2 data","")))</f>
        <v/>
      </c>
      <c r="BJ315" t="str">
        <f>IF(BI315="","",IF(BI315="Below expected for KS2",BG315,100+BF315)+ROW()/1000000)</f>
        <v/>
      </c>
    </row>
    <row r="316">
      <c r="H316" t="str">
        <f>IFERROR(INDEX(tblY7[Class],ROWS(H$10:H316))&amp;"","")</f>
        <v/>
      </c>
      <c r="I316" t="str">
        <f>IF(H316="","",IF(COUNTIF(H$10:H316,H316)=1,COUNTIF(H$10:H$609,"&lt;"&amp;H316)+1,""))</f>
        <v/>
      </c>
      <c r="J316" t="str">
        <f>IFERROR(INDEX(tblY8[Class],ROWS(J$10:J316))&amp;"","")</f>
        <v/>
      </c>
      <c r="K316" t="str">
        <f>IF(J316="","",IF(COUNTIF(J$10:J316,J316)=1,COUNTIF(J$10:J$609,"&lt;"&amp;J316)+1,""))</f>
        <v/>
      </c>
      <c r="L316" t="str">
        <f>IFERROR(INDEX(tblY9[Class],ROWS(L$10:L316))&amp;"","")</f>
        <v/>
      </c>
      <c r="M316" t="str">
        <f>IF(L316="","",IF(COUNTIF(L$10:L316,L316)=1,COUNTIF(L$10:L$609,"&lt;"&amp;L316)+1,""))</f>
        <v/>
      </c>
      <c r="N316" t="str">
        <f>IFERROR(INDEX(tblY10[Class],ROWS(N$10:N316))&amp;"","")</f>
        <v/>
      </c>
      <c r="O316" t="str">
        <f>IF(N316="","",IF(COUNTIF(N$10:N316,N316)=1,COUNTIF(N$10:N$609,"&lt;"&amp;N316)+1,""))</f>
        <v/>
      </c>
      <c r="P316" t="str">
        <f>IFERROR(INDEX(tblY11[Class],ROWS(P$10:P316))&amp;"","")</f>
        <v/>
      </c>
      <c r="Q316" t="str">
        <f>IF(P316="","",IF(COUNTIF(P$10:P316,P316)=1,COUNTIF(P$10:P$609,"&lt;"&amp;P316)+1,""))</f>
        <v/>
      </c>
      <c r="BA316" t="str">
        <f>IFERROR(INDEX(wLast,247)&amp;"","")</f>
        <v/>
      </c>
      <c r="BB316" t="str">
        <f>IF(BA316="","",IFERROR(INDEX(wFirst,247)&amp;"",""))</f>
        <v/>
      </c>
      <c r="BC316" t="str">
        <f>IF(BA316="","",IFERROR(INDEX(wClass,247)&amp;"",""))</f>
        <v/>
      </c>
      <c r="BD316" t="str">
        <f>IF(BA316="","",IFERROR(INDEX(wKsBand,247)+0,""))</f>
        <v/>
      </c>
      <c r="BE316" t="str">
        <f>IF(BA316="","",IFERROR(INDEX(wTests,247)+0,0))</f>
        <v/>
      </c>
      <c r="BF316" t="str">
        <f>IF(BA316="","",IFERROR(INDEX(wMean,247)+0,""))</f>
        <v/>
      </c>
      <c r="BG316" t="str">
        <f>IF(BA316="","",IFERROR(INDEX(wVs,247)+0,""))</f>
        <v/>
      </c>
      <c r="BH316" t="str">
        <f>IF(OR(BA316="",wLatest=""),"",IFERROR(INDEX(wData,247,MATCH(wLatest&amp;CHAR(10)&amp;"Stanine",wHdr,0))+0,""))</f>
        <v/>
      </c>
      <c r="BI316" t="str">
        <f>IF(BA316="","",IF(AND(ISNUMBER(BG316),N(BE316)&gt;=WlMinTests,BG316&lt;=-WlGap),"Below expected for KS2",IF(AND(NOT(ISNUMBER(BD316)),ISNUMBER(BF316),N(BE316)&gt;=WlMinTests,BF316&lt;=WlLowMean),"Low results, no KS2 data","")))</f>
        <v/>
      </c>
      <c r="BJ316" t="str">
        <f>IF(BI316="","",IF(BI316="Below expected for KS2",BG316,100+BF316)+ROW()/1000000)</f>
        <v/>
      </c>
    </row>
    <row r="317">
      <c r="H317" t="str">
        <f>IFERROR(INDEX(tblY7[Class],ROWS(H$10:H317))&amp;"","")</f>
        <v/>
      </c>
      <c r="I317" t="str">
        <f>IF(H317="","",IF(COUNTIF(H$10:H317,H317)=1,COUNTIF(H$10:H$609,"&lt;"&amp;H317)+1,""))</f>
        <v/>
      </c>
      <c r="J317" t="str">
        <f>IFERROR(INDEX(tblY8[Class],ROWS(J$10:J317))&amp;"","")</f>
        <v/>
      </c>
      <c r="K317" t="str">
        <f>IF(J317="","",IF(COUNTIF(J$10:J317,J317)=1,COUNTIF(J$10:J$609,"&lt;"&amp;J317)+1,""))</f>
        <v/>
      </c>
      <c r="L317" t="str">
        <f>IFERROR(INDEX(tblY9[Class],ROWS(L$10:L317))&amp;"","")</f>
        <v/>
      </c>
      <c r="M317" t="str">
        <f>IF(L317="","",IF(COUNTIF(L$10:L317,L317)=1,COUNTIF(L$10:L$609,"&lt;"&amp;L317)+1,""))</f>
        <v/>
      </c>
      <c r="N317" t="str">
        <f>IFERROR(INDEX(tblY10[Class],ROWS(N$10:N317))&amp;"","")</f>
        <v/>
      </c>
      <c r="O317" t="str">
        <f>IF(N317="","",IF(COUNTIF(N$10:N317,N317)=1,COUNTIF(N$10:N$609,"&lt;"&amp;N317)+1,""))</f>
        <v/>
      </c>
      <c r="P317" t="str">
        <f>IFERROR(INDEX(tblY11[Class],ROWS(P$10:P317))&amp;"","")</f>
        <v/>
      </c>
      <c r="Q317" t="str">
        <f>IF(P317="","",IF(COUNTIF(P$10:P317,P317)=1,COUNTIF(P$10:P$609,"&lt;"&amp;P317)+1,""))</f>
        <v/>
      </c>
      <c r="BA317" t="str">
        <f>IFERROR(INDEX(wLast,248)&amp;"","")</f>
        <v/>
      </c>
      <c r="BB317" t="str">
        <f>IF(BA317="","",IFERROR(INDEX(wFirst,248)&amp;"",""))</f>
        <v/>
      </c>
      <c r="BC317" t="str">
        <f>IF(BA317="","",IFERROR(INDEX(wClass,248)&amp;"",""))</f>
        <v/>
      </c>
      <c r="BD317" t="str">
        <f>IF(BA317="","",IFERROR(INDEX(wKsBand,248)+0,""))</f>
        <v/>
      </c>
      <c r="BE317" t="str">
        <f>IF(BA317="","",IFERROR(INDEX(wTests,248)+0,0))</f>
        <v/>
      </c>
      <c r="BF317" t="str">
        <f>IF(BA317="","",IFERROR(INDEX(wMean,248)+0,""))</f>
        <v/>
      </c>
      <c r="BG317" t="str">
        <f>IF(BA317="","",IFERROR(INDEX(wVs,248)+0,""))</f>
        <v/>
      </c>
      <c r="BH317" t="str">
        <f>IF(OR(BA317="",wLatest=""),"",IFERROR(INDEX(wData,248,MATCH(wLatest&amp;CHAR(10)&amp;"Stanine",wHdr,0))+0,""))</f>
        <v/>
      </c>
      <c r="BI317" t="str">
        <f>IF(BA317="","",IF(AND(ISNUMBER(BG317),N(BE317)&gt;=WlMinTests,BG317&lt;=-WlGap),"Below expected for KS2",IF(AND(NOT(ISNUMBER(BD317)),ISNUMBER(BF317),N(BE317)&gt;=WlMinTests,BF317&lt;=WlLowMean),"Low results, no KS2 data","")))</f>
        <v/>
      </c>
      <c r="BJ317" t="str">
        <f>IF(BI317="","",IF(BI317="Below expected for KS2",BG317,100+BF317)+ROW()/1000000)</f>
        <v/>
      </c>
    </row>
    <row r="318">
      <c r="H318" t="str">
        <f>IFERROR(INDEX(tblY7[Class],ROWS(H$10:H318))&amp;"","")</f>
        <v/>
      </c>
      <c r="I318" t="str">
        <f>IF(H318="","",IF(COUNTIF(H$10:H318,H318)=1,COUNTIF(H$10:H$609,"&lt;"&amp;H318)+1,""))</f>
        <v/>
      </c>
      <c r="J318" t="str">
        <f>IFERROR(INDEX(tblY8[Class],ROWS(J$10:J318))&amp;"","")</f>
        <v/>
      </c>
      <c r="K318" t="str">
        <f>IF(J318="","",IF(COUNTIF(J$10:J318,J318)=1,COUNTIF(J$10:J$609,"&lt;"&amp;J318)+1,""))</f>
        <v/>
      </c>
      <c r="L318" t="str">
        <f>IFERROR(INDEX(tblY9[Class],ROWS(L$10:L318))&amp;"","")</f>
        <v/>
      </c>
      <c r="M318" t="str">
        <f>IF(L318="","",IF(COUNTIF(L$10:L318,L318)=1,COUNTIF(L$10:L$609,"&lt;"&amp;L318)+1,""))</f>
        <v/>
      </c>
      <c r="N318" t="str">
        <f>IFERROR(INDEX(tblY10[Class],ROWS(N$10:N318))&amp;"","")</f>
        <v/>
      </c>
      <c r="O318" t="str">
        <f>IF(N318="","",IF(COUNTIF(N$10:N318,N318)=1,COUNTIF(N$10:N$609,"&lt;"&amp;N318)+1,""))</f>
        <v/>
      </c>
      <c r="P318" t="str">
        <f>IFERROR(INDEX(tblY11[Class],ROWS(P$10:P318))&amp;"","")</f>
        <v/>
      </c>
      <c r="Q318" t="str">
        <f>IF(P318="","",IF(COUNTIF(P$10:P318,P318)=1,COUNTIF(P$10:P$609,"&lt;"&amp;P318)+1,""))</f>
        <v/>
      </c>
      <c r="BA318" t="str">
        <f>IFERROR(INDEX(wLast,249)&amp;"","")</f>
        <v/>
      </c>
      <c r="BB318" t="str">
        <f>IF(BA318="","",IFERROR(INDEX(wFirst,249)&amp;"",""))</f>
        <v/>
      </c>
      <c r="BC318" t="str">
        <f>IF(BA318="","",IFERROR(INDEX(wClass,249)&amp;"",""))</f>
        <v/>
      </c>
      <c r="BD318" t="str">
        <f>IF(BA318="","",IFERROR(INDEX(wKsBand,249)+0,""))</f>
        <v/>
      </c>
      <c r="BE318" t="str">
        <f>IF(BA318="","",IFERROR(INDEX(wTests,249)+0,0))</f>
        <v/>
      </c>
      <c r="BF318" t="str">
        <f>IF(BA318="","",IFERROR(INDEX(wMean,249)+0,""))</f>
        <v/>
      </c>
      <c r="BG318" t="str">
        <f>IF(BA318="","",IFERROR(INDEX(wVs,249)+0,""))</f>
        <v/>
      </c>
      <c r="BH318" t="str">
        <f>IF(OR(BA318="",wLatest=""),"",IFERROR(INDEX(wData,249,MATCH(wLatest&amp;CHAR(10)&amp;"Stanine",wHdr,0))+0,""))</f>
        <v/>
      </c>
      <c r="BI318" t="str">
        <f>IF(BA318="","",IF(AND(ISNUMBER(BG318),N(BE318)&gt;=WlMinTests,BG318&lt;=-WlGap),"Below expected for KS2",IF(AND(NOT(ISNUMBER(BD318)),ISNUMBER(BF318),N(BE318)&gt;=WlMinTests,BF318&lt;=WlLowMean),"Low results, no KS2 data","")))</f>
        <v/>
      </c>
      <c r="BJ318" t="str">
        <f>IF(BI318="","",IF(BI318="Below expected for KS2",BG318,100+BF318)+ROW()/1000000)</f>
        <v/>
      </c>
    </row>
    <row r="319">
      <c r="H319" t="str">
        <f>IFERROR(INDEX(tblY7[Class],ROWS(H$10:H319))&amp;"","")</f>
        <v/>
      </c>
      <c r="I319" t="str">
        <f>IF(H319="","",IF(COUNTIF(H$10:H319,H319)=1,COUNTIF(H$10:H$609,"&lt;"&amp;H319)+1,""))</f>
        <v/>
      </c>
      <c r="J319" t="str">
        <f>IFERROR(INDEX(tblY8[Class],ROWS(J$10:J319))&amp;"","")</f>
        <v/>
      </c>
      <c r="K319" t="str">
        <f>IF(J319="","",IF(COUNTIF(J$10:J319,J319)=1,COUNTIF(J$10:J$609,"&lt;"&amp;J319)+1,""))</f>
        <v/>
      </c>
      <c r="L319" t="str">
        <f>IFERROR(INDEX(tblY9[Class],ROWS(L$10:L319))&amp;"","")</f>
        <v/>
      </c>
      <c r="M319" t="str">
        <f>IF(L319="","",IF(COUNTIF(L$10:L319,L319)=1,COUNTIF(L$10:L$609,"&lt;"&amp;L319)+1,""))</f>
        <v/>
      </c>
      <c r="N319" t="str">
        <f>IFERROR(INDEX(tblY10[Class],ROWS(N$10:N319))&amp;"","")</f>
        <v/>
      </c>
      <c r="O319" t="str">
        <f>IF(N319="","",IF(COUNTIF(N$10:N319,N319)=1,COUNTIF(N$10:N$609,"&lt;"&amp;N319)+1,""))</f>
        <v/>
      </c>
      <c r="P319" t="str">
        <f>IFERROR(INDEX(tblY11[Class],ROWS(P$10:P319))&amp;"","")</f>
        <v/>
      </c>
      <c r="Q319" t="str">
        <f>IF(P319="","",IF(COUNTIF(P$10:P319,P319)=1,COUNTIF(P$10:P$609,"&lt;"&amp;P319)+1,""))</f>
        <v/>
      </c>
      <c r="BA319" t="str">
        <f>IFERROR(INDEX(wLast,250)&amp;"","")</f>
        <v/>
      </c>
      <c r="BB319" t="str">
        <f>IF(BA319="","",IFERROR(INDEX(wFirst,250)&amp;"",""))</f>
        <v/>
      </c>
      <c r="BC319" t="str">
        <f>IF(BA319="","",IFERROR(INDEX(wClass,250)&amp;"",""))</f>
        <v/>
      </c>
      <c r="BD319" t="str">
        <f>IF(BA319="","",IFERROR(INDEX(wKsBand,250)+0,""))</f>
        <v/>
      </c>
      <c r="BE319" t="str">
        <f>IF(BA319="","",IFERROR(INDEX(wTests,250)+0,0))</f>
        <v/>
      </c>
      <c r="BF319" t="str">
        <f>IF(BA319="","",IFERROR(INDEX(wMean,250)+0,""))</f>
        <v/>
      </c>
      <c r="BG319" t="str">
        <f>IF(BA319="","",IFERROR(INDEX(wVs,250)+0,""))</f>
        <v/>
      </c>
      <c r="BH319" t="str">
        <f>IF(OR(BA319="",wLatest=""),"",IFERROR(INDEX(wData,250,MATCH(wLatest&amp;CHAR(10)&amp;"Stanine",wHdr,0))+0,""))</f>
        <v/>
      </c>
      <c r="BI319" t="str">
        <f>IF(BA319="","",IF(AND(ISNUMBER(BG319),N(BE319)&gt;=WlMinTests,BG319&lt;=-WlGap),"Below expected for KS2",IF(AND(NOT(ISNUMBER(BD319)),ISNUMBER(BF319),N(BE319)&gt;=WlMinTests,BF319&lt;=WlLowMean),"Low results, no KS2 data","")))</f>
        <v/>
      </c>
      <c r="BJ319" t="str">
        <f>IF(BI319="","",IF(BI319="Below expected for KS2",BG319,100+BF319)+ROW()/1000000)</f>
        <v/>
      </c>
    </row>
    <row r="320">
      <c r="H320" t="str">
        <f>IFERROR(INDEX(tblY7[Class],ROWS(H$10:H320))&amp;"","")</f>
        <v/>
      </c>
      <c r="I320" t="str">
        <f>IF(H320="","",IF(COUNTIF(H$10:H320,H320)=1,COUNTIF(H$10:H$609,"&lt;"&amp;H320)+1,""))</f>
        <v/>
      </c>
      <c r="J320" t="str">
        <f>IFERROR(INDEX(tblY8[Class],ROWS(J$10:J320))&amp;"","")</f>
        <v/>
      </c>
      <c r="K320" t="str">
        <f>IF(J320="","",IF(COUNTIF(J$10:J320,J320)=1,COUNTIF(J$10:J$609,"&lt;"&amp;J320)+1,""))</f>
        <v/>
      </c>
      <c r="L320" t="str">
        <f>IFERROR(INDEX(tblY9[Class],ROWS(L$10:L320))&amp;"","")</f>
        <v/>
      </c>
      <c r="M320" t="str">
        <f>IF(L320="","",IF(COUNTIF(L$10:L320,L320)=1,COUNTIF(L$10:L$609,"&lt;"&amp;L320)+1,""))</f>
        <v/>
      </c>
      <c r="N320" t="str">
        <f>IFERROR(INDEX(tblY10[Class],ROWS(N$10:N320))&amp;"","")</f>
        <v/>
      </c>
      <c r="O320" t="str">
        <f>IF(N320="","",IF(COUNTIF(N$10:N320,N320)=1,COUNTIF(N$10:N$609,"&lt;"&amp;N320)+1,""))</f>
        <v/>
      </c>
      <c r="P320" t="str">
        <f>IFERROR(INDEX(tblY11[Class],ROWS(P$10:P320))&amp;"","")</f>
        <v/>
      </c>
      <c r="Q320" t="str">
        <f>IF(P320="","",IF(COUNTIF(P$10:P320,P320)=1,COUNTIF(P$10:P$609,"&lt;"&amp;P320)+1,""))</f>
        <v/>
      </c>
      <c r="BA320" t="str">
        <f>IFERROR(INDEX(wLast,251)&amp;"","")</f>
        <v/>
      </c>
      <c r="BB320" t="str">
        <f>IF(BA320="","",IFERROR(INDEX(wFirst,251)&amp;"",""))</f>
        <v/>
      </c>
      <c r="BC320" t="str">
        <f>IF(BA320="","",IFERROR(INDEX(wClass,251)&amp;"",""))</f>
        <v/>
      </c>
      <c r="BD320" t="str">
        <f>IF(BA320="","",IFERROR(INDEX(wKsBand,251)+0,""))</f>
        <v/>
      </c>
      <c r="BE320" t="str">
        <f>IF(BA320="","",IFERROR(INDEX(wTests,251)+0,0))</f>
        <v/>
      </c>
      <c r="BF320" t="str">
        <f>IF(BA320="","",IFERROR(INDEX(wMean,251)+0,""))</f>
        <v/>
      </c>
      <c r="BG320" t="str">
        <f>IF(BA320="","",IFERROR(INDEX(wVs,251)+0,""))</f>
        <v/>
      </c>
      <c r="BH320" t="str">
        <f>IF(OR(BA320="",wLatest=""),"",IFERROR(INDEX(wData,251,MATCH(wLatest&amp;CHAR(10)&amp;"Stanine",wHdr,0))+0,""))</f>
        <v/>
      </c>
      <c r="BI320" t="str">
        <f>IF(BA320="","",IF(AND(ISNUMBER(BG320),N(BE320)&gt;=WlMinTests,BG320&lt;=-WlGap),"Below expected for KS2",IF(AND(NOT(ISNUMBER(BD320)),ISNUMBER(BF320),N(BE320)&gt;=WlMinTests,BF320&lt;=WlLowMean),"Low results, no KS2 data","")))</f>
        <v/>
      </c>
      <c r="BJ320" t="str">
        <f>IF(BI320="","",IF(BI320="Below expected for KS2",BG320,100+BF320)+ROW()/1000000)</f>
        <v/>
      </c>
    </row>
    <row r="321">
      <c r="H321" t="str">
        <f>IFERROR(INDEX(tblY7[Class],ROWS(H$10:H321))&amp;"","")</f>
        <v/>
      </c>
      <c r="I321" t="str">
        <f>IF(H321="","",IF(COUNTIF(H$10:H321,H321)=1,COUNTIF(H$10:H$609,"&lt;"&amp;H321)+1,""))</f>
        <v/>
      </c>
      <c r="J321" t="str">
        <f>IFERROR(INDEX(tblY8[Class],ROWS(J$10:J321))&amp;"","")</f>
        <v/>
      </c>
      <c r="K321" t="str">
        <f>IF(J321="","",IF(COUNTIF(J$10:J321,J321)=1,COUNTIF(J$10:J$609,"&lt;"&amp;J321)+1,""))</f>
        <v/>
      </c>
      <c r="L321" t="str">
        <f>IFERROR(INDEX(tblY9[Class],ROWS(L$10:L321))&amp;"","")</f>
        <v/>
      </c>
      <c r="M321" t="str">
        <f>IF(L321="","",IF(COUNTIF(L$10:L321,L321)=1,COUNTIF(L$10:L$609,"&lt;"&amp;L321)+1,""))</f>
        <v/>
      </c>
      <c r="N321" t="str">
        <f>IFERROR(INDEX(tblY10[Class],ROWS(N$10:N321))&amp;"","")</f>
        <v/>
      </c>
      <c r="O321" t="str">
        <f>IF(N321="","",IF(COUNTIF(N$10:N321,N321)=1,COUNTIF(N$10:N$609,"&lt;"&amp;N321)+1,""))</f>
        <v/>
      </c>
      <c r="P321" t="str">
        <f>IFERROR(INDEX(tblY11[Class],ROWS(P$10:P321))&amp;"","")</f>
        <v/>
      </c>
      <c r="Q321" t="str">
        <f>IF(P321="","",IF(COUNTIF(P$10:P321,P321)=1,COUNTIF(P$10:P$609,"&lt;"&amp;P321)+1,""))</f>
        <v/>
      </c>
      <c r="BA321" t="str">
        <f>IFERROR(INDEX(wLast,252)&amp;"","")</f>
        <v/>
      </c>
      <c r="BB321" t="str">
        <f>IF(BA321="","",IFERROR(INDEX(wFirst,252)&amp;"",""))</f>
        <v/>
      </c>
      <c r="BC321" t="str">
        <f>IF(BA321="","",IFERROR(INDEX(wClass,252)&amp;"",""))</f>
        <v/>
      </c>
      <c r="BD321" t="str">
        <f>IF(BA321="","",IFERROR(INDEX(wKsBand,252)+0,""))</f>
        <v/>
      </c>
      <c r="BE321" t="str">
        <f>IF(BA321="","",IFERROR(INDEX(wTests,252)+0,0))</f>
        <v/>
      </c>
      <c r="BF321" t="str">
        <f>IF(BA321="","",IFERROR(INDEX(wMean,252)+0,""))</f>
        <v/>
      </c>
      <c r="BG321" t="str">
        <f>IF(BA321="","",IFERROR(INDEX(wVs,252)+0,""))</f>
        <v/>
      </c>
      <c r="BH321" t="str">
        <f>IF(OR(BA321="",wLatest=""),"",IFERROR(INDEX(wData,252,MATCH(wLatest&amp;CHAR(10)&amp;"Stanine",wHdr,0))+0,""))</f>
        <v/>
      </c>
      <c r="BI321" t="str">
        <f>IF(BA321="","",IF(AND(ISNUMBER(BG321),N(BE321)&gt;=WlMinTests,BG321&lt;=-WlGap),"Below expected for KS2",IF(AND(NOT(ISNUMBER(BD321)),ISNUMBER(BF321),N(BE321)&gt;=WlMinTests,BF321&lt;=WlLowMean),"Low results, no KS2 data","")))</f>
        <v/>
      </c>
      <c r="BJ321" t="str">
        <f>IF(BI321="","",IF(BI321="Below expected for KS2",BG321,100+BF321)+ROW()/1000000)</f>
        <v/>
      </c>
    </row>
    <row r="322">
      <c r="H322" t="str">
        <f>IFERROR(INDEX(tblY7[Class],ROWS(H$10:H322))&amp;"","")</f>
        <v/>
      </c>
      <c r="I322" t="str">
        <f>IF(H322="","",IF(COUNTIF(H$10:H322,H322)=1,COUNTIF(H$10:H$609,"&lt;"&amp;H322)+1,""))</f>
        <v/>
      </c>
      <c r="J322" t="str">
        <f>IFERROR(INDEX(tblY8[Class],ROWS(J$10:J322))&amp;"","")</f>
        <v/>
      </c>
      <c r="K322" t="str">
        <f>IF(J322="","",IF(COUNTIF(J$10:J322,J322)=1,COUNTIF(J$10:J$609,"&lt;"&amp;J322)+1,""))</f>
        <v/>
      </c>
      <c r="L322" t="str">
        <f>IFERROR(INDEX(tblY9[Class],ROWS(L$10:L322))&amp;"","")</f>
        <v/>
      </c>
      <c r="M322" t="str">
        <f>IF(L322="","",IF(COUNTIF(L$10:L322,L322)=1,COUNTIF(L$10:L$609,"&lt;"&amp;L322)+1,""))</f>
        <v/>
      </c>
      <c r="N322" t="str">
        <f>IFERROR(INDEX(tblY10[Class],ROWS(N$10:N322))&amp;"","")</f>
        <v/>
      </c>
      <c r="O322" t="str">
        <f>IF(N322="","",IF(COUNTIF(N$10:N322,N322)=1,COUNTIF(N$10:N$609,"&lt;"&amp;N322)+1,""))</f>
        <v/>
      </c>
      <c r="P322" t="str">
        <f>IFERROR(INDEX(tblY11[Class],ROWS(P$10:P322))&amp;"","")</f>
        <v/>
      </c>
      <c r="Q322" t="str">
        <f>IF(P322="","",IF(COUNTIF(P$10:P322,P322)=1,COUNTIF(P$10:P$609,"&lt;"&amp;P322)+1,""))</f>
        <v/>
      </c>
      <c r="BA322" t="str">
        <f>IFERROR(INDEX(wLast,253)&amp;"","")</f>
        <v/>
      </c>
      <c r="BB322" t="str">
        <f>IF(BA322="","",IFERROR(INDEX(wFirst,253)&amp;"",""))</f>
        <v/>
      </c>
      <c r="BC322" t="str">
        <f>IF(BA322="","",IFERROR(INDEX(wClass,253)&amp;"",""))</f>
        <v/>
      </c>
      <c r="BD322" t="str">
        <f>IF(BA322="","",IFERROR(INDEX(wKsBand,253)+0,""))</f>
        <v/>
      </c>
      <c r="BE322" t="str">
        <f>IF(BA322="","",IFERROR(INDEX(wTests,253)+0,0))</f>
        <v/>
      </c>
      <c r="BF322" t="str">
        <f>IF(BA322="","",IFERROR(INDEX(wMean,253)+0,""))</f>
        <v/>
      </c>
      <c r="BG322" t="str">
        <f>IF(BA322="","",IFERROR(INDEX(wVs,253)+0,""))</f>
        <v/>
      </c>
      <c r="BH322" t="str">
        <f>IF(OR(BA322="",wLatest=""),"",IFERROR(INDEX(wData,253,MATCH(wLatest&amp;CHAR(10)&amp;"Stanine",wHdr,0))+0,""))</f>
        <v/>
      </c>
      <c r="BI322" t="str">
        <f>IF(BA322="","",IF(AND(ISNUMBER(BG322),N(BE322)&gt;=WlMinTests,BG322&lt;=-WlGap),"Below expected for KS2",IF(AND(NOT(ISNUMBER(BD322)),ISNUMBER(BF322),N(BE322)&gt;=WlMinTests,BF322&lt;=WlLowMean),"Low results, no KS2 data","")))</f>
        <v/>
      </c>
      <c r="BJ322" t="str">
        <f>IF(BI322="","",IF(BI322="Below expected for KS2",BG322,100+BF322)+ROW()/1000000)</f>
        <v/>
      </c>
    </row>
    <row r="323">
      <c r="H323" t="str">
        <f>IFERROR(INDEX(tblY7[Class],ROWS(H$10:H323))&amp;"","")</f>
        <v/>
      </c>
      <c r="I323" t="str">
        <f>IF(H323="","",IF(COUNTIF(H$10:H323,H323)=1,COUNTIF(H$10:H$609,"&lt;"&amp;H323)+1,""))</f>
        <v/>
      </c>
      <c r="J323" t="str">
        <f>IFERROR(INDEX(tblY8[Class],ROWS(J$10:J323))&amp;"","")</f>
        <v/>
      </c>
      <c r="K323" t="str">
        <f>IF(J323="","",IF(COUNTIF(J$10:J323,J323)=1,COUNTIF(J$10:J$609,"&lt;"&amp;J323)+1,""))</f>
        <v/>
      </c>
      <c r="L323" t="str">
        <f>IFERROR(INDEX(tblY9[Class],ROWS(L$10:L323))&amp;"","")</f>
        <v/>
      </c>
      <c r="M323" t="str">
        <f>IF(L323="","",IF(COUNTIF(L$10:L323,L323)=1,COUNTIF(L$10:L$609,"&lt;"&amp;L323)+1,""))</f>
        <v/>
      </c>
      <c r="N323" t="str">
        <f>IFERROR(INDEX(tblY10[Class],ROWS(N$10:N323))&amp;"","")</f>
        <v/>
      </c>
      <c r="O323" t="str">
        <f>IF(N323="","",IF(COUNTIF(N$10:N323,N323)=1,COUNTIF(N$10:N$609,"&lt;"&amp;N323)+1,""))</f>
        <v/>
      </c>
      <c r="P323" t="str">
        <f>IFERROR(INDEX(tblY11[Class],ROWS(P$10:P323))&amp;"","")</f>
        <v/>
      </c>
      <c r="Q323" t="str">
        <f>IF(P323="","",IF(COUNTIF(P$10:P323,P323)=1,COUNTIF(P$10:P$609,"&lt;"&amp;P323)+1,""))</f>
        <v/>
      </c>
      <c r="BA323" t="str">
        <f>IFERROR(INDEX(wLast,254)&amp;"","")</f>
        <v/>
      </c>
      <c r="BB323" t="str">
        <f>IF(BA323="","",IFERROR(INDEX(wFirst,254)&amp;"",""))</f>
        <v/>
      </c>
      <c r="BC323" t="str">
        <f>IF(BA323="","",IFERROR(INDEX(wClass,254)&amp;"",""))</f>
        <v/>
      </c>
      <c r="BD323" t="str">
        <f>IF(BA323="","",IFERROR(INDEX(wKsBand,254)+0,""))</f>
        <v/>
      </c>
      <c r="BE323" t="str">
        <f>IF(BA323="","",IFERROR(INDEX(wTests,254)+0,0))</f>
        <v/>
      </c>
      <c r="BF323" t="str">
        <f>IF(BA323="","",IFERROR(INDEX(wMean,254)+0,""))</f>
        <v/>
      </c>
      <c r="BG323" t="str">
        <f>IF(BA323="","",IFERROR(INDEX(wVs,254)+0,""))</f>
        <v/>
      </c>
      <c r="BH323" t="str">
        <f>IF(OR(BA323="",wLatest=""),"",IFERROR(INDEX(wData,254,MATCH(wLatest&amp;CHAR(10)&amp;"Stanine",wHdr,0))+0,""))</f>
        <v/>
      </c>
      <c r="BI323" t="str">
        <f>IF(BA323="","",IF(AND(ISNUMBER(BG323),N(BE323)&gt;=WlMinTests,BG323&lt;=-WlGap),"Below expected for KS2",IF(AND(NOT(ISNUMBER(BD323)),ISNUMBER(BF323),N(BE323)&gt;=WlMinTests,BF323&lt;=WlLowMean),"Low results, no KS2 data","")))</f>
        <v/>
      </c>
      <c r="BJ323" t="str">
        <f>IF(BI323="","",IF(BI323="Below expected for KS2",BG323,100+BF323)+ROW()/1000000)</f>
        <v/>
      </c>
    </row>
    <row r="324">
      <c r="H324" t="str">
        <f>IFERROR(INDEX(tblY7[Class],ROWS(H$10:H324))&amp;"","")</f>
        <v/>
      </c>
      <c r="I324" t="str">
        <f>IF(H324="","",IF(COUNTIF(H$10:H324,H324)=1,COUNTIF(H$10:H$609,"&lt;"&amp;H324)+1,""))</f>
        <v/>
      </c>
      <c r="J324" t="str">
        <f>IFERROR(INDEX(tblY8[Class],ROWS(J$10:J324))&amp;"","")</f>
        <v/>
      </c>
      <c r="K324" t="str">
        <f>IF(J324="","",IF(COUNTIF(J$10:J324,J324)=1,COUNTIF(J$10:J$609,"&lt;"&amp;J324)+1,""))</f>
        <v/>
      </c>
      <c r="L324" t="str">
        <f>IFERROR(INDEX(tblY9[Class],ROWS(L$10:L324))&amp;"","")</f>
        <v/>
      </c>
      <c r="M324" t="str">
        <f>IF(L324="","",IF(COUNTIF(L$10:L324,L324)=1,COUNTIF(L$10:L$609,"&lt;"&amp;L324)+1,""))</f>
        <v/>
      </c>
      <c r="N324" t="str">
        <f>IFERROR(INDEX(tblY10[Class],ROWS(N$10:N324))&amp;"","")</f>
        <v/>
      </c>
      <c r="O324" t="str">
        <f>IF(N324="","",IF(COUNTIF(N$10:N324,N324)=1,COUNTIF(N$10:N$609,"&lt;"&amp;N324)+1,""))</f>
        <v/>
      </c>
      <c r="P324" t="str">
        <f>IFERROR(INDEX(tblY11[Class],ROWS(P$10:P324))&amp;"","")</f>
        <v/>
      </c>
      <c r="Q324" t="str">
        <f>IF(P324="","",IF(COUNTIF(P$10:P324,P324)=1,COUNTIF(P$10:P$609,"&lt;"&amp;P324)+1,""))</f>
        <v/>
      </c>
      <c r="BA324" t="str">
        <f>IFERROR(INDEX(wLast,255)&amp;"","")</f>
        <v/>
      </c>
      <c r="BB324" t="str">
        <f>IF(BA324="","",IFERROR(INDEX(wFirst,255)&amp;"",""))</f>
        <v/>
      </c>
      <c r="BC324" t="str">
        <f>IF(BA324="","",IFERROR(INDEX(wClass,255)&amp;"",""))</f>
        <v/>
      </c>
      <c r="BD324" t="str">
        <f>IF(BA324="","",IFERROR(INDEX(wKsBand,255)+0,""))</f>
        <v/>
      </c>
      <c r="BE324" t="str">
        <f>IF(BA324="","",IFERROR(INDEX(wTests,255)+0,0))</f>
        <v/>
      </c>
      <c r="BF324" t="str">
        <f>IF(BA324="","",IFERROR(INDEX(wMean,255)+0,""))</f>
        <v/>
      </c>
      <c r="BG324" t="str">
        <f>IF(BA324="","",IFERROR(INDEX(wVs,255)+0,""))</f>
        <v/>
      </c>
      <c r="BH324" t="str">
        <f>IF(OR(BA324="",wLatest=""),"",IFERROR(INDEX(wData,255,MATCH(wLatest&amp;CHAR(10)&amp;"Stanine",wHdr,0))+0,""))</f>
        <v/>
      </c>
      <c r="BI324" t="str">
        <f>IF(BA324="","",IF(AND(ISNUMBER(BG324),N(BE324)&gt;=WlMinTests,BG324&lt;=-WlGap),"Below expected for KS2",IF(AND(NOT(ISNUMBER(BD324)),ISNUMBER(BF324),N(BE324)&gt;=WlMinTests,BF324&lt;=WlLowMean),"Low results, no KS2 data","")))</f>
        <v/>
      </c>
      <c r="BJ324" t="str">
        <f>IF(BI324="","",IF(BI324="Below expected for KS2",BG324,100+BF324)+ROW()/1000000)</f>
        <v/>
      </c>
    </row>
    <row r="325">
      <c r="H325" t="str">
        <f>IFERROR(INDEX(tblY7[Class],ROWS(H$10:H325))&amp;"","")</f>
        <v/>
      </c>
      <c r="I325" t="str">
        <f>IF(H325="","",IF(COUNTIF(H$10:H325,H325)=1,COUNTIF(H$10:H$609,"&lt;"&amp;H325)+1,""))</f>
        <v/>
      </c>
      <c r="J325" t="str">
        <f>IFERROR(INDEX(tblY8[Class],ROWS(J$10:J325))&amp;"","")</f>
        <v/>
      </c>
      <c r="K325" t="str">
        <f>IF(J325="","",IF(COUNTIF(J$10:J325,J325)=1,COUNTIF(J$10:J$609,"&lt;"&amp;J325)+1,""))</f>
        <v/>
      </c>
      <c r="L325" t="str">
        <f>IFERROR(INDEX(tblY9[Class],ROWS(L$10:L325))&amp;"","")</f>
        <v/>
      </c>
      <c r="M325" t="str">
        <f>IF(L325="","",IF(COUNTIF(L$10:L325,L325)=1,COUNTIF(L$10:L$609,"&lt;"&amp;L325)+1,""))</f>
        <v/>
      </c>
      <c r="N325" t="str">
        <f>IFERROR(INDEX(tblY10[Class],ROWS(N$10:N325))&amp;"","")</f>
        <v/>
      </c>
      <c r="O325" t="str">
        <f>IF(N325="","",IF(COUNTIF(N$10:N325,N325)=1,COUNTIF(N$10:N$609,"&lt;"&amp;N325)+1,""))</f>
        <v/>
      </c>
      <c r="P325" t="str">
        <f>IFERROR(INDEX(tblY11[Class],ROWS(P$10:P325))&amp;"","")</f>
        <v/>
      </c>
      <c r="Q325" t="str">
        <f>IF(P325="","",IF(COUNTIF(P$10:P325,P325)=1,COUNTIF(P$10:P$609,"&lt;"&amp;P325)+1,""))</f>
        <v/>
      </c>
      <c r="BA325" t="str">
        <f>IFERROR(INDEX(wLast,256)&amp;"","")</f>
        <v/>
      </c>
      <c r="BB325" t="str">
        <f>IF(BA325="","",IFERROR(INDEX(wFirst,256)&amp;"",""))</f>
        <v/>
      </c>
      <c r="BC325" t="str">
        <f>IF(BA325="","",IFERROR(INDEX(wClass,256)&amp;"",""))</f>
        <v/>
      </c>
      <c r="BD325" t="str">
        <f>IF(BA325="","",IFERROR(INDEX(wKsBand,256)+0,""))</f>
        <v/>
      </c>
      <c r="BE325" t="str">
        <f>IF(BA325="","",IFERROR(INDEX(wTests,256)+0,0))</f>
        <v/>
      </c>
      <c r="BF325" t="str">
        <f>IF(BA325="","",IFERROR(INDEX(wMean,256)+0,""))</f>
        <v/>
      </c>
      <c r="BG325" t="str">
        <f>IF(BA325="","",IFERROR(INDEX(wVs,256)+0,""))</f>
        <v/>
      </c>
      <c r="BH325" t="str">
        <f>IF(OR(BA325="",wLatest=""),"",IFERROR(INDEX(wData,256,MATCH(wLatest&amp;CHAR(10)&amp;"Stanine",wHdr,0))+0,""))</f>
        <v/>
      </c>
      <c r="BI325" t="str">
        <f>IF(BA325="","",IF(AND(ISNUMBER(BG325),N(BE325)&gt;=WlMinTests,BG325&lt;=-WlGap),"Below expected for KS2",IF(AND(NOT(ISNUMBER(BD325)),ISNUMBER(BF325),N(BE325)&gt;=WlMinTests,BF325&lt;=WlLowMean),"Low results, no KS2 data","")))</f>
        <v/>
      </c>
      <c r="BJ325" t="str">
        <f>IF(BI325="","",IF(BI325="Below expected for KS2",BG325,100+BF325)+ROW()/1000000)</f>
        <v/>
      </c>
    </row>
    <row r="326">
      <c r="H326" t="str">
        <f>IFERROR(INDEX(tblY7[Class],ROWS(H$10:H326))&amp;"","")</f>
        <v/>
      </c>
      <c r="I326" t="str">
        <f>IF(H326="","",IF(COUNTIF(H$10:H326,H326)=1,COUNTIF(H$10:H$609,"&lt;"&amp;H326)+1,""))</f>
        <v/>
      </c>
      <c r="J326" t="str">
        <f>IFERROR(INDEX(tblY8[Class],ROWS(J$10:J326))&amp;"","")</f>
        <v/>
      </c>
      <c r="K326" t="str">
        <f>IF(J326="","",IF(COUNTIF(J$10:J326,J326)=1,COUNTIF(J$10:J$609,"&lt;"&amp;J326)+1,""))</f>
        <v/>
      </c>
      <c r="L326" t="str">
        <f>IFERROR(INDEX(tblY9[Class],ROWS(L$10:L326))&amp;"","")</f>
        <v/>
      </c>
      <c r="M326" t="str">
        <f>IF(L326="","",IF(COUNTIF(L$10:L326,L326)=1,COUNTIF(L$10:L$609,"&lt;"&amp;L326)+1,""))</f>
        <v/>
      </c>
      <c r="N326" t="str">
        <f>IFERROR(INDEX(tblY10[Class],ROWS(N$10:N326))&amp;"","")</f>
        <v/>
      </c>
      <c r="O326" t="str">
        <f>IF(N326="","",IF(COUNTIF(N$10:N326,N326)=1,COUNTIF(N$10:N$609,"&lt;"&amp;N326)+1,""))</f>
        <v/>
      </c>
      <c r="P326" t="str">
        <f>IFERROR(INDEX(tblY11[Class],ROWS(P$10:P326))&amp;"","")</f>
        <v/>
      </c>
      <c r="Q326" t="str">
        <f>IF(P326="","",IF(COUNTIF(P$10:P326,P326)=1,COUNTIF(P$10:P$609,"&lt;"&amp;P326)+1,""))</f>
        <v/>
      </c>
      <c r="BA326" t="str">
        <f>IFERROR(INDEX(wLast,257)&amp;"","")</f>
        <v/>
      </c>
      <c r="BB326" t="str">
        <f>IF(BA326="","",IFERROR(INDEX(wFirst,257)&amp;"",""))</f>
        <v/>
      </c>
      <c r="BC326" t="str">
        <f>IF(BA326="","",IFERROR(INDEX(wClass,257)&amp;"",""))</f>
        <v/>
      </c>
      <c r="BD326" t="str">
        <f>IF(BA326="","",IFERROR(INDEX(wKsBand,257)+0,""))</f>
        <v/>
      </c>
      <c r="BE326" t="str">
        <f>IF(BA326="","",IFERROR(INDEX(wTests,257)+0,0))</f>
        <v/>
      </c>
      <c r="BF326" t="str">
        <f>IF(BA326="","",IFERROR(INDEX(wMean,257)+0,""))</f>
        <v/>
      </c>
      <c r="BG326" t="str">
        <f>IF(BA326="","",IFERROR(INDEX(wVs,257)+0,""))</f>
        <v/>
      </c>
      <c r="BH326" t="str">
        <f>IF(OR(BA326="",wLatest=""),"",IFERROR(INDEX(wData,257,MATCH(wLatest&amp;CHAR(10)&amp;"Stanine",wHdr,0))+0,""))</f>
        <v/>
      </c>
      <c r="BI326" t="str">
        <f>IF(BA326="","",IF(AND(ISNUMBER(BG326),N(BE326)&gt;=WlMinTests,BG326&lt;=-WlGap),"Below expected for KS2",IF(AND(NOT(ISNUMBER(BD326)),ISNUMBER(BF326),N(BE326)&gt;=WlMinTests,BF326&lt;=WlLowMean),"Low results, no KS2 data","")))</f>
        <v/>
      </c>
      <c r="BJ326" t="str">
        <f>IF(BI326="","",IF(BI326="Below expected for KS2",BG326,100+BF326)+ROW()/1000000)</f>
        <v/>
      </c>
    </row>
    <row r="327">
      <c r="H327" t="str">
        <f>IFERROR(INDEX(tblY7[Class],ROWS(H$10:H327))&amp;"","")</f>
        <v/>
      </c>
      <c r="I327" t="str">
        <f>IF(H327="","",IF(COUNTIF(H$10:H327,H327)=1,COUNTIF(H$10:H$609,"&lt;"&amp;H327)+1,""))</f>
        <v/>
      </c>
      <c r="J327" t="str">
        <f>IFERROR(INDEX(tblY8[Class],ROWS(J$10:J327))&amp;"","")</f>
        <v/>
      </c>
      <c r="K327" t="str">
        <f>IF(J327="","",IF(COUNTIF(J$10:J327,J327)=1,COUNTIF(J$10:J$609,"&lt;"&amp;J327)+1,""))</f>
        <v/>
      </c>
      <c r="L327" t="str">
        <f>IFERROR(INDEX(tblY9[Class],ROWS(L$10:L327))&amp;"","")</f>
        <v/>
      </c>
      <c r="M327" t="str">
        <f>IF(L327="","",IF(COUNTIF(L$10:L327,L327)=1,COUNTIF(L$10:L$609,"&lt;"&amp;L327)+1,""))</f>
        <v/>
      </c>
      <c r="N327" t="str">
        <f>IFERROR(INDEX(tblY10[Class],ROWS(N$10:N327))&amp;"","")</f>
        <v/>
      </c>
      <c r="O327" t="str">
        <f>IF(N327="","",IF(COUNTIF(N$10:N327,N327)=1,COUNTIF(N$10:N$609,"&lt;"&amp;N327)+1,""))</f>
        <v/>
      </c>
      <c r="P327" t="str">
        <f>IFERROR(INDEX(tblY11[Class],ROWS(P$10:P327))&amp;"","")</f>
        <v/>
      </c>
      <c r="Q327" t="str">
        <f>IF(P327="","",IF(COUNTIF(P$10:P327,P327)=1,COUNTIF(P$10:P$609,"&lt;"&amp;P327)+1,""))</f>
        <v/>
      </c>
      <c r="BA327" t="str">
        <f>IFERROR(INDEX(wLast,258)&amp;"","")</f>
        <v/>
      </c>
      <c r="BB327" t="str">
        <f>IF(BA327="","",IFERROR(INDEX(wFirst,258)&amp;"",""))</f>
        <v/>
      </c>
      <c r="BC327" t="str">
        <f>IF(BA327="","",IFERROR(INDEX(wClass,258)&amp;"",""))</f>
        <v/>
      </c>
      <c r="BD327" t="str">
        <f>IF(BA327="","",IFERROR(INDEX(wKsBand,258)+0,""))</f>
        <v/>
      </c>
      <c r="BE327" t="str">
        <f>IF(BA327="","",IFERROR(INDEX(wTests,258)+0,0))</f>
        <v/>
      </c>
      <c r="BF327" t="str">
        <f>IF(BA327="","",IFERROR(INDEX(wMean,258)+0,""))</f>
        <v/>
      </c>
      <c r="BG327" t="str">
        <f>IF(BA327="","",IFERROR(INDEX(wVs,258)+0,""))</f>
        <v/>
      </c>
      <c r="BH327" t="str">
        <f>IF(OR(BA327="",wLatest=""),"",IFERROR(INDEX(wData,258,MATCH(wLatest&amp;CHAR(10)&amp;"Stanine",wHdr,0))+0,""))</f>
        <v/>
      </c>
      <c r="BI327" t="str">
        <f>IF(BA327="","",IF(AND(ISNUMBER(BG327),N(BE327)&gt;=WlMinTests,BG327&lt;=-WlGap),"Below expected for KS2",IF(AND(NOT(ISNUMBER(BD327)),ISNUMBER(BF327),N(BE327)&gt;=WlMinTests,BF327&lt;=WlLowMean),"Low results, no KS2 data","")))</f>
        <v/>
      </c>
      <c r="BJ327" t="str">
        <f>IF(BI327="","",IF(BI327="Below expected for KS2",BG327,100+BF327)+ROW()/1000000)</f>
        <v/>
      </c>
    </row>
    <row r="328">
      <c r="H328" t="str">
        <f>IFERROR(INDEX(tblY7[Class],ROWS(H$10:H328))&amp;"","")</f>
        <v/>
      </c>
      <c r="I328" t="str">
        <f>IF(H328="","",IF(COUNTIF(H$10:H328,H328)=1,COUNTIF(H$10:H$609,"&lt;"&amp;H328)+1,""))</f>
        <v/>
      </c>
      <c r="J328" t="str">
        <f>IFERROR(INDEX(tblY8[Class],ROWS(J$10:J328))&amp;"","")</f>
        <v/>
      </c>
      <c r="K328" t="str">
        <f>IF(J328="","",IF(COUNTIF(J$10:J328,J328)=1,COUNTIF(J$10:J$609,"&lt;"&amp;J328)+1,""))</f>
        <v/>
      </c>
      <c r="L328" t="str">
        <f>IFERROR(INDEX(tblY9[Class],ROWS(L$10:L328))&amp;"","")</f>
        <v/>
      </c>
      <c r="M328" t="str">
        <f>IF(L328="","",IF(COUNTIF(L$10:L328,L328)=1,COUNTIF(L$10:L$609,"&lt;"&amp;L328)+1,""))</f>
        <v/>
      </c>
      <c r="N328" t="str">
        <f>IFERROR(INDEX(tblY10[Class],ROWS(N$10:N328))&amp;"","")</f>
        <v/>
      </c>
      <c r="O328" t="str">
        <f>IF(N328="","",IF(COUNTIF(N$10:N328,N328)=1,COUNTIF(N$10:N$609,"&lt;"&amp;N328)+1,""))</f>
        <v/>
      </c>
      <c r="P328" t="str">
        <f>IFERROR(INDEX(tblY11[Class],ROWS(P$10:P328))&amp;"","")</f>
        <v/>
      </c>
      <c r="Q328" t="str">
        <f>IF(P328="","",IF(COUNTIF(P$10:P328,P328)=1,COUNTIF(P$10:P$609,"&lt;"&amp;P328)+1,""))</f>
        <v/>
      </c>
      <c r="BA328" t="str">
        <f>IFERROR(INDEX(wLast,259)&amp;"","")</f>
        <v/>
      </c>
      <c r="BB328" t="str">
        <f>IF(BA328="","",IFERROR(INDEX(wFirst,259)&amp;"",""))</f>
        <v/>
      </c>
      <c r="BC328" t="str">
        <f>IF(BA328="","",IFERROR(INDEX(wClass,259)&amp;"",""))</f>
        <v/>
      </c>
      <c r="BD328" t="str">
        <f>IF(BA328="","",IFERROR(INDEX(wKsBand,259)+0,""))</f>
        <v/>
      </c>
      <c r="BE328" t="str">
        <f>IF(BA328="","",IFERROR(INDEX(wTests,259)+0,0))</f>
        <v/>
      </c>
      <c r="BF328" t="str">
        <f>IF(BA328="","",IFERROR(INDEX(wMean,259)+0,""))</f>
        <v/>
      </c>
      <c r="BG328" t="str">
        <f>IF(BA328="","",IFERROR(INDEX(wVs,259)+0,""))</f>
        <v/>
      </c>
      <c r="BH328" t="str">
        <f>IF(OR(BA328="",wLatest=""),"",IFERROR(INDEX(wData,259,MATCH(wLatest&amp;CHAR(10)&amp;"Stanine",wHdr,0))+0,""))</f>
        <v/>
      </c>
      <c r="BI328" t="str">
        <f>IF(BA328="","",IF(AND(ISNUMBER(BG328),N(BE328)&gt;=WlMinTests,BG328&lt;=-WlGap),"Below expected for KS2",IF(AND(NOT(ISNUMBER(BD328)),ISNUMBER(BF328),N(BE328)&gt;=WlMinTests,BF328&lt;=WlLowMean),"Low results, no KS2 data","")))</f>
        <v/>
      </c>
      <c r="BJ328" t="str">
        <f>IF(BI328="","",IF(BI328="Below expected for KS2",BG328,100+BF328)+ROW()/1000000)</f>
        <v/>
      </c>
    </row>
    <row r="329">
      <c r="H329" t="str">
        <f>IFERROR(INDEX(tblY7[Class],ROWS(H$10:H329))&amp;"","")</f>
        <v/>
      </c>
      <c r="I329" t="str">
        <f>IF(H329="","",IF(COUNTIF(H$10:H329,H329)=1,COUNTIF(H$10:H$609,"&lt;"&amp;H329)+1,""))</f>
        <v/>
      </c>
      <c r="J329" t="str">
        <f>IFERROR(INDEX(tblY8[Class],ROWS(J$10:J329))&amp;"","")</f>
        <v/>
      </c>
      <c r="K329" t="str">
        <f>IF(J329="","",IF(COUNTIF(J$10:J329,J329)=1,COUNTIF(J$10:J$609,"&lt;"&amp;J329)+1,""))</f>
        <v/>
      </c>
      <c r="L329" t="str">
        <f>IFERROR(INDEX(tblY9[Class],ROWS(L$10:L329))&amp;"","")</f>
        <v/>
      </c>
      <c r="M329" t="str">
        <f>IF(L329="","",IF(COUNTIF(L$10:L329,L329)=1,COUNTIF(L$10:L$609,"&lt;"&amp;L329)+1,""))</f>
        <v/>
      </c>
      <c r="N329" t="str">
        <f>IFERROR(INDEX(tblY10[Class],ROWS(N$10:N329))&amp;"","")</f>
        <v/>
      </c>
      <c r="O329" t="str">
        <f>IF(N329="","",IF(COUNTIF(N$10:N329,N329)=1,COUNTIF(N$10:N$609,"&lt;"&amp;N329)+1,""))</f>
        <v/>
      </c>
      <c r="P329" t="str">
        <f>IFERROR(INDEX(tblY11[Class],ROWS(P$10:P329))&amp;"","")</f>
        <v/>
      </c>
      <c r="Q329" t="str">
        <f>IF(P329="","",IF(COUNTIF(P$10:P329,P329)=1,COUNTIF(P$10:P$609,"&lt;"&amp;P329)+1,""))</f>
        <v/>
      </c>
      <c r="BA329" t="str">
        <f>IFERROR(INDEX(wLast,260)&amp;"","")</f>
        <v/>
      </c>
      <c r="BB329" t="str">
        <f>IF(BA329="","",IFERROR(INDEX(wFirst,260)&amp;"",""))</f>
        <v/>
      </c>
      <c r="BC329" t="str">
        <f>IF(BA329="","",IFERROR(INDEX(wClass,260)&amp;"",""))</f>
        <v/>
      </c>
      <c r="BD329" t="str">
        <f>IF(BA329="","",IFERROR(INDEX(wKsBand,260)+0,""))</f>
        <v/>
      </c>
      <c r="BE329" t="str">
        <f>IF(BA329="","",IFERROR(INDEX(wTests,260)+0,0))</f>
        <v/>
      </c>
      <c r="BF329" t="str">
        <f>IF(BA329="","",IFERROR(INDEX(wMean,260)+0,""))</f>
        <v/>
      </c>
      <c r="BG329" t="str">
        <f>IF(BA329="","",IFERROR(INDEX(wVs,260)+0,""))</f>
        <v/>
      </c>
      <c r="BH329" t="str">
        <f>IF(OR(BA329="",wLatest=""),"",IFERROR(INDEX(wData,260,MATCH(wLatest&amp;CHAR(10)&amp;"Stanine",wHdr,0))+0,""))</f>
        <v/>
      </c>
      <c r="BI329" t="str">
        <f>IF(BA329="","",IF(AND(ISNUMBER(BG329),N(BE329)&gt;=WlMinTests,BG329&lt;=-WlGap),"Below expected for KS2",IF(AND(NOT(ISNUMBER(BD329)),ISNUMBER(BF329),N(BE329)&gt;=WlMinTests,BF329&lt;=WlLowMean),"Low results, no KS2 data","")))</f>
        <v/>
      </c>
      <c r="BJ329" t="str">
        <f>IF(BI329="","",IF(BI329="Below expected for KS2",BG329,100+BF329)+ROW()/1000000)</f>
        <v/>
      </c>
    </row>
    <row r="330">
      <c r="H330" t="str">
        <f>IFERROR(INDEX(tblY7[Class],ROWS(H$10:H330))&amp;"","")</f>
        <v/>
      </c>
      <c r="I330" t="str">
        <f>IF(H330="","",IF(COUNTIF(H$10:H330,H330)=1,COUNTIF(H$10:H$609,"&lt;"&amp;H330)+1,""))</f>
        <v/>
      </c>
      <c r="J330" t="str">
        <f>IFERROR(INDEX(tblY8[Class],ROWS(J$10:J330))&amp;"","")</f>
        <v/>
      </c>
      <c r="K330" t="str">
        <f>IF(J330="","",IF(COUNTIF(J$10:J330,J330)=1,COUNTIF(J$10:J$609,"&lt;"&amp;J330)+1,""))</f>
        <v/>
      </c>
      <c r="L330" t="str">
        <f>IFERROR(INDEX(tblY9[Class],ROWS(L$10:L330))&amp;"","")</f>
        <v/>
      </c>
      <c r="M330" t="str">
        <f>IF(L330="","",IF(COUNTIF(L$10:L330,L330)=1,COUNTIF(L$10:L$609,"&lt;"&amp;L330)+1,""))</f>
        <v/>
      </c>
      <c r="N330" t="str">
        <f>IFERROR(INDEX(tblY10[Class],ROWS(N$10:N330))&amp;"","")</f>
        <v/>
      </c>
      <c r="O330" t="str">
        <f>IF(N330="","",IF(COUNTIF(N$10:N330,N330)=1,COUNTIF(N$10:N$609,"&lt;"&amp;N330)+1,""))</f>
        <v/>
      </c>
      <c r="P330" t="str">
        <f>IFERROR(INDEX(tblY11[Class],ROWS(P$10:P330))&amp;"","")</f>
        <v/>
      </c>
      <c r="Q330" t="str">
        <f>IF(P330="","",IF(COUNTIF(P$10:P330,P330)=1,COUNTIF(P$10:P$609,"&lt;"&amp;P330)+1,""))</f>
        <v/>
      </c>
      <c r="BA330" t="str">
        <f>IFERROR(INDEX(wLast,261)&amp;"","")</f>
        <v/>
      </c>
      <c r="BB330" t="str">
        <f>IF(BA330="","",IFERROR(INDEX(wFirst,261)&amp;"",""))</f>
        <v/>
      </c>
      <c r="BC330" t="str">
        <f>IF(BA330="","",IFERROR(INDEX(wClass,261)&amp;"",""))</f>
        <v/>
      </c>
      <c r="BD330" t="str">
        <f>IF(BA330="","",IFERROR(INDEX(wKsBand,261)+0,""))</f>
        <v/>
      </c>
      <c r="BE330" t="str">
        <f>IF(BA330="","",IFERROR(INDEX(wTests,261)+0,0))</f>
        <v/>
      </c>
      <c r="BF330" t="str">
        <f>IF(BA330="","",IFERROR(INDEX(wMean,261)+0,""))</f>
        <v/>
      </c>
      <c r="BG330" t="str">
        <f>IF(BA330="","",IFERROR(INDEX(wVs,261)+0,""))</f>
        <v/>
      </c>
      <c r="BH330" t="str">
        <f>IF(OR(BA330="",wLatest=""),"",IFERROR(INDEX(wData,261,MATCH(wLatest&amp;CHAR(10)&amp;"Stanine",wHdr,0))+0,""))</f>
        <v/>
      </c>
      <c r="BI330" t="str">
        <f>IF(BA330="","",IF(AND(ISNUMBER(BG330),N(BE330)&gt;=WlMinTests,BG330&lt;=-WlGap),"Below expected for KS2",IF(AND(NOT(ISNUMBER(BD330)),ISNUMBER(BF330),N(BE330)&gt;=WlMinTests,BF330&lt;=WlLowMean),"Low results, no KS2 data","")))</f>
        <v/>
      </c>
      <c r="BJ330" t="str">
        <f>IF(BI330="","",IF(BI330="Below expected for KS2",BG330,100+BF330)+ROW()/1000000)</f>
        <v/>
      </c>
    </row>
    <row r="331">
      <c r="H331" t="str">
        <f>IFERROR(INDEX(tblY7[Class],ROWS(H$10:H331))&amp;"","")</f>
        <v/>
      </c>
      <c r="I331" t="str">
        <f>IF(H331="","",IF(COUNTIF(H$10:H331,H331)=1,COUNTIF(H$10:H$609,"&lt;"&amp;H331)+1,""))</f>
        <v/>
      </c>
      <c r="J331" t="str">
        <f>IFERROR(INDEX(tblY8[Class],ROWS(J$10:J331))&amp;"","")</f>
        <v/>
      </c>
      <c r="K331" t="str">
        <f>IF(J331="","",IF(COUNTIF(J$10:J331,J331)=1,COUNTIF(J$10:J$609,"&lt;"&amp;J331)+1,""))</f>
        <v/>
      </c>
      <c r="L331" t="str">
        <f>IFERROR(INDEX(tblY9[Class],ROWS(L$10:L331))&amp;"","")</f>
        <v/>
      </c>
      <c r="M331" t="str">
        <f>IF(L331="","",IF(COUNTIF(L$10:L331,L331)=1,COUNTIF(L$10:L$609,"&lt;"&amp;L331)+1,""))</f>
        <v/>
      </c>
      <c r="N331" t="str">
        <f>IFERROR(INDEX(tblY10[Class],ROWS(N$10:N331))&amp;"","")</f>
        <v/>
      </c>
      <c r="O331" t="str">
        <f>IF(N331="","",IF(COUNTIF(N$10:N331,N331)=1,COUNTIF(N$10:N$609,"&lt;"&amp;N331)+1,""))</f>
        <v/>
      </c>
      <c r="P331" t="str">
        <f>IFERROR(INDEX(tblY11[Class],ROWS(P$10:P331))&amp;"","")</f>
        <v/>
      </c>
      <c r="Q331" t="str">
        <f>IF(P331="","",IF(COUNTIF(P$10:P331,P331)=1,COUNTIF(P$10:P$609,"&lt;"&amp;P331)+1,""))</f>
        <v/>
      </c>
      <c r="BA331" t="str">
        <f>IFERROR(INDEX(wLast,262)&amp;"","")</f>
        <v/>
      </c>
      <c r="BB331" t="str">
        <f>IF(BA331="","",IFERROR(INDEX(wFirst,262)&amp;"",""))</f>
        <v/>
      </c>
      <c r="BC331" t="str">
        <f>IF(BA331="","",IFERROR(INDEX(wClass,262)&amp;"",""))</f>
        <v/>
      </c>
      <c r="BD331" t="str">
        <f>IF(BA331="","",IFERROR(INDEX(wKsBand,262)+0,""))</f>
        <v/>
      </c>
      <c r="BE331" t="str">
        <f>IF(BA331="","",IFERROR(INDEX(wTests,262)+0,0))</f>
        <v/>
      </c>
      <c r="BF331" t="str">
        <f>IF(BA331="","",IFERROR(INDEX(wMean,262)+0,""))</f>
        <v/>
      </c>
      <c r="BG331" t="str">
        <f>IF(BA331="","",IFERROR(INDEX(wVs,262)+0,""))</f>
        <v/>
      </c>
      <c r="BH331" t="str">
        <f>IF(OR(BA331="",wLatest=""),"",IFERROR(INDEX(wData,262,MATCH(wLatest&amp;CHAR(10)&amp;"Stanine",wHdr,0))+0,""))</f>
        <v/>
      </c>
      <c r="BI331" t="str">
        <f>IF(BA331="","",IF(AND(ISNUMBER(BG331),N(BE331)&gt;=WlMinTests,BG331&lt;=-WlGap),"Below expected for KS2",IF(AND(NOT(ISNUMBER(BD331)),ISNUMBER(BF331),N(BE331)&gt;=WlMinTests,BF331&lt;=WlLowMean),"Low results, no KS2 data","")))</f>
        <v/>
      </c>
      <c r="BJ331" t="str">
        <f>IF(BI331="","",IF(BI331="Below expected for KS2",BG331,100+BF331)+ROW()/1000000)</f>
        <v/>
      </c>
    </row>
    <row r="332">
      <c r="H332" t="str">
        <f>IFERROR(INDEX(tblY7[Class],ROWS(H$10:H332))&amp;"","")</f>
        <v/>
      </c>
      <c r="I332" t="str">
        <f>IF(H332="","",IF(COUNTIF(H$10:H332,H332)=1,COUNTIF(H$10:H$609,"&lt;"&amp;H332)+1,""))</f>
        <v/>
      </c>
      <c r="J332" t="str">
        <f>IFERROR(INDEX(tblY8[Class],ROWS(J$10:J332))&amp;"","")</f>
        <v/>
      </c>
      <c r="K332" t="str">
        <f>IF(J332="","",IF(COUNTIF(J$10:J332,J332)=1,COUNTIF(J$10:J$609,"&lt;"&amp;J332)+1,""))</f>
        <v/>
      </c>
      <c r="L332" t="str">
        <f>IFERROR(INDEX(tblY9[Class],ROWS(L$10:L332))&amp;"","")</f>
        <v/>
      </c>
      <c r="M332" t="str">
        <f>IF(L332="","",IF(COUNTIF(L$10:L332,L332)=1,COUNTIF(L$10:L$609,"&lt;"&amp;L332)+1,""))</f>
        <v/>
      </c>
      <c r="N332" t="str">
        <f>IFERROR(INDEX(tblY10[Class],ROWS(N$10:N332))&amp;"","")</f>
        <v/>
      </c>
      <c r="O332" t="str">
        <f>IF(N332="","",IF(COUNTIF(N$10:N332,N332)=1,COUNTIF(N$10:N$609,"&lt;"&amp;N332)+1,""))</f>
        <v/>
      </c>
      <c r="P332" t="str">
        <f>IFERROR(INDEX(tblY11[Class],ROWS(P$10:P332))&amp;"","")</f>
        <v/>
      </c>
      <c r="Q332" t="str">
        <f>IF(P332="","",IF(COUNTIF(P$10:P332,P332)=1,COUNTIF(P$10:P$609,"&lt;"&amp;P332)+1,""))</f>
        <v/>
      </c>
      <c r="BA332" t="str">
        <f>IFERROR(INDEX(wLast,263)&amp;"","")</f>
        <v/>
      </c>
      <c r="BB332" t="str">
        <f>IF(BA332="","",IFERROR(INDEX(wFirst,263)&amp;"",""))</f>
        <v/>
      </c>
      <c r="BC332" t="str">
        <f>IF(BA332="","",IFERROR(INDEX(wClass,263)&amp;"",""))</f>
        <v/>
      </c>
      <c r="BD332" t="str">
        <f>IF(BA332="","",IFERROR(INDEX(wKsBand,263)+0,""))</f>
        <v/>
      </c>
      <c r="BE332" t="str">
        <f>IF(BA332="","",IFERROR(INDEX(wTests,263)+0,0))</f>
        <v/>
      </c>
      <c r="BF332" t="str">
        <f>IF(BA332="","",IFERROR(INDEX(wMean,263)+0,""))</f>
        <v/>
      </c>
      <c r="BG332" t="str">
        <f>IF(BA332="","",IFERROR(INDEX(wVs,263)+0,""))</f>
        <v/>
      </c>
      <c r="BH332" t="str">
        <f>IF(OR(BA332="",wLatest=""),"",IFERROR(INDEX(wData,263,MATCH(wLatest&amp;CHAR(10)&amp;"Stanine",wHdr,0))+0,""))</f>
        <v/>
      </c>
      <c r="BI332" t="str">
        <f>IF(BA332="","",IF(AND(ISNUMBER(BG332),N(BE332)&gt;=WlMinTests,BG332&lt;=-WlGap),"Below expected for KS2",IF(AND(NOT(ISNUMBER(BD332)),ISNUMBER(BF332),N(BE332)&gt;=WlMinTests,BF332&lt;=WlLowMean),"Low results, no KS2 data","")))</f>
        <v/>
      </c>
      <c r="BJ332" t="str">
        <f>IF(BI332="","",IF(BI332="Below expected for KS2",BG332,100+BF332)+ROW()/1000000)</f>
        <v/>
      </c>
    </row>
    <row r="333">
      <c r="H333" t="str">
        <f>IFERROR(INDEX(tblY7[Class],ROWS(H$10:H333))&amp;"","")</f>
        <v/>
      </c>
      <c r="I333" t="str">
        <f>IF(H333="","",IF(COUNTIF(H$10:H333,H333)=1,COUNTIF(H$10:H$609,"&lt;"&amp;H333)+1,""))</f>
        <v/>
      </c>
      <c r="J333" t="str">
        <f>IFERROR(INDEX(tblY8[Class],ROWS(J$10:J333))&amp;"","")</f>
        <v/>
      </c>
      <c r="K333" t="str">
        <f>IF(J333="","",IF(COUNTIF(J$10:J333,J333)=1,COUNTIF(J$10:J$609,"&lt;"&amp;J333)+1,""))</f>
        <v/>
      </c>
      <c r="L333" t="str">
        <f>IFERROR(INDEX(tblY9[Class],ROWS(L$10:L333))&amp;"","")</f>
        <v/>
      </c>
      <c r="M333" t="str">
        <f>IF(L333="","",IF(COUNTIF(L$10:L333,L333)=1,COUNTIF(L$10:L$609,"&lt;"&amp;L333)+1,""))</f>
        <v/>
      </c>
      <c r="N333" t="str">
        <f>IFERROR(INDEX(tblY10[Class],ROWS(N$10:N333))&amp;"","")</f>
        <v/>
      </c>
      <c r="O333" t="str">
        <f>IF(N333="","",IF(COUNTIF(N$10:N333,N333)=1,COUNTIF(N$10:N$609,"&lt;"&amp;N333)+1,""))</f>
        <v/>
      </c>
      <c r="P333" t="str">
        <f>IFERROR(INDEX(tblY11[Class],ROWS(P$10:P333))&amp;"","")</f>
        <v/>
      </c>
      <c r="Q333" t="str">
        <f>IF(P333="","",IF(COUNTIF(P$10:P333,P333)=1,COUNTIF(P$10:P$609,"&lt;"&amp;P333)+1,""))</f>
        <v/>
      </c>
      <c r="BA333" t="str">
        <f>IFERROR(INDEX(wLast,264)&amp;"","")</f>
        <v/>
      </c>
      <c r="BB333" t="str">
        <f>IF(BA333="","",IFERROR(INDEX(wFirst,264)&amp;"",""))</f>
        <v/>
      </c>
      <c r="BC333" t="str">
        <f>IF(BA333="","",IFERROR(INDEX(wClass,264)&amp;"",""))</f>
        <v/>
      </c>
      <c r="BD333" t="str">
        <f>IF(BA333="","",IFERROR(INDEX(wKsBand,264)+0,""))</f>
        <v/>
      </c>
      <c r="BE333" t="str">
        <f>IF(BA333="","",IFERROR(INDEX(wTests,264)+0,0))</f>
        <v/>
      </c>
      <c r="BF333" t="str">
        <f>IF(BA333="","",IFERROR(INDEX(wMean,264)+0,""))</f>
        <v/>
      </c>
      <c r="BG333" t="str">
        <f>IF(BA333="","",IFERROR(INDEX(wVs,264)+0,""))</f>
        <v/>
      </c>
      <c r="BH333" t="str">
        <f>IF(OR(BA333="",wLatest=""),"",IFERROR(INDEX(wData,264,MATCH(wLatest&amp;CHAR(10)&amp;"Stanine",wHdr,0))+0,""))</f>
        <v/>
      </c>
      <c r="BI333" t="str">
        <f>IF(BA333="","",IF(AND(ISNUMBER(BG333),N(BE333)&gt;=WlMinTests,BG333&lt;=-WlGap),"Below expected for KS2",IF(AND(NOT(ISNUMBER(BD333)),ISNUMBER(BF333),N(BE333)&gt;=WlMinTests,BF333&lt;=WlLowMean),"Low results, no KS2 data","")))</f>
        <v/>
      </c>
      <c r="BJ333" t="str">
        <f>IF(BI333="","",IF(BI333="Below expected for KS2",BG333,100+BF333)+ROW()/1000000)</f>
        <v/>
      </c>
    </row>
    <row r="334">
      <c r="H334" t="str">
        <f>IFERROR(INDEX(tblY7[Class],ROWS(H$10:H334))&amp;"","")</f>
        <v/>
      </c>
      <c r="I334" t="str">
        <f>IF(H334="","",IF(COUNTIF(H$10:H334,H334)=1,COUNTIF(H$10:H$609,"&lt;"&amp;H334)+1,""))</f>
        <v/>
      </c>
      <c r="J334" t="str">
        <f>IFERROR(INDEX(tblY8[Class],ROWS(J$10:J334))&amp;"","")</f>
        <v/>
      </c>
      <c r="K334" t="str">
        <f>IF(J334="","",IF(COUNTIF(J$10:J334,J334)=1,COUNTIF(J$10:J$609,"&lt;"&amp;J334)+1,""))</f>
        <v/>
      </c>
      <c r="L334" t="str">
        <f>IFERROR(INDEX(tblY9[Class],ROWS(L$10:L334))&amp;"","")</f>
        <v/>
      </c>
      <c r="M334" t="str">
        <f>IF(L334="","",IF(COUNTIF(L$10:L334,L334)=1,COUNTIF(L$10:L$609,"&lt;"&amp;L334)+1,""))</f>
        <v/>
      </c>
      <c r="N334" t="str">
        <f>IFERROR(INDEX(tblY10[Class],ROWS(N$10:N334))&amp;"","")</f>
        <v/>
      </c>
      <c r="O334" t="str">
        <f>IF(N334="","",IF(COUNTIF(N$10:N334,N334)=1,COUNTIF(N$10:N$609,"&lt;"&amp;N334)+1,""))</f>
        <v/>
      </c>
      <c r="P334" t="str">
        <f>IFERROR(INDEX(tblY11[Class],ROWS(P$10:P334))&amp;"","")</f>
        <v/>
      </c>
      <c r="Q334" t="str">
        <f>IF(P334="","",IF(COUNTIF(P$10:P334,P334)=1,COUNTIF(P$10:P$609,"&lt;"&amp;P334)+1,""))</f>
        <v/>
      </c>
      <c r="BA334" t="str">
        <f>IFERROR(INDEX(wLast,265)&amp;"","")</f>
        <v/>
      </c>
      <c r="BB334" t="str">
        <f>IF(BA334="","",IFERROR(INDEX(wFirst,265)&amp;"",""))</f>
        <v/>
      </c>
      <c r="BC334" t="str">
        <f>IF(BA334="","",IFERROR(INDEX(wClass,265)&amp;"",""))</f>
        <v/>
      </c>
      <c r="BD334" t="str">
        <f>IF(BA334="","",IFERROR(INDEX(wKsBand,265)+0,""))</f>
        <v/>
      </c>
      <c r="BE334" t="str">
        <f>IF(BA334="","",IFERROR(INDEX(wTests,265)+0,0))</f>
        <v/>
      </c>
      <c r="BF334" t="str">
        <f>IF(BA334="","",IFERROR(INDEX(wMean,265)+0,""))</f>
        <v/>
      </c>
      <c r="BG334" t="str">
        <f>IF(BA334="","",IFERROR(INDEX(wVs,265)+0,""))</f>
        <v/>
      </c>
      <c r="BH334" t="str">
        <f>IF(OR(BA334="",wLatest=""),"",IFERROR(INDEX(wData,265,MATCH(wLatest&amp;CHAR(10)&amp;"Stanine",wHdr,0))+0,""))</f>
        <v/>
      </c>
      <c r="BI334" t="str">
        <f>IF(BA334="","",IF(AND(ISNUMBER(BG334),N(BE334)&gt;=WlMinTests,BG334&lt;=-WlGap),"Below expected for KS2",IF(AND(NOT(ISNUMBER(BD334)),ISNUMBER(BF334),N(BE334)&gt;=WlMinTests,BF334&lt;=WlLowMean),"Low results, no KS2 data","")))</f>
        <v/>
      </c>
      <c r="BJ334" t="str">
        <f>IF(BI334="","",IF(BI334="Below expected for KS2",BG334,100+BF334)+ROW()/1000000)</f>
        <v/>
      </c>
    </row>
    <row r="335">
      <c r="H335" t="str">
        <f>IFERROR(INDEX(tblY7[Class],ROWS(H$10:H335))&amp;"","")</f>
        <v/>
      </c>
      <c r="I335" t="str">
        <f>IF(H335="","",IF(COUNTIF(H$10:H335,H335)=1,COUNTIF(H$10:H$609,"&lt;"&amp;H335)+1,""))</f>
        <v/>
      </c>
      <c r="J335" t="str">
        <f>IFERROR(INDEX(tblY8[Class],ROWS(J$10:J335))&amp;"","")</f>
        <v/>
      </c>
      <c r="K335" t="str">
        <f>IF(J335="","",IF(COUNTIF(J$10:J335,J335)=1,COUNTIF(J$10:J$609,"&lt;"&amp;J335)+1,""))</f>
        <v/>
      </c>
      <c r="L335" t="str">
        <f>IFERROR(INDEX(tblY9[Class],ROWS(L$10:L335))&amp;"","")</f>
        <v/>
      </c>
      <c r="M335" t="str">
        <f>IF(L335="","",IF(COUNTIF(L$10:L335,L335)=1,COUNTIF(L$10:L$609,"&lt;"&amp;L335)+1,""))</f>
        <v/>
      </c>
      <c r="N335" t="str">
        <f>IFERROR(INDEX(tblY10[Class],ROWS(N$10:N335))&amp;"","")</f>
        <v/>
      </c>
      <c r="O335" t="str">
        <f>IF(N335="","",IF(COUNTIF(N$10:N335,N335)=1,COUNTIF(N$10:N$609,"&lt;"&amp;N335)+1,""))</f>
        <v/>
      </c>
      <c r="P335" t="str">
        <f>IFERROR(INDEX(tblY11[Class],ROWS(P$10:P335))&amp;"","")</f>
        <v/>
      </c>
      <c r="Q335" t="str">
        <f>IF(P335="","",IF(COUNTIF(P$10:P335,P335)=1,COUNTIF(P$10:P$609,"&lt;"&amp;P335)+1,""))</f>
        <v/>
      </c>
      <c r="BA335" t="str">
        <f>IFERROR(INDEX(wLast,266)&amp;"","")</f>
        <v/>
      </c>
      <c r="BB335" t="str">
        <f>IF(BA335="","",IFERROR(INDEX(wFirst,266)&amp;"",""))</f>
        <v/>
      </c>
      <c r="BC335" t="str">
        <f>IF(BA335="","",IFERROR(INDEX(wClass,266)&amp;"",""))</f>
        <v/>
      </c>
      <c r="BD335" t="str">
        <f>IF(BA335="","",IFERROR(INDEX(wKsBand,266)+0,""))</f>
        <v/>
      </c>
      <c r="BE335" t="str">
        <f>IF(BA335="","",IFERROR(INDEX(wTests,266)+0,0))</f>
        <v/>
      </c>
      <c r="BF335" t="str">
        <f>IF(BA335="","",IFERROR(INDEX(wMean,266)+0,""))</f>
        <v/>
      </c>
      <c r="BG335" t="str">
        <f>IF(BA335="","",IFERROR(INDEX(wVs,266)+0,""))</f>
        <v/>
      </c>
      <c r="BH335" t="str">
        <f>IF(OR(BA335="",wLatest=""),"",IFERROR(INDEX(wData,266,MATCH(wLatest&amp;CHAR(10)&amp;"Stanine",wHdr,0))+0,""))</f>
        <v/>
      </c>
      <c r="BI335" t="str">
        <f>IF(BA335="","",IF(AND(ISNUMBER(BG335),N(BE335)&gt;=WlMinTests,BG335&lt;=-WlGap),"Below expected for KS2",IF(AND(NOT(ISNUMBER(BD335)),ISNUMBER(BF335),N(BE335)&gt;=WlMinTests,BF335&lt;=WlLowMean),"Low results, no KS2 data","")))</f>
        <v/>
      </c>
      <c r="BJ335" t="str">
        <f>IF(BI335="","",IF(BI335="Below expected for KS2",BG335,100+BF335)+ROW()/1000000)</f>
        <v/>
      </c>
    </row>
    <row r="336">
      <c r="H336" t="str">
        <f>IFERROR(INDEX(tblY7[Class],ROWS(H$10:H336))&amp;"","")</f>
        <v/>
      </c>
      <c r="I336" t="str">
        <f>IF(H336="","",IF(COUNTIF(H$10:H336,H336)=1,COUNTIF(H$10:H$609,"&lt;"&amp;H336)+1,""))</f>
        <v/>
      </c>
      <c r="J336" t="str">
        <f>IFERROR(INDEX(tblY8[Class],ROWS(J$10:J336))&amp;"","")</f>
        <v/>
      </c>
      <c r="K336" t="str">
        <f>IF(J336="","",IF(COUNTIF(J$10:J336,J336)=1,COUNTIF(J$10:J$609,"&lt;"&amp;J336)+1,""))</f>
        <v/>
      </c>
      <c r="L336" t="str">
        <f>IFERROR(INDEX(tblY9[Class],ROWS(L$10:L336))&amp;"","")</f>
        <v/>
      </c>
      <c r="M336" t="str">
        <f>IF(L336="","",IF(COUNTIF(L$10:L336,L336)=1,COUNTIF(L$10:L$609,"&lt;"&amp;L336)+1,""))</f>
        <v/>
      </c>
      <c r="N336" t="str">
        <f>IFERROR(INDEX(tblY10[Class],ROWS(N$10:N336))&amp;"","")</f>
        <v/>
      </c>
      <c r="O336" t="str">
        <f>IF(N336="","",IF(COUNTIF(N$10:N336,N336)=1,COUNTIF(N$10:N$609,"&lt;"&amp;N336)+1,""))</f>
        <v/>
      </c>
      <c r="P336" t="str">
        <f>IFERROR(INDEX(tblY11[Class],ROWS(P$10:P336))&amp;"","")</f>
        <v/>
      </c>
      <c r="Q336" t="str">
        <f>IF(P336="","",IF(COUNTIF(P$10:P336,P336)=1,COUNTIF(P$10:P$609,"&lt;"&amp;P336)+1,""))</f>
        <v/>
      </c>
      <c r="BA336" t="str">
        <f>IFERROR(INDEX(wLast,267)&amp;"","")</f>
        <v/>
      </c>
      <c r="BB336" t="str">
        <f>IF(BA336="","",IFERROR(INDEX(wFirst,267)&amp;"",""))</f>
        <v/>
      </c>
      <c r="BC336" t="str">
        <f>IF(BA336="","",IFERROR(INDEX(wClass,267)&amp;"",""))</f>
        <v/>
      </c>
      <c r="BD336" t="str">
        <f>IF(BA336="","",IFERROR(INDEX(wKsBand,267)+0,""))</f>
        <v/>
      </c>
      <c r="BE336" t="str">
        <f>IF(BA336="","",IFERROR(INDEX(wTests,267)+0,0))</f>
        <v/>
      </c>
      <c r="BF336" t="str">
        <f>IF(BA336="","",IFERROR(INDEX(wMean,267)+0,""))</f>
        <v/>
      </c>
      <c r="BG336" t="str">
        <f>IF(BA336="","",IFERROR(INDEX(wVs,267)+0,""))</f>
        <v/>
      </c>
      <c r="BH336" t="str">
        <f>IF(OR(BA336="",wLatest=""),"",IFERROR(INDEX(wData,267,MATCH(wLatest&amp;CHAR(10)&amp;"Stanine",wHdr,0))+0,""))</f>
        <v/>
      </c>
      <c r="BI336" t="str">
        <f>IF(BA336="","",IF(AND(ISNUMBER(BG336),N(BE336)&gt;=WlMinTests,BG336&lt;=-WlGap),"Below expected for KS2",IF(AND(NOT(ISNUMBER(BD336)),ISNUMBER(BF336),N(BE336)&gt;=WlMinTests,BF336&lt;=WlLowMean),"Low results, no KS2 data","")))</f>
        <v/>
      </c>
      <c r="BJ336" t="str">
        <f>IF(BI336="","",IF(BI336="Below expected for KS2",BG336,100+BF336)+ROW()/1000000)</f>
        <v/>
      </c>
    </row>
    <row r="337">
      <c r="H337" t="str">
        <f>IFERROR(INDEX(tblY7[Class],ROWS(H$10:H337))&amp;"","")</f>
        <v/>
      </c>
      <c r="I337" t="str">
        <f>IF(H337="","",IF(COUNTIF(H$10:H337,H337)=1,COUNTIF(H$10:H$609,"&lt;"&amp;H337)+1,""))</f>
        <v/>
      </c>
      <c r="J337" t="str">
        <f>IFERROR(INDEX(tblY8[Class],ROWS(J$10:J337))&amp;"","")</f>
        <v/>
      </c>
      <c r="K337" t="str">
        <f>IF(J337="","",IF(COUNTIF(J$10:J337,J337)=1,COUNTIF(J$10:J$609,"&lt;"&amp;J337)+1,""))</f>
        <v/>
      </c>
      <c r="L337" t="str">
        <f>IFERROR(INDEX(tblY9[Class],ROWS(L$10:L337))&amp;"","")</f>
        <v/>
      </c>
      <c r="M337" t="str">
        <f>IF(L337="","",IF(COUNTIF(L$10:L337,L337)=1,COUNTIF(L$10:L$609,"&lt;"&amp;L337)+1,""))</f>
        <v/>
      </c>
      <c r="N337" t="str">
        <f>IFERROR(INDEX(tblY10[Class],ROWS(N$10:N337))&amp;"","")</f>
        <v/>
      </c>
      <c r="O337" t="str">
        <f>IF(N337="","",IF(COUNTIF(N$10:N337,N337)=1,COUNTIF(N$10:N$609,"&lt;"&amp;N337)+1,""))</f>
        <v/>
      </c>
      <c r="P337" t="str">
        <f>IFERROR(INDEX(tblY11[Class],ROWS(P$10:P337))&amp;"","")</f>
        <v/>
      </c>
      <c r="Q337" t="str">
        <f>IF(P337="","",IF(COUNTIF(P$10:P337,P337)=1,COUNTIF(P$10:P$609,"&lt;"&amp;P337)+1,""))</f>
        <v/>
      </c>
      <c r="BA337" t="str">
        <f>IFERROR(INDEX(wLast,268)&amp;"","")</f>
        <v/>
      </c>
      <c r="BB337" t="str">
        <f>IF(BA337="","",IFERROR(INDEX(wFirst,268)&amp;"",""))</f>
        <v/>
      </c>
      <c r="BC337" t="str">
        <f>IF(BA337="","",IFERROR(INDEX(wClass,268)&amp;"",""))</f>
        <v/>
      </c>
      <c r="BD337" t="str">
        <f>IF(BA337="","",IFERROR(INDEX(wKsBand,268)+0,""))</f>
        <v/>
      </c>
      <c r="BE337" t="str">
        <f>IF(BA337="","",IFERROR(INDEX(wTests,268)+0,0))</f>
        <v/>
      </c>
      <c r="BF337" t="str">
        <f>IF(BA337="","",IFERROR(INDEX(wMean,268)+0,""))</f>
        <v/>
      </c>
      <c r="BG337" t="str">
        <f>IF(BA337="","",IFERROR(INDEX(wVs,268)+0,""))</f>
        <v/>
      </c>
      <c r="BH337" t="str">
        <f>IF(OR(BA337="",wLatest=""),"",IFERROR(INDEX(wData,268,MATCH(wLatest&amp;CHAR(10)&amp;"Stanine",wHdr,0))+0,""))</f>
        <v/>
      </c>
      <c r="BI337" t="str">
        <f>IF(BA337="","",IF(AND(ISNUMBER(BG337),N(BE337)&gt;=WlMinTests,BG337&lt;=-WlGap),"Below expected for KS2",IF(AND(NOT(ISNUMBER(BD337)),ISNUMBER(BF337),N(BE337)&gt;=WlMinTests,BF337&lt;=WlLowMean),"Low results, no KS2 data","")))</f>
        <v/>
      </c>
      <c r="BJ337" t="str">
        <f>IF(BI337="","",IF(BI337="Below expected for KS2",BG337,100+BF337)+ROW()/1000000)</f>
        <v/>
      </c>
    </row>
    <row r="338">
      <c r="H338" t="str">
        <f>IFERROR(INDEX(tblY7[Class],ROWS(H$10:H338))&amp;"","")</f>
        <v/>
      </c>
      <c r="I338" t="str">
        <f>IF(H338="","",IF(COUNTIF(H$10:H338,H338)=1,COUNTIF(H$10:H$609,"&lt;"&amp;H338)+1,""))</f>
        <v/>
      </c>
      <c r="J338" t="str">
        <f>IFERROR(INDEX(tblY8[Class],ROWS(J$10:J338))&amp;"","")</f>
        <v/>
      </c>
      <c r="K338" t="str">
        <f>IF(J338="","",IF(COUNTIF(J$10:J338,J338)=1,COUNTIF(J$10:J$609,"&lt;"&amp;J338)+1,""))</f>
        <v/>
      </c>
      <c r="L338" t="str">
        <f>IFERROR(INDEX(tblY9[Class],ROWS(L$10:L338))&amp;"","")</f>
        <v/>
      </c>
      <c r="M338" t="str">
        <f>IF(L338="","",IF(COUNTIF(L$10:L338,L338)=1,COUNTIF(L$10:L$609,"&lt;"&amp;L338)+1,""))</f>
        <v/>
      </c>
      <c r="N338" t="str">
        <f>IFERROR(INDEX(tblY10[Class],ROWS(N$10:N338))&amp;"","")</f>
        <v/>
      </c>
      <c r="O338" t="str">
        <f>IF(N338="","",IF(COUNTIF(N$10:N338,N338)=1,COUNTIF(N$10:N$609,"&lt;"&amp;N338)+1,""))</f>
        <v/>
      </c>
      <c r="P338" t="str">
        <f>IFERROR(INDEX(tblY11[Class],ROWS(P$10:P338))&amp;"","")</f>
        <v/>
      </c>
      <c r="Q338" t="str">
        <f>IF(P338="","",IF(COUNTIF(P$10:P338,P338)=1,COUNTIF(P$10:P$609,"&lt;"&amp;P338)+1,""))</f>
        <v/>
      </c>
      <c r="BA338" t="str">
        <f>IFERROR(INDEX(wLast,269)&amp;"","")</f>
        <v/>
      </c>
      <c r="BB338" t="str">
        <f>IF(BA338="","",IFERROR(INDEX(wFirst,269)&amp;"",""))</f>
        <v/>
      </c>
      <c r="BC338" t="str">
        <f>IF(BA338="","",IFERROR(INDEX(wClass,269)&amp;"",""))</f>
        <v/>
      </c>
      <c r="BD338" t="str">
        <f>IF(BA338="","",IFERROR(INDEX(wKsBand,269)+0,""))</f>
        <v/>
      </c>
      <c r="BE338" t="str">
        <f>IF(BA338="","",IFERROR(INDEX(wTests,269)+0,0))</f>
        <v/>
      </c>
      <c r="BF338" t="str">
        <f>IF(BA338="","",IFERROR(INDEX(wMean,269)+0,""))</f>
        <v/>
      </c>
      <c r="BG338" t="str">
        <f>IF(BA338="","",IFERROR(INDEX(wVs,269)+0,""))</f>
        <v/>
      </c>
      <c r="BH338" t="str">
        <f>IF(OR(BA338="",wLatest=""),"",IFERROR(INDEX(wData,269,MATCH(wLatest&amp;CHAR(10)&amp;"Stanine",wHdr,0))+0,""))</f>
        <v/>
      </c>
      <c r="BI338" t="str">
        <f>IF(BA338="","",IF(AND(ISNUMBER(BG338),N(BE338)&gt;=WlMinTests,BG338&lt;=-WlGap),"Below expected for KS2",IF(AND(NOT(ISNUMBER(BD338)),ISNUMBER(BF338),N(BE338)&gt;=WlMinTests,BF338&lt;=WlLowMean),"Low results, no KS2 data","")))</f>
        <v/>
      </c>
      <c r="BJ338" t="str">
        <f>IF(BI338="","",IF(BI338="Below expected for KS2",BG338,100+BF338)+ROW()/1000000)</f>
        <v/>
      </c>
    </row>
    <row r="339">
      <c r="H339" t="str">
        <f>IFERROR(INDEX(tblY7[Class],ROWS(H$10:H339))&amp;"","")</f>
        <v/>
      </c>
      <c r="I339" t="str">
        <f>IF(H339="","",IF(COUNTIF(H$10:H339,H339)=1,COUNTIF(H$10:H$609,"&lt;"&amp;H339)+1,""))</f>
        <v/>
      </c>
      <c r="J339" t="str">
        <f>IFERROR(INDEX(tblY8[Class],ROWS(J$10:J339))&amp;"","")</f>
        <v/>
      </c>
      <c r="K339" t="str">
        <f>IF(J339="","",IF(COUNTIF(J$10:J339,J339)=1,COUNTIF(J$10:J$609,"&lt;"&amp;J339)+1,""))</f>
        <v/>
      </c>
      <c r="L339" t="str">
        <f>IFERROR(INDEX(tblY9[Class],ROWS(L$10:L339))&amp;"","")</f>
        <v/>
      </c>
      <c r="M339" t="str">
        <f>IF(L339="","",IF(COUNTIF(L$10:L339,L339)=1,COUNTIF(L$10:L$609,"&lt;"&amp;L339)+1,""))</f>
        <v/>
      </c>
      <c r="N339" t="str">
        <f>IFERROR(INDEX(tblY10[Class],ROWS(N$10:N339))&amp;"","")</f>
        <v/>
      </c>
      <c r="O339" t="str">
        <f>IF(N339="","",IF(COUNTIF(N$10:N339,N339)=1,COUNTIF(N$10:N$609,"&lt;"&amp;N339)+1,""))</f>
        <v/>
      </c>
      <c r="P339" t="str">
        <f>IFERROR(INDEX(tblY11[Class],ROWS(P$10:P339))&amp;"","")</f>
        <v/>
      </c>
      <c r="Q339" t="str">
        <f>IF(P339="","",IF(COUNTIF(P$10:P339,P339)=1,COUNTIF(P$10:P$609,"&lt;"&amp;P339)+1,""))</f>
        <v/>
      </c>
      <c r="BA339" t="str">
        <f>IFERROR(INDEX(wLast,270)&amp;"","")</f>
        <v/>
      </c>
      <c r="BB339" t="str">
        <f>IF(BA339="","",IFERROR(INDEX(wFirst,270)&amp;"",""))</f>
        <v/>
      </c>
      <c r="BC339" t="str">
        <f>IF(BA339="","",IFERROR(INDEX(wClass,270)&amp;"",""))</f>
        <v/>
      </c>
      <c r="BD339" t="str">
        <f>IF(BA339="","",IFERROR(INDEX(wKsBand,270)+0,""))</f>
        <v/>
      </c>
      <c r="BE339" t="str">
        <f>IF(BA339="","",IFERROR(INDEX(wTests,270)+0,0))</f>
        <v/>
      </c>
      <c r="BF339" t="str">
        <f>IF(BA339="","",IFERROR(INDEX(wMean,270)+0,""))</f>
        <v/>
      </c>
      <c r="BG339" t="str">
        <f>IF(BA339="","",IFERROR(INDEX(wVs,270)+0,""))</f>
        <v/>
      </c>
      <c r="BH339" t="str">
        <f>IF(OR(BA339="",wLatest=""),"",IFERROR(INDEX(wData,270,MATCH(wLatest&amp;CHAR(10)&amp;"Stanine",wHdr,0))+0,""))</f>
        <v/>
      </c>
      <c r="BI339" t="str">
        <f>IF(BA339="","",IF(AND(ISNUMBER(BG339),N(BE339)&gt;=WlMinTests,BG339&lt;=-WlGap),"Below expected for KS2",IF(AND(NOT(ISNUMBER(BD339)),ISNUMBER(BF339),N(BE339)&gt;=WlMinTests,BF339&lt;=WlLowMean),"Low results, no KS2 data","")))</f>
        <v/>
      </c>
      <c r="BJ339" t="str">
        <f>IF(BI339="","",IF(BI339="Below expected for KS2",BG339,100+BF339)+ROW()/1000000)</f>
        <v/>
      </c>
    </row>
    <row r="340">
      <c r="H340" t="str">
        <f>IFERROR(INDEX(tblY7[Class],ROWS(H$10:H340))&amp;"","")</f>
        <v/>
      </c>
      <c r="I340" t="str">
        <f>IF(H340="","",IF(COUNTIF(H$10:H340,H340)=1,COUNTIF(H$10:H$609,"&lt;"&amp;H340)+1,""))</f>
        <v/>
      </c>
      <c r="J340" t="str">
        <f>IFERROR(INDEX(tblY8[Class],ROWS(J$10:J340))&amp;"","")</f>
        <v/>
      </c>
      <c r="K340" t="str">
        <f>IF(J340="","",IF(COUNTIF(J$10:J340,J340)=1,COUNTIF(J$10:J$609,"&lt;"&amp;J340)+1,""))</f>
        <v/>
      </c>
      <c r="L340" t="str">
        <f>IFERROR(INDEX(tblY9[Class],ROWS(L$10:L340))&amp;"","")</f>
        <v/>
      </c>
      <c r="M340" t="str">
        <f>IF(L340="","",IF(COUNTIF(L$10:L340,L340)=1,COUNTIF(L$10:L$609,"&lt;"&amp;L340)+1,""))</f>
        <v/>
      </c>
      <c r="N340" t="str">
        <f>IFERROR(INDEX(tblY10[Class],ROWS(N$10:N340))&amp;"","")</f>
        <v/>
      </c>
      <c r="O340" t="str">
        <f>IF(N340="","",IF(COUNTIF(N$10:N340,N340)=1,COUNTIF(N$10:N$609,"&lt;"&amp;N340)+1,""))</f>
        <v/>
      </c>
      <c r="P340" t="str">
        <f>IFERROR(INDEX(tblY11[Class],ROWS(P$10:P340))&amp;"","")</f>
        <v/>
      </c>
      <c r="Q340" t="str">
        <f>IF(P340="","",IF(COUNTIF(P$10:P340,P340)=1,COUNTIF(P$10:P$609,"&lt;"&amp;P340)+1,""))</f>
        <v/>
      </c>
      <c r="BA340" t="str">
        <f>IFERROR(INDEX(wLast,271)&amp;"","")</f>
        <v/>
      </c>
      <c r="BB340" t="str">
        <f>IF(BA340="","",IFERROR(INDEX(wFirst,271)&amp;"",""))</f>
        <v/>
      </c>
      <c r="BC340" t="str">
        <f>IF(BA340="","",IFERROR(INDEX(wClass,271)&amp;"",""))</f>
        <v/>
      </c>
      <c r="BD340" t="str">
        <f>IF(BA340="","",IFERROR(INDEX(wKsBand,271)+0,""))</f>
        <v/>
      </c>
      <c r="BE340" t="str">
        <f>IF(BA340="","",IFERROR(INDEX(wTests,271)+0,0))</f>
        <v/>
      </c>
      <c r="BF340" t="str">
        <f>IF(BA340="","",IFERROR(INDEX(wMean,271)+0,""))</f>
        <v/>
      </c>
      <c r="BG340" t="str">
        <f>IF(BA340="","",IFERROR(INDEX(wVs,271)+0,""))</f>
        <v/>
      </c>
      <c r="BH340" t="str">
        <f>IF(OR(BA340="",wLatest=""),"",IFERROR(INDEX(wData,271,MATCH(wLatest&amp;CHAR(10)&amp;"Stanine",wHdr,0))+0,""))</f>
        <v/>
      </c>
      <c r="BI340" t="str">
        <f>IF(BA340="","",IF(AND(ISNUMBER(BG340),N(BE340)&gt;=WlMinTests,BG340&lt;=-WlGap),"Below expected for KS2",IF(AND(NOT(ISNUMBER(BD340)),ISNUMBER(BF340),N(BE340)&gt;=WlMinTests,BF340&lt;=WlLowMean),"Low results, no KS2 data","")))</f>
        <v/>
      </c>
      <c r="BJ340" t="str">
        <f>IF(BI340="","",IF(BI340="Below expected for KS2",BG340,100+BF340)+ROW()/1000000)</f>
        <v/>
      </c>
    </row>
    <row r="341">
      <c r="H341" t="str">
        <f>IFERROR(INDEX(tblY7[Class],ROWS(H$10:H341))&amp;"","")</f>
        <v/>
      </c>
      <c r="I341" t="str">
        <f>IF(H341="","",IF(COUNTIF(H$10:H341,H341)=1,COUNTIF(H$10:H$609,"&lt;"&amp;H341)+1,""))</f>
        <v/>
      </c>
      <c r="J341" t="str">
        <f>IFERROR(INDEX(tblY8[Class],ROWS(J$10:J341))&amp;"","")</f>
        <v/>
      </c>
      <c r="K341" t="str">
        <f>IF(J341="","",IF(COUNTIF(J$10:J341,J341)=1,COUNTIF(J$10:J$609,"&lt;"&amp;J341)+1,""))</f>
        <v/>
      </c>
      <c r="L341" t="str">
        <f>IFERROR(INDEX(tblY9[Class],ROWS(L$10:L341))&amp;"","")</f>
        <v/>
      </c>
      <c r="M341" t="str">
        <f>IF(L341="","",IF(COUNTIF(L$10:L341,L341)=1,COUNTIF(L$10:L$609,"&lt;"&amp;L341)+1,""))</f>
        <v/>
      </c>
      <c r="N341" t="str">
        <f>IFERROR(INDEX(tblY10[Class],ROWS(N$10:N341))&amp;"","")</f>
        <v/>
      </c>
      <c r="O341" t="str">
        <f>IF(N341="","",IF(COUNTIF(N$10:N341,N341)=1,COUNTIF(N$10:N$609,"&lt;"&amp;N341)+1,""))</f>
        <v/>
      </c>
      <c r="P341" t="str">
        <f>IFERROR(INDEX(tblY11[Class],ROWS(P$10:P341))&amp;"","")</f>
        <v/>
      </c>
      <c r="Q341" t="str">
        <f>IF(P341="","",IF(COUNTIF(P$10:P341,P341)=1,COUNTIF(P$10:P$609,"&lt;"&amp;P341)+1,""))</f>
        <v/>
      </c>
      <c r="BA341" t="str">
        <f>IFERROR(INDEX(wLast,272)&amp;"","")</f>
        <v/>
      </c>
      <c r="BB341" t="str">
        <f>IF(BA341="","",IFERROR(INDEX(wFirst,272)&amp;"",""))</f>
        <v/>
      </c>
      <c r="BC341" t="str">
        <f>IF(BA341="","",IFERROR(INDEX(wClass,272)&amp;"",""))</f>
        <v/>
      </c>
      <c r="BD341" t="str">
        <f>IF(BA341="","",IFERROR(INDEX(wKsBand,272)+0,""))</f>
        <v/>
      </c>
      <c r="BE341" t="str">
        <f>IF(BA341="","",IFERROR(INDEX(wTests,272)+0,0))</f>
        <v/>
      </c>
      <c r="BF341" t="str">
        <f>IF(BA341="","",IFERROR(INDEX(wMean,272)+0,""))</f>
        <v/>
      </c>
      <c r="BG341" t="str">
        <f>IF(BA341="","",IFERROR(INDEX(wVs,272)+0,""))</f>
        <v/>
      </c>
      <c r="BH341" t="str">
        <f>IF(OR(BA341="",wLatest=""),"",IFERROR(INDEX(wData,272,MATCH(wLatest&amp;CHAR(10)&amp;"Stanine",wHdr,0))+0,""))</f>
        <v/>
      </c>
      <c r="BI341" t="str">
        <f>IF(BA341="","",IF(AND(ISNUMBER(BG341),N(BE341)&gt;=WlMinTests,BG341&lt;=-WlGap),"Below expected for KS2",IF(AND(NOT(ISNUMBER(BD341)),ISNUMBER(BF341),N(BE341)&gt;=WlMinTests,BF341&lt;=WlLowMean),"Low results, no KS2 data","")))</f>
        <v/>
      </c>
      <c r="BJ341" t="str">
        <f>IF(BI341="","",IF(BI341="Below expected for KS2",BG341,100+BF341)+ROW()/1000000)</f>
        <v/>
      </c>
    </row>
    <row r="342">
      <c r="H342" t="str">
        <f>IFERROR(INDEX(tblY7[Class],ROWS(H$10:H342))&amp;"","")</f>
        <v/>
      </c>
      <c r="I342" t="str">
        <f>IF(H342="","",IF(COUNTIF(H$10:H342,H342)=1,COUNTIF(H$10:H$609,"&lt;"&amp;H342)+1,""))</f>
        <v/>
      </c>
      <c r="J342" t="str">
        <f>IFERROR(INDEX(tblY8[Class],ROWS(J$10:J342))&amp;"","")</f>
        <v/>
      </c>
      <c r="K342" t="str">
        <f>IF(J342="","",IF(COUNTIF(J$10:J342,J342)=1,COUNTIF(J$10:J$609,"&lt;"&amp;J342)+1,""))</f>
        <v/>
      </c>
      <c r="L342" t="str">
        <f>IFERROR(INDEX(tblY9[Class],ROWS(L$10:L342))&amp;"","")</f>
        <v/>
      </c>
      <c r="M342" t="str">
        <f>IF(L342="","",IF(COUNTIF(L$10:L342,L342)=1,COUNTIF(L$10:L$609,"&lt;"&amp;L342)+1,""))</f>
        <v/>
      </c>
      <c r="N342" t="str">
        <f>IFERROR(INDEX(tblY10[Class],ROWS(N$10:N342))&amp;"","")</f>
        <v/>
      </c>
      <c r="O342" t="str">
        <f>IF(N342="","",IF(COUNTIF(N$10:N342,N342)=1,COUNTIF(N$10:N$609,"&lt;"&amp;N342)+1,""))</f>
        <v/>
      </c>
      <c r="P342" t="str">
        <f>IFERROR(INDEX(tblY11[Class],ROWS(P$10:P342))&amp;"","")</f>
        <v/>
      </c>
      <c r="Q342" t="str">
        <f>IF(P342="","",IF(COUNTIF(P$10:P342,P342)=1,COUNTIF(P$10:P$609,"&lt;"&amp;P342)+1,""))</f>
        <v/>
      </c>
      <c r="BA342" t="str">
        <f>IFERROR(INDEX(wLast,273)&amp;"","")</f>
        <v/>
      </c>
      <c r="BB342" t="str">
        <f>IF(BA342="","",IFERROR(INDEX(wFirst,273)&amp;"",""))</f>
        <v/>
      </c>
      <c r="BC342" t="str">
        <f>IF(BA342="","",IFERROR(INDEX(wClass,273)&amp;"",""))</f>
        <v/>
      </c>
      <c r="BD342" t="str">
        <f>IF(BA342="","",IFERROR(INDEX(wKsBand,273)+0,""))</f>
        <v/>
      </c>
      <c r="BE342" t="str">
        <f>IF(BA342="","",IFERROR(INDEX(wTests,273)+0,0))</f>
        <v/>
      </c>
      <c r="BF342" t="str">
        <f>IF(BA342="","",IFERROR(INDEX(wMean,273)+0,""))</f>
        <v/>
      </c>
      <c r="BG342" t="str">
        <f>IF(BA342="","",IFERROR(INDEX(wVs,273)+0,""))</f>
        <v/>
      </c>
      <c r="BH342" t="str">
        <f>IF(OR(BA342="",wLatest=""),"",IFERROR(INDEX(wData,273,MATCH(wLatest&amp;CHAR(10)&amp;"Stanine",wHdr,0))+0,""))</f>
        <v/>
      </c>
      <c r="BI342" t="str">
        <f>IF(BA342="","",IF(AND(ISNUMBER(BG342),N(BE342)&gt;=WlMinTests,BG342&lt;=-WlGap),"Below expected for KS2",IF(AND(NOT(ISNUMBER(BD342)),ISNUMBER(BF342),N(BE342)&gt;=WlMinTests,BF342&lt;=WlLowMean),"Low results, no KS2 data","")))</f>
        <v/>
      </c>
      <c r="BJ342" t="str">
        <f>IF(BI342="","",IF(BI342="Below expected for KS2",BG342,100+BF342)+ROW()/1000000)</f>
        <v/>
      </c>
    </row>
    <row r="343">
      <c r="H343" t="str">
        <f>IFERROR(INDEX(tblY7[Class],ROWS(H$10:H343))&amp;"","")</f>
        <v/>
      </c>
      <c r="I343" t="str">
        <f>IF(H343="","",IF(COUNTIF(H$10:H343,H343)=1,COUNTIF(H$10:H$609,"&lt;"&amp;H343)+1,""))</f>
        <v/>
      </c>
      <c r="J343" t="str">
        <f>IFERROR(INDEX(tblY8[Class],ROWS(J$10:J343))&amp;"","")</f>
        <v/>
      </c>
      <c r="K343" t="str">
        <f>IF(J343="","",IF(COUNTIF(J$10:J343,J343)=1,COUNTIF(J$10:J$609,"&lt;"&amp;J343)+1,""))</f>
        <v/>
      </c>
      <c r="L343" t="str">
        <f>IFERROR(INDEX(tblY9[Class],ROWS(L$10:L343))&amp;"","")</f>
        <v/>
      </c>
      <c r="M343" t="str">
        <f>IF(L343="","",IF(COUNTIF(L$10:L343,L343)=1,COUNTIF(L$10:L$609,"&lt;"&amp;L343)+1,""))</f>
        <v/>
      </c>
      <c r="N343" t="str">
        <f>IFERROR(INDEX(tblY10[Class],ROWS(N$10:N343))&amp;"","")</f>
        <v/>
      </c>
      <c r="O343" t="str">
        <f>IF(N343="","",IF(COUNTIF(N$10:N343,N343)=1,COUNTIF(N$10:N$609,"&lt;"&amp;N343)+1,""))</f>
        <v/>
      </c>
      <c r="P343" t="str">
        <f>IFERROR(INDEX(tblY11[Class],ROWS(P$10:P343))&amp;"","")</f>
        <v/>
      </c>
      <c r="Q343" t="str">
        <f>IF(P343="","",IF(COUNTIF(P$10:P343,P343)=1,COUNTIF(P$10:P$609,"&lt;"&amp;P343)+1,""))</f>
        <v/>
      </c>
      <c r="BA343" t="str">
        <f>IFERROR(INDEX(wLast,274)&amp;"","")</f>
        <v/>
      </c>
      <c r="BB343" t="str">
        <f>IF(BA343="","",IFERROR(INDEX(wFirst,274)&amp;"",""))</f>
        <v/>
      </c>
      <c r="BC343" t="str">
        <f>IF(BA343="","",IFERROR(INDEX(wClass,274)&amp;"",""))</f>
        <v/>
      </c>
      <c r="BD343" t="str">
        <f>IF(BA343="","",IFERROR(INDEX(wKsBand,274)+0,""))</f>
        <v/>
      </c>
      <c r="BE343" t="str">
        <f>IF(BA343="","",IFERROR(INDEX(wTests,274)+0,0))</f>
        <v/>
      </c>
      <c r="BF343" t="str">
        <f>IF(BA343="","",IFERROR(INDEX(wMean,274)+0,""))</f>
        <v/>
      </c>
      <c r="BG343" t="str">
        <f>IF(BA343="","",IFERROR(INDEX(wVs,274)+0,""))</f>
        <v/>
      </c>
      <c r="BH343" t="str">
        <f>IF(OR(BA343="",wLatest=""),"",IFERROR(INDEX(wData,274,MATCH(wLatest&amp;CHAR(10)&amp;"Stanine",wHdr,0))+0,""))</f>
        <v/>
      </c>
      <c r="BI343" t="str">
        <f>IF(BA343="","",IF(AND(ISNUMBER(BG343),N(BE343)&gt;=WlMinTests,BG343&lt;=-WlGap),"Below expected for KS2",IF(AND(NOT(ISNUMBER(BD343)),ISNUMBER(BF343),N(BE343)&gt;=WlMinTests,BF343&lt;=WlLowMean),"Low results, no KS2 data","")))</f>
        <v/>
      </c>
      <c r="BJ343" t="str">
        <f>IF(BI343="","",IF(BI343="Below expected for KS2",BG343,100+BF343)+ROW()/1000000)</f>
        <v/>
      </c>
    </row>
    <row r="344">
      <c r="H344" t="str">
        <f>IFERROR(INDEX(tblY7[Class],ROWS(H$10:H344))&amp;"","")</f>
        <v/>
      </c>
      <c r="I344" t="str">
        <f>IF(H344="","",IF(COUNTIF(H$10:H344,H344)=1,COUNTIF(H$10:H$609,"&lt;"&amp;H344)+1,""))</f>
        <v/>
      </c>
      <c r="J344" t="str">
        <f>IFERROR(INDEX(tblY8[Class],ROWS(J$10:J344))&amp;"","")</f>
        <v/>
      </c>
      <c r="K344" t="str">
        <f>IF(J344="","",IF(COUNTIF(J$10:J344,J344)=1,COUNTIF(J$10:J$609,"&lt;"&amp;J344)+1,""))</f>
        <v/>
      </c>
      <c r="L344" t="str">
        <f>IFERROR(INDEX(tblY9[Class],ROWS(L$10:L344))&amp;"","")</f>
        <v/>
      </c>
      <c r="M344" t="str">
        <f>IF(L344="","",IF(COUNTIF(L$10:L344,L344)=1,COUNTIF(L$10:L$609,"&lt;"&amp;L344)+1,""))</f>
        <v/>
      </c>
      <c r="N344" t="str">
        <f>IFERROR(INDEX(tblY10[Class],ROWS(N$10:N344))&amp;"","")</f>
        <v/>
      </c>
      <c r="O344" t="str">
        <f>IF(N344="","",IF(COUNTIF(N$10:N344,N344)=1,COUNTIF(N$10:N$609,"&lt;"&amp;N344)+1,""))</f>
        <v/>
      </c>
      <c r="P344" t="str">
        <f>IFERROR(INDEX(tblY11[Class],ROWS(P$10:P344))&amp;"","")</f>
        <v/>
      </c>
      <c r="Q344" t="str">
        <f>IF(P344="","",IF(COUNTIF(P$10:P344,P344)=1,COUNTIF(P$10:P$609,"&lt;"&amp;P344)+1,""))</f>
        <v/>
      </c>
      <c r="BA344" t="str">
        <f>IFERROR(INDEX(wLast,275)&amp;"","")</f>
        <v/>
      </c>
      <c r="BB344" t="str">
        <f>IF(BA344="","",IFERROR(INDEX(wFirst,275)&amp;"",""))</f>
        <v/>
      </c>
      <c r="BC344" t="str">
        <f>IF(BA344="","",IFERROR(INDEX(wClass,275)&amp;"",""))</f>
        <v/>
      </c>
      <c r="BD344" t="str">
        <f>IF(BA344="","",IFERROR(INDEX(wKsBand,275)+0,""))</f>
        <v/>
      </c>
      <c r="BE344" t="str">
        <f>IF(BA344="","",IFERROR(INDEX(wTests,275)+0,0))</f>
        <v/>
      </c>
      <c r="BF344" t="str">
        <f>IF(BA344="","",IFERROR(INDEX(wMean,275)+0,""))</f>
        <v/>
      </c>
      <c r="BG344" t="str">
        <f>IF(BA344="","",IFERROR(INDEX(wVs,275)+0,""))</f>
        <v/>
      </c>
      <c r="BH344" t="str">
        <f>IF(OR(BA344="",wLatest=""),"",IFERROR(INDEX(wData,275,MATCH(wLatest&amp;CHAR(10)&amp;"Stanine",wHdr,0))+0,""))</f>
        <v/>
      </c>
      <c r="BI344" t="str">
        <f>IF(BA344="","",IF(AND(ISNUMBER(BG344),N(BE344)&gt;=WlMinTests,BG344&lt;=-WlGap),"Below expected for KS2",IF(AND(NOT(ISNUMBER(BD344)),ISNUMBER(BF344),N(BE344)&gt;=WlMinTests,BF344&lt;=WlLowMean),"Low results, no KS2 data","")))</f>
        <v/>
      </c>
      <c r="BJ344" t="str">
        <f>IF(BI344="","",IF(BI344="Below expected for KS2",BG344,100+BF344)+ROW()/1000000)</f>
        <v/>
      </c>
    </row>
    <row r="345">
      <c r="H345" t="str">
        <f>IFERROR(INDEX(tblY7[Class],ROWS(H$10:H345))&amp;"","")</f>
        <v/>
      </c>
      <c r="I345" t="str">
        <f>IF(H345="","",IF(COUNTIF(H$10:H345,H345)=1,COUNTIF(H$10:H$609,"&lt;"&amp;H345)+1,""))</f>
        <v/>
      </c>
      <c r="J345" t="str">
        <f>IFERROR(INDEX(tblY8[Class],ROWS(J$10:J345))&amp;"","")</f>
        <v/>
      </c>
      <c r="K345" t="str">
        <f>IF(J345="","",IF(COUNTIF(J$10:J345,J345)=1,COUNTIF(J$10:J$609,"&lt;"&amp;J345)+1,""))</f>
        <v/>
      </c>
      <c r="L345" t="str">
        <f>IFERROR(INDEX(tblY9[Class],ROWS(L$10:L345))&amp;"","")</f>
        <v/>
      </c>
      <c r="M345" t="str">
        <f>IF(L345="","",IF(COUNTIF(L$10:L345,L345)=1,COUNTIF(L$10:L$609,"&lt;"&amp;L345)+1,""))</f>
        <v/>
      </c>
      <c r="N345" t="str">
        <f>IFERROR(INDEX(tblY10[Class],ROWS(N$10:N345))&amp;"","")</f>
        <v/>
      </c>
      <c r="O345" t="str">
        <f>IF(N345="","",IF(COUNTIF(N$10:N345,N345)=1,COUNTIF(N$10:N$609,"&lt;"&amp;N345)+1,""))</f>
        <v/>
      </c>
      <c r="P345" t="str">
        <f>IFERROR(INDEX(tblY11[Class],ROWS(P$10:P345))&amp;"","")</f>
        <v/>
      </c>
      <c r="Q345" t="str">
        <f>IF(P345="","",IF(COUNTIF(P$10:P345,P345)=1,COUNTIF(P$10:P$609,"&lt;"&amp;P345)+1,""))</f>
        <v/>
      </c>
      <c r="BA345" t="str">
        <f>IFERROR(INDEX(wLast,276)&amp;"","")</f>
        <v/>
      </c>
      <c r="BB345" t="str">
        <f>IF(BA345="","",IFERROR(INDEX(wFirst,276)&amp;"",""))</f>
        <v/>
      </c>
      <c r="BC345" t="str">
        <f>IF(BA345="","",IFERROR(INDEX(wClass,276)&amp;"",""))</f>
        <v/>
      </c>
      <c r="BD345" t="str">
        <f>IF(BA345="","",IFERROR(INDEX(wKsBand,276)+0,""))</f>
        <v/>
      </c>
      <c r="BE345" t="str">
        <f>IF(BA345="","",IFERROR(INDEX(wTests,276)+0,0))</f>
        <v/>
      </c>
      <c r="BF345" t="str">
        <f>IF(BA345="","",IFERROR(INDEX(wMean,276)+0,""))</f>
        <v/>
      </c>
      <c r="BG345" t="str">
        <f>IF(BA345="","",IFERROR(INDEX(wVs,276)+0,""))</f>
        <v/>
      </c>
      <c r="BH345" t="str">
        <f>IF(OR(BA345="",wLatest=""),"",IFERROR(INDEX(wData,276,MATCH(wLatest&amp;CHAR(10)&amp;"Stanine",wHdr,0))+0,""))</f>
        <v/>
      </c>
      <c r="BI345" t="str">
        <f>IF(BA345="","",IF(AND(ISNUMBER(BG345),N(BE345)&gt;=WlMinTests,BG345&lt;=-WlGap),"Below expected for KS2",IF(AND(NOT(ISNUMBER(BD345)),ISNUMBER(BF345),N(BE345)&gt;=WlMinTests,BF345&lt;=WlLowMean),"Low results, no KS2 data","")))</f>
        <v/>
      </c>
      <c r="BJ345" t="str">
        <f>IF(BI345="","",IF(BI345="Below expected for KS2",BG345,100+BF345)+ROW()/1000000)</f>
        <v/>
      </c>
    </row>
    <row r="346">
      <c r="H346" t="str">
        <f>IFERROR(INDEX(tblY7[Class],ROWS(H$10:H346))&amp;"","")</f>
        <v/>
      </c>
      <c r="I346" t="str">
        <f>IF(H346="","",IF(COUNTIF(H$10:H346,H346)=1,COUNTIF(H$10:H$609,"&lt;"&amp;H346)+1,""))</f>
        <v/>
      </c>
      <c r="J346" t="str">
        <f>IFERROR(INDEX(tblY8[Class],ROWS(J$10:J346))&amp;"","")</f>
        <v/>
      </c>
      <c r="K346" t="str">
        <f>IF(J346="","",IF(COUNTIF(J$10:J346,J346)=1,COUNTIF(J$10:J$609,"&lt;"&amp;J346)+1,""))</f>
        <v/>
      </c>
      <c r="L346" t="str">
        <f>IFERROR(INDEX(tblY9[Class],ROWS(L$10:L346))&amp;"","")</f>
        <v/>
      </c>
      <c r="M346" t="str">
        <f>IF(L346="","",IF(COUNTIF(L$10:L346,L346)=1,COUNTIF(L$10:L$609,"&lt;"&amp;L346)+1,""))</f>
        <v/>
      </c>
      <c r="N346" t="str">
        <f>IFERROR(INDEX(tblY10[Class],ROWS(N$10:N346))&amp;"","")</f>
        <v/>
      </c>
      <c r="O346" t="str">
        <f>IF(N346="","",IF(COUNTIF(N$10:N346,N346)=1,COUNTIF(N$10:N$609,"&lt;"&amp;N346)+1,""))</f>
        <v/>
      </c>
      <c r="P346" t="str">
        <f>IFERROR(INDEX(tblY11[Class],ROWS(P$10:P346))&amp;"","")</f>
        <v/>
      </c>
      <c r="Q346" t="str">
        <f>IF(P346="","",IF(COUNTIF(P$10:P346,P346)=1,COUNTIF(P$10:P$609,"&lt;"&amp;P346)+1,""))</f>
        <v/>
      </c>
      <c r="BA346" t="str">
        <f>IFERROR(INDEX(wLast,277)&amp;"","")</f>
        <v/>
      </c>
      <c r="BB346" t="str">
        <f>IF(BA346="","",IFERROR(INDEX(wFirst,277)&amp;"",""))</f>
        <v/>
      </c>
      <c r="BC346" t="str">
        <f>IF(BA346="","",IFERROR(INDEX(wClass,277)&amp;"",""))</f>
        <v/>
      </c>
      <c r="BD346" t="str">
        <f>IF(BA346="","",IFERROR(INDEX(wKsBand,277)+0,""))</f>
        <v/>
      </c>
      <c r="BE346" t="str">
        <f>IF(BA346="","",IFERROR(INDEX(wTests,277)+0,0))</f>
        <v/>
      </c>
      <c r="BF346" t="str">
        <f>IF(BA346="","",IFERROR(INDEX(wMean,277)+0,""))</f>
        <v/>
      </c>
      <c r="BG346" t="str">
        <f>IF(BA346="","",IFERROR(INDEX(wVs,277)+0,""))</f>
        <v/>
      </c>
      <c r="BH346" t="str">
        <f>IF(OR(BA346="",wLatest=""),"",IFERROR(INDEX(wData,277,MATCH(wLatest&amp;CHAR(10)&amp;"Stanine",wHdr,0))+0,""))</f>
        <v/>
      </c>
      <c r="BI346" t="str">
        <f>IF(BA346="","",IF(AND(ISNUMBER(BG346),N(BE346)&gt;=WlMinTests,BG346&lt;=-WlGap),"Below expected for KS2",IF(AND(NOT(ISNUMBER(BD346)),ISNUMBER(BF346),N(BE346)&gt;=WlMinTests,BF346&lt;=WlLowMean),"Low results, no KS2 data","")))</f>
        <v/>
      </c>
      <c r="BJ346" t="str">
        <f>IF(BI346="","",IF(BI346="Below expected for KS2",BG346,100+BF346)+ROW()/1000000)</f>
        <v/>
      </c>
    </row>
    <row r="347">
      <c r="H347" t="str">
        <f>IFERROR(INDEX(tblY7[Class],ROWS(H$10:H347))&amp;"","")</f>
        <v/>
      </c>
      <c r="I347" t="str">
        <f>IF(H347="","",IF(COUNTIF(H$10:H347,H347)=1,COUNTIF(H$10:H$609,"&lt;"&amp;H347)+1,""))</f>
        <v/>
      </c>
      <c r="J347" t="str">
        <f>IFERROR(INDEX(tblY8[Class],ROWS(J$10:J347))&amp;"","")</f>
        <v/>
      </c>
      <c r="K347" t="str">
        <f>IF(J347="","",IF(COUNTIF(J$10:J347,J347)=1,COUNTIF(J$10:J$609,"&lt;"&amp;J347)+1,""))</f>
        <v/>
      </c>
      <c r="L347" t="str">
        <f>IFERROR(INDEX(tblY9[Class],ROWS(L$10:L347))&amp;"","")</f>
        <v/>
      </c>
      <c r="M347" t="str">
        <f>IF(L347="","",IF(COUNTIF(L$10:L347,L347)=1,COUNTIF(L$10:L$609,"&lt;"&amp;L347)+1,""))</f>
        <v/>
      </c>
      <c r="N347" t="str">
        <f>IFERROR(INDEX(tblY10[Class],ROWS(N$10:N347))&amp;"","")</f>
        <v/>
      </c>
      <c r="O347" t="str">
        <f>IF(N347="","",IF(COUNTIF(N$10:N347,N347)=1,COUNTIF(N$10:N$609,"&lt;"&amp;N347)+1,""))</f>
        <v/>
      </c>
      <c r="P347" t="str">
        <f>IFERROR(INDEX(tblY11[Class],ROWS(P$10:P347))&amp;"","")</f>
        <v/>
      </c>
      <c r="Q347" t="str">
        <f>IF(P347="","",IF(COUNTIF(P$10:P347,P347)=1,COUNTIF(P$10:P$609,"&lt;"&amp;P347)+1,""))</f>
        <v/>
      </c>
      <c r="BA347" t="str">
        <f>IFERROR(INDEX(wLast,278)&amp;"","")</f>
        <v/>
      </c>
      <c r="BB347" t="str">
        <f>IF(BA347="","",IFERROR(INDEX(wFirst,278)&amp;"",""))</f>
        <v/>
      </c>
      <c r="BC347" t="str">
        <f>IF(BA347="","",IFERROR(INDEX(wClass,278)&amp;"",""))</f>
        <v/>
      </c>
      <c r="BD347" t="str">
        <f>IF(BA347="","",IFERROR(INDEX(wKsBand,278)+0,""))</f>
        <v/>
      </c>
      <c r="BE347" t="str">
        <f>IF(BA347="","",IFERROR(INDEX(wTests,278)+0,0))</f>
        <v/>
      </c>
      <c r="BF347" t="str">
        <f>IF(BA347="","",IFERROR(INDEX(wMean,278)+0,""))</f>
        <v/>
      </c>
      <c r="BG347" t="str">
        <f>IF(BA347="","",IFERROR(INDEX(wVs,278)+0,""))</f>
        <v/>
      </c>
      <c r="BH347" t="str">
        <f>IF(OR(BA347="",wLatest=""),"",IFERROR(INDEX(wData,278,MATCH(wLatest&amp;CHAR(10)&amp;"Stanine",wHdr,0))+0,""))</f>
        <v/>
      </c>
      <c r="BI347" t="str">
        <f>IF(BA347="","",IF(AND(ISNUMBER(BG347),N(BE347)&gt;=WlMinTests,BG347&lt;=-WlGap),"Below expected for KS2",IF(AND(NOT(ISNUMBER(BD347)),ISNUMBER(BF347),N(BE347)&gt;=WlMinTests,BF347&lt;=WlLowMean),"Low results, no KS2 data","")))</f>
        <v/>
      </c>
      <c r="BJ347" t="str">
        <f>IF(BI347="","",IF(BI347="Below expected for KS2",BG347,100+BF347)+ROW()/1000000)</f>
        <v/>
      </c>
    </row>
    <row r="348">
      <c r="H348" t="str">
        <f>IFERROR(INDEX(tblY7[Class],ROWS(H$10:H348))&amp;"","")</f>
        <v/>
      </c>
      <c r="I348" t="str">
        <f>IF(H348="","",IF(COUNTIF(H$10:H348,H348)=1,COUNTIF(H$10:H$609,"&lt;"&amp;H348)+1,""))</f>
        <v/>
      </c>
      <c r="J348" t="str">
        <f>IFERROR(INDEX(tblY8[Class],ROWS(J$10:J348))&amp;"","")</f>
        <v/>
      </c>
      <c r="K348" t="str">
        <f>IF(J348="","",IF(COUNTIF(J$10:J348,J348)=1,COUNTIF(J$10:J$609,"&lt;"&amp;J348)+1,""))</f>
        <v/>
      </c>
      <c r="L348" t="str">
        <f>IFERROR(INDEX(tblY9[Class],ROWS(L$10:L348))&amp;"","")</f>
        <v/>
      </c>
      <c r="M348" t="str">
        <f>IF(L348="","",IF(COUNTIF(L$10:L348,L348)=1,COUNTIF(L$10:L$609,"&lt;"&amp;L348)+1,""))</f>
        <v/>
      </c>
      <c r="N348" t="str">
        <f>IFERROR(INDEX(tblY10[Class],ROWS(N$10:N348))&amp;"","")</f>
        <v/>
      </c>
      <c r="O348" t="str">
        <f>IF(N348="","",IF(COUNTIF(N$10:N348,N348)=1,COUNTIF(N$10:N$609,"&lt;"&amp;N348)+1,""))</f>
        <v/>
      </c>
      <c r="P348" t="str">
        <f>IFERROR(INDEX(tblY11[Class],ROWS(P$10:P348))&amp;"","")</f>
        <v/>
      </c>
      <c r="Q348" t="str">
        <f>IF(P348="","",IF(COUNTIF(P$10:P348,P348)=1,COUNTIF(P$10:P$609,"&lt;"&amp;P348)+1,""))</f>
        <v/>
      </c>
      <c r="BA348" t="str">
        <f>IFERROR(INDEX(wLast,279)&amp;"","")</f>
        <v/>
      </c>
      <c r="BB348" t="str">
        <f>IF(BA348="","",IFERROR(INDEX(wFirst,279)&amp;"",""))</f>
        <v/>
      </c>
      <c r="BC348" t="str">
        <f>IF(BA348="","",IFERROR(INDEX(wClass,279)&amp;"",""))</f>
        <v/>
      </c>
      <c r="BD348" t="str">
        <f>IF(BA348="","",IFERROR(INDEX(wKsBand,279)+0,""))</f>
        <v/>
      </c>
      <c r="BE348" t="str">
        <f>IF(BA348="","",IFERROR(INDEX(wTests,279)+0,0))</f>
        <v/>
      </c>
      <c r="BF348" t="str">
        <f>IF(BA348="","",IFERROR(INDEX(wMean,279)+0,""))</f>
        <v/>
      </c>
      <c r="BG348" t="str">
        <f>IF(BA348="","",IFERROR(INDEX(wVs,279)+0,""))</f>
        <v/>
      </c>
      <c r="BH348" t="str">
        <f>IF(OR(BA348="",wLatest=""),"",IFERROR(INDEX(wData,279,MATCH(wLatest&amp;CHAR(10)&amp;"Stanine",wHdr,0))+0,""))</f>
        <v/>
      </c>
      <c r="BI348" t="str">
        <f>IF(BA348="","",IF(AND(ISNUMBER(BG348),N(BE348)&gt;=WlMinTests,BG348&lt;=-WlGap),"Below expected for KS2",IF(AND(NOT(ISNUMBER(BD348)),ISNUMBER(BF348),N(BE348)&gt;=WlMinTests,BF348&lt;=WlLowMean),"Low results, no KS2 data","")))</f>
        <v/>
      </c>
      <c r="BJ348" t="str">
        <f>IF(BI348="","",IF(BI348="Below expected for KS2",BG348,100+BF348)+ROW()/1000000)</f>
        <v/>
      </c>
    </row>
    <row r="349">
      <c r="H349" t="str">
        <f>IFERROR(INDEX(tblY7[Class],ROWS(H$10:H349))&amp;"","")</f>
        <v/>
      </c>
      <c r="I349" t="str">
        <f>IF(H349="","",IF(COUNTIF(H$10:H349,H349)=1,COUNTIF(H$10:H$609,"&lt;"&amp;H349)+1,""))</f>
        <v/>
      </c>
      <c r="J349" t="str">
        <f>IFERROR(INDEX(tblY8[Class],ROWS(J$10:J349))&amp;"","")</f>
        <v/>
      </c>
      <c r="K349" t="str">
        <f>IF(J349="","",IF(COUNTIF(J$10:J349,J349)=1,COUNTIF(J$10:J$609,"&lt;"&amp;J349)+1,""))</f>
        <v/>
      </c>
      <c r="L349" t="str">
        <f>IFERROR(INDEX(tblY9[Class],ROWS(L$10:L349))&amp;"","")</f>
        <v/>
      </c>
      <c r="M349" t="str">
        <f>IF(L349="","",IF(COUNTIF(L$10:L349,L349)=1,COUNTIF(L$10:L$609,"&lt;"&amp;L349)+1,""))</f>
        <v/>
      </c>
      <c r="N349" t="str">
        <f>IFERROR(INDEX(tblY10[Class],ROWS(N$10:N349))&amp;"","")</f>
        <v/>
      </c>
      <c r="O349" t="str">
        <f>IF(N349="","",IF(COUNTIF(N$10:N349,N349)=1,COUNTIF(N$10:N$609,"&lt;"&amp;N349)+1,""))</f>
        <v/>
      </c>
      <c r="P349" t="str">
        <f>IFERROR(INDEX(tblY11[Class],ROWS(P$10:P349))&amp;"","")</f>
        <v/>
      </c>
      <c r="Q349" t="str">
        <f>IF(P349="","",IF(COUNTIF(P$10:P349,P349)=1,COUNTIF(P$10:P$609,"&lt;"&amp;P349)+1,""))</f>
        <v/>
      </c>
      <c r="BA349" t="str">
        <f>IFERROR(INDEX(wLast,280)&amp;"","")</f>
        <v/>
      </c>
      <c r="BB349" t="str">
        <f>IF(BA349="","",IFERROR(INDEX(wFirst,280)&amp;"",""))</f>
        <v/>
      </c>
      <c r="BC349" t="str">
        <f>IF(BA349="","",IFERROR(INDEX(wClass,280)&amp;"",""))</f>
        <v/>
      </c>
      <c r="BD349" t="str">
        <f>IF(BA349="","",IFERROR(INDEX(wKsBand,280)+0,""))</f>
        <v/>
      </c>
      <c r="BE349" t="str">
        <f>IF(BA349="","",IFERROR(INDEX(wTests,280)+0,0))</f>
        <v/>
      </c>
      <c r="BF349" t="str">
        <f>IF(BA349="","",IFERROR(INDEX(wMean,280)+0,""))</f>
        <v/>
      </c>
      <c r="BG349" t="str">
        <f>IF(BA349="","",IFERROR(INDEX(wVs,280)+0,""))</f>
        <v/>
      </c>
      <c r="BH349" t="str">
        <f>IF(OR(BA349="",wLatest=""),"",IFERROR(INDEX(wData,280,MATCH(wLatest&amp;CHAR(10)&amp;"Stanine",wHdr,0))+0,""))</f>
        <v/>
      </c>
      <c r="BI349" t="str">
        <f>IF(BA349="","",IF(AND(ISNUMBER(BG349),N(BE349)&gt;=WlMinTests,BG349&lt;=-WlGap),"Below expected for KS2",IF(AND(NOT(ISNUMBER(BD349)),ISNUMBER(BF349),N(BE349)&gt;=WlMinTests,BF349&lt;=WlLowMean),"Low results, no KS2 data","")))</f>
        <v/>
      </c>
      <c r="BJ349" t="str">
        <f>IF(BI349="","",IF(BI349="Below expected for KS2",BG349,100+BF349)+ROW()/1000000)</f>
        <v/>
      </c>
    </row>
    <row r="350">
      <c r="H350" t="str">
        <f>IFERROR(INDEX(tblY7[Class],ROWS(H$10:H350))&amp;"","")</f>
        <v/>
      </c>
      <c r="I350" t="str">
        <f>IF(H350="","",IF(COUNTIF(H$10:H350,H350)=1,COUNTIF(H$10:H$609,"&lt;"&amp;H350)+1,""))</f>
        <v/>
      </c>
      <c r="J350" t="str">
        <f>IFERROR(INDEX(tblY8[Class],ROWS(J$10:J350))&amp;"","")</f>
        <v/>
      </c>
      <c r="K350" t="str">
        <f>IF(J350="","",IF(COUNTIF(J$10:J350,J350)=1,COUNTIF(J$10:J$609,"&lt;"&amp;J350)+1,""))</f>
        <v/>
      </c>
      <c r="L350" t="str">
        <f>IFERROR(INDEX(tblY9[Class],ROWS(L$10:L350))&amp;"","")</f>
        <v/>
      </c>
      <c r="M350" t="str">
        <f>IF(L350="","",IF(COUNTIF(L$10:L350,L350)=1,COUNTIF(L$10:L$609,"&lt;"&amp;L350)+1,""))</f>
        <v/>
      </c>
      <c r="N350" t="str">
        <f>IFERROR(INDEX(tblY10[Class],ROWS(N$10:N350))&amp;"","")</f>
        <v/>
      </c>
      <c r="O350" t="str">
        <f>IF(N350="","",IF(COUNTIF(N$10:N350,N350)=1,COUNTIF(N$10:N$609,"&lt;"&amp;N350)+1,""))</f>
        <v/>
      </c>
      <c r="P350" t="str">
        <f>IFERROR(INDEX(tblY11[Class],ROWS(P$10:P350))&amp;"","")</f>
        <v/>
      </c>
      <c r="Q350" t="str">
        <f>IF(P350="","",IF(COUNTIF(P$10:P350,P350)=1,COUNTIF(P$10:P$609,"&lt;"&amp;P350)+1,""))</f>
        <v/>
      </c>
      <c r="BA350" t="str">
        <f>IFERROR(INDEX(wLast,281)&amp;"","")</f>
        <v/>
      </c>
      <c r="BB350" t="str">
        <f>IF(BA350="","",IFERROR(INDEX(wFirst,281)&amp;"",""))</f>
        <v/>
      </c>
      <c r="BC350" t="str">
        <f>IF(BA350="","",IFERROR(INDEX(wClass,281)&amp;"",""))</f>
        <v/>
      </c>
      <c r="BD350" t="str">
        <f>IF(BA350="","",IFERROR(INDEX(wKsBand,281)+0,""))</f>
        <v/>
      </c>
      <c r="BE350" t="str">
        <f>IF(BA350="","",IFERROR(INDEX(wTests,281)+0,0))</f>
        <v/>
      </c>
      <c r="BF350" t="str">
        <f>IF(BA350="","",IFERROR(INDEX(wMean,281)+0,""))</f>
        <v/>
      </c>
      <c r="BG350" t="str">
        <f>IF(BA350="","",IFERROR(INDEX(wVs,281)+0,""))</f>
        <v/>
      </c>
      <c r="BH350" t="str">
        <f>IF(OR(BA350="",wLatest=""),"",IFERROR(INDEX(wData,281,MATCH(wLatest&amp;CHAR(10)&amp;"Stanine",wHdr,0))+0,""))</f>
        <v/>
      </c>
      <c r="BI350" t="str">
        <f>IF(BA350="","",IF(AND(ISNUMBER(BG350),N(BE350)&gt;=WlMinTests,BG350&lt;=-WlGap),"Below expected for KS2",IF(AND(NOT(ISNUMBER(BD350)),ISNUMBER(BF350),N(BE350)&gt;=WlMinTests,BF350&lt;=WlLowMean),"Low results, no KS2 data","")))</f>
        <v/>
      </c>
      <c r="BJ350" t="str">
        <f>IF(BI350="","",IF(BI350="Below expected for KS2",BG350,100+BF350)+ROW()/1000000)</f>
        <v/>
      </c>
    </row>
    <row r="351">
      <c r="H351" t="str">
        <f>IFERROR(INDEX(tblY7[Class],ROWS(H$10:H351))&amp;"","")</f>
        <v/>
      </c>
      <c r="I351" t="str">
        <f>IF(H351="","",IF(COUNTIF(H$10:H351,H351)=1,COUNTIF(H$10:H$609,"&lt;"&amp;H351)+1,""))</f>
        <v/>
      </c>
      <c r="J351" t="str">
        <f>IFERROR(INDEX(tblY8[Class],ROWS(J$10:J351))&amp;"","")</f>
        <v/>
      </c>
      <c r="K351" t="str">
        <f>IF(J351="","",IF(COUNTIF(J$10:J351,J351)=1,COUNTIF(J$10:J$609,"&lt;"&amp;J351)+1,""))</f>
        <v/>
      </c>
      <c r="L351" t="str">
        <f>IFERROR(INDEX(tblY9[Class],ROWS(L$10:L351))&amp;"","")</f>
        <v/>
      </c>
      <c r="M351" t="str">
        <f>IF(L351="","",IF(COUNTIF(L$10:L351,L351)=1,COUNTIF(L$10:L$609,"&lt;"&amp;L351)+1,""))</f>
        <v/>
      </c>
      <c r="N351" t="str">
        <f>IFERROR(INDEX(tblY10[Class],ROWS(N$10:N351))&amp;"","")</f>
        <v/>
      </c>
      <c r="O351" t="str">
        <f>IF(N351="","",IF(COUNTIF(N$10:N351,N351)=1,COUNTIF(N$10:N$609,"&lt;"&amp;N351)+1,""))</f>
        <v/>
      </c>
      <c r="P351" t="str">
        <f>IFERROR(INDEX(tblY11[Class],ROWS(P$10:P351))&amp;"","")</f>
        <v/>
      </c>
      <c r="Q351" t="str">
        <f>IF(P351="","",IF(COUNTIF(P$10:P351,P351)=1,COUNTIF(P$10:P$609,"&lt;"&amp;P351)+1,""))</f>
        <v/>
      </c>
      <c r="BA351" t="str">
        <f>IFERROR(INDEX(wLast,282)&amp;"","")</f>
        <v/>
      </c>
      <c r="BB351" t="str">
        <f>IF(BA351="","",IFERROR(INDEX(wFirst,282)&amp;"",""))</f>
        <v/>
      </c>
      <c r="BC351" t="str">
        <f>IF(BA351="","",IFERROR(INDEX(wClass,282)&amp;"",""))</f>
        <v/>
      </c>
      <c r="BD351" t="str">
        <f>IF(BA351="","",IFERROR(INDEX(wKsBand,282)+0,""))</f>
        <v/>
      </c>
      <c r="BE351" t="str">
        <f>IF(BA351="","",IFERROR(INDEX(wTests,282)+0,0))</f>
        <v/>
      </c>
      <c r="BF351" t="str">
        <f>IF(BA351="","",IFERROR(INDEX(wMean,282)+0,""))</f>
        <v/>
      </c>
      <c r="BG351" t="str">
        <f>IF(BA351="","",IFERROR(INDEX(wVs,282)+0,""))</f>
        <v/>
      </c>
      <c r="BH351" t="str">
        <f>IF(OR(BA351="",wLatest=""),"",IFERROR(INDEX(wData,282,MATCH(wLatest&amp;CHAR(10)&amp;"Stanine",wHdr,0))+0,""))</f>
        <v/>
      </c>
      <c r="BI351" t="str">
        <f>IF(BA351="","",IF(AND(ISNUMBER(BG351),N(BE351)&gt;=WlMinTests,BG351&lt;=-WlGap),"Below expected for KS2",IF(AND(NOT(ISNUMBER(BD351)),ISNUMBER(BF351),N(BE351)&gt;=WlMinTests,BF351&lt;=WlLowMean),"Low results, no KS2 data","")))</f>
        <v/>
      </c>
      <c r="BJ351" t="str">
        <f>IF(BI351="","",IF(BI351="Below expected for KS2",BG351,100+BF351)+ROW()/1000000)</f>
        <v/>
      </c>
    </row>
    <row r="352">
      <c r="H352" t="str">
        <f>IFERROR(INDEX(tblY7[Class],ROWS(H$10:H352))&amp;"","")</f>
        <v/>
      </c>
      <c r="I352" t="str">
        <f>IF(H352="","",IF(COUNTIF(H$10:H352,H352)=1,COUNTIF(H$10:H$609,"&lt;"&amp;H352)+1,""))</f>
        <v/>
      </c>
      <c r="J352" t="str">
        <f>IFERROR(INDEX(tblY8[Class],ROWS(J$10:J352))&amp;"","")</f>
        <v/>
      </c>
      <c r="K352" t="str">
        <f>IF(J352="","",IF(COUNTIF(J$10:J352,J352)=1,COUNTIF(J$10:J$609,"&lt;"&amp;J352)+1,""))</f>
        <v/>
      </c>
      <c r="L352" t="str">
        <f>IFERROR(INDEX(tblY9[Class],ROWS(L$10:L352))&amp;"","")</f>
        <v/>
      </c>
      <c r="M352" t="str">
        <f>IF(L352="","",IF(COUNTIF(L$10:L352,L352)=1,COUNTIF(L$10:L$609,"&lt;"&amp;L352)+1,""))</f>
        <v/>
      </c>
      <c r="N352" t="str">
        <f>IFERROR(INDEX(tblY10[Class],ROWS(N$10:N352))&amp;"","")</f>
        <v/>
      </c>
      <c r="O352" t="str">
        <f>IF(N352="","",IF(COUNTIF(N$10:N352,N352)=1,COUNTIF(N$10:N$609,"&lt;"&amp;N352)+1,""))</f>
        <v/>
      </c>
      <c r="P352" t="str">
        <f>IFERROR(INDEX(tblY11[Class],ROWS(P$10:P352))&amp;"","")</f>
        <v/>
      </c>
      <c r="Q352" t="str">
        <f>IF(P352="","",IF(COUNTIF(P$10:P352,P352)=1,COUNTIF(P$10:P$609,"&lt;"&amp;P352)+1,""))</f>
        <v/>
      </c>
      <c r="BA352" t="str">
        <f>IFERROR(INDEX(wLast,283)&amp;"","")</f>
        <v/>
      </c>
      <c r="BB352" t="str">
        <f>IF(BA352="","",IFERROR(INDEX(wFirst,283)&amp;"",""))</f>
        <v/>
      </c>
      <c r="BC352" t="str">
        <f>IF(BA352="","",IFERROR(INDEX(wClass,283)&amp;"",""))</f>
        <v/>
      </c>
      <c r="BD352" t="str">
        <f>IF(BA352="","",IFERROR(INDEX(wKsBand,283)+0,""))</f>
        <v/>
      </c>
      <c r="BE352" t="str">
        <f>IF(BA352="","",IFERROR(INDEX(wTests,283)+0,0))</f>
        <v/>
      </c>
      <c r="BF352" t="str">
        <f>IF(BA352="","",IFERROR(INDEX(wMean,283)+0,""))</f>
        <v/>
      </c>
      <c r="BG352" t="str">
        <f>IF(BA352="","",IFERROR(INDEX(wVs,283)+0,""))</f>
        <v/>
      </c>
      <c r="BH352" t="str">
        <f>IF(OR(BA352="",wLatest=""),"",IFERROR(INDEX(wData,283,MATCH(wLatest&amp;CHAR(10)&amp;"Stanine",wHdr,0))+0,""))</f>
        <v/>
      </c>
      <c r="BI352" t="str">
        <f>IF(BA352="","",IF(AND(ISNUMBER(BG352),N(BE352)&gt;=WlMinTests,BG352&lt;=-WlGap),"Below expected for KS2",IF(AND(NOT(ISNUMBER(BD352)),ISNUMBER(BF352),N(BE352)&gt;=WlMinTests,BF352&lt;=WlLowMean),"Low results, no KS2 data","")))</f>
        <v/>
      </c>
      <c r="BJ352" t="str">
        <f>IF(BI352="","",IF(BI352="Below expected for KS2",BG352,100+BF352)+ROW()/1000000)</f>
        <v/>
      </c>
    </row>
    <row r="353">
      <c r="H353" t="str">
        <f>IFERROR(INDEX(tblY7[Class],ROWS(H$10:H353))&amp;"","")</f>
        <v/>
      </c>
      <c r="I353" t="str">
        <f>IF(H353="","",IF(COUNTIF(H$10:H353,H353)=1,COUNTIF(H$10:H$609,"&lt;"&amp;H353)+1,""))</f>
        <v/>
      </c>
      <c r="J353" t="str">
        <f>IFERROR(INDEX(tblY8[Class],ROWS(J$10:J353))&amp;"","")</f>
        <v/>
      </c>
      <c r="K353" t="str">
        <f>IF(J353="","",IF(COUNTIF(J$10:J353,J353)=1,COUNTIF(J$10:J$609,"&lt;"&amp;J353)+1,""))</f>
        <v/>
      </c>
      <c r="L353" t="str">
        <f>IFERROR(INDEX(tblY9[Class],ROWS(L$10:L353))&amp;"","")</f>
        <v/>
      </c>
      <c r="M353" t="str">
        <f>IF(L353="","",IF(COUNTIF(L$10:L353,L353)=1,COUNTIF(L$10:L$609,"&lt;"&amp;L353)+1,""))</f>
        <v/>
      </c>
      <c r="N353" t="str">
        <f>IFERROR(INDEX(tblY10[Class],ROWS(N$10:N353))&amp;"","")</f>
        <v/>
      </c>
      <c r="O353" t="str">
        <f>IF(N353="","",IF(COUNTIF(N$10:N353,N353)=1,COUNTIF(N$10:N$609,"&lt;"&amp;N353)+1,""))</f>
        <v/>
      </c>
      <c r="P353" t="str">
        <f>IFERROR(INDEX(tblY11[Class],ROWS(P$10:P353))&amp;"","")</f>
        <v/>
      </c>
      <c r="Q353" t="str">
        <f>IF(P353="","",IF(COUNTIF(P$10:P353,P353)=1,COUNTIF(P$10:P$609,"&lt;"&amp;P353)+1,""))</f>
        <v/>
      </c>
      <c r="BA353" t="str">
        <f>IFERROR(INDEX(wLast,284)&amp;"","")</f>
        <v/>
      </c>
      <c r="BB353" t="str">
        <f>IF(BA353="","",IFERROR(INDEX(wFirst,284)&amp;"",""))</f>
        <v/>
      </c>
      <c r="BC353" t="str">
        <f>IF(BA353="","",IFERROR(INDEX(wClass,284)&amp;"",""))</f>
        <v/>
      </c>
      <c r="BD353" t="str">
        <f>IF(BA353="","",IFERROR(INDEX(wKsBand,284)+0,""))</f>
        <v/>
      </c>
      <c r="BE353" t="str">
        <f>IF(BA353="","",IFERROR(INDEX(wTests,284)+0,0))</f>
        <v/>
      </c>
      <c r="BF353" t="str">
        <f>IF(BA353="","",IFERROR(INDEX(wMean,284)+0,""))</f>
        <v/>
      </c>
      <c r="BG353" t="str">
        <f>IF(BA353="","",IFERROR(INDEX(wVs,284)+0,""))</f>
        <v/>
      </c>
      <c r="BH353" t="str">
        <f>IF(OR(BA353="",wLatest=""),"",IFERROR(INDEX(wData,284,MATCH(wLatest&amp;CHAR(10)&amp;"Stanine",wHdr,0))+0,""))</f>
        <v/>
      </c>
      <c r="BI353" t="str">
        <f>IF(BA353="","",IF(AND(ISNUMBER(BG353),N(BE353)&gt;=WlMinTests,BG353&lt;=-WlGap),"Below expected for KS2",IF(AND(NOT(ISNUMBER(BD353)),ISNUMBER(BF353),N(BE353)&gt;=WlMinTests,BF353&lt;=WlLowMean),"Low results, no KS2 data","")))</f>
        <v/>
      </c>
      <c r="BJ353" t="str">
        <f>IF(BI353="","",IF(BI353="Below expected for KS2",BG353,100+BF353)+ROW()/1000000)</f>
        <v/>
      </c>
    </row>
    <row r="354">
      <c r="H354" t="str">
        <f>IFERROR(INDEX(tblY7[Class],ROWS(H$10:H354))&amp;"","")</f>
        <v/>
      </c>
      <c r="I354" t="str">
        <f>IF(H354="","",IF(COUNTIF(H$10:H354,H354)=1,COUNTIF(H$10:H$609,"&lt;"&amp;H354)+1,""))</f>
        <v/>
      </c>
      <c r="J354" t="str">
        <f>IFERROR(INDEX(tblY8[Class],ROWS(J$10:J354))&amp;"","")</f>
        <v/>
      </c>
      <c r="K354" t="str">
        <f>IF(J354="","",IF(COUNTIF(J$10:J354,J354)=1,COUNTIF(J$10:J$609,"&lt;"&amp;J354)+1,""))</f>
        <v/>
      </c>
      <c r="L354" t="str">
        <f>IFERROR(INDEX(tblY9[Class],ROWS(L$10:L354))&amp;"","")</f>
        <v/>
      </c>
      <c r="M354" t="str">
        <f>IF(L354="","",IF(COUNTIF(L$10:L354,L354)=1,COUNTIF(L$10:L$609,"&lt;"&amp;L354)+1,""))</f>
        <v/>
      </c>
      <c r="N354" t="str">
        <f>IFERROR(INDEX(tblY10[Class],ROWS(N$10:N354))&amp;"","")</f>
        <v/>
      </c>
      <c r="O354" t="str">
        <f>IF(N354="","",IF(COUNTIF(N$10:N354,N354)=1,COUNTIF(N$10:N$609,"&lt;"&amp;N354)+1,""))</f>
        <v/>
      </c>
      <c r="P354" t="str">
        <f>IFERROR(INDEX(tblY11[Class],ROWS(P$10:P354))&amp;"","")</f>
        <v/>
      </c>
      <c r="Q354" t="str">
        <f>IF(P354="","",IF(COUNTIF(P$10:P354,P354)=1,COUNTIF(P$10:P$609,"&lt;"&amp;P354)+1,""))</f>
        <v/>
      </c>
      <c r="BA354" t="str">
        <f>IFERROR(INDEX(wLast,285)&amp;"","")</f>
        <v/>
      </c>
      <c r="BB354" t="str">
        <f>IF(BA354="","",IFERROR(INDEX(wFirst,285)&amp;"",""))</f>
        <v/>
      </c>
      <c r="BC354" t="str">
        <f>IF(BA354="","",IFERROR(INDEX(wClass,285)&amp;"",""))</f>
        <v/>
      </c>
      <c r="BD354" t="str">
        <f>IF(BA354="","",IFERROR(INDEX(wKsBand,285)+0,""))</f>
        <v/>
      </c>
      <c r="BE354" t="str">
        <f>IF(BA354="","",IFERROR(INDEX(wTests,285)+0,0))</f>
        <v/>
      </c>
      <c r="BF354" t="str">
        <f>IF(BA354="","",IFERROR(INDEX(wMean,285)+0,""))</f>
        <v/>
      </c>
      <c r="BG354" t="str">
        <f>IF(BA354="","",IFERROR(INDEX(wVs,285)+0,""))</f>
        <v/>
      </c>
      <c r="BH354" t="str">
        <f>IF(OR(BA354="",wLatest=""),"",IFERROR(INDEX(wData,285,MATCH(wLatest&amp;CHAR(10)&amp;"Stanine",wHdr,0))+0,""))</f>
        <v/>
      </c>
      <c r="BI354" t="str">
        <f>IF(BA354="","",IF(AND(ISNUMBER(BG354),N(BE354)&gt;=WlMinTests,BG354&lt;=-WlGap),"Below expected for KS2",IF(AND(NOT(ISNUMBER(BD354)),ISNUMBER(BF354),N(BE354)&gt;=WlMinTests,BF354&lt;=WlLowMean),"Low results, no KS2 data","")))</f>
        <v/>
      </c>
      <c r="BJ354" t="str">
        <f>IF(BI354="","",IF(BI354="Below expected for KS2",BG354,100+BF354)+ROW()/1000000)</f>
        <v/>
      </c>
    </row>
    <row r="355">
      <c r="H355" t="str">
        <f>IFERROR(INDEX(tblY7[Class],ROWS(H$10:H355))&amp;"","")</f>
        <v/>
      </c>
      <c r="I355" t="str">
        <f>IF(H355="","",IF(COUNTIF(H$10:H355,H355)=1,COUNTIF(H$10:H$609,"&lt;"&amp;H355)+1,""))</f>
        <v/>
      </c>
      <c r="J355" t="str">
        <f>IFERROR(INDEX(tblY8[Class],ROWS(J$10:J355))&amp;"","")</f>
        <v/>
      </c>
      <c r="K355" t="str">
        <f>IF(J355="","",IF(COUNTIF(J$10:J355,J355)=1,COUNTIF(J$10:J$609,"&lt;"&amp;J355)+1,""))</f>
        <v/>
      </c>
      <c r="L355" t="str">
        <f>IFERROR(INDEX(tblY9[Class],ROWS(L$10:L355))&amp;"","")</f>
        <v/>
      </c>
      <c r="M355" t="str">
        <f>IF(L355="","",IF(COUNTIF(L$10:L355,L355)=1,COUNTIF(L$10:L$609,"&lt;"&amp;L355)+1,""))</f>
        <v/>
      </c>
      <c r="N355" t="str">
        <f>IFERROR(INDEX(tblY10[Class],ROWS(N$10:N355))&amp;"","")</f>
        <v/>
      </c>
      <c r="O355" t="str">
        <f>IF(N355="","",IF(COUNTIF(N$10:N355,N355)=1,COUNTIF(N$10:N$609,"&lt;"&amp;N355)+1,""))</f>
        <v/>
      </c>
      <c r="P355" t="str">
        <f>IFERROR(INDEX(tblY11[Class],ROWS(P$10:P355))&amp;"","")</f>
        <v/>
      </c>
      <c r="Q355" t="str">
        <f>IF(P355="","",IF(COUNTIF(P$10:P355,P355)=1,COUNTIF(P$10:P$609,"&lt;"&amp;P355)+1,""))</f>
        <v/>
      </c>
      <c r="BA355" t="str">
        <f>IFERROR(INDEX(wLast,286)&amp;"","")</f>
        <v/>
      </c>
      <c r="BB355" t="str">
        <f>IF(BA355="","",IFERROR(INDEX(wFirst,286)&amp;"",""))</f>
        <v/>
      </c>
      <c r="BC355" t="str">
        <f>IF(BA355="","",IFERROR(INDEX(wClass,286)&amp;"",""))</f>
        <v/>
      </c>
      <c r="BD355" t="str">
        <f>IF(BA355="","",IFERROR(INDEX(wKsBand,286)+0,""))</f>
        <v/>
      </c>
      <c r="BE355" t="str">
        <f>IF(BA355="","",IFERROR(INDEX(wTests,286)+0,0))</f>
        <v/>
      </c>
      <c r="BF355" t="str">
        <f>IF(BA355="","",IFERROR(INDEX(wMean,286)+0,""))</f>
        <v/>
      </c>
      <c r="BG355" t="str">
        <f>IF(BA355="","",IFERROR(INDEX(wVs,286)+0,""))</f>
        <v/>
      </c>
      <c r="BH355" t="str">
        <f>IF(OR(BA355="",wLatest=""),"",IFERROR(INDEX(wData,286,MATCH(wLatest&amp;CHAR(10)&amp;"Stanine",wHdr,0))+0,""))</f>
        <v/>
      </c>
      <c r="BI355" t="str">
        <f>IF(BA355="","",IF(AND(ISNUMBER(BG355),N(BE355)&gt;=WlMinTests,BG355&lt;=-WlGap),"Below expected for KS2",IF(AND(NOT(ISNUMBER(BD355)),ISNUMBER(BF355),N(BE355)&gt;=WlMinTests,BF355&lt;=WlLowMean),"Low results, no KS2 data","")))</f>
        <v/>
      </c>
      <c r="BJ355" t="str">
        <f>IF(BI355="","",IF(BI355="Below expected for KS2",BG355,100+BF355)+ROW()/1000000)</f>
        <v/>
      </c>
    </row>
    <row r="356">
      <c r="H356" t="str">
        <f>IFERROR(INDEX(tblY7[Class],ROWS(H$10:H356))&amp;"","")</f>
        <v/>
      </c>
      <c r="I356" t="str">
        <f>IF(H356="","",IF(COUNTIF(H$10:H356,H356)=1,COUNTIF(H$10:H$609,"&lt;"&amp;H356)+1,""))</f>
        <v/>
      </c>
      <c r="J356" t="str">
        <f>IFERROR(INDEX(tblY8[Class],ROWS(J$10:J356))&amp;"","")</f>
        <v/>
      </c>
      <c r="K356" t="str">
        <f>IF(J356="","",IF(COUNTIF(J$10:J356,J356)=1,COUNTIF(J$10:J$609,"&lt;"&amp;J356)+1,""))</f>
        <v/>
      </c>
      <c r="L356" t="str">
        <f>IFERROR(INDEX(tblY9[Class],ROWS(L$10:L356))&amp;"","")</f>
        <v/>
      </c>
      <c r="M356" t="str">
        <f>IF(L356="","",IF(COUNTIF(L$10:L356,L356)=1,COUNTIF(L$10:L$609,"&lt;"&amp;L356)+1,""))</f>
        <v/>
      </c>
      <c r="N356" t="str">
        <f>IFERROR(INDEX(tblY10[Class],ROWS(N$10:N356))&amp;"","")</f>
        <v/>
      </c>
      <c r="O356" t="str">
        <f>IF(N356="","",IF(COUNTIF(N$10:N356,N356)=1,COUNTIF(N$10:N$609,"&lt;"&amp;N356)+1,""))</f>
        <v/>
      </c>
      <c r="P356" t="str">
        <f>IFERROR(INDEX(tblY11[Class],ROWS(P$10:P356))&amp;"","")</f>
        <v/>
      </c>
      <c r="Q356" t="str">
        <f>IF(P356="","",IF(COUNTIF(P$10:P356,P356)=1,COUNTIF(P$10:P$609,"&lt;"&amp;P356)+1,""))</f>
        <v/>
      </c>
      <c r="BA356" t="str">
        <f>IFERROR(INDEX(wLast,287)&amp;"","")</f>
        <v/>
      </c>
      <c r="BB356" t="str">
        <f>IF(BA356="","",IFERROR(INDEX(wFirst,287)&amp;"",""))</f>
        <v/>
      </c>
      <c r="BC356" t="str">
        <f>IF(BA356="","",IFERROR(INDEX(wClass,287)&amp;"",""))</f>
        <v/>
      </c>
      <c r="BD356" t="str">
        <f>IF(BA356="","",IFERROR(INDEX(wKsBand,287)+0,""))</f>
        <v/>
      </c>
      <c r="BE356" t="str">
        <f>IF(BA356="","",IFERROR(INDEX(wTests,287)+0,0))</f>
        <v/>
      </c>
      <c r="BF356" t="str">
        <f>IF(BA356="","",IFERROR(INDEX(wMean,287)+0,""))</f>
        <v/>
      </c>
      <c r="BG356" t="str">
        <f>IF(BA356="","",IFERROR(INDEX(wVs,287)+0,""))</f>
        <v/>
      </c>
      <c r="BH356" t="str">
        <f>IF(OR(BA356="",wLatest=""),"",IFERROR(INDEX(wData,287,MATCH(wLatest&amp;CHAR(10)&amp;"Stanine",wHdr,0))+0,""))</f>
        <v/>
      </c>
      <c r="BI356" t="str">
        <f>IF(BA356="","",IF(AND(ISNUMBER(BG356),N(BE356)&gt;=WlMinTests,BG356&lt;=-WlGap),"Below expected for KS2",IF(AND(NOT(ISNUMBER(BD356)),ISNUMBER(BF356),N(BE356)&gt;=WlMinTests,BF356&lt;=WlLowMean),"Low results, no KS2 data","")))</f>
        <v/>
      </c>
      <c r="BJ356" t="str">
        <f>IF(BI356="","",IF(BI356="Below expected for KS2",BG356,100+BF356)+ROW()/1000000)</f>
        <v/>
      </c>
    </row>
    <row r="357">
      <c r="H357" t="str">
        <f>IFERROR(INDEX(tblY7[Class],ROWS(H$10:H357))&amp;"","")</f>
        <v/>
      </c>
      <c r="I357" t="str">
        <f>IF(H357="","",IF(COUNTIF(H$10:H357,H357)=1,COUNTIF(H$10:H$609,"&lt;"&amp;H357)+1,""))</f>
        <v/>
      </c>
      <c r="J357" t="str">
        <f>IFERROR(INDEX(tblY8[Class],ROWS(J$10:J357))&amp;"","")</f>
        <v/>
      </c>
      <c r="K357" t="str">
        <f>IF(J357="","",IF(COUNTIF(J$10:J357,J357)=1,COUNTIF(J$10:J$609,"&lt;"&amp;J357)+1,""))</f>
        <v/>
      </c>
      <c r="L357" t="str">
        <f>IFERROR(INDEX(tblY9[Class],ROWS(L$10:L357))&amp;"","")</f>
        <v/>
      </c>
      <c r="M357" t="str">
        <f>IF(L357="","",IF(COUNTIF(L$10:L357,L357)=1,COUNTIF(L$10:L$609,"&lt;"&amp;L357)+1,""))</f>
        <v/>
      </c>
      <c r="N357" t="str">
        <f>IFERROR(INDEX(tblY10[Class],ROWS(N$10:N357))&amp;"","")</f>
        <v/>
      </c>
      <c r="O357" t="str">
        <f>IF(N357="","",IF(COUNTIF(N$10:N357,N357)=1,COUNTIF(N$10:N$609,"&lt;"&amp;N357)+1,""))</f>
        <v/>
      </c>
      <c r="P357" t="str">
        <f>IFERROR(INDEX(tblY11[Class],ROWS(P$10:P357))&amp;"","")</f>
        <v/>
      </c>
      <c r="Q357" t="str">
        <f>IF(P357="","",IF(COUNTIF(P$10:P357,P357)=1,COUNTIF(P$10:P$609,"&lt;"&amp;P357)+1,""))</f>
        <v/>
      </c>
      <c r="BA357" t="str">
        <f>IFERROR(INDEX(wLast,288)&amp;"","")</f>
        <v/>
      </c>
      <c r="BB357" t="str">
        <f>IF(BA357="","",IFERROR(INDEX(wFirst,288)&amp;"",""))</f>
        <v/>
      </c>
      <c r="BC357" t="str">
        <f>IF(BA357="","",IFERROR(INDEX(wClass,288)&amp;"",""))</f>
        <v/>
      </c>
      <c r="BD357" t="str">
        <f>IF(BA357="","",IFERROR(INDEX(wKsBand,288)+0,""))</f>
        <v/>
      </c>
      <c r="BE357" t="str">
        <f>IF(BA357="","",IFERROR(INDEX(wTests,288)+0,0))</f>
        <v/>
      </c>
      <c r="BF357" t="str">
        <f>IF(BA357="","",IFERROR(INDEX(wMean,288)+0,""))</f>
        <v/>
      </c>
      <c r="BG357" t="str">
        <f>IF(BA357="","",IFERROR(INDEX(wVs,288)+0,""))</f>
        <v/>
      </c>
      <c r="BH357" t="str">
        <f>IF(OR(BA357="",wLatest=""),"",IFERROR(INDEX(wData,288,MATCH(wLatest&amp;CHAR(10)&amp;"Stanine",wHdr,0))+0,""))</f>
        <v/>
      </c>
      <c r="BI357" t="str">
        <f>IF(BA357="","",IF(AND(ISNUMBER(BG357),N(BE357)&gt;=WlMinTests,BG357&lt;=-WlGap),"Below expected for KS2",IF(AND(NOT(ISNUMBER(BD357)),ISNUMBER(BF357),N(BE357)&gt;=WlMinTests,BF357&lt;=WlLowMean),"Low results, no KS2 data","")))</f>
        <v/>
      </c>
      <c r="BJ357" t="str">
        <f>IF(BI357="","",IF(BI357="Below expected for KS2",BG357,100+BF357)+ROW()/1000000)</f>
        <v/>
      </c>
    </row>
    <row r="358">
      <c r="H358" t="str">
        <f>IFERROR(INDEX(tblY7[Class],ROWS(H$10:H358))&amp;"","")</f>
        <v/>
      </c>
      <c r="I358" t="str">
        <f>IF(H358="","",IF(COUNTIF(H$10:H358,H358)=1,COUNTIF(H$10:H$609,"&lt;"&amp;H358)+1,""))</f>
        <v/>
      </c>
      <c r="J358" t="str">
        <f>IFERROR(INDEX(tblY8[Class],ROWS(J$10:J358))&amp;"","")</f>
        <v/>
      </c>
      <c r="K358" t="str">
        <f>IF(J358="","",IF(COUNTIF(J$10:J358,J358)=1,COUNTIF(J$10:J$609,"&lt;"&amp;J358)+1,""))</f>
        <v/>
      </c>
      <c r="L358" t="str">
        <f>IFERROR(INDEX(tblY9[Class],ROWS(L$10:L358))&amp;"","")</f>
        <v/>
      </c>
      <c r="M358" t="str">
        <f>IF(L358="","",IF(COUNTIF(L$10:L358,L358)=1,COUNTIF(L$10:L$609,"&lt;"&amp;L358)+1,""))</f>
        <v/>
      </c>
      <c r="N358" t="str">
        <f>IFERROR(INDEX(tblY10[Class],ROWS(N$10:N358))&amp;"","")</f>
        <v/>
      </c>
      <c r="O358" t="str">
        <f>IF(N358="","",IF(COUNTIF(N$10:N358,N358)=1,COUNTIF(N$10:N$609,"&lt;"&amp;N358)+1,""))</f>
        <v/>
      </c>
      <c r="P358" t="str">
        <f>IFERROR(INDEX(tblY11[Class],ROWS(P$10:P358))&amp;"","")</f>
        <v/>
      </c>
      <c r="Q358" t="str">
        <f>IF(P358="","",IF(COUNTIF(P$10:P358,P358)=1,COUNTIF(P$10:P$609,"&lt;"&amp;P358)+1,""))</f>
        <v/>
      </c>
      <c r="BA358" t="str">
        <f>IFERROR(INDEX(wLast,289)&amp;"","")</f>
        <v/>
      </c>
      <c r="BB358" t="str">
        <f>IF(BA358="","",IFERROR(INDEX(wFirst,289)&amp;"",""))</f>
        <v/>
      </c>
      <c r="BC358" t="str">
        <f>IF(BA358="","",IFERROR(INDEX(wClass,289)&amp;"",""))</f>
        <v/>
      </c>
      <c r="BD358" t="str">
        <f>IF(BA358="","",IFERROR(INDEX(wKsBand,289)+0,""))</f>
        <v/>
      </c>
      <c r="BE358" t="str">
        <f>IF(BA358="","",IFERROR(INDEX(wTests,289)+0,0))</f>
        <v/>
      </c>
      <c r="BF358" t="str">
        <f>IF(BA358="","",IFERROR(INDEX(wMean,289)+0,""))</f>
        <v/>
      </c>
      <c r="BG358" t="str">
        <f>IF(BA358="","",IFERROR(INDEX(wVs,289)+0,""))</f>
        <v/>
      </c>
      <c r="BH358" t="str">
        <f>IF(OR(BA358="",wLatest=""),"",IFERROR(INDEX(wData,289,MATCH(wLatest&amp;CHAR(10)&amp;"Stanine",wHdr,0))+0,""))</f>
        <v/>
      </c>
      <c r="BI358" t="str">
        <f>IF(BA358="","",IF(AND(ISNUMBER(BG358),N(BE358)&gt;=WlMinTests,BG358&lt;=-WlGap),"Below expected for KS2",IF(AND(NOT(ISNUMBER(BD358)),ISNUMBER(BF358),N(BE358)&gt;=WlMinTests,BF358&lt;=WlLowMean),"Low results, no KS2 data","")))</f>
        <v/>
      </c>
      <c r="BJ358" t="str">
        <f>IF(BI358="","",IF(BI358="Below expected for KS2",BG358,100+BF358)+ROW()/1000000)</f>
        <v/>
      </c>
    </row>
    <row r="359">
      <c r="H359" t="str">
        <f>IFERROR(INDEX(tblY7[Class],ROWS(H$10:H359))&amp;"","")</f>
        <v/>
      </c>
      <c r="I359" t="str">
        <f>IF(H359="","",IF(COUNTIF(H$10:H359,H359)=1,COUNTIF(H$10:H$609,"&lt;"&amp;H359)+1,""))</f>
        <v/>
      </c>
      <c r="J359" t="str">
        <f>IFERROR(INDEX(tblY8[Class],ROWS(J$10:J359))&amp;"","")</f>
        <v/>
      </c>
      <c r="K359" t="str">
        <f>IF(J359="","",IF(COUNTIF(J$10:J359,J359)=1,COUNTIF(J$10:J$609,"&lt;"&amp;J359)+1,""))</f>
        <v/>
      </c>
      <c r="L359" t="str">
        <f>IFERROR(INDEX(tblY9[Class],ROWS(L$10:L359))&amp;"","")</f>
        <v/>
      </c>
      <c r="M359" t="str">
        <f>IF(L359="","",IF(COUNTIF(L$10:L359,L359)=1,COUNTIF(L$10:L$609,"&lt;"&amp;L359)+1,""))</f>
        <v/>
      </c>
      <c r="N359" t="str">
        <f>IFERROR(INDEX(tblY10[Class],ROWS(N$10:N359))&amp;"","")</f>
        <v/>
      </c>
      <c r="O359" t="str">
        <f>IF(N359="","",IF(COUNTIF(N$10:N359,N359)=1,COUNTIF(N$10:N$609,"&lt;"&amp;N359)+1,""))</f>
        <v/>
      </c>
      <c r="P359" t="str">
        <f>IFERROR(INDEX(tblY11[Class],ROWS(P$10:P359))&amp;"","")</f>
        <v/>
      </c>
      <c r="Q359" t="str">
        <f>IF(P359="","",IF(COUNTIF(P$10:P359,P359)=1,COUNTIF(P$10:P$609,"&lt;"&amp;P359)+1,""))</f>
        <v/>
      </c>
      <c r="BA359" t="str">
        <f>IFERROR(INDEX(wLast,290)&amp;"","")</f>
        <v/>
      </c>
      <c r="BB359" t="str">
        <f>IF(BA359="","",IFERROR(INDEX(wFirst,290)&amp;"",""))</f>
        <v/>
      </c>
      <c r="BC359" t="str">
        <f>IF(BA359="","",IFERROR(INDEX(wClass,290)&amp;"",""))</f>
        <v/>
      </c>
      <c r="BD359" t="str">
        <f>IF(BA359="","",IFERROR(INDEX(wKsBand,290)+0,""))</f>
        <v/>
      </c>
      <c r="BE359" t="str">
        <f>IF(BA359="","",IFERROR(INDEX(wTests,290)+0,0))</f>
        <v/>
      </c>
      <c r="BF359" t="str">
        <f>IF(BA359="","",IFERROR(INDEX(wMean,290)+0,""))</f>
        <v/>
      </c>
      <c r="BG359" t="str">
        <f>IF(BA359="","",IFERROR(INDEX(wVs,290)+0,""))</f>
        <v/>
      </c>
      <c r="BH359" t="str">
        <f>IF(OR(BA359="",wLatest=""),"",IFERROR(INDEX(wData,290,MATCH(wLatest&amp;CHAR(10)&amp;"Stanine",wHdr,0))+0,""))</f>
        <v/>
      </c>
      <c r="BI359" t="str">
        <f>IF(BA359="","",IF(AND(ISNUMBER(BG359),N(BE359)&gt;=WlMinTests,BG359&lt;=-WlGap),"Below expected for KS2",IF(AND(NOT(ISNUMBER(BD359)),ISNUMBER(BF359),N(BE359)&gt;=WlMinTests,BF359&lt;=WlLowMean),"Low results, no KS2 data","")))</f>
        <v/>
      </c>
      <c r="BJ359" t="str">
        <f>IF(BI359="","",IF(BI359="Below expected for KS2",BG359,100+BF359)+ROW()/1000000)</f>
        <v/>
      </c>
    </row>
    <row r="360">
      <c r="H360" t="str">
        <f>IFERROR(INDEX(tblY7[Class],ROWS(H$10:H360))&amp;"","")</f>
        <v/>
      </c>
      <c r="I360" t="str">
        <f>IF(H360="","",IF(COUNTIF(H$10:H360,H360)=1,COUNTIF(H$10:H$609,"&lt;"&amp;H360)+1,""))</f>
        <v/>
      </c>
      <c r="J360" t="str">
        <f>IFERROR(INDEX(tblY8[Class],ROWS(J$10:J360))&amp;"","")</f>
        <v/>
      </c>
      <c r="K360" t="str">
        <f>IF(J360="","",IF(COUNTIF(J$10:J360,J360)=1,COUNTIF(J$10:J$609,"&lt;"&amp;J360)+1,""))</f>
        <v/>
      </c>
      <c r="L360" t="str">
        <f>IFERROR(INDEX(tblY9[Class],ROWS(L$10:L360))&amp;"","")</f>
        <v/>
      </c>
      <c r="M360" t="str">
        <f>IF(L360="","",IF(COUNTIF(L$10:L360,L360)=1,COUNTIF(L$10:L$609,"&lt;"&amp;L360)+1,""))</f>
        <v/>
      </c>
      <c r="N360" t="str">
        <f>IFERROR(INDEX(tblY10[Class],ROWS(N$10:N360))&amp;"","")</f>
        <v/>
      </c>
      <c r="O360" t="str">
        <f>IF(N360="","",IF(COUNTIF(N$10:N360,N360)=1,COUNTIF(N$10:N$609,"&lt;"&amp;N360)+1,""))</f>
        <v/>
      </c>
      <c r="P360" t="str">
        <f>IFERROR(INDEX(tblY11[Class],ROWS(P$10:P360))&amp;"","")</f>
        <v/>
      </c>
      <c r="Q360" t="str">
        <f>IF(P360="","",IF(COUNTIF(P$10:P360,P360)=1,COUNTIF(P$10:P$609,"&lt;"&amp;P360)+1,""))</f>
        <v/>
      </c>
      <c r="BA360" t="str">
        <f>IFERROR(INDEX(wLast,291)&amp;"","")</f>
        <v/>
      </c>
      <c r="BB360" t="str">
        <f>IF(BA360="","",IFERROR(INDEX(wFirst,291)&amp;"",""))</f>
        <v/>
      </c>
      <c r="BC360" t="str">
        <f>IF(BA360="","",IFERROR(INDEX(wClass,291)&amp;"",""))</f>
        <v/>
      </c>
      <c r="BD360" t="str">
        <f>IF(BA360="","",IFERROR(INDEX(wKsBand,291)+0,""))</f>
        <v/>
      </c>
      <c r="BE360" t="str">
        <f>IF(BA360="","",IFERROR(INDEX(wTests,291)+0,0))</f>
        <v/>
      </c>
      <c r="BF360" t="str">
        <f>IF(BA360="","",IFERROR(INDEX(wMean,291)+0,""))</f>
        <v/>
      </c>
      <c r="BG360" t="str">
        <f>IF(BA360="","",IFERROR(INDEX(wVs,291)+0,""))</f>
        <v/>
      </c>
      <c r="BH360" t="str">
        <f>IF(OR(BA360="",wLatest=""),"",IFERROR(INDEX(wData,291,MATCH(wLatest&amp;CHAR(10)&amp;"Stanine",wHdr,0))+0,""))</f>
        <v/>
      </c>
      <c r="BI360" t="str">
        <f>IF(BA360="","",IF(AND(ISNUMBER(BG360),N(BE360)&gt;=WlMinTests,BG360&lt;=-WlGap),"Below expected for KS2",IF(AND(NOT(ISNUMBER(BD360)),ISNUMBER(BF360),N(BE360)&gt;=WlMinTests,BF360&lt;=WlLowMean),"Low results, no KS2 data","")))</f>
        <v/>
      </c>
      <c r="BJ360" t="str">
        <f>IF(BI360="","",IF(BI360="Below expected for KS2",BG360,100+BF360)+ROW()/1000000)</f>
        <v/>
      </c>
    </row>
    <row r="361">
      <c r="H361" t="str">
        <f>IFERROR(INDEX(tblY7[Class],ROWS(H$10:H361))&amp;"","")</f>
        <v/>
      </c>
      <c r="I361" t="str">
        <f>IF(H361="","",IF(COUNTIF(H$10:H361,H361)=1,COUNTIF(H$10:H$609,"&lt;"&amp;H361)+1,""))</f>
        <v/>
      </c>
      <c r="J361" t="str">
        <f>IFERROR(INDEX(tblY8[Class],ROWS(J$10:J361))&amp;"","")</f>
        <v/>
      </c>
      <c r="K361" t="str">
        <f>IF(J361="","",IF(COUNTIF(J$10:J361,J361)=1,COUNTIF(J$10:J$609,"&lt;"&amp;J361)+1,""))</f>
        <v/>
      </c>
      <c r="L361" t="str">
        <f>IFERROR(INDEX(tblY9[Class],ROWS(L$10:L361))&amp;"","")</f>
        <v/>
      </c>
      <c r="M361" t="str">
        <f>IF(L361="","",IF(COUNTIF(L$10:L361,L361)=1,COUNTIF(L$10:L$609,"&lt;"&amp;L361)+1,""))</f>
        <v/>
      </c>
      <c r="N361" t="str">
        <f>IFERROR(INDEX(tblY10[Class],ROWS(N$10:N361))&amp;"","")</f>
        <v/>
      </c>
      <c r="O361" t="str">
        <f>IF(N361="","",IF(COUNTIF(N$10:N361,N361)=1,COUNTIF(N$10:N$609,"&lt;"&amp;N361)+1,""))</f>
        <v/>
      </c>
      <c r="P361" t="str">
        <f>IFERROR(INDEX(tblY11[Class],ROWS(P$10:P361))&amp;"","")</f>
        <v/>
      </c>
      <c r="Q361" t="str">
        <f>IF(P361="","",IF(COUNTIF(P$10:P361,P361)=1,COUNTIF(P$10:P$609,"&lt;"&amp;P361)+1,""))</f>
        <v/>
      </c>
      <c r="BA361" t="str">
        <f>IFERROR(INDEX(wLast,292)&amp;"","")</f>
        <v/>
      </c>
      <c r="BB361" t="str">
        <f>IF(BA361="","",IFERROR(INDEX(wFirst,292)&amp;"",""))</f>
        <v/>
      </c>
      <c r="BC361" t="str">
        <f>IF(BA361="","",IFERROR(INDEX(wClass,292)&amp;"",""))</f>
        <v/>
      </c>
      <c r="BD361" t="str">
        <f>IF(BA361="","",IFERROR(INDEX(wKsBand,292)+0,""))</f>
        <v/>
      </c>
      <c r="BE361" t="str">
        <f>IF(BA361="","",IFERROR(INDEX(wTests,292)+0,0))</f>
        <v/>
      </c>
      <c r="BF361" t="str">
        <f>IF(BA361="","",IFERROR(INDEX(wMean,292)+0,""))</f>
        <v/>
      </c>
      <c r="BG361" t="str">
        <f>IF(BA361="","",IFERROR(INDEX(wVs,292)+0,""))</f>
        <v/>
      </c>
      <c r="BH361" t="str">
        <f>IF(OR(BA361="",wLatest=""),"",IFERROR(INDEX(wData,292,MATCH(wLatest&amp;CHAR(10)&amp;"Stanine",wHdr,0))+0,""))</f>
        <v/>
      </c>
      <c r="BI361" t="str">
        <f>IF(BA361="","",IF(AND(ISNUMBER(BG361),N(BE361)&gt;=WlMinTests,BG361&lt;=-WlGap),"Below expected for KS2",IF(AND(NOT(ISNUMBER(BD361)),ISNUMBER(BF361),N(BE361)&gt;=WlMinTests,BF361&lt;=WlLowMean),"Low results, no KS2 data","")))</f>
        <v/>
      </c>
      <c r="BJ361" t="str">
        <f>IF(BI361="","",IF(BI361="Below expected for KS2",BG361,100+BF361)+ROW()/1000000)</f>
        <v/>
      </c>
    </row>
    <row r="362">
      <c r="H362" t="str">
        <f>IFERROR(INDEX(tblY7[Class],ROWS(H$10:H362))&amp;"","")</f>
        <v/>
      </c>
      <c r="I362" t="str">
        <f>IF(H362="","",IF(COUNTIF(H$10:H362,H362)=1,COUNTIF(H$10:H$609,"&lt;"&amp;H362)+1,""))</f>
        <v/>
      </c>
      <c r="J362" t="str">
        <f>IFERROR(INDEX(tblY8[Class],ROWS(J$10:J362))&amp;"","")</f>
        <v/>
      </c>
      <c r="K362" t="str">
        <f>IF(J362="","",IF(COUNTIF(J$10:J362,J362)=1,COUNTIF(J$10:J$609,"&lt;"&amp;J362)+1,""))</f>
        <v/>
      </c>
      <c r="L362" t="str">
        <f>IFERROR(INDEX(tblY9[Class],ROWS(L$10:L362))&amp;"","")</f>
        <v/>
      </c>
      <c r="M362" t="str">
        <f>IF(L362="","",IF(COUNTIF(L$10:L362,L362)=1,COUNTIF(L$10:L$609,"&lt;"&amp;L362)+1,""))</f>
        <v/>
      </c>
      <c r="N362" t="str">
        <f>IFERROR(INDEX(tblY10[Class],ROWS(N$10:N362))&amp;"","")</f>
        <v/>
      </c>
      <c r="O362" t="str">
        <f>IF(N362="","",IF(COUNTIF(N$10:N362,N362)=1,COUNTIF(N$10:N$609,"&lt;"&amp;N362)+1,""))</f>
        <v/>
      </c>
      <c r="P362" t="str">
        <f>IFERROR(INDEX(tblY11[Class],ROWS(P$10:P362))&amp;"","")</f>
        <v/>
      </c>
      <c r="Q362" t="str">
        <f>IF(P362="","",IF(COUNTIF(P$10:P362,P362)=1,COUNTIF(P$10:P$609,"&lt;"&amp;P362)+1,""))</f>
        <v/>
      </c>
      <c r="BA362" t="str">
        <f>IFERROR(INDEX(wLast,293)&amp;"","")</f>
        <v/>
      </c>
      <c r="BB362" t="str">
        <f>IF(BA362="","",IFERROR(INDEX(wFirst,293)&amp;"",""))</f>
        <v/>
      </c>
      <c r="BC362" t="str">
        <f>IF(BA362="","",IFERROR(INDEX(wClass,293)&amp;"",""))</f>
        <v/>
      </c>
      <c r="BD362" t="str">
        <f>IF(BA362="","",IFERROR(INDEX(wKsBand,293)+0,""))</f>
        <v/>
      </c>
      <c r="BE362" t="str">
        <f>IF(BA362="","",IFERROR(INDEX(wTests,293)+0,0))</f>
        <v/>
      </c>
      <c r="BF362" t="str">
        <f>IF(BA362="","",IFERROR(INDEX(wMean,293)+0,""))</f>
        <v/>
      </c>
      <c r="BG362" t="str">
        <f>IF(BA362="","",IFERROR(INDEX(wVs,293)+0,""))</f>
        <v/>
      </c>
      <c r="BH362" t="str">
        <f>IF(OR(BA362="",wLatest=""),"",IFERROR(INDEX(wData,293,MATCH(wLatest&amp;CHAR(10)&amp;"Stanine",wHdr,0))+0,""))</f>
        <v/>
      </c>
      <c r="BI362" t="str">
        <f>IF(BA362="","",IF(AND(ISNUMBER(BG362),N(BE362)&gt;=WlMinTests,BG362&lt;=-WlGap),"Below expected for KS2",IF(AND(NOT(ISNUMBER(BD362)),ISNUMBER(BF362),N(BE362)&gt;=WlMinTests,BF362&lt;=WlLowMean),"Low results, no KS2 data","")))</f>
        <v/>
      </c>
      <c r="BJ362" t="str">
        <f>IF(BI362="","",IF(BI362="Below expected for KS2",BG362,100+BF362)+ROW()/1000000)</f>
        <v/>
      </c>
    </row>
    <row r="363">
      <c r="H363" t="str">
        <f>IFERROR(INDEX(tblY7[Class],ROWS(H$10:H363))&amp;"","")</f>
        <v/>
      </c>
      <c r="I363" t="str">
        <f>IF(H363="","",IF(COUNTIF(H$10:H363,H363)=1,COUNTIF(H$10:H$609,"&lt;"&amp;H363)+1,""))</f>
        <v/>
      </c>
      <c r="J363" t="str">
        <f>IFERROR(INDEX(tblY8[Class],ROWS(J$10:J363))&amp;"","")</f>
        <v/>
      </c>
      <c r="K363" t="str">
        <f>IF(J363="","",IF(COUNTIF(J$10:J363,J363)=1,COUNTIF(J$10:J$609,"&lt;"&amp;J363)+1,""))</f>
        <v/>
      </c>
      <c r="L363" t="str">
        <f>IFERROR(INDEX(tblY9[Class],ROWS(L$10:L363))&amp;"","")</f>
        <v/>
      </c>
      <c r="M363" t="str">
        <f>IF(L363="","",IF(COUNTIF(L$10:L363,L363)=1,COUNTIF(L$10:L$609,"&lt;"&amp;L363)+1,""))</f>
        <v/>
      </c>
      <c r="N363" t="str">
        <f>IFERROR(INDEX(tblY10[Class],ROWS(N$10:N363))&amp;"","")</f>
        <v/>
      </c>
      <c r="O363" t="str">
        <f>IF(N363="","",IF(COUNTIF(N$10:N363,N363)=1,COUNTIF(N$10:N$609,"&lt;"&amp;N363)+1,""))</f>
        <v/>
      </c>
      <c r="P363" t="str">
        <f>IFERROR(INDEX(tblY11[Class],ROWS(P$10:P363))&amp;"","")</f>
        <v/>
      </c>
      <c r="Q363" t="str">
        <f>IF(P363="","",IF(COUNTIF(P$10:P363,P363)=1,COUNTIF(P$10:P$609,"&lt;"&amp;P363)+1,""))</f>
        <v/>
      </c>
      <c r="BA363" t="str">
        <f>IFERROR(INDEX(wLast,294)&amp;"","")</f>
        <v/>
      </c>
      <c r="BB363" t="str">
        <f>IF(BA363="","",IFERROR(INDEX(wFirst,294)&amp;"",""))</f>
        <v/>
      </c>
      <c r="BC363" t="str">
        <f>IF(BA363="","",IFERROR(INDEX(wClass,294)&amp;"",""))</f>
        <v/>
      </c>
      <c r="BD363" t="str">
        <f>IF(BA363="","",IFERROR(INDEX(wKsBand,294)+0,""))</f>
        <v/>
      </c>
      <c r="BE363" t="str">
        <f>IF(BA363="","",IFERROR(INDEX(wTests,294)+0,0))</f>
        <v/>
      </c>
      <c r="BF363" t="str">
        <f>IF(BA363="","",IFERROR(INDEX(wMean,294)+0,""))</f>
        <v/>
      </c>
      <c r="BG363" t="str">
        <f>IF(BA363="","",IFERROR(INDEX(wVs,294)+0,""))</f>
        <v/>
      </c>
      <c r="BH363" t="str">
        <f>IF(OR(BA363="",wLatest=""),"",IFERROR(INDEX(wData,294,MATCH(wLatest&amp;CHAR(10)&amp;"Stanine",wHdr,0))+0,""))</f>
        <v/>
      </c>
      <c r="BI363" t="str">
        <f>IF(BA363="","",IF(AND(ISNUMBER(BG363),N(BE363)&gt;=WlMinTests,BG363&lt;=-WlGap),"Below expected for KS2",IF(AND(NOT(ISNUMBER(BD363)),ISNUMBER(BF363),N(BE363)&gt;=WlMinTests,BF363&lt;=WlLowMean),"Low results, no KS2 data","")))</f>
        <v/>
      </c>
      <c r="BJ363" t="str">
        <f>IF(BI363="","",IF(BI363="Below expected for KS2",BG363,100+BF363)+ROW()/1000000)</f>
        <v/>
      </c>
    </row>
    <row r="364">
      <c r="H364" t="str">
        <f>IFERROR(INDEX(tblY7[Class],ROWS(H$10:H364))&amp;"","")</f>
        <v/>
      </c>
      <c r="I364" t="str">
        <f>IF(H364="","",IF(COUNTIF(H$10:H364,H364)=1,COUNTIF(H$10:H$609,"&lt;"&amp;H364)+1,""))</f>
        <v/>
      </c>
      <c r="J364" t="str">
        <f>IFERROR(INDEX(tblY8[Class],ROWS(J$10:J364))&amp;"","")</f>
        <v/>
      </c>
      <c r="K364" t="str">
        <f>IF(J364="","",IF(COUNTIF(J$10:J364,J364)=1,COUNTIF(J$10:J$609,"&lt;"&amp;J364)+1,""))</f>
        <v/>
      </c>
      <c r="L364" t="str">
        <f>IFERROR(INDEX(tblY9[Class],ROWS(L$10:L364))&amp;"","")</f>
        <v/>
      </c>
      <c r="M364" t="str">
        <f>IF(L364="","",IF(COUNTIF(L$10:L364,L364)=1,COUNTIF(L$10:L$609,"&lt;"&amp;L364)+1,""))</f>
        <v/>
      </c>
      <c r="N364" t="str">
        <f>IFERROR(INDEX(tblY10[Class],ROWS(N$10:N364))&amp;"","")</f>
        <v/>
      </c>
      <c r="O364" t="str">
        <f>IF(N364="","",IF(COUNTIF(N$10:N364,N364)=1,COUNTIF(N$10:N$609,"&lt;"&amp;N364)+1,""))</f>
        <v/>
      </c>
      <c r="P364" t="str">
        <f>IFERROR(INDEX(tblY11[Class],ROWS(P$10:P364))&amp;"","")</f>
        <v/>
      </c>
      <c r="Q364" t="str">
        <f>IF(P364="","",IF(COUNTIF(P$10:P364,P364)=1,COUNTIF(P$10:P$609,"&lt;"&amp;P364)+1,""))</f>
        <v/>
      </c>
      <c r="BA364" t="str">
        <f>IFERROR(INDEX(wLast,295)&amp;"","")</f>
        <v/>
      </c>
      <c r="BB364" t="str">
        <f>IF(BA364="","",IFERROR(INDEX(wFirst,295)&amp;"",""))</f>
        <v/>
      </c>
      <c r="BC364" t="str">
        <f>IF(BA364="","",IFERROR(INDEX(wClass,295)&amp;"",""))</f>
        <v/>
      </c>
      <c r="BD364" t="str">
        <f>IF(BA364="","",IFERROR(INDEX(wKsBand,295)+0,""))</f>
        <v/>
      </c>
      <c r="BE364" t="str">
        <f>IF(BA364="","",IFERROR(INDEX(wTests,295)+0,0))</f>
        <v/>
      </c>
      <c r="BF364" t="str">
        <f>IF(BA364="","",IFERROR(INDEX(wMean,295)+0,""))</f>
        <v/>
      </c>
      <c r="BG364" t="str">
        <f>IF(BA364="","",IFERROR(INDEX(wVs,295)+0,""))</f>
        <v/>
      </c>
      <c r="BH364" t="str">
        <f>IF(OR(BA364="",wLatest=""),"",IFERROR(INDEX(wData,295,MATCH(wLatest&amp;CHAR(10)&amp;"Stanine",wHdr,0))+0,""))</f>
        <v/>
      </c>
      <c r="BI364" t="str">
        <f>IF(BA364="","",IF(AND(ISNUMBER(BG364),N(BE364)&gt;=WlMinTests,BG364&lt;=-WlGap),"Below expected for KS2",IF(AND(NOT(ISNUMBER(BD364)),ISNUMBER(BF364),N(BE364)&gt;=WlMinTests,BF364&lt;=WlLowMean),"Low results, no KS2 data","")))</f>
        <v/>
      </c>
      <c r="BJ364" t="str">
        <f>IF(BI364="","",IF(BI364="Below expected for KS2",BG364,100+BF364)+ROW()/1000000)</f>
        <v/>
      </c>
    </row>
    <row r="365">
      <c r="H365" t="str">
        <f>IFERROR(INDEX(tblY7[Class],ROWS(H$10:H365))&amp;"","")</f>
        <v/>
      </c>
      <c r="I365" t="str">
        <f>IF(H365="","",IF(COUNTIF(H$10:H365,H365)=1,COUNTIF(H$10:H$609,"&lt;"&amp;H365)+1,""))</f>
        <v/>
      </c>
      <c r="J365" t="str">
        <f>IFERROR(INDEX(tblY8[Class],ROWS(J$10:J365))&amp;"","")</f>
        <v/>
      </c>
      <c r="K365" t="str">
        <f>IF(J365="","",IF(COUNTIF(J$10:J365,J365)=1,COUNTIF(J$10:J$609,"&lt;"&amp;J365)+1,""))</f>
        <v/>
      </c>
      <c r="L365" t="str">
        <f>IFERROR(INDEX(tblY9[Class],ROWS(L$10:L365))&amp;"","")</f>
        <v/>
      </c>
      <c r="M365" t="str">
        <f>IF(L365="","",IF(COUNTIF(L$10:L365,L365)=1,COUNTIF(L$10:L$609,"&lt;"&amp;L365)+1,""))</f>
        <v/>
      </c>
      <c r="N365" t="str">
        <f>IFERROR(INDEX(tblY10[Class],ROWS(N$10:N365))&amp;"","")</f>
        <v/>
      </c>
      <c r="O365" t="str">
        <f>IF(N365="","",IF(COUNTIF(N$10:N365,N365)=1,COUNTIF(N$10:N$609,"&lt;"&amp;N365)+1,""))</f>
        <v/>
      </c>
      <c r="P365" t="str">
        <f>IFERROR(INDEX(tblY11[Class],ROWS(P$10:P365))&amp;"","")</f>
        <v/>
      </c>
      <c r="Q365" t="str">
        <f>IF(P365="","",IF(COUNTIF(P$10:P365,P365)=1,COUNTIF(P$10:P$609,"&lt;"&amp;P365)+1,""))</f>
        <v/>
      </c>
      <c r="BA365" t="str">
        <f>IFERROR(INDEX(wLast,296)&amp;"","")</f>
        <v/>
      </c>
      <c r="BB365" t="str">
        <f>IF(BA365="","",IFERROR(INDEX(wFirst,296)&amp;"",""))</f>
        <v/>
      </c>
      <c r="BC365" t="str">
        <f>IF(BA365="","",IFERROR(INDEX(wClass,296)&amp;"",""))</f>
        <v/>
      </c>
      <c r="BD365" t="str">
        <f>IF(BA365="","",IFERROR(INDEX(wKsBand,296)+0,""))</f>
        <v/>
      </c>
      <c r="BE365" t="str">
        <f>IF(BA365="","",IFERROR(INDEX(wTests,296)+0,0))</f>
        <v/>
      </c>
      <c r="BF365" t="str">
        <f>IF(BA365="","",IFERROR(INDEX(wMean,296)+0,""))</f>
        <v/>
      </c>
      <c r="BG365" t="str">
        <f>IF(BA365="","",IFERROR(INDEX(wVs,296)+0,""))</f>
        <v/>
      </c>
      <c r="BH365" t="str">
        <f>IF(OR(BA365="",wLatest=""),"",IFERROR(INDEX(wData,296,MATCH(wLatest&amp;CHAR(10)&amp;"Stanine",wHdr,0))+0,""))</f>
        <v/>
      </c>
      <c r="BI365" t="str">
        <f>IF(BA365="","",IF(AND(ISNUMBER(BG365),N(BE365)&gt;=WlMinTests,BG365&lt;=-WlGap),"Below expected for KS2",IF(AND(NOT(ISNUMBER(BD365)),ISNUMBER(BF365),N(BE365)&gt;=WlMinTests,BF365&lt;=WlLowMean),"Low results, no KS2 data","")))</f>
        <v/>
      </c>
      <c r="BJ365" t="str">
        <f>IF(BI365="","",IF(BI365="Below expected for KS2",BG365,100+BF365)+ROW()/1000000)</f>
        <v/>
      </c>
    </row>
    <row r="366">
      <c r="H366" t="str">
        <f>IFERROR(INDEX(tblY7[Class],ROWS(H$10:H366))&amp;"","")</f>
        <v/>
      </c>
      <c r="I366" t="str">
        <f>IF(H366="","",IF(COUNTIF(H$10:H366,H366)=1,COUNTIF(H$10:H$609,"&lt;"&amp;H366)+1,""))</f>
        <v/>
      </c>
      <c r="J366" t="str">
        <f>IFERROR(INDEX(tblY8[Class],ROWS(J$10:J366))&amp;"","")</f>
        <v/>
      </c>
      <c r="K366" t="str">
        <f>IF(J366="","",IF(COUNTIF(J$10:J366,J366)=1,COUNTIF(J$10:J$609,"&lt;"&amp;J366)+1,""))</f>
        <v/>
      </c>
      <c r="L366" t="str">
        <f>IFERROR(INDEX(tblY9[Class],ROWS(L$10:L366))&amp;"","")</f>
        <v/>
      </c>
      <c r="M366" t="str">
        <f>IF(L366="","",IF(COUNTIF(L$10:L366,L366)=1,COUNTIF(L$10:L$609,"&lt;"&amp;L366)+1,""))</f>
        <v/>
      </c>
      <c r="N366" t="str">
        <f>IFERROR(INDEX(tblY10[Class],ROWS(N$10:N366))&amp;"","")</f>
        <v/>
      </c>
      <c r="O366" t="str">
        <f>IF(N366="","",IF(COUNTIF(N$10:N366,N366)=1,COUNTIF(N$10:N$609,"&lt;"&amp;N366)+1,""))</f>
        <v/>
      </c>
      <c r="P366" t="str">
        <f>IFERROR(INDEX(tblY11[Class],ROWS(P$10:P366))&amp;"","")</f>
        <v/>
      </c>
      <c r="Q366" t="str">
        <f>IF(P366="","",IF(COUNTIF(P$10:P366,P366)=1,COUNTIF(P$10:P$609,"&lt;"&amp;P366)+1,""))</f>
        <v/>
      </c>
      <c r="BA366" t="str">
        <f>IFERROR(INDEX(wLast,297)&amp;"","")</f>
        <v/>
      </c>
      <c r="BB366" t="str">
        <f>IF(BA366="","",IFERROR(INDEX(wFirst,297)&amp;"",""))</f>
        <v/>
      </c>
      <c r="BC366" t="str">
        <f>IF(BA366="","",IFERROR(INDEX(wClass,297)&amp;"",""))</f>
        <v/>
      </c>
      <c r="BD366" t="str">
        <f>IF(BA366="","",IFERROR(INDEX(wKsBand,297)+0,""))</f>
        <v/>
      </c>
      <c r="BE366" t="str">
        <f>IF(BA366="","",IFERROR(INDEX(wTests,297)+0,0))</f>
        <v/>
      </c>
      <c r="BF366" t="str">
        <f>IF(BA366="","",IFERROR(INDEX(wMean,297)+0,""))</f>
        <v/>
      </c>
      <c r="BG366" t="str">
        <f>IF(BA366="","",IFERROR(INDEX(wVs,297)+0,""))</f>
        <v/>
      </c>
      <c r="BH366" t="str">
        <f>IF(OR(BA366="",wLatest=""),"",IFERROR(INDEX(wData,297,MATCH(wLatest&amp;CHAR(10)&amp;"Stanine",wHdr,0))+0,""))</f>
        <v/>
      </c>
      <c r="BI366" t="str">
        <f>IF(BA366="","",IF(AND(ISNUMBER(BG366),N(BE366)&gt;=WlMinTests,BG366&lt;=-WlGap),"Below expected for KS2",IF(AND(NOT(ISNUMBER(BD366)),ISNUMBER(BF366),N(BE366)&gt;=WlMinTests,BF366&lt;=WlLowMean),"Low results, no KS2 data","")))</f>
        <v/>
      </c>
      <c r="BJ366" t="str">
        <f>IF(BI366="","",IF(BI366="Below expected for KS2",BG366,100+BF366)+ROW()/1000000)</f>
        <v/>
      </c>
    </row>
    <row r="367">
      <c r="H367" t="str">
        <f>IFERROR(INDEX(tblY7[Class],ROWS(H$10:H367))&amp;"","")</f>
        <v/>
      </c>
      <c r="I367" t="str">
        <f>IF(H367="","",IF(COUNTIF(H$10:H367,H367)=1,COUNTIF(H$10:H$609,"&lt;"&amp;H367)+1,""))</f>
        <v/>
      </c>
      <c r="J367" t="str">
        <f>IFERROR(INDEX(tblY8[Class],ROWS(J$10:J367))&amp;"","")</f>
        <v/>
      </c>
      <c r="K367" t="str">
        <f>IF(J367="","",IF(COUNTIF(J$10:J367,J367)=1,COUNTIF(J$10:J$609,"&lt;"&amp;J367)+1,""))</f>
        <v/>
      </c>
      <c r="L367" t="str">
        <f>IFERROR(INDEX(tblY9[Class],ROWS(L$10:L367))&amp;"","")</f>
        <v/>
      </c>
      <c r="M367" t="str">
        <f>IF(L367="","",IF(COUNTIF(L$10:L367,L367)=1,COUNTIF(L$10:L$609,"&lt;"&amp;L367)+1,""))</f>
        <v/>
      </c>
      <c r="N367" t="str">
        <f>IFERROR(INDEX(tblY10[Class],ROWS(N$10:N367))&amp;"","")</f>
        <v/>
      </c>
      <c r="O367" t="str">
        <f>IF(N367="","",IF(COUNTIF(N$10:N367,N367)=1,COUNTIF(N$10:N$609,"&lt;"&amp;N367)+1,""))</f>
        <v/>
      </c>
      <c r="P367" t="str">
        <f>IFERROR(INDEX(tblY11[Class],ROWS(P$10:P367))&amp;"","")</f>
        <v/>
      </c>
      <c r="Q367" t="str">
        <f>IF(P367="","",IF(COUNTIF(P$10:P367,P367)=1,COUNTIF(P$10:P$609,"&lt;"&amp;P367)+1,""))</f>
        <v/>
      </c>
      <c r="BA367" t="str">
        <f>IFERROR(INDEX(wLast,298)&amp;"","")</f>
        <v/>
      </c>
      <c r="BB367" t="str">
        <f>IF(BA367="","",IFERROR(INDEX(wFirst,298)&amp;"",""))</f>
        <v/>
      </c>
      <c r="BC367" t="str">
        <f>IF(BA367="","",IFERROR(INDEX(wClass,298)&amp;"",""))</f>
        <v/>
      </c>
      <c r="BD367" t="str">
        <f>IF(BA367="","",IFERROR(INDEX(wKsBand,298)+0,""))</f>
        <v/>
      </c>
      <c r="BE367" t="str">
        <f>IF(BA367="","",IFERROR(INDEX(wTests,298)+0,0))</f>
        <v/>
      </c>
      <c r="BF367" t="str">
        <f>IF(BA367="","",IFERROR(INDEX(wMean,298)+0,""))</f>
        <v/>
      </c>
      <c r="BG367" t="str">
        <f>IF(BA367="","",IFERROR(INDEX(wVs,298)+0,""))</f>
        <v/>
      </c>
      <c r="BH367" t="str">
        <f>IF(OR(BA367="",wLatest=""),"",IFERROR(INDEX(wData,298,MATCH(wLatest&amp;CHAR(10)&amp;"Stanine",wHdr,0))+0,""))</f>
        <v/>
      </c>
      <c r="BI367" t="str">
        <f>IF(BA367="","",IF(AND(ISNUMBER(BG367),N(BE367)&gt;=WlMinTests,BG367&lt;=-WlGap),"Below expected for KS2",IF(AND(NOT(ISNUMBER(BD367)),ISNUMBER(BF367),N(BE367)&gt;=WlMinTests,BF367&lt;=WlLowMean),"Low results, no KS2 data","")))</f>
        <v/>
      </c>
      <c r="BJ367" t="str">
        <f>IF(BI367="","",IF(BI367="Below expected for KS2",BG367,100+BF367)+ROW()/1000000)</f>
        <v/>
      </c>
    </row>
    <row r="368">
      <c r="H368" t="str">
        <f>IFERROR(INDEX(tblY7[Class],ROWS(H$10:H368))&amp;"","")</f>
        <v/>
      </c>
      <c r="I368" t="str">
        <f>IF(H368="","",IF(COUNTIF(H$10:H368,H368)=1,COUNTIF(H$10:H$609,"&lt;"&amp;H368)+1,""))</f>
        <v/>
      </c>
      <c r="J368" t="str">
        <f>IFERROR(INDEX(tblY8[Class],ROWS(J$10:J368))&amp;"","")</f>
        <v/>
      </c>
      <c r="K368" t="str">
        <f>IF(J368="","",IF(COUNTIF(J$10:J368,J368)=1,COUNTIF(J$10:J$609,"&lt;"&amp;J368)+1,""))</f>
        <v/>
      </c>
      <c r="L368" t="str">
        <f>IFERROR(INDEX(tblY9[Class],ROWS(L$10:L368))&amp;"","")</f>
        <v/>
      </c>
      <c r="M368" t="str">
        <f>IF(L368="","",IF(COUNTIF(L$10:L368,L368)=1,COUNTIF(L$10:L$609,"&lt;"&amp;L368)+1,""))</f>
        <v/>
      </c>
      <c r="N368" t="str">
        <f>IFERROR(INDEX(tblY10[Class],ROWS(N$10:N368))&amp;"","")</f>
        <v/>
      </c>
      <c r="O368" t="str">
        <f>IF(N368="","",IF(COUNTIF(N$10:N368,N368)=1,COUNTIF(N$10:N$609,"&lt;"&amp;N368)+1,""))</f>
        <v/>
      </c>
      <c r="P368" t="str">
        <f>IFERROR(INDEX(tblY11[Class],ROWS(P$10:P368))&amp;"","")</f>
        <v/>
      </c>
      <c r="Q368" t="str">
        <f>IF(P368="","",IF(COUNTIF(P$10:P368,P368)=1,COUNTIF(P$10:P$609,"&lt;"&amp;P368)+1,""))</f>
        <v/>
      </c>
      <c r="BA368" t="str">
        <f>IFERROR(INDEX(wLast,299)&amp;"","")</f>
        <v/>
      </c>
      <c r="BB368" t="str">
        <f>IF(BA368="","",IFERROR(INDEX(wFirst,299)&amp;"",""))</f>
        <v/>
      </c>
      <c r="BC368" t="str">
        <f>IF(BA368="","",IFERROR(INDEX(wClass,299)&amp;"",""))</f>
        <v/>
      </c>
      <c r="BD368" t="str">
        <f>IF(BA368="","",IFERROR(INDEX(wKsBand,299)+0,""))</f>
        <v/>
      </c>
      <c r="BE368" t="str">
        <f>IF(BA368="","",IFERROR(INDEX(wTests,299)+0,0))</f>
        <v/>
      </c>
      <c r="BF368" t="str">
        <f>IF(BA368="","",IFERROR(INDEX(wMean,299)+0,""))</f>
        <v/>
      </c>
      <c r="BG368" t="str">
        <f>IF(BA368="","",IFERROR(INDEX(wVs,299)+0,""))</f>
        <v/>
      </c>
      <c r="BH368" t="str">
        <f>IF(OR(BA368="",wLatest=""),"",IFERROR(INDEX(wData,299,MATCH(wLatest&amp;CHAR(10)&amp;"Stanine",wHdr,0))+0,""))</f>
        <v/>
      </c>
      <c r="BI368" t="str">
        <f>IF(BA368="","",IF(AND(ISNUMBER(BG368),N(BE368)&gt;=WlMinTests,BG368&lt;=-WlGap),"Below expected for KS2",IF(AND(NOT(ISNUMBER(BD368)),ISNUMBER(BF368),N(BE368)&gt;=WlMinTests,BF368&lt;=WlLowMean),"Low results, no KS2 data","")))</f>
        <v/>
      </c>
      <c r="BJ368" t="str">
        <f>IF(BI368="","",IF(BI368="Below expected for KS2",BG368,100+BF368)+ROW()/1000000)</f>
        <v/>
      </c>
    </row>
    <row r="369">
      <c r="H369" t="str">
        <f>IFERROR(INDEX(tblY7[Class],ROWS(H$10:H369))&amp;"","")</f>
        <v/>
      </c>
      <c r="I369" t="str">
        <f>IF(H369="","",IF(COUNTIF(H$10:H369,H369)=1,COUNTIF(H$10:H$609,"&lt;"&amp;H369)+1,""))</f>
        <v/>
      </c>
      <c r="J369" t="str">
        <f>IFERROR(INDEX(tblY8[Class],ROWS(J$10:J369))&amp;"","")</f>
        <v/>
      </c>
      <c r="K369" t="str">
        <f>IF(J369="","",IF(COUNTIF(J$10:J369,J369)=1,COUNTIF(J$10:J$609,"&lt;"&amp;J369)+1,""))</f>
        <v/>
      </c>
      <c r="L369" t="str">
        <f>IFERROR(INDEX(tblY9[Class],ROWS(L$10:L369))&amp;"","")</f>
        <v/>
      </c>
      <c r="M369" t="str">
        <f>IF(L369="","",IF(COUNTIF(L$10:L369,L369)=1,COUNTIF(L$10:L$609,"&lt;"&amp;L369)+1,""))</f>
        <v/>
      </c>
      <c r="N369" t="str">
        <f>IFERROR(INDEX(tblY10[Class],ROWS(N$10:N369))&amp;"","")</f>
        <v/>
      </c>
      <c r="O369" t="str">
        <f>IF(N369="","",IF(COUNTIF(N$10:N369,N369)=1,COUNTIF(N$10:N$609,"&lt;"&amp;N369)+1,""))</f>
        <v/>
      </c>
      <c r="P369" t="str">
        <f>IFERROR(INDEX(tblY11[Class],ROWS(P$10:P369))&amp;"","")</f>
        <v/>
      </c>
      <c r="Q369" t="str">
        <f>IF(P369="","",IF(COUNTIF(P$10:P369,P369)=1,COUNTIF(P$10:P$609,"&lt;"&amp;P369)+1,""))</f>
        <v/>
      </c>
      <c r="BA369" t="str">
        <f>IFERROR(INDEX(wLast,300)&amp;"","")</f>
        <v/>
      </c>
      <c r="BB369" t="str">
        <f>IF(BA369="","",IFERROR(INDEX(wFirst,300)&amp;"",""))</f>
        <v/>
      </c>
      <c r="BC369" t="str">
        <f>IF(BA369="","",IFERROR(INDEX(wClass,300)&amp;"",""))</f>
        <v/>
      </c>
      <c r="BD369" t="str">
        <f>IF(BA369="","",IFERROR(INDEX(wKsBand,300)+0,""))</f>
        <v/>
      </c>
      <c r="BE369" t="str">
        <f>IF(BA369="","",IFERROR(INDEX(wTests,300)+0,0))</f>
        <v/>
      </c>
      <c r="BF369" t="str">
        <f>IF(BA369="","",IFERROR(INDEX(wMean,300)+0,""))</f>
        <v/>
      </c>
      <c r="BG369" t="str">
        <f>IF(BA369="","",IFERROR(INDEX(wVs,300)+0,""))</f>
        <v/>
      </c>
      <c r="BH369" t="str">
        <f>IF(OR(BA369="",wLatest=""),"",IFERROR(INDEX(wData,300,MATCH(wLatest&amp;CHAR(10)&amp;"Stanine",wHdr,0))+0,""))</f>
        <v/>
      </c>
      <c r="BI369" t="str">
        <f>IF(BA369="","",IF(AND(ISNUMBER(BG369),N(BE369)&gt;=WlMinTests,BG369&lt;=-WlGap),"Below expected for KS2",IF(AND(NOT(ISNUMBER(BD369)),ISNUMBER(BF369),N(BE369)&gt;=WlMinTests,BF369&lt;=WlLowMean),"Low results, no KS2 data","")))</f>
        <v/>
      </c>
      <c r="BJ369" t="str">
        <f>IF(BI369="","",IF(BI369="Below expected for KS2",BG369,100+BF369)+ROW()/1000000)</f>
        <v/>
      </c>
    </row>
    <row r="370">
      <c r="H370" t="str">
        <f>IFERROR(INDEX(tblY7[Class],ROWS(H$10:H370))&amp;"","")</f>
        <v/>
      </c>
      <c r="I370" t="str">
        <f>IF(H370="","",IF(COUNTIF(H$10:H370,H370)=1,COUNTIF(H$10:H$609,"&lt;"&amp;H370)+1,""))</f>
        <v/>
      </c>
      <c r="J370" t="str">
        <f>IFERROR(INDEX(tblY8[Class],ROWS(J$10:J370))&amp;"","")</f>
        <v/>
      </c>
      <c r="K370" t="str">
        <f>IF(J370="","",IF(COUNTIF(J$10:J370,J370)=1,COUNTIF(J$10:J$609,"&lt;"&amp;J370)+1,""))</f>
        <v/>
      </c>
      <c r="L370" t="str">
        <f>IFERROR(INDEX(tblY9[Class],ROWS(L$10:L370))&amp;"","")</f>
        <v/>
      </c>
      <c r="M370" t="str">
        <f>IF(L370="","",IF(COUNTIF(L$10:L370,L370)=1,COUNTIF(L$10:L$609,"&lt;"&amp;L370)+1,""))</f>
        <v/>
      </c>
      <c r="N370" t="str">
        <f>IFERROR(INDEX(tblY10[Class],ROWS(N$10:N370))&amp;"","")</f>
        <v/>
      </c>
      <c r="O370" t="str">
        <f>IF(N370="","",IF(COUNTIF(N$10:N370,N370)=1,COUNTIF(N$10:N$609,"&lt;"&amp;N370)+1,""))</f>
        <v/>
      </c>
      <c r="P370" t="str">
        <f>IFERROR(INDEX(tblY11[Class],ROWS(P$10:P370))&amp;"","")</f>
        <v/>
      </c>
      <c r="Q370" t="str">
        <f>IF(P370="","",IF(COUNTIF(P$10:P370,P370)=1,COUNTIF(P$10:P$609,"&lt;"&amp;P370)+1,""))</f>
        <v/>
      </c>
      <c r="BA370" t="str">
        <f>IFERROR(INDEX(wLast,301)&amp;"","")</f>
        <v/>
      </c>
      <c r="BB370" t="str">
        <f>IF(BA370="","",IFERROR(INDEX(wFirst,301)&amp;"",""))</f>
        <v/>
      </c>
      <c r="BC370" t="str">
        <f>IF(BA370="","",IFERROR(INDEX(wClass,301)&amp;"",""))</f>
        <v/>
      </c>
      <c r="BD370" t="str">
        <f>IF(BA370="","",IFERROR(INDEX(wKsBand,301)+0,""))</f>
        <v/>
      </c>
      <c r="BE370" t="str">
        <f>IF(BA370="","",IFERROR(INDEX(wTests,301)+0,0))</f>
        <v/>
      </c>
      <c r="BF370" t="str">
        <f>IF(BA370="","",IFERROR(INDEX(wMean,301)+0,""))</f>
        <v/>
      </c>
      <c r="BG370" t="str">
        <f>IF(BA370="","",IFERROR(INDEX(wVs,301)+0,""))</f>
        <v/>
      </c>
      <c r="BH370" t="str">
        <f>IF(OR(BA370="",wLatest=""),"",IFERROR(INDEX(wData,301,MATCH(wLatest&amp;CHAR(10)&amp;"Stanine",wHdr,0))+0,""))</f>
        <v/>
      </c>
      <c r="BI370" t="str">
        <f>IF(BA370="","",IF(AND(ISNUMBER(BG370),N(BE370)&gt;=WlMinTests,BG370&lt;=-WlGap),"Below expected for KS2",IF(AND(NOT(ISNUMBER(BD370)),ISNUMBER(BF370),N(BE370)&gt;=WlMinTests,BF370&lt;=WlLowMean),"Low results, no KS2 data","")))</f>
        <v/>
      </c>
      <c r="BJ370" t="str">
        <f>IF(BI370="","",IF(BI370="Below expected for KS2",BG370,100+BF370)+ROW()/1000000)</f>
        <v/>
      </c>
    </row>
    <row r="371">
      <c r="H371" t="str">
        <f>IFERROR(INDEX(tblY7[Class],ROWS(H$10:H371))&amp;"","")</f>
        <v/>
      </c>
      <c r="I371" t="str">
        <f>IF(H371="","",IF(COUNTIF(H$10:H371,H371)=1,COUNTIF(H$10:H$609,"&lt;"&amp;H371)+1,""))</f>
        <v/>
      </c>
      <c r="J371" t="str">
        <f>IFERROR(INDEX(tblY8[Class],ROWS(J$10:J371))&amp;"","")</f>
        <v/>
      </c>
      <c r="K371" t="str">
        <f>IF(J371="","",IF(COUNTIF(J$10:J371,J371)=1,COUNTIF(J$10:J$609,"&lt;"&amp;J371)+1,""))</f>
        <v/>
      </c>
      <c r="L371" t="str">
        <f>IFERROR(INDEX(tblY9[Class],ROWS(L$10:L371))&amp;"","")</f>
        <v/>
      </c>
      <c r="M371" t="str">
        <f>IF(L371="","",IF(COUNTIF(L$10:L371,L371)=1,COUNTIF(L$10:L$609,"&lt;"&amp;L371)+1,""))</f>
        <v/>
      </c>
      <c r="N371" t="str">
        <f>IFERROR(INDEX(tblY10[Class],ROWS(N$10:N371))&amp;"","")</f>
        <v/>
      </c>
      <c r="O371" t="str">
        <f>IF(N371="","",IF(COUNTIF(N$10:N371,N371)=1,COUNTIF(N$10:N$609,"&lt;"&amp;N371)+1,""))</f>
        <v/>
      </c>
      <c r="P371" t="str">
        <f>IFERROR(INDEX(tblY11[Class],ROWS(P$10:P371))&amp;"","")</f>
        <v/>
      </c>
      <c r="Q371" t="str">
        <f>IF(P371="","",IF(COUNTIF(P$10:P371,P371)=1,COUNTIF(P$10:P$609,"&lt;"&amp;P371)+1,""))</f>
        <v/>
      </c>
      <c r="BA371" t="str">
        <f>IFERROR(INDEX(wLast,302)&amp;"","")</f>
        <v/>
      </c>
      <c r="BB371" t="str">
        <f>IF(BA371="","",IFERROR(INDEX(wFirst,302)&amp;"",""))</f>
        <v/>
      </c>
      <c r="BC371" t="str">
        <f>IF(BA371="","",IFERROR(INDEX(wClass,302)&amp;"",""))</f>
        <v/>
      </c>
      <c r="BD371" t="str">
        <f>IF(BA371="","",IFERROR(INDEX(wKsBand,302)+0,""))</f>
        <v/>
      </c>
      <c r="BE371" t="str">
        <f>IF(BA371="","",IFERROR(INDEX(wTests,302)+0,0))</f>
        <v/>
      </c>
      <c r="BF371" t="str">
        <f>IF(BA371="","",IFERROR(INDEX(wMean,302)+0,""))</f>
        <v/>
      </c>
      <c r="BG371" t="str">
        <f>IF(BA371="","",IFERROR(INDEX(wVs,302)+0,""))</f>
        <v/>
      </c>
      <c r="BH371" t="str">
        <f>IF(OR(BA371="",wLatest=""),"",IFERROR(INDEX(wData,302,MATCH(wLatest&amp;CHAR(10)&amp;"Stanine",wHdr,0))+0,""))</f>
        <v/>
      </c>
      <c r="BI371" t="str">
        <f>IF(BA371="","",IF(AND(ISNUMBER(BG371),N(BE371)&gt;=WlMinTests,BG371&lt;=-WlGap),"Below expected for KS2",IF(AND(NOT(ISNUMBER(BD371)),ISNUMBER(BF371),N(BE371)&gt;=WlMinTests,BF371&lt;=WlLowMean),"Low results, no KS2 data","")))</f>
        <v/>
      </c>
      <c r="BJ371" t="str">
        <f>IF(BI371="","",IF(BI371="Below expected for KS2",BG371,100+BF371)+ROW()/1000000)</f>
        <v/>
      </c>
    </row>
    <row r="372">
      <c r="H372" t="str">
        <f>IFERROR(INDEX(tblY7[Class],ROWS(H$10:H372))&amp;"","")</f>
        <v/>
      </c>
      <c r="I372" t="str">
        <f>IF(H372="","",IF(COUNTIF(H$10:H372,H372)=1,COUNTIF(H$10:H$609,"&lt;"&amp;H372)+1,""))</f>
        <v/>
      </c>
      <c r="J372" t="str">
        <f>IFERROR(INDEX(tblY8[Class],ROWS(J$10:J372))&amp;"","")</f>
        <v/>
      </c>
      <c r="K372" t="str">
        <f>IF(J372="","",IF(COUNTIF(J$10:J372,J372)=1,COUNTIF(J$10:J$609,"&lt;"&amp;J372)+1,""))</f>
        <v/>
      </c>
      <c r="L372" t="str">
        <f>IFERROR(INDEX(tblY9[Class],ROWS(L$10:L372))&amp;"","")</f>
        <v/>
      </c>
      <c r="M372" t="str">
        <f>IF(L372="","",IF(COUNTIF(L$10:L372,L372)=1,COUNTIF(L$10:L$609,"&lt;"&amp;L372)+1,""))</f>
        <v/>
      </c>
      <c r="N372" t="str">
        <f>IFERROR(INDEX(tblY10[Class],ROWS(N$10:N372))&amp;"","")</f>
        <v/>
      </c>
      <c r="O372" t="str">
        <f>IF(N372="","",IF(COUNTIF(N$10:N372,N372)=1,COUNTIF(N$10:N$609,"&lt;"&amp;N372)+1,""))</f>
        <v/>
      </c>
      <c r="P372" t="str">
        <f>IFERROR(INDEX(tblY11[Class],ROWS(P$10:P372))&amp;"","")</f>
        <v/>
      </c>
      <c r="Q372" t="str">
        <f>IF(P372="","",IF(COUNTIF(P$10:P372,P372)=1,COUNTIF(P$10:P$609,"&lt;"&amp;P372)+1,""))</f>
        <v/>
      </c>
      <c r="BA372" t="str">
        <f>IFERROR(INDEX(wLast,303)&amp;"","")</f>
        <v/>
      </c>
      <c r="BB372" t="str">
        <f>IF(BA372="","",IFERROR(INDEX(wFirst,303)&amp;"",""))</f>
        <v/>
      </c>
      <c r="BC372" t="str">
        <f>IF(BA372="","",IFERROR(INDEX(wClass,303)&amp;"",""))</f>
        <v/>
      </c>
      <c r="BD372" t="str">
        <f>IF(BA372="","",IFERROR(INDEX(wKsBand,303)+0,""))</f>
        <v/>
      </c>
      <c r="BE372" t="str">
        <f>IF(BA372="","",IFERROR(INDEX(wTests,303)+0,0))</f>
        <v/>
      </c>
      <c r="BF372" t="str">
        <f>IF(BA372="","",IFERROR(INDEX(wMean,303)+0,""))</f>
        <v/>
      </c>
      <c r="BG372" t="str">
        <f>IF(BA372="","",IFERROR(INDEX(wVs,303)+0,""))</f>
        <v/>
      </c>
      <c r="BH372" t="str">
        <f>IF(OR(BA372="",wLatest=""),"",IFERROR(INDEX(wData,303,MATCH(wLatest&amp;CHAR(10)&amp;"Stanine",wHdr,0))+0,""))</f>
        <v/>
      </c>
      <c r="BI372" t="str">
        <f>IF(BA372="","",IF(AND(ISNUMBER(BG372),N(BE372)&gt;=WlMinTests,BG372&lt;=-WlGap),"Below expected for KS2",IF(AND(NOT(ISNUMBER(BD372)),ISNUMBER(BF372),N(BE372)&gt;=WlMinTests,BF372&lt;=WlLowMean),"Low results, no KS2 data","")))</f>
        <v/>
      </c>
      <c r="BJ372" t="str">
        <f>IF(BI372="","",IF(BI372="Below expected for KS2",BG372,100+BF372)+ROW()/1000000)</f>
        <v/>
      </c>
    </row>
    <row r="373">
      <c r="H373" t="str">
        <f>IFERROR(INDEX(tblY7[Class],ROWS(H$10:H373))&amp;"","")</f>
        <v/>
      </c>
      <c r="I373" t="str">
        <f>IF(H373="","",IF(COUNTIF(H$10:H373,H373)=1,COUNTIF(H$10:H$609,"&lt;"&amp;H373)+1,""))</f>
        <v/>
      </c>
      <c r="J373" t="str">
        <f>IFERROR(INDEX(tblY8[Class],ROWS(J$10:J373))&amp;"","")</f>
        <v/>
      </c>
      <c r="K373" t="str">
        <f>IF(J373="","",IF(COUNTIF(J$10:J373,J373)=1,COUNTIF(J$10:J$609,"&lt;"&amp;J373)+1,""))</f>
        <v/>
      </c>
      <c r="L373" t="str">
        <f>IFERROR(INDEX(tblY9[Class],ROWS(L$10:L373))&amp;"","")</f>
        <v/>
      </c>
      <c r="M373" t="str">
        <f>IF(L373="","",IF(COUNTIF(L$10:L373,L373)=1,COUNTIF(L$10:L$609,"&lt;"&amp;L373)+1,""))</f>
        <v/>
      </c>
      <c r="N373" t="str">
        <f>IFERROR(INDEX(tblY10[Class],ROWS(N$10:N373))&amp;"","")</f>
        <v/>
      </c>
      <c r="O373" t="str">
        <f>IF(N373="","",IF(COUNTIF(N$10:N373,N373)=1,COUNTIF(N$10:N$609,"&lt;"&amp;N373)+1,""))</f>
        <v/>
      </c>
      <c r="P373" t="str">
        <f>IFERROR(INDEX(tblY11[Class],ROWS(P$10:P373))&amp;"","")</f>
        <v/>
      </c>
      <c r="Q373" t="str">
        <f>IF(P373="","",IF(COUNTIF(P$10:P373,P373)=1,COUNTIF(P$10:P$609,"&lt;"&amp;P373)+1,""))</f>
        <v/>
      </c>
      <c r="BA373" t="str">
        <f>IFERROR(INDEX(wLast,304)&amp;"","")</f>
        <v/>
      </c>
      <c r="BB373" t="str">
        <f>IF(BA373="","",IFERROR(INDEX(wFirst,304)&amp;"",""))</f>
        <v/>
      </c>
      <c r="BC373" t="str">
        <f>IF(BA373="","",IFERROR(INDEX(wClass,304)&amp;"",""))</f>
        <v/>
      </c>
      <c r="BD373" t="str">
        <f>IF(BA373="","",IFERROR(INDEX(wKsBand,304)+0,""))</f>
        <v/>
      </c>
      <c r="BE373" t="str">
        <f>IF(BA373="","",IFERROR(INDEX(wTests,304)+0,0))</f>
        <v/>
      </c>
      <c r="BF373" t="str">
        <f>IF(BA373="","",IFERROR(INDEX(wMean,304)+0,""))</f>
        <v/>
      </c>
      <c r="BG373" t="str">
        <f>IF(BA373="","",IFERROR(INDEX(wVs,304)+0,""))</f>
        <v/>
      </c>
      <c r="BH373" t="str">
        <f>IF(OR(BA373="",wLatest=""),"",IFERROR(INDEX(wData,304,MATCH(wLatest&amp;CHAR(10)&amp;"Stanine",wHdr,0))+0,""))</f>
        <v/>
      </c>
      <c r="BI373" t="str">
        <f>IF(BA373="","",IF(AND(ISNUMBER(BG373),N(BE373)&gt;=WlMinTests,BG373&lt;=-WlGap),"Below expected for KS2",IF(AND(NOT(ISNUMBER(BD373)),ISNUMBER(BF373),N(BE373)&gt;=WlMinTests,BF373&lt;=WlLowMean),"Low results, no KS2 data","")))</f>
        <v/>
      </c>
      <c r="BJ373" t="str">
        <f>IF(BI373="","",IF(BI373="Below expected for KS2",BG373,100+BF373)+ROW()/1000000)</f>
        <v/>
      </c>
    </row>
    <row r="374">
      <c r="H374" t="str">
        <f>IFERROR(INDEX(tblY7[Class],ROWS(H$10:H374))&amp;"","")</f>
        <v/>
      </c>
      <c r="I374" t="str">
        <f>IF(H374="","",IF(COUNTIF(H$10:H374,H374)=1,COUNTIF(H$10:H$609,"&lt;"&amp;H374)+1,""))</f>
        <v/>
      </c>
      <c r="J374" t="str">
        <f>IFERROR(INDEX(tblY8[Class],ROWS(J$10:J374))&amp;"","")</f>
        <v/>
      </c>
      <c r="K374" t="str">
        <f>IF(J374="","",IF(COUNTIF(J$10:J374,J374)=1,COUNTIF(J$10:J$609,"&lt;"&amp;J374)+1,""))</f>
        <v/>
      </c>
      <c r="L374" t="str">
        <f>IFERROR(INDEX(tblY9[Class],ROWS(L$10:L374))&amp;"","")</f>
        <v/>
      </c>
      <c r="M374" t="str">
        <f>IF(L374="","",IF(COUNTIF(L$10:L374,L374)=1,COUNTIF(L$10:L$609,"&lt;"&amp;L374)+1,""))</f>
        <v/>
      </c>
      <c r="N374" t="str">
        <f>IFERROR(INDEX(tblY10[Class],ROWS(N$10:N374))&amp;"","")</f>
        <v/>
      </c>
      <c r="O374" t="str">
        <f>IF(N374="","",IF(COUNTIF(N$10:N374,N374)=1,COUNTIF(N$10:N$609,"&lt;"&amp;N374)+1,""))</f>
        <v/>
      </c>
      <c r="P374" t="str">
        <f>IFERROR(INDEX(tblY11[Class],ROWS(P$10:P374))&amp;"","")</f>
        <v/>
      </c>
      <c r="Q374" t="str">
        <f>IF(P374="","",IF(COUNTIF(P$10:P374,P374)=1,COUNTIF(P$10:P$609,"&lt;"&amp;P374)+1,""))</f>
        <v/>
      </c>
      <c r="BA374" t="str">
        <f>IFERROR(INDEX(wLast,305)&amp;"","")</f>
        <v/>
      </c>
      <c r="BB374" t="str">
        <f>IF(BA374="","",IFERROR(INDEX(wFirst,305)&amp;"",""))</f>
        <v/>
      </c>
      <c r="BC374" t="str">
        <f>IF(BA374="","",IFERROR(INDEX(wClass,305)&amp;"",""))</f>
        <v/>
      </c>
      <c r="BD374" t="str">
        <f>IF(BA374="","",IFERROR(INDEX(wKsBand,305)+0,""))</f>
        <v/>
      </c>
      <c r="BE374" t="str">
        <f>IF(BA374="","",IFERROR(INDEX(wTests,305)+0,0))</f>
        <v/>
      </c>
      <c r="BF374" t="str">
        <f>IF(BA374="","",IFERROR(INDEX(wMean,305)+0,""))</f>
        <v/>
      </c>
      <c r="BG374" t="str">
        <f>IF(BA374="","",IFERROR(INDEX(wVs,305)+0,""))</f>
        <v/>
      </c>
      <c r="BH374" t="str">
        <f>IF(OR(BA374="",wLatest=""),"",IFERROR(INDEX(wData,305,MATCH(wLatest&amp;CHAR(10)&amp;"Stanine",wHdr,0))+0,""))</f>
        <v/>
      </c>
      <c r="BI374" t="str">
        <f>IF(BA374="","",IF(AND(ISNUMBER(BG374),N(BE374)&gt;=WlMinTests,BG374&lt;=-WlGap),"Below expected for KS2",IF(AND(NOT(ISNUMBER(BD374)),ISNUMBER(BF374),N(BE374)&gt;=WlMinTests,BF374&lt;=WlLowMean),"Low results, no KS2 data","")))</f>
        <v/>
      </c>
      <c r="BJ374" t="str">
        <f>IF(BI374="","",IF(BI374="Below expected for KS2",BG374,100+BF374)+ROW()/1000000)</f>
        <v/>
      </c>
    </row>
    <row r="375">
      <c r="H375" t="str">
        <f>IFERROR(INDEX(tblY7[Class],ROWS(H$10:H375))&amp;"","")</f>
        <v/>
      </c>
      <c r="I375" t="str">
        <f>IF(H375="","",IF(COUNTIF(H$10:H375,H375)=1,COUNTIF(H$10:H$609,"&lt;"&amp;H375)+1,""))</f>
        <v/>
      </c>
      <c r="J375" t="str">
        <f>IFERROR(INDEX(tblY8[Class],ROWS(J$10:J375))&amp;"","")</f>
        <v/>
      </c>
      <c r="K375" t="str">
        <f>IF(J375="","",IF(COUNTIF(J$10:J375,J375)=1,COUNTIF(J$10:J$609,"&lt;"&amp;J375)+1,""))</f>
        <v/>
      </c>
      <c r="L375" t="str">
        <f>IFERROR(INDEX(tblY9[Class],ROWS(L$10:L375))&amp;"","")</f>
        <v/>
      </c>
      <c r="M375" t="str">
        <f>IF(L375="","",IF(COUNTIF(L$10:L375,L375)=1,COUNTIF(L$10:L$609,"&lt;"&amp;L375)+1,""))</f>
        <v/>
      </c>
      <c r="N375" t="str">
        <f>IFERROR(INDEX(tblY10[Class],ROWS(N$10:N375))&amp;"","")</f>
        <v/>
      </c>
      <c r="O375" t="str">
        <f>IF(N375="","",IF(COUNTIF(N$10:N375,N375)=1,COUNTIF(N$10:N$609,"&lt;"&amp;N375)+1,""))</f>
        <v/>
      </c>
      <c r="P375" t="str">
        <f>IFERROR(INDEX(tblY11[Class],ROWS(P$10:P375))&amp;"","")</f>
        <v/>
      </c>
      <c r="Q375" t="str">
        <f>IF(P375="","",IF(COUNTIF(P$10:P375,P375)=1,COUNTIF(P$10:P$609,"&lt;"&amp;P375)+1,""))</f>
        <v/>
      </c>
      <c r="BA375" t="str">
        <f>IFERROR(INDEX(wLast,306)&amp;"","")</f>
        <v/>
      </c>
      <c r="BB375" t="str">
        <f>IF(BA375="","",IFERROR(INDEX(wFirst,306)&amp;"",""))</f>
        <v/>
      </c>
      <c r="BC375" t="str">
        <f>IF(BA375="","",IFERROR(INDEX(wClass,306)&amp;"",""))</f>
        <v/>
      </c>
      <c r="BD375" t="str">
        <f>IF(BA375="","",IFERROR(INDEX(wKsBand,306)+0,""))</f>
        <v/>
      </c>
      <c r="BE375" t="str">
        <f>IF(BA375="","",IFERROR(INDEX(wTests,306)+0,0))</f>
        <v/>
      </c>
      <c r="BF375" t="str">
        <f>IF(BA375="","",IFERROR(INDEX(wMean,306)+0,""))</f>
        <v/>
      </c>
      <c r="BG375" t="str">
        <f>IF(BA375="","",IFERROR(INDEX(wVs,306)+0,""))</f>
        <v/>
      </c>
      <c r="BH375" t="str">
        <f>IF(OR(BA375="",wLatest=""),"",IFERROR(INDEX(wData,306,MATCH(wLatest&amp;CHAR(10)&amp;"Stanine",wHdr,0))+0,""))</f>
        <v/>
      </c>
      <c r="BI375" t="str">
        <f>IF(BA375="","",IF(AND(ISNUMBER(BG375),N(BE375)&gt;=WlMinTests,BG375&lt;=-WlGap),"Below expected for KS2",IF(AND(NOT(ISNUMBER(BD375)),ISNUMBER(BF375),N(BE375)&gt;=WlMinTests,BF375&lt;=WlLowMean),"Low results, no KS2 data","")))</f>
        <v/>
      </c>
      <c r="BJ375" t="str">
        <f>IF(BI375="","",IF(BI375="Below expected for KS2",BG375,100+BF375)+ROW()/1000000)</f>
        <v/>
      </c>
    </row>
    <row r="376">
      <c r="H376" t="str">
        <f>IFERROR(INDEX(tblY7[Class],ROWS(H$10:H376))&amp;"","")</f>
        <v/>
      </c>
      <c r="I376" t="str">
        <f>IF(H376="","",IF(COUNTIF(H$10:H376,H376)=1,COUNTIF(H$10:H$609,"&lt;"&amp;H376)+1,""))</f>
        <v/>
      </c>
      <c r="J376" t="str">
        <f>IFERROR(INDEX(tblY8[Class],ROWS(J$10:J376))&amp;"","")</f>
        <v/>
      </c>
      <c r="K376" t="str">
        <f>IF(J376="","",IF(COUNTIF(J$10:J376,J376)=1,COUNTIF(J$10:J$609,"&lt;"&amp;J376)+1,""))</f>
        <v/>
      </c>
      <c r="L376" t="str">
        <f>IFERROR(INDEX(tblY9[Class],ROWS(L$10:L376))&amp;"","")</f>
        <v/>
      </c>
      <c r="M376" t="str">
        <f>IF(L376="","",IF(COUNTIF(L$10:L376,L376)=1,COUNTIF(L$10:L$609,"&lt;"&amp;L376)+1,""))</f>
        <v/>
      </c>
      <c r="N376" t="str">
        <f>IFERROR(INDEX(tblY10[Class],ROWS(N$10:N376))&amp;"","")</f>
        <v/>
      </c>
      <c r="O376" t="str">
        <f>IF(N376="","",IF(COUNTIF(N$10:N376,N376)=1,COUNTIF(N$10:N$609,"&lt;"&amp;N376)+1,""))</f>
        <v/>
      </c>
      <c r="P376" t="str">
        <f>IFERROR(INDEX(tblY11[Class],ROWS(P$10:P376))&amp;"","")</f>
        <v/>
      </c>
      <c r="Q376" t="str">
        <f>IF(P376="","",IF(COUNTIF(P$10:P376,P376)=1,COUNTIF(P$10:P$609,"&lt;"&amp;P376)+1,""))</f>
        <v/>
      </c>
      <c r="BA376" t="str">
        <f>IFERROR(INDEX(wLast,307)&amp;"","")</f>
        <v/>
      </c>
      <c r="BB376" t="str">
        <f>IF(BA376="","",IFERROR(INDEX(wFirst,307)&amp;"",""))</f>
        <v/>
      </c>
      <c r="BC376" t="str">
        <f>IF(BA376="","",IFERROR(INDEX(wClass,307)&amp;"",""))</f>
        <v/>
      </c>
      <c r="BD376" t="str">
        <f>IF(BA376="","",IFERROR(INDEX(wKsBand,307)+0,""))</f>
        <v/>
      </c>
      <c r="BE376" t="str">
        <f>IF(BA376="","",IFERROR(INDEX(wTests,307)+0,0))</f>
        <v/>
      </c>
      <c r="BF376" t="str">
        <f>IF(BA376="","",IFERROR(INDEX(wMean,307)+0,""))</f>
        <v/>
      </c>
      <c r="BG376" t="str">
        <f>IF(BA376="","",IFERROR(INDEX(wVs,307)+0,""))</f>
        <v/>
      </c>
      <c r="BH376" t="str">
        <f>IF(OR(BA376="",wLatest=""),"",IFERROR(INDEX(wData,307,MATCH(wLatest&amp;CHAR(10)&amp;"Stanine",wHdr,0))+0,""))</f>
        <v/>
      </c>
      <c r="BI376" t="str">
        <f>IF(BA376="","",IF(AND(ISNUMBER(BG376),N(BE376)&gt;=WlMinTests,BG376&lt;=-WlGap),"Below expected for KS2",IF(AND(NOT(ISNUMBER(BD376)),ISNUMBER(BF376),N(BE376)&gt;=WlMinTests,BF376&lt;=WlLowMean),"Low results, no KS2 data","")))</f>
        <v/>
      </c>
      <c r="BJ376" t="str">
        <f>IF(BI376="","",IF(BI376="Below expected for KS2",BG376,100+BF376)+ROW()/1000000)</f>
        <v/>
      </c>
    </row>
    <row r="377">
      <c r="H377" t="str">
        <f>IFERROR(INDEX(tblY7[Class],ROWS(H$10:H377))&amp;"","")</f>
        <v/>
      </c>
      <c r="I377" t="str">
        <f>IF(H377="","",IF(COUNTIF(H$10:H377,H377)=1,COUNTIF(H$10:H$609,"&lt;"&amp;H377)+1,""))</f>
        <v/>
      </c>
      <c r="J377" t="str">
        <f>IFERROR(INDEX(tblY8[Class],ROWS(J$10:J377))&amp;"","")</f>
        <v/>
      </c>
      <c r="K377" t="str">
        <f>IF(J377="","",IF(COUNTIF(J$10:J377,J377)=1,COUNTIF(J$10:J$609,"&lt;"&amp;J377)+1,""))</f>
        <v/>
      </c>
      <c r="L377" t="str">
        <f>IFERROR(INDEX(tblY9[Class],ROWS(L$10:L377))&amp;"","")</f>
        <v/>
      </c>
      <c r="M377" t="str">
        <f>IF(L377="","",IF(COUNTIF(L$10:L377,L377)=1,COUNTIF(L$10:L$609,"&lt;"&amp;L377)+1,""))</f>
        <v/>
      </c>
      <c r="N377" t="str">
        <f>IFERROR(INDEX(tblY10[Class],ROWS(N$10:N377))&amp;"","")</f>
        <v/>
      </c>
      <c r="O377" t="str">
        <f>IF(N377="","",IF(COUNTIF(N$10:N377,N377)=1,COUNTIF(N$10:N$609,"&lt;"&amp;N377)+1,""))</f>
        <v/>
      </c>
      <c r="P377" t="str">
        <f>IFERROR(INDEX(tblY11[Class],ROWS(P$10:P377))&amp;"","")</f>
        <v/>
      </c>
      <c r="Q377" t="str">
        <f>IF(P377="","",IF(COUNTIF(P$10:P377,P377)=1,COUNTIF(P$10:P$609,"&lt;"&amp;P377)+1,""))</f>
        <v/>
      </c>
      <c r="BA377" t="str">
        <f>IFERROR(INDEX(wLast,308)&amp;"","")</f>
        <v/>
      </c>
      <c r="BB377" t="str">
        <f>IF(BA377="","",IFERROR(INDEX(wFirst,308)&amp;"",""))</f>
        <v/>
      </c>
      <c r="BC377" t="str">
        <f>IF(BA377="","",IFERROR(INDEX(wClass,308)&amp;"",""))</f>
        <v/>
      </c>
      <c r="BD377" t="str">
        <f>IF(BA377="","",IFERROR(INDEX(wKsBand,308)+0,""))</f>
        <v/>
      </c>
      <c r="BE377" t="str">
        <f>IF(BA377="","",IFERROR(INDEX(wTests,308)+0,0))</f>
        <v/>
      </c>
      <c r="BF377" t="str">
        <f>IF(BA377="","",IFERROR(INDEX(wMean,308)+0,""))</f>
        <v/>
      </c>
      <c r="BG377" t="str">
        <f>IF(BA377="","",IFERROR(INDEX(wVs,308)+0,""))</f>
        <v/>
      </c>
      <c r="BH377" t="str">
        <f>IF(OR(BA377="",wLatest=""),"",IFERROR(INDEX(wData,308,MATCH(wLatest&amp;CHAR(10)&amp;"Stanine",wHdr,0))+0,""))</f>
        <v/>
      </c>
      <c r="BI377" t="str">
        <f>IF(BA377="","",IF(AND(ISNUMBER(BG377),N(BE377)&gt;=WlMinTests,BG377&lt;=-WlGap),"Below expected for KS2",IF(AND(NOT(ISNUMBER(BD377)),ISNUMBER(BF377),N(BE377)&gt;=WlMinTests,BF377&lt;=WlLowMean),"Low results, no KS2 data","")))</f>
        <v/>
      </c>
      <c r="BJ377" t="str">
        <f>IF(BI377="","",IF(BI377="Below expected for KS2",BG377,100+BF377)+ROW()/1000000)</f>
        <v/>
      </c>
    </row>
    <row r="378">
      <c r="H378" t="str">
        <f>IFERROR(INDEX(tblY7[Class],ROWS(H$10:H378))&amp;"","")</f>
        <v/>
      </c>
      <c r="I378" t="str">
        <f>IF(H378="","",IF(COUNTIF(H$10:H378,H378)=1,COUNTIF(H$10:H$609,"&lt;"&amp;H378)+1,""))</f>
        <v/>
      </c>
      <c r="J378" t="str">
        <f>IFERROR(INDEX(tblY8[Class],ROWS(J$10:J378))&amp;"","")</f>
        <v/>
      </c>
      <c r="K378" t="str">
        <f>IF(J378="","",IF(COUNTIF(J$10:J378,J378)=1,COUNTIF(J$10:J$609,"&lt;"&amp;J378)+1,""))</f>
        <v/>
      </c>
      <c r="L378" t="str">
        <f>IFERROR(INDEX(tblY9[Class],ROWS(L$10:L378))&amp;"","")</f>
        <v/>
      </c>
      <c r="M378" t="str">
        <f>IF(L378="","",IF(COUNTIF(L$10:L378,L378)=1,COUNTIF(L$10:L$609,"&lt;"&amp;L378)+1,""))</f>
        <v/>
      </c>
      <c r="N378" t="str">
        <f>IFERROR(INDEX(tblY10[Class],ROWS(N$10:N378))&amp;"","")</f>
        <v/>
      </c>
      <c r="O378" t="str">
        <f>IF(N378="","",IF(COUNTIF(N$10:N378,N378)=1,COUNTIF(N$10:N$609,"&lt;"&amp;N378)+1,""))</f>
        <v/>
      </c>
      <c r="P378" t="str">
        <f>IFERROR(INDEX(tblY11[Class],ROWS(P$10:P378))&amp;"","")</f>
        <v/>
      </c>
      <c r="Q378" t="str">
        <f>IF(P378="","",IF(COUNTIF(P$10:P378,P378)=1,COUNTIF(P$10:P$609,"&lt;"&amp;P378)+1,""))</f>
        <v/>
      </c>
      <c r="BA378" t="str">
        <f>IFERROR(INDEX(wLast,309)&amp;"","")</f>
        <v/>
      </c>
      <c r="BB378" t="str">
        <f>IF(BA378="","",IFERROR(INDEX(wFirst,309)&amp;"",""))</f>
        <v/>
      </c>
      <c r="BC378" t="str">
        <f>IF(BA378="","",IFERROR(INDEX(wClass,309)&amp;"",""))</f>
        <v/>
      </c>
      <c r="BD378" t="str">
        <f>IF(BA378="","",IFERROR(INDEX(wKsBand,309)+0,""))</f>
        <v/>
      </c>
      <c r="BE378" t="str">
        <f>IF(BA378="","",IFERROR(INDEX(wTests,309)+0,0))</f>
        <v/>
      </c>
      <c r="BF378" t="str">
        <f>IF(BA378="","",IFERROR(INDEX(wMean,309)+0,""))</f>
        <v/>
      </c>
      <c r="BG378" t="str">
        <f>IF(BA378="","",IFERROR(INDEX(wVs,309)+0,""))</f>
        <v/>
      </c>
      <c r="BH378" t="str">
        <f>IF(OR(BA378="",wLatest=""),"",IFERROR(INDEX(wData,309,MATCH(wLatest&amp;CHAR(10)&amp;"Stanine",wHdr,0))+0,""))</f>
        <v/>
      </c>
      <c r="BI378" t="str">
        <f>IF(BA378="","",IF(AND(ISNUMBER(BG378),N(BE378)&gt;=WlMinTests,BG378&lt;=-WlGap),"Below expected for KS2",IF(AND(NOT(ISNUMBER(BD378)),ISNUMBER(BF378),N(BE378)&gt;=WlMinTests,BF378&lt;=WlLowMean),"Low results, no KS2 data","")))</f>
        <v/>
      </c>
      <c r="BJ378" t="str">
        <f>IF(BI378="","",IF(BI378="Below expected for KS2",BG378,100+BF378)+ROW()/1000000)</f>
        <v/>
      </c>
    </row>
    <row r="379">
      <c r="H379" t="str">
        <f>IFERROR(INDEX(tblY7[Class],ROWS(H$10:H379))&amp;"","")</f>
        <v/>
      </c>
      <c r="I379" t="str">
        <f>IF(H379="","",IF(COUNTIF(H$10:H379,H379)=1,COUNTIF(H$10:H$609,"&lt;"&amp;H379)+1,""))</f>
        <v/>
      </c>
      <c r="J379" t="str">
        <f>IFERROR(INDEX(tblY8[Class],ROWS(J$10:J379))&amp;"","")</f>
        <v/>
      </c>
      <c r="K379" t="str">
        <f>IF(J379="","",IF(COUNTIF(J$10:J379,J379)=1,COUNTIF(J$10:J$609,"&lt;"&amp;J379)+1,""))</f>
        <v/>
      </c>
      <c r="L379" t="str">
        <f>IFERROR(INDEX(tblY9[Class],ROWS(L$10:L379))&amp;"","")</f>
        <v/>
      </c>
      <c r="M379" t="str">
        <f>IF(L379="","",IF(COUNTIF(L$10:L379,L379)=1,COUNTIF(L$10:L$609,"&lt;"&amp;L379)+1,""))</f>
        <v/>
      </c>
      <c r="N379" t="str">
        <f>IFERROR(INDEX(tblY10[Class],ROWS(N$10:N379))&amp;"","")</f>
        <v/>
      </c>
      <c r="O379" t="str">
        <f>IF(N379="","",IF(COUNTIF(N$10:N379,N379)=1,COUNTIF(N$10:N$609,"&lt;"&amp;N379)+1,""))</f>
        <v/>
      </c>
      <c r="P379" t="str">
        <f>IFERROR(INDEX(tblY11[Class],ROWS(P$10:P379))&amp;"","")</f>
        <v/>
      </c>
      <c r="Q379" t="str">
        <f>IF(P379="","",IF(COUNTIF(P$10:P379,P379)=1,COUNTIF(P$10:P$609,"&lt;"&amp;P379)+1,""))</f>
        <v/>
      </c>
      <c r="BA379" t="str">
        <f>IFERROR(INDEX(wLast,310)&amp;"","")</f>
        <v/>
      </c>
      <c r="BB379" t="str">
        <f>IF(BA379="","",IFERROR(INDEX(wFirst,310)&amp;"",""))</f>
        <v/>
      </c>
      <c r="BC379" t="str">
        <f>IF(BA379="","",IFERROR(INDEX(wClass,310)&amp;"",""))</f>
        <v/>
      </c>
      <c r="BD379" t="str">
        <f>IF(BA379="","",IFERROR(INDEX(wKsBand,310)+0,""))</f>
        <v/>
      </c>
      <c r="BE379" t="str">
        <f>IF(BA379="","",IFERROR(INDEX(wTests,310)+0,0))</f>
        <v/>
      </c>
      <c r="BF379" t="str">
        <f>IF(BA379="","",IFERROR(INDEX(wMean,310)+0,""))</f>
        <v/>
      </c>
      <c r="BG379" t="str">
        <f>IF(BA379="","",IFERROR(INDEX(wVs,310)+0,""))</f>
        <v/>
      </c>
      <c r="BH379" t="str">
        <f>IF(OR(BA379="",wLatest=""),"",IFERROR(INDEX(wData,310,MATCH(wLatest&amp;CHAR(10)&amp;"Stanine",wHdr,0))+0,""))</f>
        <v/>
      </c>
      <c r="BI379" t="str">
        <f>IF(BA379="","",IF(AND(ISNUMBER(BG379),N(BE379)&gt;=WlMinTests,BG379&lt;=-WlGap),"Below expected for KS2",IF(AND(NOT(ISNUMBER(BD379)),ISNUMBER(BF379),N(BE379)&gt;=WlMinTests,BF379&lt;=WlLowMean),"Low results, no KS2 data","")))</f>
        <v/>
      </c>
      <c r="BJ379" t="str">
        <f>IF(BI379="","",IF(BI379="Below expected for KS2",BG379,100+BF379)+ROW()/1000000)</f>
        <v/>
      </c>
    </row>
    <row r="380">
      <c r="H380" t="str">
        <f>IFERROR(INDEX(tblY7[Class],ROWS(H$10:H380))&amp;"","")</f>
        <v/>
      </c>
      <c r="I380" t="str">
        <f>IF(H380="","",IF(COUNTIF(H$10:H380,H380)=1,COUNTIF(H$10:H$609,"&lt;"&amp;H380)+1,""))</f>
        <v/>
      </c>
      <c r="J380" t="str">
        <f>IFERROR(INDEX(tblY8[Class],ROWS(J$10:J380))&amp;"","")</f>
        <v/>
      </c>
      <c r="K380" t="str">
        <f>IF(J380="","",IF(COUNTIF(J$10:J380,J380)=1,COUNTIF(J$10:J$609,"&lt;"&amp;J380)+1,""))</f>
        <v/>
      </c>
      <c r="L380" t="str">
        <f>IFERROR(INDEX(tblY9[Class],ROWS(L$10:L380))&amp;"","")</f>
        <v/>
      </c>
      <c r="M380" t="str">
        <f>IF(L380="","",IF(COUNTIF(L$10:L380,L380)=1,COUNTIF(L$10:L$609,"&lt;"&amp;L380)+1,""))</f>
        <v/>
      </c>
      <c r="N380" t="str">
        <f>IFERROR(INDEX(tblY10[Class],ROWS(N$10:N380))&amp;"","")</f>
        <v/>
      </c>
      <c r="O380" t="str">
        <f>IF(N380="","",IF(COUNTIF(N$10:N380,N380)=1,COUNTIF(N$10:N$609,"&lt;"&amp;N380)+1,""))</f>
        <v/>
      </c>
      <c r="P380" t="str">
        <f>IFERROR(INDEX(tblY11[Class],ROWS(P$10:P380))&amp;"","")</f>
        <v/>
      </c>
      <c r="Q380" t="str">
        <f>IF(P380="","",IF(COUNTIF(P$10:P380,P380)=1,COUNTIF(P$10:P$609,"&lt;"&amp;P380)+1,""))</f>
        <v/>
      </c>
      <c r="BA380" t="str">
        <f>IFERROR(INDEX(wLast,311)&amp;"","")</f>
        <v/>
      </c>
      <c r="BB380" t="str">
        <f>IF(BA380="","",IFERROR(INDEX(wFirst,311)&amp;"",""))</f>
        <v/>
      </c>
      <c r="BC380" t="str">
        <f>IF(BA380="","",IFERROR(INDEX(wClass,311)&amp;"",""))</f>
        <v/>
      </c>
      <c r="BD380" t="str">
        <f>IF(BA380="","",IFERROR(INDEX(wKsBand,311)+0,""))</f>
        <v/>
      </c>
      <c r="BE380" t="str">
        <f>IF(BA380="","",IFERROR(INDEX(wTests,311)+0,0))</f>
        <v/>
      </c>
      <c r="BF380" t="str">
        <f>IF(BA380="","",IFERROR(INDEX(wMean,311)+0,""))</f>
        <v/>
      </c>
      <c r="BG380" t="str">
        <f>IF(BA380="","",IFERROR(INDEX(wVs,311)+0,""))</f>
        <v/>
      </c>
      <c r="BH380" t="str">
        <f>IF(OR(BA380="",wLatest=""),"",IFERROR(INDEX(wData,311,MATCH(wLatest&amp;CHAR(10)&amp;"Stanine",wHdr,0))+0,""))</f>
        <v/>
      </c>
      <c r="BI380" t="str">
        <f>IF(BA380="","",IF(AND(ISNUMBER(BG380),N(BE380)&gt;=WlMinTests,BG380&lt;=-WlGap),"Below expected for KS2",IF(AND(NOT(ISNUMBER(BD380)),ISNUMBER(BF380),N(BE380)&gt;=WlMinTests,BF380&lt;=WlLowMean),"Low results, no KS2 data","")))</f>
        <v/>
      </c>
      <c r="BJ380" t="str">
        <f>IF(BI380="","",IF(BI380="Below expected for KS2",BG380,100+BF380)+ROW()/1000000)</f>
        <v/>
      </c>
    </row>
    <row r="381">
      <c r="H381" t="str">
        <f>IFERROR(INDEX(tblY7[Class],ROWS(H$10:H381))&amp;"","")</f>
        <v/>
      </c>
      <c r="I381" t="str">
        <f>IF(H381="","",IF(COUNTIF(H$10:H381,H381)=1,COUNTIF(H$10:H$609,"&lt;"&amp;H381)+1,""))</f>
        <v/>
      </c>
      <c r="J381" t="str">
        <f>IFERROR(INDEX(tblY8[Class],ROWS(J$10:J381))&amp;"","")</f>
        <v/>
      </c>
      <c r="K381" t="str">
        <f>IF(J381="","",IF(COUNTIF(J$10:J381,J381)=1,COUNTIF(J$10:J$609,"&lt;"&amp;J381)+1,""))</f>
        <v/>
      </c>
      <c r="L381" t="str">
        <f>IFERROR(INDEX(tblY9[Class],ROWS(L$10:L381))&amp;"","")</f>
        <v/>
      </c>
      <c r="M381" t="str">
        <f>IF(L381="","",IF(COUNTIF(L$10:L381,L381)=1,COUNTIF(L$10:L$609,"&lt;"&amp;L381)+1,""))</f>
        <v/>
      </c>
      <c r="N381" t="str">
        <f>IFERROR(INDEX(tblY10[Class],ROWS(N$10:N381))&amp;"","")</f>
        <v/>
      </c>
      <c r="O381" t="str">
        <f>IF(N381="","",IF(COUNTIF(N$10:N381,N381)=1,COUNTIF(N$10:N$609,"&lt;"&amp;N381)+1,""))</f>
        <v/>
      </c>
      <c r="P381" t="str">
        <f>IFERROR(INDEX(tblY11[Class],ROWS(P$10:P381))&amp;"","")</f>
        <v/>
      </c>
      <c r="Q381" t="str">
        <f>IF(P381="","",IF(COUNTIF(P$10:P381,P381)=1,COUNTIF(P$10:P$609,"&lt;"&amp;P381)+1,""))</f>
        <v/>
      </c>
      <c r="BA381" t="str">
        <f>IFERROR(INDEX(wLast,312)&amp;"","")</f>
        <v/>
      </c>
      <c r="BB381" t="str">
        <f>IF(BA381="","",IFERROR(INDEX(wFirst,312)&amp;"",""))</f>
        <v/>
      </c>
      <c r="BC381" t="str">
        <f>IF(BA381="","",IFERROR(INDEX(wClass,312)&amp;"",""))</f>
        <v/>
      </c>
      <c r="BD381" t="str">
        <f>IF(BA381="","",IFERROR(INDEX(wKsBand,312)+0,""))</f>
        <v/>
      </c>
      <c r="BE381" t="str">
        <f>IF(BA381="","",IFERROR(INDEX(wTests,312)+0,0))</f>
        <v/>
      </c>
      <c r="BF381" t="str">
        <f>IF(BA381="","",IFERROR(INDEX(wMean,312)+0,""))</f>
        <v/>
      </c>
      <c r="BG381" t="str">
        <f>IF(BA381="","",IFERROR(INDEX(wVs,312)+0,""))</f>
        <v/>
      </c>
      <c r="BH381" t="str">
        <f>IF(OR(BA381="",wLatest=""),"",IFERROR(INDEX(wData,312,MATCH(wLatest&amp;CHAR(10)&amp;"Stanine",wHdr,0))+0,""))</f>
        <v/>
      </c>
      <c r="BI381" t="str">
        <f>IF(BA381="","",IF(AND(ISNUMBER(BG381),N(BE381)&gt;=WlMinTests,BG381&lt;=-WlGap),"Below expected for KS2",IF(AND(NOT(ISNUMBER(BD381)),ISNUMBER(BF381),N(BE381)&gt;=WlMinTests,BF381&lt;=WlLowMean),"Low results, no KS2 data","")))</f>
        <v/>
      </c>
      <c r="BJ381" t="str">
        <f>IF(BI381="","",IF(BI381="Below expected for KS2",BG381,100+BF381)+ROW()/1000000)</f>
        <v/>
      </c>
    </row>
    <row r="382">
      <c r="H382" t="str">
        <f>IFERROR(INDEX(tblY7[Class],ROWS(H$10:H382))&amp;"","")</f>
        <v/>
      </c>
      <c r="I382" t="str">
        <f>IF(H382="","",IF(COUNTIF(H$10:H382,H382)=1,COUNTIF(H$10:H$609,"&lt;"&amp;H382)+1,""))</f>
        <v/>
      </c>
      <c r="J382" t="str">
        <f>IFERROR(INDEX(tblY8[Class],ROWS(J$10:J382))&amp;"","")</f>
        <v/>
      </c>
      <c r="K382" t="str">
        <f>IF(J382="","",IF(COUNTIF(J$10:J382,J382)=1,COUNTIF(J$10:J$609,"&lt;"&amp;J382)+1,""))</f>
        <v/>
      </c>
      <c r="L382" t="str">
        <f>IFERROR(INDEX(tblY9[Class],ROWS(L$10:L382))&amp;"","")</f>
        <v/>
      </c>
      <c r="M382" t="str">
        <f>IF(L382="","",IF(COUNTIF(L$10:L382,L382)=1,COUNTIF(L$10:L$609,"&lt;"&amp;L382)+1,""))</f>
        <v/>
      </c>
      <c r="N382" t="str">
        <f>IFERROR(INDEX(tblY10[Class],ROWS(N$10:N382))&amp;"","")</f>
        <v/>
      </c>
      <c r="O382" t="str">
        <f>IF(N382="","",IF(COUNTIF(N$10:N382,N382)=1,COUNTIF(N$10:N$609,"&lt;"&amp;N382)+1,""))</f>
        <v/>
      </c>
      <c r="P382" t="str">
        <f>IFERROR(INDEX(tblY11[Class],ROWS(P$10:P382))&amp;"","")</f>
        <v/>
      </c>
      <c r="Q382" t="str">
        <f>IF(P382="","",IF(COUNTIF(P$10:P382,P382)=1,COUNTIF(P$10:P$609,"&lt;"&amp;P382)+1,""))</f>
        <v/>
      </c>
      <c r="BA382" t="str">
        <f>IFERROR(INDEX(wLast,313)&amp;"","")</f>
        <v/>
      </c>
      <c r="BB382" t="str">
        <f>IF(BA382="","",IFERROR(INDEX(wFirst,313)&amp;"",""))</f>
        <v/>
      </c>
      <c r="BC382" t="str">
        <f>IF(BA382="","",IFERROR(INDEX(wClass,313)&amp;"",""))</f>
        <v/>
      </c>
      <c r="BD382" t="str">
        <f>IF(BA382="","",IFERROR(INDEX(wKsBand,313)+0,""))</f>
        <v/>
      </c>
      <c r="BE382" t="str">
        <f>IF(BA382="","",IFERROR(INDEX(wTests,313)+0,0))</f>
        <v/>
      </c>
      <c r="BF382" t="str">
        <f>IF(BA382="","",IFERROR(INDEX(wMean,313)+0,""))</f>
        <v/>
      </c>
      <c r="BG382" t="str">
        <f>IF(BA382="","",IFERROR(INDEX(wVs,313)+0,""))</f>
        <v/>
      </c>
      <c r="BH382" t="str">
        <f>IF(OR(BA382="",wLatest=""),"",IFERROR(INDEX(wData,313,MATCH(wLatest&amp;CHAR(10)&amp;"Stanine",wHdr,0))+0,""))</f>
        <v/>
      </c>
      <c r="BI382" t="str">
        <f>IF(BA382="","",IF(AND(ISNUMBER(BG382),N(BE382)&gt;=WlMinTests,BG382&lt;=-WlGap),"Below expected for KS2",IF(AND(NOT(ISNUMBER(BD382)),ISNUMBER(BF382),N(BE382)&gt;=WlMinTests,BF382&lt;=WlLowMean),"Low results, no KS2 data","")))</f>
        <v/>
      </c>
      <c r="BJ382" t="str">
        <f>IF(BI382="","",IF(BI382="Below expected for KS2",BG382,100+BF382)+ROW()/1000000)</f>
        <v/>
      </c>
    </row>
    <row r="383">
      <c r="H383" t="str">
        <f>IFERROR(INDEX(tblY7[Class],ROWS(H$10:H383))&amp;"","")</f>
        <v/>
      </c>
      <c r="I383" t="str">
        <f>IF(H383="","",IF(COUNTIF(H$10:H383,H383)=1,COUNTIF(H$10:H$609,"&lt;"&amp;H383)+1,""))</f>
        <v/>
      </c>
      <c r="J383" t="str">
        <f>IFERROR(INDEX(tblY8[Class],ROWS(J$10:J383))&amp;"","")</f>
        <v/>
      </c>
      <c r="K383" t="str">
        <f>IF(J383="","",IF(COUNTIF(J$10:J383,J383)=1,COUNTIF(J$10:J$609,"&lt;"&amp;J383)+1,""))</f>
        <v/>
      </c>
      <c r="L383" t="str">
        <f>IFERROR(INDEX(tblY9[Class],ROWS(L$10:L383))&amp;"","")</f>
        <v/>
      </c>
      <c r="M383" t="str">
        <f>IF(L383="","",IF(COUNTIF(L$10:L383,L383)=1,COUNTIF(L$10:L$609,"&lt;"&amp;L383)+1,""))</f>
        <v/>
      </c>
      <c r="N383" t="str">
        <f>IFERROR(INDEX(tblY10[Class],ROWS(N$10:N383))&amp;"","")</f>
        <v/>
      </c>
      <c r="O383" t="str">
        <f>IF(N383="","",IF(COUNTIF(N$10:N383,N383)=1,COUNTIF(N$10:N$609,"&lt;"&amp;N383)+1,""))</f>
        <v/>
      </c>
      <c r="P383" t="str">
        <f>IFERROR(INDEX(tblY11[Class],ROWS(P$10:P383))&amp;"","")</f>
        <v/>
      </c>
      <c r="Q383" t="str">
        <f>IF(P383="","",IF(COUNTIF(P$10:P383,P383)=1,COUNTIF(P$10:P$609,"&lt;"&amp;P383)+1,""))</f>
        <v/>
      </c>
      <c r="BA383" t="str">
        <f>IFERROR(INDEX(wLast,314)&amp;"","")</f>
        <v/>
      </c>
      <c r="BB383" t="str">
        <f>IF(BA383="","",IFERROR(INDEX(wFirst,314)&amp;"",""))</f>
        <v/>
      </c>
      <c r="BC383" t="str">
        <f>IF(BA383="","",IFERROR(INDEX(wClass,314)&amp;"",""))</f>
        <v/>
      </c>
      <c r="BD383" t="str">
        <f>IF(BA383="","",IFERROR(INDEX(wKsBand,314)+0,""))</f>
        <v/>
      </c>
      <c r="BE383" t="str">
        <f>IF(BA383="","",IFERROR(INDEX(wTests,314)+0,0))</f>
        <v/>
      </c>
      <c r="BF383" t="str">
        <f>IF(BA383="","",IFERROR(INDEX(wMean,314)+0,""))</f>
        <v/>
      </c>
      <c r="BG383" t="str">
        <f>IF(BA383="","",IFERROR(INDEX(wVs,314)+0,""))</f>
        <v/>
      </c>
      <c r="BH383" t="str">
        <f>IF(OR(BA383="",wLatest=""),"",IFERROR(INDEX(wData,314,MATCH(wLatest&amp;CHAR(10)&amp;"Stanine",wHdr,0))+0,""))</f>
        <v/>
      </c>
      <c r="BI383" t="str">
        <f>IF(BA383="","",IF(AND(ISNUMBER(BG383),N(BE383)&gt;=WlMinTests,BG383&lt;=-WlGap),"Below expected for KS2",IF(AND(NOT(ISNUMBER(BD383)),ISNUMBER(BF383),N(BE383)&gt;=WlMinTests,BF383&lt;=WlLowMean),"Low results, no KS2 data","")))</f>
        <v/>
      </c>
      <c r="BJ383" t="str">
        <f>IF(BI383="","",IF(BI383="Below expected for KS2",BG383,100+BF383)+ROW()/1000000)</f>
        <v/>
      </c>
    </row>
    <row r="384">
      <c r="H384" t="str">
        <f>IFERROR(INDEX(tblY7[Class],ROWS(H$10:H384))&amp;"","")</f>
        <v/>
      </c>
      <c r="I384" t="str">
        <f>IF(H384="","",IF(COUNTIF(H$10:H384,H384)=1,COUNTIF(H$10:H$609,"&lt;"&amp;H384)+1,""))</f>
        <v/>
      </c>
      <c r="J384" t="str">
        <f>IFERROR(INDEX(tblY8[Class],ROWS(J$10:J384))&amp;"","")</f>
        <v/>
      </c>
      <c r="K384" t="str">
        <f>IF(J384="","",IF(COUNTIF(J$10:J384,J384)=1,COUNTIF(J$10:J$609,"&lt;"&amp;J384)+1,""))</f>
        <v/>
      </c>
      <c r="L384" t="str">
        <f>IFERROR(INDEX(tblY9[Class],ROWS(L$10:L384))&amp;"","")</f>
        <v/>
      </c>
      <c r="M384" t="str">
        <f>IF(L384="","",IF(COUNTIF(L$10:L384,L384)=1,COUNTIF(L$10:L$609,"&lt;"&amp;L384)+1,""))</f>
        <v/>
      </c>
      <c r="N384" t="str">
        <f>IFERROR(INDEX(tblY10[Class],ROWS(N$10:N384))&amp;"","")</f>
        <v/>
      </c>
      <c r="O384" t="str">
        <f>IF(N384="","",IF(COUNTIF(N$10:N384,N384)=1,COUNTIF(N$10:N$609,"&lt;"&amp;N384)+1,""))</f>
        <v/>
      </c>
      <c r="P384" t="str">
        <f>IFERROR(INDEX(tblY11[Class],ROWS(P$10:P384))&amp;"","")</f>
        <v/>
      </c>
      <c r="Q384" t="str">
        <f>IF(P384="","",IF(COUNTIF(P$10:P384,P384)=1,COUNTIF(P$10:P$609,"&lt;"&amp;P384)+1,""))</f>
        <v/>
      </c>
      <c r="BA384" t="str">
        <f>IFERROR(INDEX(wLast,315)&amp;"","")</f>
        <v/>
      </c>
      <c r="BB384" t="str">
        <f>IF(BA384="","",IFERROR(INDEX(wFirst,315)&amp;"",""))</f>
        <v/>
      </c>
      <c r="BC384" t="str">
        <f>IF(BA384="","",IFERROR(INDEX(wClass,315)&amp;"",""))</f>
        <v/>
      </c>
      <c r="BD384" t="str">
        <f>IF(BA384="","",IFERROR(INDEX(wKsBand,315)+0,""))</f>
        <v/>
      </c>
      <c r="BE384" t="str">
        <f>IF(BA384="","",IFERROR(INDEX(wTests,315)+0,0))</f>
        <v/>
      </c>
      <c r="BF384" t="str">
        <f>IF(BA384="","",IFERROR(INDEX(wMean,315)+0,""))</f>
        <v/>
      </c>
      <c r="BG384" t="str">
        <f>IF(BA384="","",IFERROR(INDEX(wVs,315)+0,""))</f>
        <v/>
      </c>
      <c r="BH384" t="str">
        <f>IF(OR(BA384="",wLatest=""),"",IFERROR(INDEX(wData,315,MATCH(wLatest&amp;CHAR(10)&amp;"Stanine",wHdr,0))+0,""))</f>
        <v/>
      </c>
      <c r="BI384" t="str">
        <f>IF(BA384="","",IF(AND(ISNUMBER(BG384),N(BE384)&gt;=WlMinTests,BG384&lt;=-WlGap),"Below expected for KS2",IF(AND(NOT(ISNUMBER(BD384)),ISNUMBER(BF384),N(BE384)&gt;=WlMinTests,BF384&lt;=WlLowMean),"Low results, no KS2 data","")))</f>
        <v/>
      </c>
      <c r="BJ384" t="str">
        <f>IF(BI384="","",IF(BI384="Below expected for KS2",BG384,100+BF384)+ROW()/1000000)</f>
        <v/>
      </c>
    </row>
    <row r="385">
      <c r="H385" t="str">
        <f>IFERROR(INDEX(tblY7[Class],ROWS(H$10:H385))&amp;"","")</f>
        <v/>
      </c>
      <c r="I385" t="str">
        <f>IF(H385="","",IF(COUNTIF(H$10:H385,H385)=1,COUNTIF(H$10:H$609,"&lt;"&amp;H385)+1,""))</f>
        <v/>
      </c>
      <c r="J385" t="str">
        <f>IFERROR(INDEX(tblY8[Class],ROWS(J$10:J385))&amp;"","")</f>
        <v/>
      </c>
      <c r="K385" t="str">
        <f>IF(J385="","",IF(COUNTIF(J$10:J385,J385)=1,COUNTIF(J$10:J$609,"&lt;"&amp;J385)+1,""))</f>
        <v/>
      </c>
      <c r="L385" t="str">
        <f>IFERROR(INDEX(tblY9[Class],ROWS(L$10:L385))&amp;"","")</f>
        <v/>
      </c>
      <c r="M385" t="str">
        <f>IF(L385="","",IF(COUNTIF(L$10:L385,L385)=1,COUNTIF(L$10:L$609,"&lt;"&amp;L385)+1,""))</f>
        <v/>
      </c>
      <c r="N385" t="str">
        <f>IFERROR(INDEX(tblY10[Class],ROWS(N$10:N385))&amp;"","")</f>
        <v/>
      </c>
      <c r="O385" t="str">
        <f>IF(N385="","",IF(COUNTIF(N$10:N385,N385)=1,COUNTIF(N$10:N$609,"&lt;"&amp;N385)+1,""))</f>
        <v/>
      </c>
      <c r="P385" t="str">
        <f>IFERROR(INDEX(tblY11[Class],ROWS(P$10:P385))&amp;"","")</f>
        <v/>
      </c>
      <c r="Q385" t="str">
        <f>IF(P385="","",IF(COUNTIF(P$10:P385,P385)=1,COUNTIF(P$10:P$609,"&lt;"&amp;P385)+1,""))</f>
        <v/>
      </c>
      <c r="BA385" t="str">
        <f>IFERROR(INDEX(wLast,316)&amp;"","")</f>
        <v/>
      </c>
      <c r="BB385" t="str">
        <f>IF(BA385="","",IFERROR(INDEX(wFirst,316)&amp;"",""))</f>
        <v/>
      </c>
      <c r="BC385" t="str">
        <f>IF(BA385="","",IFERROR(INDEX(wClass,316)&amp;"",""))</f>
        <v/>
      </c>
      <c r="BD385" t="str">
        <f>IF(BA385="","",IFERROR(INDEX(wKsBand,316)+0,""))</f>
        <v/>
      </c>
      <c r="BE385" t="str">
        <f>IF(BA385="","",IFERROR(INDEX(wTests,316)+0,0))</f>
        <v/>
      </c>
      <c r="BF385" t="str">
        <f>IF(BA385="","",IFERROR(INDEX(wMean,316)+0,""))</f>
        <v/>
      </c>
      <c r="BG385" t="str">
        <f>IF(BA385="","",IFERROR(INDEX(wVs,316)+0,""))</f>
        <v/>
      </c>
      <c r="BH385" t="str">
        <f>IF(OR(BA385="",wLatest=""),"",IFERROR(INDEX(wData,316,MATCH(wLatest&amp;CHAR(10)&amp;"Stanine",wHdr,0))+0,""))</f>
        <v/>
      </c>
      <c r="BI385" t="str">
        <f>IF(BA385="","",IF(AND(ISNUMBER(BG385),N(BE385)&gt;=WlMinTests,BG385&lt;=-WlGap),"Below expected for KS2",IF(AND(NOT(ISNUMBER(BD385)),ISNUMBER(BF385),N(BE385)&gt;=WlMinTests,BF385&lt;=WlLowMean),"Low results, no KS2 data","")))</f>
        <v/>
      </c>
      <c r="BJ385" t="str">
        <f>IF(BI385="","",IF(BI385="Below expected for KS2",BG385,100+BF385)+ROW()/1000000)</f>
        <v/>
      </c>
    </row>
    <row r="386">
      <c r="H386" t="str">
        <f>IFERROR(INDEX(tblY7[Class],ROWS(H$10:H386))&amp;"","")</f>
        <v/>
      </c>
      <c r="I386" t="str">
        <f>IF(H386="","",IF(COUNTIF(H$10:H386,H386)=1,COUNTIF(H$10:H$609,"&lt;"&amp;H386)+1,""))</f>
        <v/>
      </c>
      <c r="J386" t="str">
        <f>IFERROR(INDEX(tblY8[Class],ROWS(J$10:J386))&amp;"","")</f>
        <v/>
      </c>
      <c r="K386" t="str">
        <f>IF(J386="","",IF(COUNTIF(J$10:J386,J386)=1,COUNTIF(J$10:J$609,"&lt;"&amp;J386)+1,""))</f>
        <v/>
      </c>
      <c r="L386" t="str">
        <f>IFERROR(INDEX(tblY9[Class],ROWS(L$10:L386))&amp;"","")</f>
        <v/>
      </c>
      <c r="M386" t="str">
        <f>IF(L386="","",IF(COUNTIF(L$10:L386,L386)=1,COUNTIF(L$10:L$609,"&lt;"&amp;L386)+1,""))</f>
        <v/>
      </c>
      <c r="N386" t="str">
        <f>IFERROR(INDEX(tblY10[Class],ROWS(N$10:N386))&amp;"","")</f>
        <v/>
      </c>
      <c r="O386" t="str">
        <f>IF(N386="","",IF(COUNTIF(N$10:N386,N386)=1,COUNTIF(N$10:N$609,"&lt;"&amp;N386)+1,""))</f>
        <v/>
      </c>
      <c r="P386" t="str">
        <f>IFERROR(INDEX(tblY11[Class],ROWS(P$10:P386))&amp;"","")</f>
        <v/>
      </c>
      <c r="Q386" t="str">
        <f>IF(P386="","",IF(COUNTIF(P$10:P386,P386)=1,COUNTIF(P$10:P$609,"&lt;"&amp;P386)+1,""))</f>
        <v/>
      </c>
      <c r="BA386" t="str">
        <f>IFERROR(INDEX(wLast,317)&amp;"","")</f>
        <v/>
      </c>
      <c r="BB386" t="str">
        <f>IF(BA386="","",IFERROR(INDEX(wFirst,317)&amp;"",""))</f>
        <v/>
      </c>
      <c r="BC386" t="str">
        <f>IF(BA386="","",IFERROR(INDEX(wClass,317)&amp;"",""))</f>
        <v/>
      </c>
      <c r="BD386" t="str">
        <f>IF(BA386="","",IFERROR(INDEX(wKsBand,317)+0,""))</f>
        <v/>
      </c>
      <c r="BE386" t="str">
        <f>IF(BA386="","",IFERROR(INDEX(wTests,317)+0,0))</f>
        <v/>
      </c>
      <c r="BF386" t="str">
        <f>IF(BA386="","",IFERROR(INDEX(wMean,317)+0,""))</f>
        <v/>
      </c>
      <c r="BG386" t="str">
        <f>IF(BA386="","",IFERROR(INDEX(wVs,317)+0,""))</f>
        <v/>
      </c>
      <c r="BH386" t="str">
        <f>IF(OR(BA386="",wLatest=""),"",IFERROR(INDEX(wData,317,MATCH(wLatest&amp;CHAR(10)&amp;"Stanine",wHdr,0))+0,""))</f>
        <v/>
      </c>
      <c r="BI386" t="str">
        <f>IF(BA386="","",IF(AND(ISNUMBER(BG386),N(BE386)&gt;=WlMinTests,BG386&lt;=-WlGap),"Below expected for KS2",IF(AND(NOT(ISNUMBER(BD386)),ISNUMBER(BF386),N(BE386)&gt;=WlMinTests,BF386&lt;=WlLowMean),"Low results, no KS2 data","")))</f>
        <v/>
      </c>
      <c r="BJ386" t="str">
        <f>IF(BI386="","",IF(BI386="Below expected for KS2",BG386,100+BF386)+ROW()/1000000)</f>
        <v/>
      </c>
    </row>
    <row r="387">
      <c r="H387" t="str">
        <f>IFERROR(INDEX(tblY7[Class],ROWS(H$10:H387))&amp;"","")</f>
        <v/>
      </c>
      <c r="I387" t="str">
        <f>IF(H387="","",IF(COUNTIF(H$10:H387,H387)=1,COUNTIF(H$10:H$609,"&lt;"&amp;H387)+1,""))</f>
        <v/>
      </c>
      <c r="J387" t="str">
        <f>IFERROR(INDEX(tblY8[Class],ROWS(J$10:J387))&amp;"","")</f>
        <v/>
      </c>
      <c r="K387" t="str">
        <f>IF(J387="","",IF(COUNTIF(J$10:J387,J387)=1,COUNTIF(J$10:J$609,"&lt;"&amp;J387)+1,""))</f>
        <v/>
      </c>
      <c r="L387" t="str">
        <f>IFERROR(INDEX(tblY9[Class],ROWS(L$10:L387))&amp;"","")</f>
        <v/>
      </c>
      <c r="M387" t="str">
        <f>IF(L387="","",IF(COUNTIF(L$10:L387,L387)=1,COUNTIF(L$10:L$609,"&lt;"&amp;L387)+1,""))</f>
        <v/>
      </c>
      <c r="N387" t="str">
        <f>IFERROR(INDEX(tblY10[Class],ROWS(N$10:N387))&amp;"","")</f>
        <v/>
      </c>
      <c r="O387" t="str">
        <f>IF(N387="","",IF(COUNTIF(N$10:N387,N387)=1,COUNTIF(N$10:N$609,"&lt;"&amp;N387)+1,""))</f>
        <v/>
      </c>
      <c r="P387" t="str">
        <f>IFERROR(INDEX(tblY11[Class],ROWS(P$10:P387))&amp;"","")</f>
        <v/>
      </c>
      <c r="Q387" t="str">
        <f>IF(P387="","",IF(COUNTIF(P$10:P387,P387)=1,COUNTIF(P$10:P$609,"&lt;"&amp;P387)+1,""))</f>
        <v/>
      </c>
      <c r="BA387" t="str">
        <f>IFERROR(INDEX(wLast,318)&amp;"","")</f>
        <v/>
      </c>
      <c r="BB387" t="str">
        <f>IF(BA387="","",IFERROR(INDEX(wFirst,318)&amp;"",""))</f>
        <v/>
      </c>
      <c r="BC387" t="str">
        <f>IF(BA387="","",IFERROR(INDEX(wClass,318)&amp;"",""))</f>
        <v/>
      </c>
      <c r="BD387" t="str">
        <f>IF(BA387="","",IFERROR(INDEX(wKsBand,318)+0,""))</f>
        <v/>
      </c>
      <c r="BE387" t="str">
        <f>IF(BA387="","",IFERROR(INDEX(wTests,318)+0,0))</f>
        <v/>
      </c>
      <c r="BF387" t="str">
        <f>IF(BA387="","",IFERROR(INDEX(wMean,318)+0,""))</f>
        <v/>
      </c>
      <c r="BG387" t="str">
        <f>IF(BA387="","",IFERROR(INDEX(wVs,318)+0,""))</f>
        <v/>
      </c>
      <c r="BH387" t="str">
        <f>IF(OR(BA387="",wLatest=""),"",IFERROR(INDEX(wData,318,MATCH(wLatest&amp;CHAR(10)&amp;"Stanine",wHdr,0))+0,""))</f>
        <v/>
      </c>
      <c r="BI387" t="str">
        <f>IF(BA387="","",IF(AND(ISNUMBER(BG387),N(BE387)&gt;=WlMinTests,BG387&lt;=-WlGap),"Below expected for KS2",IF(AND(NOT(ISNUMBER(BD387)),ISNUMBER(BF387),N(BE387)&gt;=WlMinTests,BF387&lt;=WlLowMean),"Low results, no KS2 data","")))</f>
        <v/>
      </c>
      <c r="BJ387" t="str">
        <f>IF(BI387="","",IF(BI387="Below expected for KS2",BG387,100+BF387)+ROW()/1000000)</f>
        <v/>
      </c>
    </row>
    <row r="388">
      <c r="H388" t="str">
        <f>IFERROR(INDEX(tblY7[Class],ROWS(H$10:H388))&amp;"","")</f>
        <v/>
      </c>
      <c r="I388" t="str">
        <f>IF(H388="","",IF(COUNTIF(H$10:H388,H388)=1,COUNTIF(H$10:H$609,"&lt;"&amp;H388)+1,""))</f>
        <v/>
      </c>
      <c r="J388" t="str">
        <f>IFERROR(INDEX(tblY8[Class],ROWS(J$10:J388))&amp;"","")</f>
        <v/>
      </c>
      <c r="K388" t="str">
        <f>IF(J388="","",IF(COUNTIF(J$10:J388,J388)=1,COUNTIF(J$10:J$609,"&lt;"&amp;J388)+1,""))</f>
        <v/>
      </c>
      <c r="L388" t="str">
        <f>IFERROR(INDEX(tblY9[Class],ROWS(L$10:L388))&amp;"","")</f>
        <v/>
      </c>
      <c r="M388" t="str">
        <f>IF(L388="","",IF(COUNTIF(L$10:L388,L388)=1,COUNTIF(L$10:L$609,"&lt;"&amp;L388)+1,""))</f>
        <v/>
      </c>
      <c r="N388" t="str">
        <f>IFERROR(INDEX(tblY10[Class],ROWS(N$10:N388))&amp;"","")</f>
        <v/>
      </c>
      <c r="O388" t="str">
        <f>IF(N388="","",IF(COUNTIF(N$10:N388,N388)=1,COUNTIF(N$10:N$609,"&lt;"&amp;N388)+1,""))</f>
        <v/>
      </c>
      <c r="P388" t="str">
        <f>IFERROR(INDEX(tblY11[Class],ROWS(P$10:P388))&amp;"","")</f>
        <v/>
      </c>
      <c r="Q388" t="str">
        <f>IF(P388="","",IF(COUNTIF(P$10:P388,P388)=1,COUNTIF(P$10:P$609,"&lt;"&amp;P388)+1,""))</f>
        <v/>
      </c>
      <c r="BA388" t="str">
        <f>IFERROR(INDEX(wLast,319)&amp;"","")</f>
        <v/>
      </c>
      <c r="BB388" t="str">
        <f>IF(BA388="","",IFERROR(INDEX(wFirst,319)&amp;"",""))</f>
        <v/>
      </c>
      <c r="BC388" t="str">
        <f>IF(BA388="","",IFERROR(INDEX(wClass,319)&amp;"",""))</f>
        <v/>
      </c>
      <c r="BD388" t="str">
        <f>IF(BA388="","",IFERROR(INDEX(wKsBand,319)+0,""))</f>
        <v/>
      </c>
      <c r="BE388" t="str">
        <f>IF(BA388="","",IFERROR(INDEX(wTests,319)+0,0))</f>
        <v/>
      </c>
      <c r="BF388" t="str">
        <f>IF(BA388="","",IFERROR(INDEX(wMean,319)+0,""))</f>
        <v/>
      </c>
      <c r="BG388" t="str">
        <f>IF(BA388="","",IFERROR(INDEX(wVs,319)+0,""))</f>
        <v/>
      </c>
      <c r="BH388" t="str">
        <f>IF(OR(BA388="",wLatest=""),"",IFERROR(INDEX(wData,319,MATCH(wLatest&amp;CHAR(10)&amp;"Stanine",wHdr,0))+0,""))</f>
        <v/>
      </c>
      <c r="BI388" t="str">
        <f>IF(BA388="","",IF(AND(ISNUMBER(BG388),N(BE388)&gt;=WlMinTests,BG388&lt;=-WlGap),"Below expected for KS2",IF(AND(NOT(ISNUMBER(BD388)),ISNUMBER(BF388),N(BE388)&gt;=WlMinTests,BF388&lt;=WlLowMean),"Low results, no KS2 data","")))</f>
        <v/>
      </c>
      <c r="BJ388" t="str">
        <f>IF(BI388="","",IF(BI388="Below expected for KS2",BG388,100+BF388)+ROW()/1000000)</f>
        <v/>
      </c>
    </row>
    <row r="389">
      <c r="H389" t="str">
        <f>IFERROR(INDEX(tblY7[Class],ROWS(H$10:H389))&amp;"","")</f>
        <v/>
      </c>
      <c r="I389" t="str">
        <f>IF(H389="","",IF(COUNTIF(H$10:H389,H389)=1,COUNTIF(H$10:H$609,"&lt;"&amp;H389)+1,""))</f>
        <v/>
      </c>
      <c r="J389" t="str">
        <f>IFERROR(INDEX(tblY8[Class],ROWS(J$10:J389))&amp;"","")</f>
        <v/>
      </c>
      <c r="K389" t="str">
        <f>IF(J389="","",IF(COUNTIF(J$10:J389,J389)=1,COUNTIF(J$10:J$609,"&lt;"&amp;J389)+1,""))</f>
        <v/>
      </c>
      <c r="L389" t="str">
        <f>IFERROR(INDEX(tblY9[Class],ROWS(L$10:L389))&amp;"","")</f>
        <v/>
      </c>
      <c r="M389" t="str">
        <f>IF(L389="","",IF(COUNTIF(L$10:L389,L389)=1,COUNTIF(L$10:L$609,"&lt;"&amp;L389)+1,""))</f>
        <v/>
      </c>
      <c r="N389" t="str">
        <f>IFERROR(INDEX(tblY10[Class],ROWS(N$10:N389))&amp;"","")</f>
        <v/>
      </c>
      <c r="O389" t="str">
        <f>IF(N389="","",IF(COUNTIF(N$10:N389,N389)=1,COUNTIF(N$10:N$609,"&lt;"&amp;N389)+1,""))</f>
        <v/>
      </c>
      <c r="P389" t="str">
        <f>IFERROR(INDEX(tblY11[Class],ROWS(P$10:P389))&amp;"","")</f>
        <v/>
      </c>
      <c r="Q389" t="str">
        <f>IF(P389="","",IF(COUNTIF(P$10:P389,P389)=1,COUNTIF(P$10:P$609,"&lt;"&amp;P389)+1,""))</f>
        <v/>
      </c>
      <c r="BA389" t="str">
        <f>IFERROR(INDEX(wLast,320)&amp;"","")</f>
        <v/>
      </c>
      <c r="BB389" t="str">
        <f>IF(BA389="","",IFERROR(INDEX(wFirst,320)&amp;"",""))</f>
        <v/>
      </c>
      <c r="BC389" t="str">
        <f>IF(BA389="","",IFERROR(INDEX(wClass,320)&amp;"",""))</f>
        <v/>
      </c>
      <c r="BD389" t="str">
        <f>IF(BA389="","",IFERROR(INDEX(wKsBand,320)+0,""))</f>
        <v/>
      </c>
      <c r="BE389" t="str">
        <f>IF(BA389="","",IFERROR(INDEX(wTests,320)+0,0))</f>
        <v/>
      </c>
      <c r="BF389" t="str">
        <f>IF(BA389="","",IFERROR(INDEX(wMean,320)+0,""))</f>
        <v/>
      </c>
      <c r="BG389" t="str">
        <f>IF(BA389="","",IFERROR(INDEX(wVs,320)+0,""))</f>
        <v/>
      </c>
      <c r="BH389" t="str">
        <f>IF(OR(BA389="",wLatest=""),"",IFERROR(INDEX(wData,320,MATCH(wLatest&amp;CHAR(10)&amp;"Stanine",wHdr,0))+0,""))</f>
        <v/>
      </c>
      <c r="BI389" t="str">
        <f>IF(BA389="","",IF(AND(ISNUMBER(BG389),N(BE389)&gt;=WlMinTests,BG389&lt;=-WlGap),"Below expected for KS2",IF(AND(NOT(ISNUMBER(BD389)),ISNUMBER(BF389),N(BE389)&gt;=WlMinTests,BF389&lt;=WlLowMean),"Low results, no KS2 data","")))</f>
        <v/>
      </c>
      <c r="BJ389" t="str">
        <f>IF(BI389="","",IF(BI389="Below expected for KS2",BG389,100+BF389)+ROW()/1000000)</f>
        <v/>
      </c>
    </row>
    <row r="390">
      <c r="H390" t="str">
        <f>IFERROR(INDEX(tblY7[Class],ROWS(H$10:H390))&amp;"","")</f>
        <v/>
      </c>
      <c r="I390" t="str">
        <f>IF(H390="","",IF(COUNTIF(H$10:H390,H390)=1,COUNTIF(H$10:H$609,"&lt;"&amp;H390)+1,""))</f>
        <v/>
      </c>
      <c r="J390" t="str">
        <f>IFERROR(INDEX(tblY8[Class],ROWS(J$10:J390))&amp;"","")</f>
        <v/>
      </c>
      <c r="K390" t="str">
        <f>IF(J390="","",IF(COUNTIF(J$10:J390,J390)=1,COUNTIF(J$10:J$609,"&lt;"&amp;J390)+1,""))</f>
        <v/>
      </c>
      <c r="L390" t="str">
        <f>IFERROR(INDEX(tblY9[Class],ROWS(L$10:L390))&amp;"","")</f>
        <v/>
      </c>
      <c r="M390" t="str">
        <f>IF(L390="","",IF(COUNTIF(L$10:L390,L390)=1,COUNTIF(L$10:L$609,"&lt;"&amp;L390)+1,""))</f>
        <v/>
      </c>
      <c r="N390" t="str">
        <f>IFERROR(INDEX(tblY10[Class],ROWS(N$10:N390))&amp;"","")</f>
        <v/>
      </c>
      <c r="O390" t="str">
        <f>IF(N390="","",IF(COUNTIF(N$10:N390,N390)=1,COUNTIF(N$10:N$609,"&lt;"&amp;N390)+1,""))</f>
        <v/>
      </c>
      <c r="P390" t="str">
        <f>IFERROR(INDEX(tblY11[Class],ROWS(P$10:P390))&amp;"","")</f>
        <v/>
      </c>
      <c r="Q390" t="str">
        <f>IF(P390="","",IF(COUNTIF(P$10:P390,P390)=1,COUNTIF(P$10:P$609,"&lt;"&amp;P390)+1,""))</f>
        <v/>
      </c>
      <c r="BA390" t="str">
        <f>IFERROR(INDEX(wLast,321)&amp;"","")</f>
        <v/>
      </c>
      <c r="BB390" t="str">
        <f>IF(BA390="","",IFERROR(INDEX(wFirst,321)&amp;"",""))</f>
        <v/>
      </c>
      <c r="BC390" t="str">
        <f>IF(BA390="","",IFERROR(INDEX(wClass,321)&amp;"",""))</f>
        <v/>
      </c>
      <c r="BD390" t="str">
        <f>IF(BA390="","",IFERROR(INDEX(wKsBand,321)+0,""))</f>
        <v/>
      </c>
      <c r="BE390" t="str">
        <f>IF(BA390="","",IFERROR(INDEX(wTests,321)+0,0))</f>
        <v/>
      </c>
      <c r="BF390" t="str">
        <f>IF(BA390="","",IFERROR(INDEX(wMean,321)+0,""))</f>
        <v/>
      </c>
      <c r="BG390" t="str">
        <f>IF(BA390="","",IFERROR(INDEX(wVs,321)+0,""))</f>
        <v/>
      </c>
      <c r="BH390" t="str">
        <f>IF(OR(BA390="",wLatest=""),"",IFERROR(INDEX(wData,321,MATCH(wLatest&amp;CHAR(10)&amp;"Stanine",wHdr,0))+0,""))</f>
        <v/>
      </c>
      <c r="BI390" t="str">
        <f>IF(BA390="","",IF(AND(ISNUMBER(BG390),N(BE390)&gt;=WlMinTests,BG390&lt;=-WlGap),"Below expected for KS2",IF(AND(NOT(ISNUMBER(BD390)),ISNUMBER(BF390),N(BE390)&gt;=WlMinTests,BF390&lt;=WlLowMean),"Low results, no KS2 data","")))</f>
        <v/>
      </c>
      <c r="BJ390" t="str">
        <f>IF(BI390="","",IF(BI390="Below expected for KS2",BG390,100+BF390)+ROW()/1000000)</f>
        <v/>
      </c>
    </row>
    <row r="391">
      <c r="H391" t="str">
        <f>IFERROR(INDEX(tblY7[Class],ROWS(H$10:H391))&amp;"","")</f>
        <v/>
      </c>
      <c r="I391" t="str">
        <f>IF(H391="","",IF(COUNTIF(H$10:H391,H391)=1,COUNTIF(H$10:H$609,"&lt;"&amp;H391)+1,""))</f>
        <v/>
      </c>
      <c r="J391" t="str">
        <f>IFERROR(INDEX(tblY8[Class],ROWS(J$10:J391))&amp;"","")</f>
        <v/>
      </c>
      <c r="K391" t="str">
        <f>IF(J391="","",IF(COUNTIF(J$10:J391,J391)=1,COUNTIF(J$10:J$609,"&lt;"&amp;J391)+1,""))</f>
        <v/>
      </c>
      <c r="L391" t="str">
        <f>IFERROR(INDEX(tblY9[Class],ROWS(L$10:L391))&amp;"","")</f>
        <v/>
      </c>
      <c r="M391" t="str">
        <f>IF(L391="","",IF(COUNTIF(L$10:L391,L391)=1,COUNTIF(L$10:L$609,"&lt;"&amp;L391)+1,""))</f>
        <v/>
      </c>
      <c r="N391" t="str">
        <f>IFERROR(INDEX(tblY10[Class],ROWS(N$10:N391))&amp;"","")</f>
        <v/>
      </c>
      <c r="O391" t="str">
        <f>IF(N391="","",IF(COUNTIF(N$10:N391,N391)=1,COUNTIF(N$10:N$609,"&lt;"&amp;N391)+1,""))</f>
        <v/>
      </c>
      <c r="P391" t="str">
        <f>IFERROR(INDEX(tblY11[Class],ROWS(P$10:P391))&amp;"","")</f>
        <v/>
      </c>
      <c r="Q391" t="str">
        <f>IF(P391="","",IF(COUNTIF(P$10:P391,P391)=1,COUNTIF(P$10:P$609,"&lt;"&amp;P391)+1,""))</f>
        <v/>
      </c>
      <c r="BA391" t="str">
        <f>IFERROR(INDEX(wLast,322)&amp;"","")</f>
        <v/>
      </c>
      <c r="BB391" t="str">
        <f>IF(BA391="","",IFERROR(INDEX(wFirst,322)&amp;"",""))</f>
        <v/>
      </c>
      <c r="BC391" t="str">
        <f>IF(BA391="","",IFERROR(INDEX(wClass,322)&amp;"",""))</f>
        <v/>
      </c>
      <c r="BD391" t="str">
        <f>IF(BA391="","",IFERROR(INDEX(wKsBand,322)+0,""))</f>
        <v/>
      </c>
      <c r="BE391" t="str">
        <f>IF(BA391="","",IFERROR(INDEX(wTests,322)+0,0))</f>
        <v/>
      </c>
      <c r="BF391" t="str">
        <f>IF(BA391="","",IFERROR(INDEX(wMean,322)+0,""))</f>
        <v/>
      </c>
      <c r="BG391" t="str">
        <f>IF(BA391="","",IFERROR(INDEX(wVs,322)+0,""))</f>
        <v/>
      </c>
      <c r="BH391" t="str">
        <f>IF(OR(BA391="",wLatest=""),"",IFERROR(INDEX(wData,322,MATCH(wLatest&amp;CHAR(10)&amp;"Stanine",wHdr,0))+0,""))</f>
        <v/>
      </c>
      <c r="BI391" t="str">
        <f>IF(BA391="","",IF(AND(ISNUMBER(BG391),N(BE391)&gt;=WlMinTests,BG391&lt;=-WlGap),"Below expected for KS2",IF(AND(NOT(ISNUMBER(BD391)),ISNUMBER(BF391),N(BE391)&gt;=WlMinTests,BF391&lt;=WlLowMean),"Low results, no KS2 data","")))</f>
        <v/>
      </c>
      <c r="BJ391" t="str">
        <f>IF(BI391="","",IF(BI391="Below expected for KS2",BG391,100+BF391)+ROW()/1000000)</f>
        <v/>
      </c>
    </row>
    <row r="392">
      <c r="H392" t="str">
        <f>IFERROR(INDEX(tblY7[Class],ROWS(H$10:H392))&amp;"","")</f>
        <v/>
      </c>
      <c r="I392" t="str">
        <f>IF(H392="","",IF(COUNTIF(H$10:H392,H392)=1,COUNTIF(H$10:H$609,"&lt;"&amp;H392)+1,""))</f>
        <v/>
      </c>
      <c r="J392" t="str">
        <f>IFERROR(INDEX(tblY8[Class],ROWS(J$10:J392))&amp;"","")</f>
        <v/>
      </c>
      <c r="K392" t="str">
        <f>IF(J392="","",IF(COUNTIF(J$10:J392,J392)=1,COUNTIF(J$10:J$609,"&lt;"&amp;J392)+1,""))</f>
        <v/>
      </c>
      <c r="L392" t="str">
        <f>IFERROR(INDEX(tblY9[Class],ROWS(L$10:L392))&amp;"","")</f>
        <v/>
      </c>
      <c r="M392" t="str">
        <f>IF(L392="","",IF(COUNTIF(L$10:L392,L392)=1,COUNTIF(L$10:L$609,"&lt;"&amp;L392)+1,""))</f>
        <v/>
      </c>
      <c r="N392" t="str">
        <f>IFERROR(INDEX(tblY10[Class],ROWS(N$10:N392))&amp;"","")</f>
        <v/>
      </c>
      <c r="O392" t="str">
        <f>IF(N392="","",IF(COUNTIF(N$10:N392,N392)=1,COUNTIF(N$10:N$609,"&lt;"&amp;N392)+1,""))</f>
        <v/>
      </c>
      <c r="P392" t="str">
        <f>IFERROR(INDEX(tblY11[Class],ROWS(P$10:P392))&amp;"","")</f>
        <v/>
      </c>
      <c r="Q392" t="str">
        <f>IF(P392="","",IF(COUNTIF(P$10:P392,P392)=1,COUNTIF(P$10:P$609,"&lt;"&amp;P392)+1,""))</f>
        <v/>
      </c>
      <c r="BA392" t="str">
        <f>IFERROR(INDEX(wLast,323)&amp;"","")</f>
        <v/>
      </c>
      <c r="BB392" t="str">
        <f>IF(BA392="","",IFERROR(INDEX(wFirst,323)&amp;"",""))</f>
        <v/>
      </c>
      <c r="BC392" t="str">
        <f>IF(BA392="","",IFERROR(INDEX(wClass,323)&amp;"",""))</f>
        <v/>
      </c>
      <c r="BD392" t="str">
        <f>IF(BA392="","",IFERROR(INDEX(wKsBand,323)+0,""))</f>
        <v/>
      </c>
      <c r="BE392" t="str">
        <f>IF(BA392="","",IFERROR(INDEX(wTests,323)+0,0))</f>
        <v/>
      </c>
      <c r="BF392" t="str">
        <f>IF(BA392="","",IFERROR(INDEX(wMean,323)+0,""))</f>
        <v/>
      </c>
      <c r="BG392" t="str">
        <f>IF(BA392="","",IFERROR(INDEX(wVs,323)+0,""))</f>
        <v/>
      </c>
      <c r="BH392" t="str">
        <f>IF(OR(BA392="",wLatest=""),"",IFERROR(INDEX(wData,323,MATCH(wLatest&amp;CHAR(10)&amp;"Stanine",wHdr,0))+0,""))</f>
        <v/>
      </c>
      <c r="BI392" t="str">
        <f>IF(BA392="","",IF(AND(ISNUMBER(BG392),N(BE392)&gt;=WlMinTests,BG392&lt;=-WlGap),"Below expected for KS2",IF(AND(NOT(ISNUMBER(BD392)),ISNUMBER(BF392),N(BE392)&gt;=WlMinTests,BF392&lt;=WlLowMean),"Low results, no KS2 data","")))</f>
        <v/>
      </c>
      <c r="BJ392" t="str">
        <f>IF(BI392="","",IF(BI392="Below expected for KS2",BG392,100+BF392)+ROW()/1000000)</f>
        <v/>
      </c>
    </row>
    <row r="393">
      <c r="H393" t="str">
        <f>IFERROR(INDEX(tblY7[Class],ROWS(H$10:H393))&amp;"","")</f>
        <v/>
      </c>
      <c r="I393" t="str">
        <f>IF(H393="","",IF(COUNTIF(H$10:H393,H393)=1,COUNTIF(H$10:H$609,"&lt;"&amp;H393)+1,""))</f>
        <v/>
      </c>
      <c r="J393" t="str">
        <f>IFERROR(INDEX(tblY8[Class],ROWS(J$10:J393))&amp;"","")</f>
        <v/>
      </c>
      <c r="K393" t="str">
        <f>IF(J393="","",IF(COUNTIF(J$10:J393,J393)=1,COUNTIF(J$10:J$609,"&lt;"&amp;J393)+1,""))</f>
        <v/>
      </c>
      <c r="L393" t="str">
        <f>IFERROR(INDEX(tblY9[Class],ROWS(L$10:L393))&amp;"","")</f>
        <v/>
      </c>
      <c r="M393" t="str">
        <f>IF(L393="","",IF(COUNTIF(L$10:L393,L393)=1,COUNTIF(L$10:L$609,"&lt;"&amp;L393)+1,""))</f>
        <v/>
      </c>
      <c r="N393" t="str">
        <f>IFERROR(INDEX(tblY10[Class],ROWS(N$10:N393))&amp;"","")</f>
        <v/>
      </c>
      <c r="O393" t="str">
        <f>IF(N393="","",IF(COUNTIF(N$10:N393,N393)=1,COUNTIF(N$10:N$609,"&lt;"&amp;N393)+1,""))</f>
        <v/>
      </c>
      <c r="P393" t="str">
        <f>IFERROR(INDEX(tblY11[Class],ROWS(P$10:P393))&amp;"","")</f>
        <v/>
      </c>
      <c r="Q393" t="str">
        <f>IF(P393="","",IF(COUNTIF(P$10:P393,P393)=1,COUNTIF(P$10:P$609,"&lt;"&amp;P393)+1,""))</f>
        <v/>
      </c>
      <c r="BA393" t="str">
        <f>IFERROR(INDEX(wLast,324)&amp;"","")</f>
        <v/>
      </c>
      <c r="BB393" t="str">
        <f>IF(BA393="","",IFERROR(INDEX(wFirst,324)&amp;"",""))</f>
        <v/>
      </c>
      <c r="BC393" t="str">
        <f>IF(BA393="","",IFERROR(INDEX(wClass,324)&amp;"",""))</f>
        <v/>
      </c>
      <c r="BD393" t="str">
        <f>IF(BA393="","",IFERROR(INDEX(wKsBand,324)+0,""))</f>
        <v/>
      </c>
      <c r="BE393" t="str">
        <f>IF(BA393="","",IFERROR(INDEX(wTests,324)+0,0))</f>
        <v/>
      </c>
      <c r="BF393" t="str">
        <f>IF(BA393="","",IFERROR(INDEX(wMean,324)+0,""))</f>
        <v/>
      </c>
      <c r="BG393" t="str">
        <f>IF(BA393="","",IFERROR(INDEX(wVs,324)+0,""))</f>
        <v/>
      </c>
      <c r="BH393" t="str">
        <f>IF(OR(BA393="",wLatest=""),"",IFERROR(INDEX(wData,324,MATCH(wLatest&amp;CHAR(10)&amp;"Stanine",wHdr,0))+0,""))</f>
        <v/>
      </c>
      <c r="BI393" t="str">
        <f>IF(BA393="","",IF(AND(ISNUMBER(BG393),N(BE393)&gt;=WlMinTests,BG393&lt;=-WlGap),"Below expected for KS2",IF(AND(NOT(ISNUMBER(BD393)),ISNUMBER(BF393),N(BE393)&gt;=WlMinTests,BF393&lt;=WlLowMean),"Low results, no KS2 data","")))</f>
        <v/>
      </c>
      <c r="BJ393" t="str">
        <f>IF(BI393="","",IF(BI393="Below expected for KS2",BG393,100+BF393)+ROW()/1000000)</f>
        <v/>
      </c>
    </row>
    <row r="394">
      <c r="H394" t="str">
        <f>IFERROR(INDEX(tblY7[Class],ROWS(H$10:H394))&amp;"","")</f>
        <v/>
      </c>
      <c r="I394" t="str">
        <f>IF(H394="","",IF(COUNTIF(H$10:H394,H394)=1,COUNTIF(H$10:H$609,"&lt;"&amp;H394)+1,""))</f>
        <v/>
      </c>
      <c r="J394" t="str">
        <f>IFERROR(INDEX(tblY8[Class],ROWS(J$10:J394))&amp;"","")</f>
        <v/>
      </c>
      <c r="K394" t="str">
        <f>IF(J394="","",IF(COUNTIF(J$10:J394,J394)=1,COUNTIF(J$10:J$609,"&lt;"&amp;J394)+1,""))</f>
        <v/>
      </c>
      <c r="L394" t="str">
        <f>IFERROR(INDEX(tblY9[Class],ROWS(L$10:L394))&amp;"","")</f>
        <v/>
      </c>
      <c r="M394" t="str">
        <f>IF(L394="","",IF(COUNTIF(L$10:L394,L394)=1,COUNTIF(L$10:L$609,"&lt;"&amp;L394)+1,""))</f>
        <v/>
      </c>
      <c r="N394" t="str">
        <f>IFERROR(INDEX(tblY10[Class],ROWS(N$10:N394))&amp;"","")</f>
        <v/>
      </c>
      <c r="O394" t="str">
        <f>IF(N394="","",IF(COUNTIF(N$10:N394,N394)=1,COUNTIF(N$10:N$609,"&lt;"&amp;N394)+1,""))</f>
        <v/>
      </c>
      <c r="P394" t="str">
        <f>IFERROR(INDEX(tblY11[Class],ROWS(P$10:P394))&amp;"","")</f>
        <v/>
      </c>
      <c r="Q394" t="str">
        <f>IF(P394="","",IF(COUNTIF(P$10:P394,P394)=1,COUNTIF(P$10:P$609,"&lt;"&amp;P394)+1,""))</f>
        <v/>
      </c>
      <c r="BA394" t="str">
        <f>IFERROR(INDEX(wLast,325)&amp;"","")</f>
        <v/>
      </c>
      <c r="BB394" t="str">
        <f>IF(BA394="","",IFERROR(INDEX(wFirst,325)&amp;"",""))</f>
        <v/>
      </c>
      <c r="BC394" t="str">
        <f>IF(BA394="","",IFERROR(INDEX(wClass,325)&amp;"",""))</f>
        <v/>
      </c>
      <c r="BD394" t="str">
        <f>IF(BA394="","",IFERROR(INDEX(wKsBand,325)+0,""))</f>
        <v/>
      </c>
      <c r="BE394" t="str">
        <f>IF(BA394="","",IFERROR(INDEX(wTests,325)+0,0))</f>
        <v/>
      </c>
      <c r="BF394" t="str">
        <f>IF(BA394="","",IFERROR(INDEX(wMean,325)+0,""))</f>
        <v/>
      </c>
      <c r="BG394" t="str">
        <f>IF(BA394="","",IFERROR(INDEX(wVs,325)+0,""))</f>
        <v/>
      </c>
      <c r="BH394" t="str">
        <f>IF(OR(BA394="",wLatest=""),"",IFERROR(INDEX(wData,325,MATCH(wLatest&amp;CHAR(10)&amp;"Stanine",wHdr,0))+0,""))</f>
        <v/>
      </c>
      <c r="BI394" t="str">
        <f>IF(BA394="","",IF(AND(ISNUMBER(BG394),N(BE394)&gt;=WlMinTests,BG394&lt;=-WlGap),"Below expected for KS2",IF(AND(NOT(ISNUMBER(BD394)),ISNUMBER(BF394),N(BE394)&gt;=WlMinTests,BF394&lt;=WlLowMean),"Low results, no KS2 data","")))</f>
        <v/>
      </c>
      <c r="BJ394" t="str">
        <f>IF(BI394="","",IF(BI394="Below expected for KS2",BG394,100+BF394)+ROW()/1000000)</f>
        <v/>
      </c>
    </row>
    <row r="395">
      <c r="H395" t="str">
        <f>IFERROR(INDEX(tblY7[Class],ROWS(H$10:H395))&amp;"","")</f>
        <v/>
      </c>
      <c r="I395" t="str">
        <f>IF(H395="","",IF(COUNTIF(H$10:H395,H395)=1,COUNTIF(H$10:H$609,"&lt;"&amp;H395)+1,""))</f>
        <v/>
      </c>
      <c r="J395" t="str">
        <f>IFERROR(INDEX(tblY8[Class],ROWS(J$10:J395))&amp;"","")</f>
        <v/>
      </c>
      <c r="K395" t="str">
        <f>IF(J395="","",IF(COUNTIF(J$10:J395,J395)=1,COUNTIF(J$10:J$609,"&lt;"&amp;J395)+1,""))</f>
        <v/>
      </c>
      <c r="L395" t="str">
        <f>IFERROR(INDEX(tblY9[Class],ROWS(L$10:L395))&amp;"","")</f>
        <v/>
      </c>
      <c r="M395" t="str">
        <f>IF(L395="","",IF(COUNTIF(L$10:L395,L395)=1,COUNTIF(L$10:L$609,"&lt;"&amp;L395)+1,""))</f>
        <v/>
      </c>
      <c r="N395" t="str">
        <f>IFERROR(INDEX(tblY10[Class],ROWS(N$10:N395))&amp;"","")</f>
        <v/>
      </c>
      <c r="O395" t="str">
        <f>IF(N395="","",IF(COUNTIF(N$10:N395,N395)=1,COUNTIF(N$10:N$609,"&lt;"&amp;N395)+1,""))</f>
        <v/>
      </c>
      <c r="P395" t="str">
        <f>IFERROR(INDEX(tblY11[Class],ROWS(P$10:P395))&amp;"","")</f>
        <v/>
      </c>
      <c r="Q395" t="str">
        <f>IF(P395="","",IF(COUNTIF(P$10:P395,P395)=1,COUNTIF(P$10:P$609,"&lt;"&amp;P395)+1,""))</f>
        <v/>
      </c>
      <c r="BA395" t="str">
        <f>IFERROR(INDEX(wLast,326)&amp;"","")</f>
        <v/>
      </c>
      <c r="BB395" t="str">
        <f>IF(BA395="","",IFERROR(INDEX(wFirst,326)&amp;"",""))</f>
        <v/>
      </c>
      <c r="BC395" t="str">
        <f>IF(BA395="","",IFERROR(INDEX(wClass,326)&amp;"",""))</f>
        <v/>
      </c>
      <c r="BD395" t="str">
        <f>IF(BA395="","",IFERROR(INDEX(wKsBand,326)+0,""))</f>
        <v/>
      </c>
      <c r="BE395" t="str">
        <f>IF(BA395="","",IFERROR(INDEX(wTests,326)+0,0))</f>
        <v/>
      </c>
      <c r="BF395" t="str">
        <f>IF(BA395="","",IFERROR(INDEX(wMean,326)+0,""))</f>
        <v/>
      </c>
      <c r="BG395" t="str">
        <f>IF(BA395="","",IFERROR(INDEX(wVs,326)+0,""))</f>
        <v/>
      </c>
      <c r="BH395" t="str">
        <f>IF(OR(BA395="",wLatest=""),"",IFERROR(INDEX(wData,326,MATCH(wLatest&amp;CHAR(10)&amp;"Stanine",wHdr,0))+0,""))</f>
        <v/>
      </c>
      <c r="BI395" t="str">
        <f>IF(BA395="","",IF(AND(ISNUMBER(BG395),N(BE395)&gt;=WlMinTests,BG395&lt;=-WlGap),"Below expected for KS2",IF(AND(NOT(ISNUMBER(BD395)),ISNUMBER(BF395),N(BE395)&gt;=WlMinTests,BF395&lt;=WlLowMean),"Low results, no KS2 data","")))</f>
        <v/>
      </c>
      <c r="BJ395" t="str">
        <f>IF(BI395="","",IF(BI395="Below expected for KS2",BG395,100+BF395)+ROW()/1000000)</f>
        <v/>
      </c>
    </row>
    <row r="396">
      <c r="H396" t="str">
        <f>IFERROR(INDEX(tblY7[Class],ROWS(H$10:H396))&amp;"","")</f>
        <v/>
      </c>
      <c r="I396" t="str">
        <f>IF(H396="","",IF(COUNTIF(H$10:H396,H396)=1,COUNTIF(H$10:H$609,"&lt;"&amp;H396)+1,""))</f>
        <v/>
      </c>
      <c r="J396" t="str">
        <f>IFERROR(INDEX(tblY8[Class],ROWS(J$10:J396))&amp;"","")</f>
        <v/>
      </c>
      <c r="K396" t="str">
        <f>IF(J396="","",IF(COUNTIF(J$10:J396,J396)=1,COUNTIF(J$10:J$609,"&lt;"&amp;J396)+1,""))</f>
        <v/>
      </c>
      <c r="L396" t="str">
        <f>IFERROR(INDEX(tblY9[Class],ROWS(L$10:L396))&amp;"","")</f>
        <v/>
      </c>
      <c r="M396" t="str">
        <f>IF(L396="","",IF(COUNTIF(L$10:L396,L396)=1,COUNTIF(L$10:L$609,"&lt;"&amp;L396)+1,""))</f>
        <v/>
      </c>
      <c r="N396" t="str">
        <f>IFERROR(INDEX(tblY10[Class],ROWS(N$10:N396))&amp;"","")</f>
        <v/>
      </c>
      <c r="O396" t="str">
        <f>IF(N396="","",IF(COUNTIF(N$10:N396,N396)=1,COUNTIF(N$10:N$609,"&lt;"&amp;N396)+1,""))</f>
        <v/>
      </c>
      <c r="P396" t="str">
        <f>IFERROR(INDEX(tblY11[Class],ROWS(P$10:P396))&amp;"","")</f>
        <v/>
      </c>
      <c r="Q396" t="str">
        <f>IF(P396="","",IF(COUNTIF(P$10:P396,P396)=1,COUNTIF(P$10:P$609,"&lt;"&amp;P396)+1,""))</f>
        <v/>
      </c>
      <c r="BA396" t="str">
        <f>IFERROR(INDEX(wLast,327)&amp;"","")</f>
        <v/>
      </c>
      <c r="BB396" t="str">
        <f>IF(BA396="","",IFERROR(INDEX(wFirst,327)&amp;"",""))</f>
        <v/>
      </c>
      <c r="BC396" t="str">
        <f>IF(BA396="","",IFERROR(INDEX(wClass,327)&amp;"",""))</f>
        <v/>
      </c>
      <c r="BD396" t="str">
        <f>IF(BA396="","",IFERROR(INDEX(wKsBand,327)+0,""))</f>
        <v/>
      </c>
      <c r="BE396" t="str">
        <f>IF(BA396="","",IFERROR(INDEX(wTests,327)+0,0))</f>
        <v/>
      </c>
      <c r="BF396" t="str">
        <f>IF(BA396="","",IFERROR(INDEX(wMean,327)+0,""))</f>
        <v/>
      </c>
      <c r="BG396" t="str">
        <f>IF(BA396="","",IFERROR(INDEX(wVs,327)+0,""))</f>
        <v/>
      </c>
      <c r="BH396" t="str">
        <f>IF(OR(BA396="",wLatest=""),"",IFERROR(INDEX(wData,327,MATCH(wLatest&amp;CHAR(10)&amp;"Stanine",wHdr,0))+0,""))</f>
        <v/>
      </c>
      <c r="BI396" t="str">
        <f>IF(BA396="","",IF(AND(ISNUMBER(BG396),N(BE396)&gt;=WlMinTests,BG396&lt;=-WlGap),"Below expected for KS2",IF(AND(NOT(ISNUMBER(BD396)),ISNUMBER(BF396),N(BE396)&gt;=WlMinTests,BF396&lt;=WlLowMean),"Low results, no KS2 data","")))</f>
        <v/>
      </c>
      <c r="BJ396" t="str">
        <f>IF(BI396="","",IF(BI396="Below expected for KS2",BG396,100+BF396)+ROW()/1000000)</f>
        <v/>
      </c>
    </row>
    <row r="397">
      <c r="H397" t="str">
        <f>IFERROR(INDEX(tblY7[Class],ROWS(H$10:H397))&amp;"","")</f>
        <v/>
      </c>
      <c r="I397" t="str">
        <f>IF(H397="","",IF(COUNTIF(H$10:H397,H397)=1,COUNTIF(H$10:H$609,"&lt;"&amp;H397)+1,""))</f>
        <v/>
      </c>
      <c r="J397" t="str">
        <f>IFERROR(INDEX(tblY8[Class],ROWS(J$10:J397))&amp;"","")</f>
        <v/>
      </c>
      <c r="K397" t="str">
        <f>IF(J397="","",IF(COUNTIF(J$10:J397,J397)=1,COUNTIF(J$10:J$609,"&lt;"&amp;J397)+1,""))</f>
        <v/>
      </c>
      <c r="L397" t="str">
        <f>IFERROR(INDEX(tblY9[Class],ROWS(L$10:L397))&amp;"","")</f>
        <v/>
      </c>
      <c r="M397" t="str">
        <f>IF(L397="","",IF(COUNTIF(L$10:L397,L397)=1,COUNTIF(L$10:L$609,"&lt;"&amp;L397)+1,""))</f>
        <v/>
      </c>
      <c r="N397" t="str">
        <f>IFERROR(INDEX(tblY10[Class],ROWS(N$10:N397))&amp;"","")</f>
        <v/>
      </c>
      <c r="O397" t="str">
        <f>IF(N397="","",IF(COUNTIF(N$10:N397,N397)=1,COUNTIF(N$10:N$609,"&lt;"&amp;N397)+1,""))</f>
        <v/>
      </c>
      <c r="P397" t="str">
        <f>IFERROR(INDEX(tblY11[Class],ROWS(P$10:P397))&amp;"","")</f>
        <v/>
      </c>
      <c r="Q397" t="str">
        <f>IF(P397="","",IF(COUNTIF(P$10:P397,P397)=1,COUNTIF(P$10:P$609,"&lt;"&amp;P397)+1,""))</f>
        <v/>
      </c>
      <c r="BA397" t="str">
        <f>IFERROR(INDEX(wLast,328)&amp;"","")</f>
        <v/>
      </c>
      <c r="BB397" t="str">
        <f>IF(BA397="","",IFERROR(INDEX(wFirst,328)&amp;"",""))</f>
        <v/>
      </c>
      <c r="BC397" t="str">
        <f>IF(BA397="","",IFERROR(INDEX(wClass,328)&amp;"",""))</f>
        <v/>
      </c>
      <c r="BD397" t="str">
        <f>IF(BA397="","",IFERROR(INDEX(wKsBand,328)+0,""))</f>
        <v/>
      </c>
      <c r="BE397" t="str">
        <f>IF(BA397="","",IFERROR(INDEX(wTests,328)+0,0))</f>
        <v/>
      </c>
      <c r="BF397" t="str">
        <f>IF(BA397="","",IFERROR(INDEX(wMean,328)+0,""))</f>
        <v/>
      </c>
      <c r="BG397" t="str">
        <f>IF(BA397="","",IFERROR(INDEX(wVs,328)+0,""))</f>
        <v/>
      </c>
      <c r="BH397" t="str">
        <f>IF(OR(BA397="",wLatest=""),"",IFERROR(INDEX(wData,328,MATCH(wLatest&amp;CHAR(10)&amp;"Stanine",wHdr,0))+0,""))</f>
        <v/>
      </c>
      <c r="BI397" t="str">
        <f>IF(BA397="","",IF(AND(ISNUMBER(BG397),N(BE397)&gt;=WlMinTests,BG397&lt;=-WlGap),"Below expected for KS2",IF(AND(NOT(ISNUMBER(BD397)),ISNUMBER(BF397),N(BE397)&gt;=WlMinTests,BF397&lt;=WlLowMean),"Low results, no KS2 data","")))</f>
        <v/>
      </c>
      <c r="BJ397" t="str">
        <f>IF(BI397="","",IF(BI397="Below expected for KS2",BG397,100+BF397)+ROW()/1000000)</f>
        <v/>
      </c>
    </row>
    <row r="398">
      <c r="H398" t="str">
        <f>IFERROR(INDEX(tblY7[Class],ROWS(H$10:H398))&amp;"","")</f>
        <v/>
      </c>
      <c r="I398" t="str">
        <f>IF(H398="","",IF(COUNTIF(H$10:H398,H398)=1,COUNTIF(H$10:H$609,"&lt;"&amp;H398)+1,""))</f>
        <v/>
      </c>
      <c r="J398" t="str">
        <f>IFERROR(INDEX(tblY8[Class],ROWS(J$10:J398))&amp;"","")</f>
        <v/>
      </c>
      <c r="K398" t="str">
        <f>IF(J398="","",IF(COUNTIF(J$10:J398,J398)=1,COUNTIF(J$10:J$609,"&lt;"&amp;J398)+1,""))</f>
        <v/>
      </c>
      <c r="L398" t="str">
        <f>IFERROR(INDEX(tblY9[Class],ROWS(L$10:L398))&amp;"","")</f>
        <v/>
      </c>
      <c r="M398" t="str">
        <f>IF(L398="","",IF(COUNTIF(L$10:L398,L398)=1,COUNTIF(L$10:L$609,"&lt;"&amp;L398)+1,""))</f>
        <v/>
      </c>
      <c r="N398" t="str">
        <f>IFERROR(INDEX(tblY10[Class],ROWS(N$10:N398))&amp;"","")</f>
        <v/>
      </c>
      <c r="O398" t="str">
        <f>IF(N398="","",IF(COUNTIF(N$10:N398,N398)=1,COUNTIF(N$10:N$609,"&lt;"&amp;N398)+1,""))</f>
        <v/>
      </c>
      <c r="P398" t="str">
        <f>IFERROR(INDEX(tblY11[Class],ROWS(P$10:P398))&amp;"","")</f>
        <v/>
      </c>
      <c r="Q398" t="str">
        <f>IF(P398="","",IF(COUNTIF(P$10:P398,P398)=1,COUNTIF(P$10:P$609,"&lt;"&amp;P398)+1,""))</f>
        <v/>
      </c>
      <c r="BA398" t="str">
        <f>IFERROR(INDEX(wLast,329)&amp;"","")</f>
        <v/>
      </c>
      <c r="BB398" t="str">
        <f>IF(BA398="","",IFERROR(INDEX(wFirst,329)&amp;"",""))</f>
        <v/>
      </c>
      <c r="BC398" t="str">
        <f>IF(BA398="","",IFERROR(INDEX(wClass,329)&amp;"",""))</f>
        <v/>
      </c>
      <c r="BD398" t="str">
        <f>IF(BA398="","",IFERROR(INDEX(wKsBand,329)+0,""))</f>
        <v/>
      </c>
      <c r="BE398" t="str">
        <f>IF(BA398="","",IFERROR(INDEX(wTests,329)+0,0))</f>
        <v/>
      </c>
      <c r="BF398" t="str">
        <f>IF(BA398="","",IFERROR(INDEX(wMean,329)+0,""))</f>
        <v/>
      </c>
      <c r="BG398" t="str">
        <f>IF(BA398="","",IFERROR(INDEX(wVs,329)+0,""))</f>
        <v/>
      </c>
      <c r="BH398" t="str">
        <f>IF(OR(BA398="",wLatest=""),"",IFERROR(INDEX(wData,329,MATCH(wLatest&amp;CHAR(10)&amp;"Stanine",wHdr,0))+0,""))</f>
        <v/>
      </c>
      <c r="BI398" t="str">
        <f>IF(BA398="","",IF(AND(ISNUMBER(BG398),N(BE398)&gt;=WlMinTests,BG398&lt;=-WlGap),"Below expected for KS2",IF(AND(NOT(ISNUMBER(BD398)),ISNUMBER(BF398),N(BE398)&gt;=WlMinTests,BF398&lt;=WlLowMean),"Low results, no KS2 data","")))</f>
        <v/>
      </c>
      <c r="BJ398" t="str">
        <f>IF(BI398="","",IF(BI398="Below expected for KS2",BG398,100+BF398)+ROW()/1000000)</f>
        <v/>
      </c>
    </row>
    <row r="399">
      <c r="H399" t="str">
        <f>IFERROR(INDEX(tblY7[Class],ROWS(H$10:H399))&amp;"","")</f>
        <v/>
      </c>
      <c r="I399" t="str">
        <f>IF(H399="","",IF(COUNTIF(H$10:H399,H399)=1,COUNTIF(H$10:H$609,"&lt;"&amp;H399)+1,""))</f>
        <v/>
      </c>
      <c r="J399" t="str">
        <f>IFERROR(INDEX(tblY8[Class],ROWS(J$10:J399))&amp;"","")</f>
        <v/>
      </c>
      <c r="K399" t="str">
        <f>IF(J399="","",IF(COUNTIF(J$10:J399,J399)=1,COUNTIF(J$10:J$609,"&lt;"&amp;J399)+1,""))</f>
        <v/>
      </c>
      <c r="L399" t="str">
        <f>IFERROR(INDEX(tblY9[Class],ROWS(L$10:L399))&amp;"","")</f>
        <v/>
      </c>
      <c r="M399" t="str">
        <f>IF(L399="","",IF(COUNTIF(L$10:L399,L399)=1,COUNTIF(L$10:L$609,"&lt;"&amp;L399)+1,""))</f>
        <v/>
      </c>
      <c r="N399" t="str">
        <f>IFERROR(INDEX(tblY10[Class],ROWS(N$10:N399))&amp;"","")</f>
        <v/>
      </c>
      <c r="O399" t="str">
        <f>IF(N399="","",IF(COUNTIF(N$10:N399,N399)=1,COUNTIF(N$10:N$609,"&lt;"&amp;N399)+1,""))</f>
        <v/>
      </c>
      <c r="P399" t="str">
        <f>IFERROR(INDEX(tblY11[Class],ROWS(P$10:P399))&amp;"","")</f>
        <v/>
      </c>
      <c r="Q399" t="str">
        <f>IF(P399="","",IF(COUNTIF(P$10:P399,P399)=1,COUNTIF(P$10:P$609,"&lt;"&amp;P399)+1,""))</f>
        <v/>
      </c>
      <c r="BA399" t="str">
        <f>IFERROR(INDEX(wLast,330)&amp;"","")</f>
        <v/>
      </c>
      <c r="BB399" t="str">
        <f>IF(BA399="","",IFERROR(INDEX(wFirst,330)&amp;"",""))</f>
        <v/>
      </c>
      <c r="BC399" t="str">
        <f>IF(BA399="","",IFERROR(INDEX(wClass,330)&amp;"",""))</f>
        <v/>
      </c>
      <c r="BD399" t="str">
        <f>IF(BA399="","",IFERROR(INDEX(wKsBand,330)+0,""))</f>
        <v/>
      </c>
      <c r="BE399" t="str">
        <f>IF(BA399="","",IFERROR(INDEX(wTests,330)+0,0))</f>
        <v/>
      </c>
      <c r="BF399" t="str">
        <f>IF(BA399="","",IFERROR(INDEX(wMean,330)+0,""))</f>
        <v/>
      </c>
      <c r="BG399" t="str">
        <f>IF(BA399="","",IFERROR(INDEX(wVs,330)+0,""))</f>
        <v/>
      </c>
      <c r="BH399" t="str">
        <f>IF(OR(BA399="",wLatest=""),"",IFERROR(INDEX(wData,330,MATCH(wLatest&amp;CHAR(10)&amp;"Stanine",wHdr,0))+0,""))</f>
        <v/>
      </c>
      <c r="BI399" t="str">
        <f>IF(BA399="","",IF(AND(ISNUMBER(BG399),N(BE399)&gt;=WlMinTests,BG399&lt;=-WlGap),"Below expected for KS2",IF(AND(NOT(ISNUMBER(BD399)),ISNUMBER(BF399),N(BE399)&gt;=WlMinTests,BF399&lt;=WlLowMean),"Low results, no KS2 data","")))</f>
        <v/>
      </c>
      <c r="BJ399" t="str">
        <f>IF(BI399="","",IF(BI399="Below expected for KS2",BG399,100+BF399)+ROW()/1000000)</f>
        <v/>
      </c>
    </row>
    <row r="400">
      <c r="H400" t="str">
        <f>IFERROR(INDEX(tblY7[Class],ROWS(H$10:H400))&amp;"","")</f>
        <v/>
      </c>
      <c r="I400" t="str">
        <f>IF(H400="","",IF(COUNTIF(H$10:H400,H400)=1,COUNTIF(H$10:H$609,"&lt;"&amp;H400)+1,""))</f>
        <v/>
      </c>
      <c r="J400" t="str">
        <f>IFERROR(INDEX(tblY8[Class],ROWS(J$10:J400))&amp;"","")</f>
        <v/>
      </c>
      <c r="K400" t="str">
        <f>IF(J400="","",IF(COUNTIF(J$10:J400,J400)=1,COUNTIF(J$10:J$609,"&lt;"&amp;J400)+1,""))</f>
        <v/>
      </c>
      <c r="L400" t="str">
        <f>IFERROR(INDEX(tblY9[Class],ROWS(L$10:L400))&amp;"","")</f>
        <v/>
      </c>
      <c r="M400" t="str">
        <f>IF(L400="","",IF(COUNTIF(L$10:L400,L400)=1,COUNTIF(L$10:L$609,"&lt;"&amp;L400)+1,""))</f>
        <v/>
      </c>
      <c r="N400" t="str">
        <f>IFERROR(INDEX(tblY10[Class],ROWS(N$10:N400))&amp;"","")</f>
        <v/>
      </c>
      <c r="O400" t="str">
        <f>IF(N400="","",IF(COUNTIF(N$10:N400,N400)=1,COUNTIF(N$10:N$609,"&lt;"&amp;N400)+1,""))</f>
        <v/>
      </c>
      <c r="P400" t="str">
        <f>IFERROR(INDEX(tblY11[Class],ROWS(P$10:P400))&amp;"","")</f>
        <v/>
      </c>
      <c r="Q400" t="str">
        <f>IF(P400="","",IF(COUNTIF(P$10:P400,P400)=1,COUNTIF(P$10:P$609,"&lt;"&amp;P400)+1,""))</f>
        <v/>
      </c>
      <c r="BA400" t="str">
        <f>IFERROR(INDEX(wLast,331)&amp;"","")</f>
        <v/>
      </c>
      <c r="BB400" t="str">
        <f>IF(BA400="","",IFERROR(INDEX(wFirst,331)&amp;"",""))</f>
        <v/>
      </c>
      <c r="BC400" t="str">
        <f>IF(BA400="","",IFERROR(INDEX(wClass,331)&amp;"",""))</f>
        <v/>
      </c>
      <c r="BD400" t="str">
        <f>IF(BA400="","",IFERROR(INDEX(wKsBand,331)+0,""))</f>
        <v/>
      </c>
      <c r="BE400" t="str">
        <f>IF(BA400="","",IFERROR(INDEX(wTests,331)+0,0))</f>
        <v/>
      </c>
      <c r="BF400" t="str">
        <f>IF(BA400="","",IFERROR(INDEX(wMean,331)+0,""))</f>
        <v/>
      </c>
      <c r="BG400" t="str">
        <f>IF(BA400="","",IFERROR(INDEX(wVs,331)+0,""))</f>
        <v/>
      </c>
      <c r="BH400" t="str">
        <f>IF(OR(BA400="",wLatest=""),"",IFERROR(INDEX(wData,331,MATCH(wLatest&amp;CHAR(10)&amp;"Stanine",wHdr,0))+0,""))</f>
        <v/>
      </c>
      <c r="BI400" t="str">
        <f>IF(BA400="","",IF(AND(ISNUMBER(BG400),N(BE400)&gt;=WlMinTests,BG400&lt;=-WlGap),"Below expected for KS2",IF(AND(NOT(ISNUMBER(BD400)),ISNUMBER(BF400),N(BE400)&gt;=WlMinTests,BF400&lt;=WlLowMean),"Low results, no KS2 data","")))</f>
        <v/>
      </c>
      <c r="BJ400" t="str">
        <f>IF(BI400="","",IF(BI400="Below expected for KS2",BG400,100+BF400)+ROW()/1000000)</f>
        <v/>
      </c>
    </row>
    <row r="401">
      <c r="H401" t="str">
        <f>IFERROR(INDEX(tblY7[Class],ROWS(H$10:H401))&amp;"","")</f>
        <v/>
      </c>
      <c r="I401" t="str">
        <f>IF(H401="","",IF(COUNTIF(H$10:H401,H401)=1,COUNTIF(H$10:H$609,"&lt;"&amp;H401)+1,""))</f>
        <v/>
      </c>
      <c r="J401" t="str">
        <f>IFERROR(INDEX(tblY8[Class],ROWS(J$10:J401))&amp;"","")</f>
        <v/>
      </c>
      <c r="K401" t="str">
        <f>IF(J401="","",IF(COUNTIF(J$10:J401,J401)=1,COUNTIF(J$10:J$609,"&lt;"&amp;J401)+1,""))</f>
        <v/>
      </c>
      <c r="L401" t="str">
        <f>IFERROR(INDEX(tblY9[Class],ROWS(L$10:L401))&amp;"","")</f>
        <v/>
      </c>
      <c r="M401" t="str">
        <f>IF(L401="","",IF(COUNTIF(L$10:L401,L401)=1,COUNTIF(L$10:L$609,"&lt;"&amp;L401)+1,""))</f>
        <v/>
      </c>
      <c r="N401" t="str">
        <f>IFERROR(INDEX(tblY10[Class],ROWS(N$10:N401))&amp;"","")</f>
        <v/>
      </c>
      <c r="O401" t="str">
        <f>IF(N401="","",IF(COUNTIF(N$10:N401,N401)=1,COUNTIF(N$10:N$609,"&lt;"&amp;N401)+1,""))</f>
        <v/>
      </c>
      <c r="P401" t="str">
        <f>IFERROR(INDEX(tblY11[Class],ROWS(P$10:P401))&amp;"","")</f>
        <v/>
      </c>
      <c r="Q401" t="str">
        <f>IF(P401="","",IF(COUNTIF(P$10:P401,P401)=1,COUNTIF(P$10:P$609,"&lt;"&amp;P401)+1,""))</f>
        <v/>
      </c>
      <c r="BA401" t="str">
        <f>IFERROR(INDEX(wLast,332)&amp;"","")</f>
        <v/>
      </c>
      <c r="BB401" t="str">
        <f>IF(BA401="","",IFERROR(INDEX(wFirst,332)&amp;"",""))</f>
        <v/>
      </c>
      <c r="BC401" t="str">
        <f>IF(BA401="","",IFERROR(INDEX(wClass,332)&amp;"",""))</f>
        <v/>
      </c>
      <c r="BD401" t="str">
        <f>IF(BA401="","",IFERROR(INDEX(wKsBand,332)+0,""))</f>
        <v/>
      </c>
      <c r="BE401" t="str">
        <f>IF(BA401="","",IFERROR(INDEX(wTests,332)+0,0))</f>
        <v/>
      </c>
      <c r="BF401" t="str">
        <f>IF(BA401="","",IFERROR(INDEX(wMean,332)+0,""))</f>
        <v/>
      </c>
      <c r="BG401" t="str">
        <f>IF(BA401="","",IFERROR(INDEX(wVs,332)+0,""))</f>
        <v/>
      </c>
      <c r="BH401" t="str">
        <f>IF(OR(BA401="",wLatest=""),"",IFERROR(INDEX(wData,332,MATCH(wLatest&amp;CHAR(10)&amp;"Stanine",wHdr,0))+0,""))</f>
        <v/>
      </c>
      <c r="BI401" t="str">
        <f>IF(BA401="","",IF(AND(ISNUMBER(BG401),N(BE401)&gt;=WlMinTests,BG401&lt;=-WlGap),"Below expected for KS2",IF(AND(NOT(ISNUMBER(BD401)),ISNUMBER(BF401),N(BE401)&gt;=WlMinTests,BF401&lt;=WlLowMean),"Low results, no KS2 data","")))</f>
        <v/>
      </c>
      <c r="BJ401" t="str">
        <f>IF(BI401="","",IF(BI401="Below expected for KS2",BG401,100+BF401)+ROW()/1000000)</f>
        <v/>
      </c>
    </row>
    <row r="402">
      <c r="H402" t="str">
        <f>IFERROR(INDEX(tblY7[Class],ROWS(H$10:H402))&amp;"","")</f>
        <v/>
      </c>
      <c r="I402" t="str">
        <f>IF(H402="","",IF(COUNTIF(H$10:H402,H402)=1,COUNTIF(H$10:H$609,"&lt;"&amp;H402)+1,""))</f>
        <v/>
      </c>
      <c r="J402" t="str">
        <f>IFERROR(INDEX(tblY8[Class],ROWS(J$10:J402))&amp;"","")</f>
        <v/>
      </c>
      <c r="K402" t="str">
        <f>IF(J402="","",IF(COUNTIF(J$10:J402,J402)=1,COUNTIF(J$10:J$609,"&lt;"&amp;J402)+1,""))</f>
        <v/>
      </c>
      <c r="L402" t="str">
        <f>IFERROR(INDEX(tblY9[Class],ROWS(L$10:L402))&amp;"","")</f>
        <v/>
      </c>
      <c r="M402" t="str">
        <f>IF(L402="","",IF(COUNTIF(L$10:L402,L402)=1,COUNTIF(L$10:L$609,"&lt;"&amp;L402)+1,""))</f>
        <v/>
      </c>
      <c r="N402" t="str">
        <f>IFERROR(INDEX(tblY10[Class],ROWS(N$10:N402))&amp;"","")</f>
        <v/>
      </c>
      <c r="O402" t="str">
        <f>IF(N402="","",IF(COUNTIF(N$10:N402,N402)=1,COUNTIF(N$10:N$609,"&lt;"&amp;N402)+1,""))</f>
        <v/>
      </c>
      <c r="P402" t="str">
        <f>IFERROR(INDEX(tblY11[Class],ROWS(P$10:P402))&amp;"","")</f>
        <v/>
      </c>
      <c r="Q402" t="str">
        <f>IF(P402="","",IF(COUNTIF(P$10:P402,P402)=1,COUNTIF(P$10:P$609,"&lt;"&amp;P402)+1,""))</f>
        <v/>
      </c>
      <c r="BA402" t="str">
        <f>IFERROR(INDEX(wLast,333)&amp;"","")</f>
        <v/>
      </c>
      <c r="BB402" t="str">
        <f>IF(BA402="","",IFERROR(INDEX(wFirst,333)&amp;"",""))</f>
        <v/>
      </c>
      <c r="BC402" t="str">
        <f>IF(BA402="","",IFERROR(INDEX(wClass,333)&amp;"",""))</f>
        <v/>
      </c>
      <c r="BD402" t="str">
        <f>IF(BA402="","",IFERROR(INDEX(wKsBand,333)+0,""))</f>
        <v/>
      </c>
      <c r="BE402" t="str">
        <f>IF(BA402="","",IFERROR(INDEX(wTests,333)+0,0))</f>
        <v/>
      </c>
      <c r="BF402" t="str">
        <f>IF(BA402="","",IFERROR(INDEX(wMean,333)+0,""))</f>
        <v/>
      </c>
      <c r="BG402" t="str">
        <f>IF(BA402="","",IFERROR(INDEX(wVs,333)+0,""))</f>
        <v/>
      </c>
      <c r="BH402" t="str">
        <f>IF(OR(BA402="",wLatest=""),"",IFERROR(INDEX(wData,333,MATCH(wLatest&amp;CHAR(10)&amp;"Stanine",wHdr,0))+0,""))</f>
        <v/>
      </c>
      <c r="BI402" t="str">
        <f>IF(BA402="","",IF(AND(ISNUMBER(BG402),N(BE402)&gt;=WlMinTests,BG402&lt;=-WlGap),"Below expected for KS2",IF(AND(NOT(ISNUMBER(BD402)),ISNUMBER(BF402),N(BE402)&gt;=WlMinTests,BF402&lt;=WlLowMean),"Low results, no KS2 data","")))</f>
        <v/>
      </c>
      <c r="BJ402" t="str">
        <f>IF(BI402="","",IF(BI402="Below expected for KS2",BG402,100+BF402)+ROW()/1000000)</f>
        <v/>
      </c>
    </row>
    <row r="403">
      <c r="H403" t="str">
        <f>IFERROR(INDEX(tblY7[Class],ROWS(H$10:H403))&amp;"","")</f>
        <v/>
      </c>
      <c r="I403" t="str">
        <f>IF(H403="","",IF(COUNTIF(H$10:H403,H403)=1,COUNTIF(H$10:H$609,"&lt;"&amp;H403)+1,""))</f>
        <v/>
      </c>
      <c r="J403" t="str">
        <f>IFERROR(INDEX(tblY8[Class],ROWS(J$10:J403))&amp;"","")</f>
        <v/>
      </c>
      <c r="K403" t="str">
        <f>IF(J403="","",IF(COUNTIF(J$10:J403,J403)=1,COUNTIF(J$10:J$609,"&lt;"&amp;J403)+1,""))</f>
        <v/>
      </c>
      <c r="L403" t="str">
        <f>IFERROR(INDEX(tblY9[Class],ROWS(L$10:L403))&amp;"","")</f>
        <v/>
      </c>
      <c r="M403" t="str">
        <f>IF(L403="","",IF(COUNTIF(L$10:L403,L403)=1,COUNTIF(L$10:L$609,"&lt;"&amp;L403)+1,""))</f>
        <v/>
      </c>
      <c r="N403" t="str">
        <f>IFERROR(INDEX(tblY10[Class],ROWS(N$10:N403))&amp;"","")</f>
        <v/>
      </c>
      <c r="O403" t="str">
        <f>IF(N403="","",IF(COUNTIF(N$10:N403,N403)=1,COUNTIF(N$10:N$609,"&lt;"&amp;N403)+1,""))</f>
        <v/>
      </c>
      <c r="P403" t="str">
        <f>IFERROR(INDEX(tblY11[Class],ROWS(P$10:P403))&amp;"","")</f>
        <v/>
      </c>
      <c r="Q403" t="str">
        <f>IF(P403="","",IF(COUNTIF(P$10:P403,P403)=1,COUNTIF(P$10:P$609,"&lt;"&amp;P403)+1,""))</f>
        <v/>
      </c>
      <c r="BA403" t="str">
        <f>IFERROR(INDEX(wLast,334)&amp;"","")</f>
        <v/>
      </c>
      <c r="BB403" t="str">
        <f>IF(BA403="","",IFERROR(INDEX(wFirst,334)&amp;"",""))</f>
        <v/>
      </c>
      <c r="BC403" t="str">
        <f>IF(BA403="","",IFERROR(INDEX(wClass,334)&amp;"",""))</f>
        <v/>
      </c>
      <c r="BD403" t="str">
        <f>IF(BA403="","",IFERROR(INDEX(wKsBand,334)+0,""))</f>
        <v/>
      </c>
      <c r="BE403" t="str">
        <f>IF(BA403="","",IFERROR(INDEX(wTests,334)+0,0))</f>
        <v/>
      </c>
      <c r="BF403" t="str">
        <f>IF(BA403="","",IFERROR(INDEX(wMean,334)+0,""))</f>
        <v/>
      </c>
      <c r="BG403" t="str">
        <f>IF(BA403="","",IFERROR(INDEX(wVs,334)+0,""))</f>
        <v/>
      </c>
      <c r="BH403" t="str">
        <f>IF(OR(BA403="",wLatest=""),"",IFERROR(INDEX(wData,334,MATCH(wLatest&amp;CHAR(10)&amp;"Stanine",wHdr,0))+0,""))</f>
        <v/>
      </c>
      <c r="BI403" t="str">
        <f>IF(BA403="","",IF(AND(ISNUMBER(BG403),N(BE403)&gt;=WlMinTests,BG403&lt;=-WlGap),"Below expected for KS2",IF(AND(NOT(ISNUMBER(BD403)),ISNUMBER(BF403),N(BE403)&gt;=WlMinTests,BF403&lt;=WlLowMean),"Low results, no KS2 data","")))</f>
        <v/>
      </c>
      <c r="BJ403" t="str">
        <f>IF(BI403="","",IF(BI403="Below expected for KS2",BG403,100+BF403)+ROW()/1000000)</f>
        <v/>
      </c>
    </row>
    <row r="404">
      <c r="H404" t="str">
        <f>IFERROR(INDEX(tblY7[Class],ROWS(H$10:H404))&amp;"","")</f>
        <v/>
      </c>
      <c r="I404" t="str">
        <f>IF(H404="","",IF(COUNTIF(H$10:H404,H404)=1,COUNTIF(H$10:H$609,"&lt;"&amp;H404)+1,""))</f>
        <v/>
      </c>
      <c r="J404" t="str">
        <f>IFERROR(INDEX(tblY8[Class],ROWS(J$10:J404))&amp;"","")</f>
        <v/>
      </c>
      <c r="K404" t="str">
        <f>IF(J404="","",IF(COUNTIF(J$10:J404,J404)=1,COUNTIF(J$10:J$609,"&lt;"&amp;J404)+1,""))</f>
        <v/>
      </c>
      <c r="L404" t="str">
        <f>IFERROR(INDEX(tblY9[Class],ROWS(L$10:L404))&amp;"","")</f>
        <v/>
      </c>
      <c r="M404" t="str">
        <f>IF(L404="","",IF(COUNTIF(L$10:L404,L404)=1,COUNTIF(L$10:L$609,"&lt;"&amp;L404)+1,""))</f>
        <v/>
      </c>
      <c r="N404" t="str">
        <f>IFERROR(INDEX(tblY10[Class],ROWS(N$10:N404))&amp;"","")</f>
        <v/>
      </c>
      <c r="O404" t="str">
        <f>IF(N404="","",IF(COUNTIF(N$10:N404,N404)=1,COUNTIF(N$10:N$609,"&lt;"&amp;N404)+1,""))</f>
        <v/>
      </c>
      <c r="P404" t="str">
        <f>IFERROR(INDEX(tblY11[Class],ROWS(P$10:P404))&amp;"","")</f>
        <v/>
      </c>
      <c r="Q404" t="str">
        <f>IF(P404="","",IF(COUNTIF(P$10:P404,P404)=1,COUNTIF(P$10:P$609,"&lt;"&amp;P404)+1,""))</f>
        <v/>
      </c>
      <c r="BA404" t="str">
        <f>IFERROR(INDEX(wLast,335)&amp;"","")</f>
        <v/>
      </c>
      <c r="BB404" t="str">
        <f>IF(BA404="","",IFERROR(INDEX(wFirst,335)&amp;"",""))</f>
        <v/>
      </c>
      <c r="BC404" t="str">
        <f>IF(BA404="","",IFERROR(INDEX(wClass,335)&amp;"",""))</f>
        <v/>
      </c>
      <c r="BD404" t="str">
        <f>IF(BA404="","",IFERROR(INDEX(wKsBand,335)+0,""))</f>
        <v/>
      </c>
      <c r="BE404" t="str">
        <f>IF(BA404="","",IFERROR(INDEX(wTests,335)+0,0))</f>
        <v/>
      </c>
      <c r="BF404" t="str">
        <f>IF(BA404="","",IFERROR(INDEX(wMean,335)+0,""))</f>
        <v/>
      </c>
      <c r="BG404" t="str">
        <f>IF(BA404="","",IFERROR(INDEX(wVs,335)+0,""))</f>
        <v/>
      </c>
      <c r="BH404" t="str">
        <f>IF(OR(BA404="",wLatest=""),"",IFERROR(INDEX(wData,335,MATCH(wLatest&amp;CHAR(10)&amp;"Stanine",wHdr,0))+0,""))</f>
        <v/>
      </c>
      <c r="BI404" t="str">
        <f>IF(BA404="","",IF(AND(ISNUMBER(BG404),N(BE404)&gt;=WlMinTests,BG404&lt;=-WlGap),"Below expected for KS2",IF(AND(NOT(ISNUMBER(BD404)),ISNUMBER(BF404),N(BE404)&gt;=WlMinTests,BF404&lt;=WlLowMean),"Low results, no KS2 data","")))</f>
        <v/>
      </c>
      <c r="BJ404" t="str">
        <f>IF(BI404="","",IF(BI404="Below expected for KS2",BG404,100+BF404)+ROW()/1000000)</f>
        <v/>
      </c>
    </row>
    <row r="405">
      <c r="H405" t="str">
        <f>IFERROR(INDEX(tblY7[Class],ROWS(H$10:H405))&amp;"","")</f>
        <v/>
      </c>
      <c r="I405" t="str">
        <f>IF(H405="","",IF(COUNTIF(H$10:H405,H405)=1,COUNTIF(H$10:H$609,"&lt;"&amp;H405)+1,""))</f>
        <v/>
      </c>
      <c r="J405" t="str">
        <f>IFERROR(INDEX(tblY8[Class],ROWS(J$10:J405))&amp;"","")</f>
        <v/>
      </c>
      <c r="K405" t="str">
        <f>IF(J405="","",IF(COUNTIF(J$10:J405,J405)=1,COUNTIF(J$10:J$609,"&lt;"&amp;J405)+1,""))</f>
        <v/>
      </c>
      <c r="L405" t="str">
        <f>IFERROR(INDEX(tblY9[Class],ROWS(L$10:L405))&amp;"","")</f>
        <v/>
      </c>
      <c r="M405" t="str">
        <f>IF(L405="","",IF(COUNTIF(L$10:L405,L405)=1,COUNTIF(L$10:L$609,"&lt;"&amp;L405)+1,""))</f>
        <v/>
      </c>
      <c r="N405" t="str">
        <f>IFERROR(INDEX(tblY10[Class],ROWS(N$10:N405))&amp;"","")</f>
        <v/>
      </c>
      <c r="O405" t="str">
        <f>IF(N405="","",IF(COUNTIF(N$10:N405,N405)=1,COUNTIF(N$10:N$609,"&lt;"&amp;N405)+1,""))</f>
        <v/>
      </c>
      <c r="P405" t="str">
        <f>IFERROR(INDEX(tblY11[Class],ROWS(P$10:P405))&amp;"","")</f>
        <v/>
      </c>
      <c r="Q405" t="str">
        <f>IF(P405="","",IF(COUNTIF(P$10:P405,P405)=1,COUNTIF(P$10:P$609,"&lt;"&amp;P405)+1,""))</f>
        <v/>
      </c>
      <c r="BA405" t="str">
        <f>IFERROR(INDEX(wLast,336)&amp;"","")</f>
        <v/>
      </c>
      <c r="BB405" t="str">
        <f>IF(BA405="","",IFERROR(INDEX(wFirst,336)&amp;"",""))</f>
        <v/>
      </c>
      <c r="BC405" t="str">
        <f>IF(BA405="","",IFERROR(INDEX(wClass,336)&amp;"",""))</f>
        <v/>
      </c>
      <c r="BD405" t="str">
        <f>IF(BA405="","",IFERROR(INDEX(wKsBand,336)+0,""))</f>
        <v/>
      </c>
      <c r="BE405" t="str">
        <f>IF(BA405="","",IFERROR(INDEX(wTests,336)+0,0))</f>
        <v/>
      </c>
      <c r="BF405" t="str">
        <f>IF(BA405="","",IFERROR(INDEX(wMean,336)+0,""))</f>
        <v/>
      </c>
      <c r="BG405" t="str">
        <f>IF(BA405="","",IFERROR(INDEX(wVs,336)+0,""))</f>
        <v/>
      </c>
      <c r="BH405" t="str">
        <f>IF(OR(BA405="",wLatest=""),"",IFERROR(INDEX(wData,336,MATCH(wLatest&amp;CHAR(10)&amp;"Stanine",wHdr,0))+0,""))</f>
        <v/>
      </c>
      <c r="BI405" t="str">
        <f>IF(BA405="","",IF(AND(ISNUMBER(BG405),N(BE405)&gt;=WlMinTests,BG405&lt;=-WlGap),"Below expected for KS2",IF(AND(NOT(ISNUMBER(BD405)),ISNUMBER(BF405),N(BE405)&gt;=WlMinTests,BF405&lt;=WlLowMean),"Low results, no KS2 data","")))</f>
        <v/>
      </c>
      <c r="BJ405" t="str">
        <f>IF(BI405="","",IF(BI405="Below expected for KS2",BG405,100+BF405)+ROW()/1000000)</f>
        <v/>
      </c>
    </row>
    <row r="406">
      <c r="H406" t="str">
        <f>IFERROR(INDEX(tblY7[Class],ROWS(H$10:H406))&amp;"","")</f>
        <v/>
      </c>
      <c r="I406" t="str">
        <f>IF(H406="","",IF(COUNTIF(H$10:H406,H406)=1,COUNTIF(H$10:H$609,"&lt;"&amp;H406)+1,""))</f>
        <v/>
      </c>
      <c r="J406" t="str">
        <f>IFERROR(INDEX(tblY8[Class],ROWS(J$10:J406))&amp;"","")</f>
        <v/>
      </c>
      <c r="K406" t="str">
        <f>IF(J406="","",IF(COUNTIF(J$10:J406,J406)=1,COUNTIF(J$10:J$609,"&lt;"&amp;J406)+1,""))</f>
        <v/>
      </c>
      <c r="L406" t="str">
        <f>IFERROR(INDEX(tblY9[Class],ROWS(L$10:L406))&amp;"","")</f>
        <v/>
      </c>
      <c r="M406" t="str">
        <f>IF(L406="","",IF(COUNTIF(L$10:L406,L406)=1,COUNTIF(L$10:L$609,"&lt;"&amp;L406)+1,""))</f>
        <v/>
      </c>
      <c r="N406" t="str">
        <f>IFERROR(INDEX(tblY10[Class],ROWS(N$10:N406))&amp;"","")</f>
        <v/>
      </c>
      <c r="O406" t="str">
        <f>IF(N406="","",IF(COUNTIF(N$10:N406,N406)=1,COUNTIF(N$10:N$609,"&lt;"&amp;N406)+1,""))</f>
        <v/>
      </c>
      <c r="P406" t="str">
        <f>IFERROR(INDEX(tblY11[Class],ROWS(P$10:P406))&amp;"","")</f>
        <v/>
      </c>
      <c r="Q406" t="str">
        <f>IF(P406="","",IF(COUNTIF(P$10:P406,P406)=1,COUNTIF(P$10:P$609,"&lt;"&amp;P406)+1,""))</f>
        <v/>
      </c>
      <c r="BA406" t="str">
        <f>IFERROR(INDEX(wLast,337)&amp;"","")</f>
        <v/>
      </c>
      <c r="BB406" t="str">
        <f>IF(BA406="","",IFERROR(INDEX(wFirst,337)&amp;"",""))</f>
        <v/>
      </c>
      <c r="BC406" t="str">
        <f>IF(BA406="","",IFERROR(INDEX(wClass,337)&amp;"",""))</f>
        <v/>
      </c>
      <c r="BD406" t="str">
        <f>IF(BA406="","",IFERROR(INDEX(wKsBand,337)+0,""))</f>
        <v/>
      </c>
      <c r="BE406" t="str">
        <f>IF(BA406="","",IFERROR(INDEX(wTests,337)+0,0))</f>
        <v/>
      </c>
      <c r="BF406" t="str">
        <f>IF(BA406="","",IFERROR(INDEX(wMean,337)+0,""))</f>
        <v/>
      </c>
      <c r="BG406" t="str">
        <f>IF(BA406="","",IFERROR(INDEX(wVs,337)+0,""))</f>
        <v/>
      </c>
      <c r="BH406" t="str">
        <f>IF(OR(BA406="",wLatest=""),"",IFERROR(INDEX(wData,337,MATCH(wLatest&amp;CHAR(10)&amp;"Stanine",wHdr,0))+0,""))</f>
        <v/>
      </c>
      <c r="BI406" t="str">
        <f>IF(BA406="","",IF(AND(ISNUMBER(BG406),N(BE406)&gt;=WlMinTests,BG406&lt;=-WlGap),"Below expected for KS2",IF(AND(NOT(ISNUMBER(BD406)),ISNUMBER(BF406),N(BE406)&gt;=WlMinTests,BF406&lt;=WlLowMean),"Low results, no KS2 data","")))</f>
        <v/>
      </c>
      <c r="BJ406" t="str">
        <f>IF(BI406="","",IF(BI406="Below expected for KS2",BG406,100+BF406)+ROW()/1000000)</f>
        <v/>
      </c>
    </row>
    <row r="407">
      <c r="H407" t="str">
        <f>IFERROR(INDEX(tblY7[Class],ROWS(H$10:H407))&amp;"","")</f>
        <v/>
      </c>
      <c r="I407" t="str">
        <f>IF(H407="","",IF(COUNTIF(H$10:H407,H407)=1,COUNTIF(H$10:H$609,"&lt;"&amp;H407)+1,""))</f>
        <v/>
      </c>
      <c r="J407" t="str">
        <f>IFERROR(INDEX(tblY8[Class],ROWS(J$10:J407))&amp;"","")</f>
        <v/>
      </c>
      <c r="K407" t="str">
        <f>IF(J407="","",IF(COUNTIF(J$10:J407,J407)=1,COUNTIF(J$10:J$609,"&lt;"&amp;J407)+1,""))</f>
        <v/>
      </c>
      <c r="L407" t="str">
        <f>IFERROR(INDEX(tblY9[Class],ROWS(L$10:L407))&amp;"","")</f>
        <v/>
      </c>
      <c r="M407" t="str">
        <f>IF(L407="","",IF(COUNTIF(L$10:L407,L407)=1,COUNTIF(L$10:L$609,"&lt;"&amp;L407)+1,""))</f>
        <v/>
      </c>
      <c r="N407" t="str">
        <f>IFERROR(INDEX(tblY10[Class],ROWS(N$10:N407))&amp;"","")</f>
        <v/>
      </c>
      <c r="O407" t="str">
        <f>IF(N407="","",IF(COUNTIF(N$10:N407,N407)=1,COUNTIF(N$10:N$609,"&lt;"&amp;N407)+1,""))</f>
        <v/>
      </c>
      <c r="P407" t="str">
        <f>IFERROR(INDEX(tblY11[Class],ROWS(P$10:P407))&amp;"","")</f>
        <v/>
      </c>
      <c r="Q407" t="str">
        <f>IF(P407="","",IF(COUNTIF(P$10:P407,P407)=1,COUNTIF(P$10:P$609,"&lt;"&amp;P407)+1,""))</f>
        <v/>
      </c>
      <c r="BA407" t="str">
        <f>IFERROR(INDEX(wLast,338)&amp;"","")</f>
        <v/>
      </c>
      <c r="BB407" t="str">
        <f>IF(BA407="","",IFERROR(INDEX(wFirst,338)&amp;"",""))</f>
        <v/>
      </c>
      <c r="BC407" t="str">
        <f>IF(BA407="","",IFERROR(INDEX(wClass,338)&amp;"",""))</f>
        <v/>
      </c>
      <c r="BD407" t="str">
        <f>IF(BA407="","",IFERROR(INDEX(wKsBand,338)+0,""))</f>
        <v/>
      </c>
      <c r="BE407" t="str">
        <f>IF(BA407="","",IFERROR(INDEX(wTests,338)+0,0))</f>
        <v/>
      </c>
      <c r="BF407" t="str">
        <f>IF(BA407="","",IFERROR(INDEX(wMean,338)+0,""))</f>
        <v/>
      </c>
      <c r="BG407" t="str">
        <f>IF(BA407="","",IFERROR(INDEX(wVs,338)+0,""))</f>
        <v/>
      </c>
      <c r="BH407" t="str">
        <f>IF(OR(BA407="",wLatest=""),"",IFERROR(INDEX(wData,338,MATCH(wLatest&amp;CHAR(10)&amp;"Stanine",wHdr,0))+0,""))</f>
        <v/>
      </c>
      <c r="BI407" t="str">
        <f>IF(BA407="","",IF(AND(ISNUMBER(BG407),N(BE407)&gt;=WlMinTests,BG407&lt;=-WlGap),"Below expected for KS2",IF(AND(NOT(ISNUMBER(BD407)),ISNUMBER(BF407),N(BE407)&gt;=WlMinTests,BF407&lt;=WlLowMean),"Low results, no KS2 data","")))</f>
        <v/>
      </c>
      <c r="BJ407" t="str">
        <f>IF(BI407="","",IF(BI407="Below expected for KS2",BG407,100+BF407)+ROW()/1000000)</f>
        <v/>
      </c>
    </row>
    <row r="408">
      <c r="H408" t="str">
        <f>IFERROR(INDEX(tblY7[Class],ROWS(H$10:H408))&amp;"","")</f>
        <v/>
      </c>
      <c r="I408" t="str">
        <f>IF(H408="","",IF(COUNTIF(H$10:H408,H408)=1,COUNTIF(H$10:H$609,"&lt;"&amp;H408)+1,""))</f>
        <v/>
      </c>
      <c r="J408" t="str">
        <f>IFERROR(INDEX(tblY8[Class],ROWS(J$10:J408))&amp;"","")</f>
        <v/>
      </c>
      <c r="K408" t="str">
        <f>IF(J408="","",IF(COUNTIF(J$10:J408,J408)=1,COUNTIF(J$10:J$609,"&lt;"&amp;J408)+1,""))</f>
        <v/>
      </c>
      <c r="L408" t="str">
        <f>IFERROR(INDEX(tblY9[Class],ROWS(L$10:L408))&amp;"","")</f>
        <v/>
      </c>
      <c r="M408" t="str">
        <f>IF(L408="","",IF(COUNTIF(L$10:L408,L408)=1,COUNTIF(L$10:L$609,"&lt;"&amp;L408)+1,""))</f>
        <v/>
      </c>
      <c r="N408" t="str">
        <f>IFERROR(INDEX(tblY10[Class],ROWS(N$10:N408))&amp;"","")</f>
        <v/>
      </c>
      <c r="O408" t="str">
        <f>IF(N408="","",IF(COUNTIF(N$10:N408,N408)=1,COUNTIF(N$10:N$609,"&lt;"&amp;N408)+1,""))</f>
        <v/>
      </c>
      <c r="P408" t="str">
        <f>IFERROR(INDEX(tblY11[Class],ROWS(P$10:P408))&amp;"","")</f>
        <v/>
      </c>
      <c r="Q408" t="str">
        <f>IF(P408="","",IF(COUNTIF(P$10:P408,P408)=1,COUNTIF(P$10:P$609,"&lt;"&amp;P408)+1,""))</f>
        <v/>
      </c>
      <c r="BA408" t="str">
        <f>IFERROR(INDEX(wLast,339)&amp;"","")</f>
        <v/>
      </c>
      <c r="BB408" t="str">
        <f>IF(BA408="","",IFERROR(INDEX(wFirst,339)&amp;"",""))</f>
        <v/>
      </c>
      <c r="BC408" t="str">
        <f>IF(BA408="","",IFERROR(INDEX(wClass,339)&amp;"",""))</f>
        <v/>
      </c>
      <c r="BD408" t="str">
        <f>IF(BA408="","",IFERROR(INDEX(wKsBand,339)+0,""))</f>
        <v/>
      </c>
      <c r="BE408" t="str">
        <f>IF(BA408="","",IFERROR(INDEX(wTests,339)+0,0))</f>
        <v/>
      </c>
      <c r="BF408" t="str">
        <f>IF(BA408="","",IFERROR(INDEX(wMean,339)+0,""))</f>
        <v/>
      </c>
      <c r="BG408" t="str">
        <f>IF(BA408="","",IFERROR(INDEX(wVs,339)+0,""))</f>
        <v/>
      </c>
      <c r="BH408" t="str">
        <f>IF(OR(BA408="",wLatest=""),"",IFERROR(INDEX(wData,339,MATCH(wLatest&amp;CHAR(10)&amp;"Stanine",wHdr,0))+0,""))</f>
        <v/>
      </c>
      <c r="BI408" t="str">
        <f>IF(BA408="","",IF(AND(ISNUMBER(BG408),N(BE408)&gt;=WlMinTests,BG408&lt;=-WlGap),"Below expected for KS2",IF(AND(NOT(ISNUMBER(BD408)),ISNUMBER(BF408),N(BE408)&gt;=WlMinTests,BF408&lt;=WlLowMean),"Low results, no KS2 data","")))</f>
        <v/>
      </c>
      <c r="BJ408" t="str">
        <f>IF(BI408="","",IF(BI408="Below expected for KS2",BG408,100+BF408)+ROW()/1000000)</f>
        <v/>
      </c>
    </row>
    <row r="409">
      <c r="H409" t="str">
        <f>IFERROR(INDEX(tblY7[Class],ROWS(H$10:H409))&amp;"","")</f>
        <v/>
      </c>
      <c r="I409" t="str">
        <f>IF(H409="","",IF(COUNTIF(H$10:H409,H409)=1,COUNTIF(H$10:H$609,"&lt;"&amp;H409)+1,""))</f>
        <v/>
      </c>
      <c r="J409" t="str">
        <f>IFERROR(INDEX(tblY8[Class],ROWS(J$10:J409))&amp;"","")</f>
        <v/>
      </c>
      <c r="K409" t="str">
        <f>IF(J409="","",IF(COUNTIF(J$10:J409,J409)=1,COUNTIF(J$10:J$609,"&lt;"&amp;J409)+1,""))</f>
        <v/>
      </c>
      <c r="L409" t="str">
        <f>IFERROR(INDEX(tblY9[Class],ROWS(L$10:L409))&amp;"","")</f>
        <v/>
      </c>
      <c r="M409" t="str">
        <f>IF(L409="","",IF(COUNTIF(L$10:L409,L409)=1,COUNTIF(L$10:L$609,"&lt;"&amp;L409)+1,""))</f>
        <v/>
      </c>
      <c r="N409" t="str">
        <f>IFERROR(INDEX(tblY10[Class],ROWS(N$10:N409))&amp;"","")</f>
        <v/>
      </c>
      <c r="O409" t="str">
        <f>IF(N409="","",IF(COUNTIF(N$10:N409,N409)=1,COUNTIF(N$10:N$609,"&lt;"&amp;N409)+1,""))</f>
        <v/>
      </c>
      <c r="P409" t="str">
        <f>IFERROR(INDEX(tblY11[Class],ROWS(P$10:P409))&amp;"","")</f>
        <v/>
      </c>
      <c r="Q409" t="str">
        <f>IF(P409="","",IF(COUNTIF(P$10:P409,P409)=1,COUNTIF(P$10:P$609,"&lt;"&amp;P409)+1,""))</f>
        <v/>
      </c>
      <c r="BA409" t="str">
        <f>IFERROR(INDEX(wLast,340)&amp;"","")</f>
        <v/>
      </c>
      <c r="BB409" t="str">
        <f>IF(BA409="","",IFERROR(INDEX(wFirst,340)&amp;"",""))</f>
        <v/>
      </c>
      <c r="BC409" t="str">
        <f>IF(BA409="","",IFERROR(INDEX(wClass,340)&amp;"",""))</f>
        <v/>
      </c>
      <c r="BD409" t="str">
        <f>IF(BA409="","",IFERROR(INDEX(wKsBand,340)+0,""))</f>
        <v/>
      </c>
      <c r="BE409" t="str">
        <f>IF(BA409="","",IFERROR(INDEX(wTests,340)+0,0))</f>
        <v/>
      </c>
      <c r="BF409" t="str">
        <f>IF(BA409="","",IFERROR(INDEX(wMean,340)+0,""))</f>
        <v/>
      </c>
      <c r="BG409" t="str">
        <f>IF(BA409="","",IFERROR(INDEX(wVs,340)+0,""))</f>
        <v/>
      </c>
      <c r="BH409" t="str">
        <f>IF(OR(BA409="",wLatest=""),"",IFERROR(INDEX(wData,340,MATCH(wLatest&amp;CHAR(10)&amp;"Stanine",wHdr,0))+0,""))</f>
        <v/>
      </c>
      <c r="BI409" t="str">
        <f>IF(BA409="","",IF(AND(ISNUMBER(BG409),N(BE409)&gt;=WlMinTests,BG409&lt;=-WlGap),"Below expected for KS2",IF(AND(NOT(ISNUMBER(BD409)),ISNUMBER(BF409),N(BE409)&gt;=WlMinTests,BF409&lt;=WlLowMean),"Low results, no KS2 data","")))</f>
        <v/>
      </c>
      <c r="BJ409" t="str">
        <f>IF(BI409="","",IF(BI409="Below expected for KS2",BG409,100+BF409)+ROW()/1000000)</f>
        <v/>
      </c>
    </row>
    <row r="410">
      <c r="H410" t="str">
        <f>IFERROR(INDEX(tblY7[Class],ROWS(H$10:H410))&amp;"","")</f>
        <v/>
      </c>
      <c r="I410" t="str">
        <f>IF(H410="","",IF(COUNTIF(H$10:H410,H410)=1,COUNTIF(H$10:H$609,"&lt;"&amp;H410)+1,""))</f>
        <v/>
      </c>
      <c r="J410" t="str">
        <f>IFERROR(INDEX(tblY8[Class],ROWS(J$10:J410))&amp;"","")</f>
        <v/>
      </c>
      <c r="K410" t="str">
        <f>IF(J410="","",IF(COUNTIF(J$10:J410,J410)=1,COUNTIF(J$10:J$609,"&lt;"&amp;J410)+1,""))</f>
        <v/>
      </c>
      <c r="L410" t="str">
        <f>IFERROR(INDEX(tblY9[Class],ROWS(L$10:L410))&amp;"","")</f>
        <v/>
      </c>
      <c r="M410" t="str">
        <f>IF(L410="","",IF(COUNTIF(L$10:L410,L410)=1,COUNTIF(L$10:L$609,"&lt;"&amp;L410)+1,""))</f>
        <v/>
      </c>
      <c r="N410" t="str">
        <f>IFERROR(INDEX(tblY10[Class],ROWS(N$10:N410))&amp;"","")</f>
        <v/>
      </c>
      <c r="O410" t="str">
        <f>IF(N410="","",IF(COUNTIF(N$10:N410,N410)=1,COUNTIF(N$10:N$609,"&lt;"&amp;N410)+1,""))</f>
        <v/>
      </c>
      <c r="P410" t="str">
        <f>IFERROR(INDEX(tblY11[Class],ROWS(P$10:P410))&amp;"","")</f>
        <v/>
      </c>
      <c r="Q410" t="str">
        <f>IF(P410="","",IF(COUNTIF(P$10:P410,P410)=1,COUNTIF(P$10:P$609,"&lt;"&amp;P410)+1,""))</f>
        <v/>
      </c>
      <c r="BA410" t="str">
        <f>IFERROR(INDEX(wLast,341)&amp;"","")</f>
        <v/>
      </c>
      <c r="BB410" t="str">
        <f>IF(BA410="","",IFERROR(INDEX(wFirst,341)&amp;"",""))</f>
        <v/>
      </c>
      <c r="BC410" t="str">
        <f>IF(BA410="","",IFERROR(INDEX(wClass,341)&amp;"",""))</f>
        <v/>
      </c>
      <c r="BD410" t="str">
        <f>IF(BA410="","",IFERROR(INDEX(wKsBand,341)+0,""))</f>
        <v/>
      </c>
      <c r="BE410" t="str">
        <f>IF(BA410="","",IFERROR(INDEX(wTests,341)+0,0))</f>
        <v/>
      </c>
      <c r="BF410" t="str">
        <f>IF(BA410="","",IFERROR(INDEX(wMean,341)+0,""))</f>
        <v/>
      </c>
      <c r="BG410" t="str">
        <f>IF(BA410="","",IFERROR(INDEX(wVs,341)+0,""))</f>
        <v/>
      </c>
      <c r="BH410" t="str">
        <f>IF(OR(BA410="",wLatest=""),"",IFERROR(INDEX(wData,341,MATCH(wLatest&amp;CHAR(10)&amp;"Stanine",wHdr,0))+0,""))</f>
        <v/>
      </c>
      <c r="BI410" t="str">
        <f>IF(BA410="","",IF(AND(ISNUMBER(BG410),N(BE410)&gt;=WlMinTests,BG410&lt;=-WlGap),"Below expected for KS2",IF(AND(NOT(ISNUMBER(BD410)),ISNUMBER(BF410),N(BE410)&gt;=WlMinTests,BF410&lt;=WlLowMean),"Low results, no KS2 data","")))</f>
        <v/>
      </c>
      <c r="BJ410" t="str">
        <f>IF(BI410="","",IF(BI410="Below expected for KS2",BG410,100+BF410)+ROW()/1000000)</f>
        <v/>
      </c>
    </row>
    <row r="411">
      <c r="H411" t="str">
        <f>IFERROR(INDEX(tblY7[Class],ROWS(H$10:H411))&amp;"","")</f>
        <v/>
      </c>
      <c r="I411" t="str">
        <f>IF(H411="","",IF(COUNTIF(H$10:H411,H411)=1,COUNTIF(H$10:H$609,"&lt;"&amp;H411)+1,""))</f>
        <v/>
      </c>
      <c r="J411" t="str">
        <f>IFERROR(INDEX(tblY8[Class],ROWS(J$10:J411))&amp;"","")</f>
        <v/>
      </c>
      <c r="K411" t="str">
        <f>IF(J411="","",IF(COUNTIF(J$10:J411,J411)=1,COUNTIF(J$10:J$609,"&lt;"&amp;J411)+1,""))</f>
        <v/>
      </c>
      <c r="L411" t="str">
        <f>IFERROR(INDEX(tblY9[Class],ROWS(L$10:L411))&amp;"","")</f>
        <v/>
      </c>
      <c r="M411" t="str">
        <f>IF(L411="","",IF(COUNTIF(L$10:L411,L411)=1,COUNTIF(L$10:L$609,"&lt;"&amp;L411)+1,""))</f>
        <v/>
      </c>
      <c r="N411" t="str">
        <f>IFERROR(INDEX(tblY10[Class],ROWS(N$10:N411))&amp;"","")</f>
        <v/>
      </c>
      <c r="O411" t="str">
        <f>IF(N411="","",IF(COUNTIF(N$10:N411,N411)=1,COUNTIF(N$10:N$609,"&lt;"&amp;N411)+1,""))</f>
        <v/>
      </c>
      <c r="P411" t="str">
        <f>IFERROR(INDEX(tblY11[Class],ROWS(P$10:P411))&amp;"","")</f>
        <v/>
      </c>
      <c r="Q411" t="str">
        <f>IF(P411="","",IF(COUNTIF(P$10:P411,P411)=1,COUNTIF(P$10:P$609,"&lt;"&amp;P411)+1,""))</f>
        <v/>
      </c>
      <c r="BA411" t="str">
        <f>IFERROR(INDEX(wLast,342)&amp;"","")</f>
        <v/>
      </c>
      <c r="BB411" t="str">
        <f>IF(BA411="","",IFERROR(INDEX(wFirst,342)&amp;"",""))</f>
        <v/>
      </c>
      <c r="BC411" t="str">
        <f>IF(BA411="","",IFERROR(INDEX(wClass,342)&amp;"",""))</f>
        <v/>
      </c>
      <c r="BD411" t="str">
        <f>IF(BA411="","",IFERROR(INDEX(wKsBand,342)+0,""))</f>
        <v/>
      </c>
      <c r="BE411" t="str">
        <f>IF(BA411="","",IFERROR(INDEX(wTests,342)+0,0))</f>
        <v/>
      </c>
      <c r="BF411" t="str">
        <f>IF(BA411="","",IFERROR(INDEX(wMean,342)+0,""))</f>
        <v/>
      </c>
      <c r="BG411" t="str">
        <f>IF(BA411="","",IFERROR(INDEX(wVs,342)+0,""))</f>
        <v/>
      </c>
      <c r="BH411" t="str">
        <f>IF(OR(BA411="",wLatest=""),"",IFERROR(INDEX(wData,342,MATCH(wLatest&amp;CHAR(10)&amp;"Stanine",wHdr,0))+0,""))</f>
        <v/>
      </c>
      <c r="BI411" t="str">
        <f>IF(BA411="","",IF(AND(ISNUMBER(BG411),N(BE411)&gt;=WlMinTests,BG411&lt;=-WlGap),"Below expected for KS2",IF(AND(NOT(ISNUMBER(BD411)),ISNUMBER(BF411),N(BE411)&gt;=WlMinTests,BF411&lt;=WlLowMean),"Low results, no KS2 data","")))</f>
        <v/>
      </c>
      <c r="BJ411" t="str">
        <f>IF(BI411="","",IF(BI411="Below expected for KS2",BG411,100+BF411)+ROW()/1000000)</f>
        <v/>
      </c>
    </row>
    <row r="412">
      <c r="H412" t="str">
        <f>IFERROR(INDEX(tblY7[Class],ROWS(H$10:H412))&amp;"","")</f>
        <v/>
      </c>
      <c r="I412" t="str">
        <f>IF(H412="","",IF(COUNTIF(H$10:H412,H412)=1,COUNTIF(H$10:H$609,"&lt;"&amp;H412)+1,""))</f>
        <v/>
      </c>
      <c r="J412" t="str">
        <f>IFERROR(INDEX(tblY8[Class],ROWS(J$10:J412))&amp;"","")</f>
        <v/>
      </c>
      <c r="K412" t="str">
        <f>IF(J412="","",IF(COUNTIF(J$10:J412,J412)=1,COUNTIF(J$10:J$609,"&lt;"&amp;J412)+1,""))</f>
        <v/>
      </c>
      <c r="L412" t="str">
        <f>IFERROR(INDEX(tblY9[Class],ROWS(L$10:L412))&amp;"","")</f>
        <v/>
      </c>
      <c r="M412" t="str">
        <f>IF(L412="","",IF(COUNTIF(L$10:L412,L412)=1,COUNTIF(L$10:L$609,"&lt;"&amp;L412)+1,""))</f>
        <v/>
      </c>
      <c r="N412" t="str">
        <f>IFERROR(INDEX(tblY10[Class],ROWS(N$10:N412))&amp;"","")</f>
        <v/>
      </c>
      <c r="O412" t="str">
        <f>IF(N412="","",IF(COUNTIF(N$10:N412,N412)=1,COUNTIF(N$10:N$609,"&lt;"&amp;N412)+1,""))</f>
        <v/>
      </c>
      <c r="P412" t="str">
        <f>IFERROR(INDEX(tblY11[Class],ROWS(P$10:P412))&amp;"","")</f>
        <v/>
      </c>
      <c r="Q412" t="str">
        <f>IF(P412="","",IF(COUNTIF(P$10:P412,P412)=1,COUNTIF(P$10:P$609,"&lt;"&amp;P412)+1,""))</f>
        <v/>
      </c>
      <c r="BA412" t="str">
        <f>IFERROR(INDEX(wLast,343)&amp;"","")</f>
        <v/>
      </c>
      <c r="BB412" t="str">
        <f>IF(BA412="","",IFERROR(INDEX(wFirst,343)&amp;"",""))</f>
        <v/>
      </c>
      <c r="BC412" t="str">
        <f>IF(BA412="","",IFERROR(INDEX(wClass,343)&amp;"",""))</f>
        <v/>
      </c>
      <c r="BD412" t="str">
        <f>IF(BA412="","",IFERROR(INDEX(wKsBand,343)+0,""))</f>
        <v/>
      </c>
      <c r="BE412" t="str">
        <f>IF(BA412="","",IFERROR(INDEX(wTests,343)+0,0))</f>
        <v/>
      </c>
      <c r="BF412" t="str">
        <f>IF(BA412="","",IFERROR(INDEX(wMean,343)+0,""))</f>
        <v/>
      </c>
      <c r="BG412" t="str">
        <f>IF(BA412="","",IFERROR(INDEX(wVs,343)+0,""))</f>
        <v/>
      </c>
      <c r="BH412" t="str">
        <f>IF(OR(BA412="",wLatest=""),"",IFERROR(INDEX(wData,343,MATCH(wLatest&amp;CHAR(10)&amp;"Stanine",wHdr,0))+0,""))</f>
        <v/>
      </c>
      <c r="BI412" t="str">
        <f>IF(BA412="","",IF(AND(ISNUMBER(BG412),N(BE412)&gt;=WlMinTests,BG412&lt;=-WlGap),"Below expected for KS2",IF(AND(NOT(ISNUMBER(BD412)),ISNUMBER(BF412),N(BE412)&gt;=WlMinTests,BF412&lt;=WlLowMean),"Low results, no KS2 data","")))</f>
        <v/>
      </c>
      <c r="BJ412" t="str">
        <f>IF(BI412="","",IF(BI412="Below expected for KS2",BG412,100+BF412)+ROW()/1000000)</f>
        <v/>
      </c>
    </row>
    <row r="413">
      <c r="H413" t="str">
        <f>IFERROR(INDEX(tblY7[Class],ROWS(H$10:H413))&amp;"","")</f>
        <v/>
      </c>
      <c r="I413" t="str">
        <f>IF(H413="","",IF(COUNTIF(H$10:H413,H413)=1,COUNTIF(H$10:H$609,"&lt;"&amp;H413)+1,""))</f>
        <v/>
      </c>
      <c r="J413" t="str">
        <f>IFERROR(INDEX(tblY8[Class],ROWS(J$10:J413))&amp;"","")</f>
        <v/>
      </c>
      <c r="K413" t="str">
        <f>IF(J413="","",IF(COUNTIF(J$10:J413,J413)=1,COUNTIF(J$10:J$609,"&lt;"&amp;J413)+1,""))</f>
        <v/>
      </c>
      <c r="L413" t="str">
        <f>IFERROR(INDEX(tblY9[Class],ROWS(L$10:L413))&amp;"","")</f>
        <v/>
      </c>
      <c r="M413" t="str">
        <f>IF(L413="","",IF(COUNTIF(L$10:L413,L413)=1,COUNTIF(L$10:L$609,"&lt;"&amp;L413)+1,""))</f>
        <v/>
      </c>
      <c r="N413" t="str">
        <f>IFERROR(INDEX(tblY10[Class],ROWS(N$10:N413))&amp;"","")</f>
        <v/>
      </c>
      <c r="O413" t="str">
        <f>IF(N413="","",IF(COUNTIF(N$10:N413,N413)=1,COUNTIF(N$10:N$609,"&lt;"&amp;N413)+1,""))</f>
        <v/>
      </c>
      <c r="P413" t="str">
        <f>IFERROR(INDEX(tblY11[Class],ROWS(P$10:P413))&amp;"","")</f>
        <v/>
      </c>
      <c r="Q413" t="str">
        <f>IF(P413="","",IF(COUNTIF(P$10:P413,P413)=1,COUNTIF(P$10:P$609,"&lt;"&amp;P413)+1,""))</f>
        <v/>
      </c>
      <c r="BA413" t="str">
        <f>IFERROR(INDEX(wLast,344)&amp;"","")</f>
        <v/>
      </c>
      <c r="BB413" t="str">
        <f>IF(BA413="","",IFERROR(INDEX(wFirst,344)&amp;"",""))</f>
        <v/>
      </c>
      <c r="BC413" t="str">
        <f>IF(BA413="","",IFERROR(INDEX(wClass,344)&amp;"",""))</f>
        <v/>
      </c>
      <c r="BD413" t="str">
        <f>IF(BA413="","",IFERROR(INDEX(wKsBand,344)+0,""))</f>
        <v/>
      </c>
      <c r="BE413" t="str">
        <f>IF(BA413="","",IFERROR(INDEX(wTests,344)+0,0))</f>
        <v/>
      </c>
      <c r="BF413" t="str">
        <f>IF(BA413="","",IFERROR(INDEX(wMean,344)+0,""))</f>
        <v/>
      </c>
      <c r="BG413" t="str">
        <f>IF(BA413="","",IFERROR(INDEX(wVs,344)+0,""))</f>
        <v/>
      </c>
      <c r="BH413" t="str">
        <f>IF(OR(BA413="",wLatest=""),"",IFERROR(INDEX(wData,344,MATCH(wLatest&amp;CHAR(10)&amp;"Stanine",wHdr,0))+0,""))</f>
        <v/>
      </c>
      <c r="BI413" t="str">
        <f>IF(BA413="","",IF(AND(ISNUMBER(BG413),N(BE413)&gt;=WlMinTests,BG413&lt;=-WlGap),"Below expected for KS2",IF(AND(NOT(ISNUMBER(BD413)),ISNUMBER(BF413),N(BE413)&gt;=WlMinTests,BF413&lt;=WlLowMean),"Low results, no KS2 data","")))</f>
        <v/>
      </c>
      <c r="BJ413" t="str">
        <f>IF(BI413="","",IF(BI413="Below expected for KS2",BG413,100+BF413)+ROW()/1000000)</f>
        <v/>
      </c>
    </row>
    <row r="414">
      <c r="H414" t="str">
        <f>IFERROR(INDEX(tblY7[Class],ROWS(H$10:H414))&amp;"","")</f>
        <v/>
      </c>
      <c r="I414" t="str">
        <f>IF(H414="","",IF(COUNTIF(H$10:H414,H414)=1,COUNTIF(H$10:H$609,"&lt;"&amp;H414)+1,""))</f>
        <v/>
      </c>
      <c r="J414" t="str">
        <f>IFERROR(INDEX(tblY8[Class],ROWS(J$10:J414))&amp;"","")</f>
        <v/>
      </c>
      <c r="K414" t="str">
        <f>IF(J414="","",IF(COUNTIF(J$10:J414,J414)=1,COUNTIF(J$10:J$609,"&lt;"&amp;J414)+1,""))</f>
        <v/>
      </c>
      <c r="L414" t="str">
        <f>IFERROR(INDEX(tblY9[Class],ROWS(L$10:L414))&amp;"","")</f>
        <v/>
      </c>
      <c r="M414" t="str">
        <f>IF(L414="","",IF(COUNTIF(L$10:L414,L414)=1,COUNTIF(L$10:L$609,"&lt;"&amp;L414)+1,""))</f>
        <v/>
      </c>
      <c r="N414" t="str">
        <f>IFERROR(INDEX(tblY10[Class],ROWS(N$10:N414))&amp;"","")</f>
        <v/>
      </c>
      <c r="O414" t="str">
        <f>IF(N414="","",IF(COUNTIF(N$10:N414,N414)=1,COUNTIF(N$10:N$609,"&lt;"&amp;N414)+1,""))</f>
        <v/>
      </c>
      <c r="P414" t="str">
        <f>IFERROR(INDEX(tblY11[Class],ROWS(P$10:P414))&amp;"","")</f>
        <v/>
      </c>
      <c r="Q414" t="str">
        <f>IF(P414="","",IF(COUNTIF(P$10:P414,P414)=1,COUNTIF(P$10:P$609,"&lt;"&amp;P414)+1,""))</f>
        <v/>
      </c>
      <c r="BA414" t="str">
        <f>IFERROR(INDEX(wLast,345)&amp;"","")</f>
        <v/>
      </c>
      <c r="BB414" t="str">
        <f>IF(BA414="","",IFERROR(INDEX(wFirst,345)&amp;"",""))</f>
        <v/>
      </c>
      <c r="BC414" t="str">
        <f>IF(BA414="","",IFERROR(INDEX(wClass,345)&amp;"",""))</f>
        <v/>
      </c>
      <c r="BD414" t="str">
        <f>IF(BA414="","",IFERROR(INDEX(wKsBand,345)+0,""))</f>
        <v/>
      </c>
      <c r="BE414" t="str">
        <f>IF(BA414="","",IFERROR(INDEX(wTests,345)+0,0))</f>
        <v/>
      </c>
      <c r="BF414" t="str">
        <f>IF(BA414="","",IFERROR(INDEX(wMean,345)+0,""))</f>
        <v/>
      </c>
      <c r="BG414" t="str">
        <f>IF(BA414="","",IFERROR(INDEX(wVs,345)+0,""))</f>
        <v/>
      </c>
      <c r="BH414" t="str">
        <f>IF(OR(BA414="",wLatest=""),"",IFERROR(INDEX(wData,345,MATCH(wLatest&amp;CHAR(10)&amp;"Stanine",wHdr,0))+0,""))</f>
        <v/>
      </c>
      <c r="BI414" t="str">
        <f>IF(BA414="","",IF(AND(ISNUMBER(BG414),N(BE414)&gt;=WlMinTests,BG414&lt;=-WlGap),"Below expected for KS2",IF(AND(NOT(ISNUMBER(BD414)),ISNUMBER(BF414),N(BE414)&gt;=WlMinTests,BF414&lt;=WlLowMean),"Low results, no KS2 data","")))</f>
        <v/>
      </c>
      <c r="BJ414" t="str">
        <f>IF(BI414="","",IF(BI414="Below expected for KS2",BG414,100+BF414)+ROW()/1000000)</f>
        <v/>
      </c>
    </row>
    <row r="415">
      <c r="H415" t="str">
        <f>IFERROR(INDEX(tblY7[Class],ROWS(H$10:H415))&amp;"","")</f>
        <v/>
      </c>
      <c r="I415" t="str">
        <f>IF(H415="","",IF(COUNTIF(H$10:H415,H415)=1,COUNTIF(H$10:H$609,"&lt;"&amp;H415)+1,""))</f>
        <v/>
      </c>
      <c r="J415" t="str">
        <f>IFERROR(INDEX(tblY8[Class],ROWS(J$10:J415))&amp;"","")</f>
        <v/>
      </c>
      <c r="K415" t="str">
        <f>IF(J415="","",IF(COUNTIF(J$10:J415,J415)=1,COUNTIF(J$10:J$609,"&lt;"&amp;J415)+1,""))</f>
        <v/>
      </c>
      <c r="L415" t="str">
        <f>IFERROR(INDEX(tblY9[Class],ROWS(L$10:L415))&amp;"","")</f>
        <v/>
      </c>
      <c r="M415" t="str">
        <f>IF(L415="","",IF(COUNTIF(L$10:L415,L415)=1,COUNTIF(L$10:L$609,"&lt;"&amp;L415)+1,""))</f>
        <v/>
      </c>
      <c r="N415" t="str">
        <f>IFERROR(INDEX(tblY10[Class],ROWS(N$10:N415))&amp;"","")</f>
        <v/>
      </c>
      <c r="O415" t="str">
        <f>IF(N415="","",IF(COUNTIF(N$10:N415,N415)=1,COUNTIF(N$10:N$609,"&lt;"&amp;N415)+1,""))</f>
        <v/>
      </c>
      <c r="P415" t="str">
        <f>IFERROR(INDEX(tblY11[Class],ROWS(P$10:P415))&amp;"","")</f>
        <v/>
      </c>
      <c r="Q415" t="str">
        <f>IF(P415="","",IF(COUNTIF(P$10:P415,P415)=1,COUNTIF(P$10:P$609,"&lt;"&amp;P415)+1,""))</f>
        <v/>
      </c>
      <c r="BA415" t="str">
        <f>IFERROR(INDEX(wLast,346)&amp;"","")</f>
        <v/>
      </c>
      <c r="BB415" t="str">
        <f>IF(BA415="","",IFERROR(INDEX(wFirst,346)&amp;"",""))</f>
        <v/>
      </c>
      <c r="BC415" t="str">
        <f>IF(BA415="","",IFERROR(INDEX(wClass,346)&amp;"",""))</f>
        <v/>
      </c>
      <c r="BD415" t="str">
        <f>IF(BA415="","",IFERROR(INDEX(wKsBand,346)+0,""))</f>
        <v/>
      </c>
      <c r="BE415" t="str">
        <f>IF(BA415="","",IFERROR(INDEX(wTests,346)+0,0))</f>
        <v/>
      </c>
      <c r="BF415" t="str">
        <f>IF(BA415="","",IFERROR(INDEX(wMean,346)+0,""))</f>
        <v/>
      </c>
      <c r="BG415" t="str">
        <f>IF(BA415="","",IFERROR(INDEX(wVs,346)+0,""))</f>
        <v/>
      </c>
      <c r="BH415" t="str">
        <f>IF(OR(BA415="",wLatest=""),"",IFERROR(INDEX(wData,346,MATCH(wLatest&amp;CHAR(10)&amp;"Stanine",wHdr,0))+0,""))</f>
        <v/>
      </c>
      <c r="BI415" t="str">
        <f>IF(BA415="","",IF(AND(ISNUMBER(BG415),N(BE415)&gt;=WlMinTests,BG415&lt;=-WlGap),"Below expected for KS2",IF(AND(NOT(ISNUMBER(BD415)),ISNUMBER(BF415),N(BE415)&gt;=WlMinTests,BF415&lt;=WlLowMean),"Low results, no KS2 data","")))</f>
        <v/>
      </c>
      <c r="BJ415" t="str">
        <f>IF(BI415="","",IF(BI415="Below expected for KS2",BG415,100+BF415)+ROW()/1000000)</f>
        <v/>
      </c>
    </row>
    <row r="416">
      <c r="H416" t="str">
        <f>IFERROR(INDEX(tblY7[Class],ROWS(H$10:H416))&amp;"","")</f>
        <v/>
      </c>
      <c r="I416" t="str">
        <f>IF(H416="","",IF(COUNTIF(H$10:H416,H416)=1,COUNTIF(H$10:H$609,"&lt;"&amp;H416)+1,""))</f>
        <v/>
      </c>
      <c r="J416" t="str">
        <f>IFERROR(INDEX(tblY8[Class],ROWS(J$10:J416))&amp;"","")</f>
        <v/>
      </c>
      <c r="K416" t="str">
        <f>IF(J416="","",IF(COUNTIF(J$10:J416,J416)=1,COUNTIF(J$10:J$609,"&lt;"&amp;J416)+1,""))</f>
        <v/>
      </c>
      <c r="L416" t="str">
        <f>IFERROR(INDEX(tblY9[Class],ROWS(L$10:L416))&amp;"","")</f>
        <v/>
      </c>
      <c r="M416" t="str">
        <f>IF(L416="","",IF(COUNTIF(L$10:L416,L416)=1,COUNTIF(L$10:L$609,"&lt;"&amp;L416)+1,""))</f>
        <v/>
      </c>
      <c r="N416" t="str">
        <f>IFERROR(INDEX(tblY10[Class],ROWS(N$10:N416))&amp;"","")</f>
        <v/>
      </c>
      <c r="O416" t="str">
        <f>IF(N416="","",IF(COUNTIF(N$10:N416,N416)=1,COUNTIF(N$10:N$609,"&lt;"&amp;N416)+1,""))</f>
        <v/>
      </c>
      <c r="P416" t="str">
        <f>IFERROR(INDEX(tblY11[Class],ROWS(P$10:P416))&amp;"","")</f>
        <v/>
      </c>
      <c r="Q416" t="str">
        <f>IF(P416="","",IF(COUNTIF(P$10:P416,P416)=1,COUNTIF(P$10:P$609,"&lt;"&amp;P416)+1,""))</f>
        <v/>
      </c>
      <c r="BA416" t="str">
        <f>IFERROR(INDEX(wLast,347)&amp;"","")</f>
        <v/>
      </c>
      <c r="BB416" t="str">
        <f>IF(BA416="","",IFERROR(INDEX(wFirst,347)&amp;"",""))</f>
        <v/>
      </c>
      <c r="BC416" t="str">
        <f>IF(BA416="","",IFERROR(INDEX(wClass,347)&amp;"",""))</f>
        <v/>
      </c>
      <c r="BD416" t="str">
        <f>IF(BA416="","",IFERROR(INDEX(wKsBand,347)+0,""))</f>
        <v/>
      </c>
      <c r="BE416" t="str">
        <f>IF(BA416="","",IFERROR(INDEX(wTests,347)+0,0))</f>
        <v/>
      </c>
      <c r="BF416" t="str">
        <f>IF(BA416="","",IFERROR(INDEX(wMean,347)+0,""))</f>
        <v/>
      </c>
      <c r="BG416" t="str">
        <f>IF(BA416="","",IFERROR(INDEX(wVs,347)+0,""))</f>
        <v/>
      </c>
      <c r="BH416" t="str">
        <f>IF(OR(BA416="",wLatest=""),"",IFERROR(INDEX(wData,347,MATCH(wLatest&amp;CHAR(10)&amp;"Stanine",wHdr,0))+0,""))</f>
        <v/>
      </c>
      <c r="BI416" t="str">
        <f>IF(BA416="","",IF(AND(ISNUMBER(BG416),N(BE416)&gt;=WlMinTests,BG416&lt;=-WlGap),"Below expected for KS2",IF(AND(NOT(ISNUMBER(BD416)),ISNUMBER(BF416),N(BE416)&gt;=WlMinTests,BF416&lt;=WlLowMean),"Low results, no KS2 data","")))</f>
        <v/>
      </c>
      <c r="BJ416" t="str">
        <f>IF(BI416="","",IF(BI416="Below expected for KS2",BG416,100+BF416)+ROW()/1000000)</f>
        <v/>
      </c>
    </row>
    <row r="417">
      <c r="H417" t="str">
        <f>IFERROR(INDEX(tblY7[Class],ROWS(H$10:H417))&amp;"","")</f>
        <v/>
      </c>
      <c r="I417" t="str">
        <f>IF(H417="","",IF(COUNTIF(H$10:H417,H417)=1,COUNTIF(H$10:H$609,"&lt;"&amp;H417)+1,""))</f>
        <v/>
      </c>
      <c r="J417" t="str">
        <f>IFERROR(INDEX(tblY8[Class],ROWS(J$10:J417))&amp;"","")</f>
        <v/>
      </c>
      <c r="K417" t="str">
        <f>IF(J417="","",IF(COUNTIF(J$10:J417,J417)=1,COUNTIF(J$10:J$609,"&lt;"&amp;J417)+1,""))</f>
        <v/>
      </c>
      <c r="L417" t="str">
        <f>IFERROR(INDEX(tblY9[Class],ROWS(L$10:L417))&amp;"","")</f>
        <v/>
      </c>
      <c r="M417" t="str">
        <f>IF(L417="","",IF(COUNTIF(L$10:L417,L417)=1,COUNTIF(L$10:L$609,"&lt;"&amp;L417)+1,""))</f>
        <v/>
      </c>
      <c r="N417" t="str">
        <f>IFERROR(INDEX(tblY10[Class],ROWS(N$10:N417))&amp;"","")</f>
        <v/>
      </c>
      <c r="O417" t="str">
        <f>IF(N417="","",IF(COUNTIF(N$10:N417,N417)=1,COUNTIF(N$10:N$609,"&lt;"&amp;N417)+1,""))</f>
        <v/>
      </c>
      <c r="P417" t="str">
        <f>IFERROR(INDEX(tblY11[Class],ROWS(P$10:P417))&amp;"","")</f>
        <v/>
      </c>
      <c r="Q417" t="str">
        <f>IF(P417="","",IF(COUNTIF(P$10:P417,P417)=1,COUNTIF(P$10:P$609,"&lt;"&amp;P417)+1,""))</f>
        <v/>
      </c>
      <c r="BA417" t="str">
        <f>IFERROR(INDEX(wLast,348)&amp;"","")</f>
        <v/>
      </c>
      <c r="BB417" t="str">
        <f>IF(BA417="","",IFERROR(INDEX(wFirst,348)&amp;"",""))</f>
        <v/>
      </c>
      <c r="BC417" t="str">
        <f>IF(BA417="","",IFERROR(INDEX(wClass,348)&amp;"",""))</f>
        <v/>
      </c>
      <c r="BD417" t="str">
        <f>IF(BA417="","",IFERROR(INDEX(wKsBand,348)+0,""))</f>
        <v/>
      </c>
      <c r="BE417" t="str">
        <f>IF(BA417="","",IFERROR(INDEX(wTests,348)+0,0))</f>
        <v/>
      </c>
      <c r="BF417" t="str">
        <f>IF(BA417="","",IFERROR(INDEX(wMean,348)+0,""))</f>
        <v/>
      </c>
      <c r="BG417" t="str">
        <f>IF(BA417="","",IFERROR(INDEX(wVs,348)+0,""))</f>
        <v/>
      </c>
      <c r="BH417" t="str">
        <f>IF(OR(BA417="",wLatest=""),"",IFERROR(INDEX(wData,348,MATCH(wLatest&amp;CHAR(10)&amp;"Stanine",wHdr,0))+0,""))</f>
        <v/>
      </c>
      <c r="BI417" t="str">
        <f>IF(BA417="","",IF(AND(ISNUMBER(BG417),N(BE417)&gt;=WlMinTests,BG417&lt;=-WlGap),"Below expected for KS2",IF(AND(NOT(ISNUMBER(BD417)),ISNUMBER(BF417),N(BE417)&gt;=WlMinTests,BF417&lt;=WlLowMean),"Low results, no KS2 data","")))</f>
        <v/>
      </c>
      <c r="BJ417" t="str">
        <f>IF(BI417="","",IF(BI417="Below expected for KS2",BG417,100+BF417)+ROW()/1000000)</f>
        <v/>
      </c>
    </row>
    <row r="418">
      <c r="H418" t="str">
        <f>IFERROR(INDEX(tblY7[Class],ROWS(H$10:H418))&amp;"","")</f>
        <v/>
      </c>
      <c r="I418" t="str">
        <f>IF(H418="","",IF(COUNTIF(H$10:H418,H418)=1,COUNTIF(H$10:H$609,"&lt;"&amp;H418)+1,""))</f>
        <v/>
      </c>
      <c r="J418" t="str">
        <f>IFERROR(INDEX(tblY8[Class],ROWS(J$10:J418))&amp;"","")</f>
        <v/>
      </c>
      <c r="K418" t="str">
        <f>IF(J418="","",IF(COUNTIF(J$10:J418,J418)=1,COUNTIF(J$10:J$609,"&lt;"&amp;J418)+1,""))</f>
        <v/>
      </c>
      <c r="L418" t="str">
        <f>IFERROR(INDEX(tblY9[Class],ROWS(L$10:L418))&amp;"","")</f>
        <v/>
      </c>
      <c r="M418" t="str">
        <f>IF(L418="","",IF(COUNTIF(L$10:L418,L418)=1,COUNTIF(L$10:L$609,"&lt;"&amp;L418)+1,""))</f>
        <v/>
      </c>
      <c r="N418" t="str">
        <f>IFERROR(INDEX(tblY10[Class],ROWS(N$10:N418))&amp;"","")</f>
        <v/>
      </c>
      <c r="O418" t="str">
        <f>IF(N418="","",IF(COUNTIF(N$10:N418,N418)=1,COUNTIF(N$10:N$609,"&lt;"&amp;N418)+1,""))</f>
        <v/>
      </c>
      <c r="P418" t="str">
        <f>IFERROR(INDEX(tblY11[Class],ROWS(P$10:P418))&amp;"","")</f>
        <v/>
      </c>
      <c r="Q418" t="str">
        <f>IF(P418="","",IF(COUNTIF(P$10:P418,P418)=1,COUNTIF(P$10:P$609,"&lt;"&amp;P418)+1,""))</f>
        <v/>
      </c>
      <c r="BA418" t="str">
        <f>IFERROR(INDEX(wLast,349)&amp;"","")</f>
        <v/>
      </c>
      <c r="BB418" t="str">
        <f>IF(BA418="","",IFERROR(INDEX(wFirst,349)&amp;"",""))</f>
        <v/>
      </c>
      <c r="BC418" t="str">
        <f>IF(BA418="","",IFERROR(INDEX(wClass,349)&amp;"",""))</f>
        <v/>
      </c>
      <c r="BD418" t="str">
        <f>IF(BA418="","",IFERROR(INDEX(wKsBand,349)+0,""))</f>
        <v/>
      </c>
      <c r="BE418" t="str">
        <f>IF(BA418="","",IFERROR(INDEX(wTests,349)+0,0))</f>
        <v/>
      </c>
      <c r="BF418" t="str">
        <f>IF(BA418="","",IFERROR(INDEX(wMean,349)+0,""))</f>
        <v/>
      </c>
      <c r="BG418" t="str">
        <f>IF(BA418="","",IFERROR(INDEX(wVs,349)+0,""))</f>
        <v/>
      </c>
      <c r="BH418" t="str">
        <f>IF(OR(BA418="",wLatest=""),"",IFERROR(INDEX(wData,349,MATCH(wLatest&amp;CHAR(10)&amp;"Stanine",wHdr,0))+0,""))</f>
        <v/>
      </c>
      <c r="BI418" t="str">
        <f>IF(BA418="","",IF(AND(ISNUMBER(BG418),N(BE418)&gt;=WlMinTests,BG418&lt;=-WlGap),"Below expected for KS2",IF(AND(NOT(ISNUMBER(BD418)),ISNUMBER(BF418),N(BE418)&gt;=WlMinTests,BF418&lt;=WlLowMean),"Low results, no KS2 data","")))</f>
        <v/>
      </c>
      <c r="BJ418" t="str">
        <f>IF(BI418="","",IF(BI418="Below expected for KS2",BG418,100+BF418)+ROW()/1000000)</f>
        <v/>
      </c>
    </row>
    <row r="419">
      <c r="H419" t="str">
        <f>IFERROR(INDEX(tblY7[Class],ROWS(H$10:H419))&amp;"","")</f>
        <v/>
      </c>
      <c r="I419" t="str">
        <f>IF(H419="","",IF(COUNTIF(H$10:H419,H419)=1,COUNTIF(H$10:H$609,"&lt;"&amp;H419)+1,""))</f>
        <v/>
      </c>
      <c r="J419" t="str">
        <f>IFERROR(INDEX(tblY8[Class],ROWS(J$10:J419))&amp;"","")</f>
        <v/>
      </c>
      <c r="K419" t="str">
        <f>IF(J419="","",IF(COUNTIF(J$10:J419,J419)=1,COUNTIF(J$10:J$609,"&lt;"&amp;J419)+1,""))</f>
        <v/>
      </c>
      <c r="L419" t="str">
        <f>IFERROR(INDEX(tblY9[Class],ROWS(L$10:L419))&amp;"","")</f>
        <v/>
      </c>
      <c r="M419" t="str">
        <f>IF(L419="","",IF(COUNTIF(L$10:L419,L419)=1,COUNTIF(L$10:L$609,"&lt;"&amp;L419)+1,""))</f>
        <v/>
      </c>
      <c r="N419" t="str">
        <f>IFERROR(INDEX(tblY10[Class],ROWS(N$10:N419))&amp;"","")</f>
        <v/>
      </c>
      <c r="O419" t="str">
        <f>IF(N419="","",IF(COUNTIF(N$10:N419,N419)=1,COUNTIF(N$10:N$609,"&lt;"&amp;N419)+1,""))</f>
        <v/>
      </c>
      <c r="P419" t="str">
        <f>IFERROR(INDEX(tblY11[Class],ROWS(P$10:P419))&amp;"","")</f>
        <v/>
      </c>
      <c r="Q419" t="str">
        <f>IF(P419="","",IF(COUNTIF(P$10:P419,P419)=1,COUNTIF(P$10:P$609,"&lt;"&amp;P419)+1,""))</f>
        <v/>
      </c>
      <c r="BA419" t="str">
        <f>IFERROR(INDEX(wLast,350)&amp;"","")</f>
        <v/>
      </c>
      <c r="BB419" t="str">
        <f>IF(BA419="","",IFERROR(INDEX(wFirst,350)&amp;"",""))</f>
        <v/>
      </c>
      <c r="BC419" t="str">
        <f>IF(BA419="","",IFERROR(INDEX(wClass,350)&amp;"",""))</f>
        <v/>
      </c>
      <c r="BD419" t="str">
        <f>IF(BA419="","",IFERROR(INDEX(wKsBand,350)+0,""))</f>
        <v/>
      </c>
      <c r="BE419" t="str">
        <f>IF(BA419="","",IFERROR(INDEX(wTests,350)+0,0))</f>
        <v/>
      </c>
      <c r="BF419" t="str">
        <f>IF(BA419="","",IFERROR(INDEX(wMean,350)+0,""))</f>
        <v/>
      </c>
      <c r="BG419" t="str">
        <f>IF(BA419="","",IFERROR(INDEX(wVs,350)+0,""))</f>
        <v/>
      </c>
      <c r="BH419" t="str">
        <f>IF(OR(BA419="",wLatest=""),"",IFERROR(INDEX(wData,350,MATCH(wLatest&amp;CHAR(10)&amp;"Stanine",wHdr,0))+0,""))</f>
        <v/>
      </c>
      <c r="BI419" t="str">
        <f>IF(BA419="","",IF(AND(ISNUMBER(BG419),N(BE419)&gt;=WlMinTests,BG419&lt;=-WlGap),"Below expected for KS2",IF(AND(NOT(ISNUMBER(BD419)),ISNUMBER(BF419),N(BE419)&gt;=WlMinTests,BF419&lt;=WlLowMean),"Low results, no KS2 data","")))</f>
        <v/>
      </c>
      <c r="BJ419" t="str">
        <f>IF(BI419="","",IF(BI419="Below expected for KS2",BG419,100+BF419)+ROW()/1000000)</f>
        <v/>
      </c>
    </row>
    <row r="420">
      <c r="H420" t="str">
        <f>IFERROR(INDEX(tblY7[Class],ROWS(H$10:H420))&amp;"","")</f>
        <v/>
      </c>
      <c r="I420" t="str">
        <f>IF(H420="","",IF(COUNTIF(H$10:H420,H420)=1,COUNTIF(H$10:H$609,"&lt;"&amp;H420)+1,""))</f>
        <v/>
      </c>
      <c r="J420" t="str">
        <f>IFERROR(INDEX(tblY8[Class],ROWS(J$10:J420))&amp;"","")</f>
        <v/>
      </c>
      <c r="K420" t="str">
        <f>IF(J420="","",IF(COUNTIF(J$10:J420,J420)=1,COUNTIF(J$10:J$609,"&lt;"&amp;J420)+1,""))</f>
        <v/>
      </c>
      <c r="L420" t="str">
        <f>IFERROR(INDEX(tblY9[Class],ROWS(L$10:L420))&amp;"","")</f>
        <v/>
      </c>
      <c r="M420" t="str">
        <f>IF(L420="","",IF(COUNTIF(L$10:L420,L420)=1,COUNTIF(L$10:L$609,"&lt;"&amp;L420)+1,""))</f>
        <v/>
      </c>
      <c r="N420" t="str">
        <f>IFERROR(INDEX(tblY10[Class],ROWS(N$10:N420))&amp;"","")</f>
        <v/>
      </c>
      <c r="O420" t="str">
        <f>IF(N420="","",IF(COUNTIF(N$10:N420,N420)=1,COUNTIF(N$10:N$609,"&lt;"&amp;N420)+1,""))</f>
        <v/>
      </c>
      <c r="P420" t="str">
        <f>IFERROR(INDEX(tblY11[Class],ROWS(P$10:P420))&amp;"","")</f>
        <v/>
      </c>
      <c r="Q420" t="str">
        <f>IF(P420="","",IF(COUNTIF(P$10:P420,P420)=1,COUNTIF(P$10:P$609,"&lt;"&amp;P420)+1,""))</f>
        <v/>
      </c>
      <c r="BA420" t="str">
        <f>IFERROR(INDEX(wLast,351)&amp;"","")</f>
        <v/>
      </c>
      <c r="BB420" t="str">
        <f>IF(BA420="","",IFERROR(INDEX(wFirst,351)&amp;"",""))</f>
        <v/>
      </c>
      <c r="BC420" t="str">
        <f>IF(BA420="","",IFERROR(INDEX(wClass,351)&amp;"",""))</f>
        <v/>
      </c>
      <c r="BD420" t="str">
        <f>IF(BA420="","",IFERROR(INDEX(wKsBand,351)+0,""))</f>
        <v/>
      </c>
      <c r="BE420" t="str">
        <f>IF(BA420="","",IFERROR(INDEX(wTests,351)+0,0))</f>
        <v/>
      </c>
      <c r="BF420" t="str">
        <f>IF(BA420="","",IFERROR(INDEX(wMean,351)+0,""))</f>
        <v/>
      </c>
      <c r="BG420" t="str">
        <f>IF(BA420="","",IFERROR(INDEX(wVs,351)+0,""))</f>
        <v/>
      </c>
      <c r="BH420" t="str">
        <f>IF(OR(BA420="",wLatest=""),"",IFERROR(INDEX(wData,351,MATCH(wLatest&amp;CHAR(10)&amp;"Stanine",wHdr,0))+0,""))</f>
        <v/>
      </c>
      <c r="BI420" t="str">
        <f>IF(BA420="","",IF(AND(ISNUMBER(BG420),N(BE420)&gt;=WlMinTests,BG420&lt;=-WlGap),"Below expected for KS2",IF(AND(NOT(ISNUMBER(BD420)),ISNUMBER(BF420),N(BE420)&gt;=WlMinTests,BF420&lt;=WlLowMean),"Low results, no KS2 data","")))</f>
        <v/>
      </c>
      <c r="BJ420" t="str">
        <f>IF(BI420="","",IF(BI420="Below expected for KS2",BG420,100+BF420)+ROW()/1000000)</f>
        <v/>
      </c>
    </row>
    <row r="421">
      <c r="H421" t="str">
        <f>IFERROR(INDEX(tblY7[Class],ROWS(H$10:H421))&amp;"","")</f>
        <v/>
      </c>
      <c r="I421" t="str">
        <f>IF(H421="","",IF(COUNTIF(H$10:H421,H421)=1,COUNTIF(H$10:H$609,"&lt;"&amp;H421)+1,""))</f>
        <v/>
      </c>
      <c r="J421" t="str">
        <f>IFERROR(INDEX(tblY8[Class],ROWS(J$10:J421))&amp;"","")</f>
        <v/>
      </c>
      <c r="K421" t="str">
        <f>IF(J421="","",IF(COUNTIF(J$10:J421,J421)=1,COUNTIF(J$10:J$609,"&lt;"&amp;J421)+1,""))</f>
        <v/>
      </c>
      <c r="L421" t="str">
        <f>IFERROR(INDEX(tblY9[Class],ROWS(L$10:L421))&amp;"","")</f>
        <v/>
      </c>
      <c r="M421" t="str">
        <f>IF(L421="","",IF(COUNTIF(L$10:L421,L421)=1,COUNTIF(L$10:L$609,"&lt;"&amp;L421)+1,""))</f>
        <v/>
      </c>
      <c r="N421" t="str">
        <f>IFERROR(INDEX(tblY10[Class],ROWS(N$10:N421))&amp;"","")</f>
        <v/>
      </c>
      <c r="O421" t="str">
        <f>IF(N421="","",IF(COUNTIF(N$10:N421,N421)=1,COUNTIF(N$10:N$609,"&lt;"&amp;N421)+1,""))</f>
        <v/>
      </c>
      <c r="P421" t="str">
        <f>IFERROR(INDEX(tblY11[Class],ROWS(P$10:P421))&amp;"","")</f>
        <v/>
      </c>
      <c r="Q421" t="str">
        <f>IF(P421="","",IF(COUNTIF(P$10:P421,P421)=1,COUNTIF(P$10:P$609,"&lt;"&amp;P421)+1,""))</f>
        <v/>
      </c>
      <c r="BA421" t="str">
        <f>IFERROR(INDEX(wLast,352)&amp;"","")</f>
        <v/>
      </c>
      <c r="BB421" t="str">
        <f>IF(BA421="","",IFERROR(INDEX(wFirst,352)&amp;"",""))</f>
        <v/>
      </c>
      <c r="BC421" t="str">
        <f>IF(BA421="","",IFERROR(INDEX(wClass,352)&amp;"",""))</f>
        <v/>
      </c>
      <c r="BD421" t="str">
        <f>IF(BA421="","",IFERROR(INDEX(wKsBand,352)+0,""))</f>
        <v/>
      </c>
      <c r="BE421" t="str">
        <f>IF(BA421="","",IFERROR(INDEX(wTests,352)+0,0))</f>
        <v/>
      </c>
      <c r="BF421" t="str">
        <f>IF(BA421="","",IFERROR(INDEX(wMean,352)+0,""))</f>
        <v/>
      </c>
      <c r="BG421" t="str">
        <f>IF(BA421="","",IFERROR(INDEX(wVs,352)+0,""))</f>
        <v/>
      </c>
      <c r="BH421" t="str">
        <f>IF(OR(BA421="",wLatest=""),"",IFERROR(INDEX(wData,352,MATCH(wLatest&amp;CHAR(10)&amp;"Stanine",wHdr,0))+0,""))</f>
        <v/>
      </c>
      <c r="BI421" t="str">
        <f>IF(BA421="","",IF(AND(ISNUMBER(BG421),N(BE421)&gt;=WlMinTests,BG421&lt;=-WlGap),"Below expected for KS2",IF(AND(NOT(ISNUMBER(BD421)),ISNUMBER(BF421),N(BE421)&gt;=WlMinTests,BF421&lt;=WlLowMean),"Low results, no KS2 data","")))</f>
        <v/>
      </c>
      <c r="BJ421" t="str">
        <f>IF(BI421="","",IF(BI421="Below expected for KS2",BG421,100+BF421)+ROW()/1000000)</f>
        <v/>
      </c>
    </row>
    <row r="422">
      <c r="H422" t="str">
        <f>IFERROR(INDEX(tblY7[Class],ROWS(H$10:H422))&amp;"","")</f>
        <v/>
      </c>
      <c r="I422" t="str">
        <f>IF(H422="","",IF(COUNTIF(H$10:H422,H422)=1,COUNTIF(H$10:H$609,"&lt;"&amp;H422)+1,""))</f>
        <v/>
      </c>
      <c r="J422" t="str">
        <f>IFERROR(INDEX(tblY8[Class],ROWS(J$10:J422))&amp;"","")</f>
        <v/>
      </c>
      <c r="K422" t="str">
        <f>IF(J422="","",IF(COUNTIF(J$10:J422,J422)=1,COUNTIF(J$10:J$609,"&lt;"&amp;J422)+1,""))</f>
        <v/>
      </c>
      <c r="L422" t="str">
        <f>IFERROR(INDEX(tblY9[Class],ROWS(L$10:L422))&amp;"","")</f>
        <v/>
      </c>
      <c r="M422" t="str">
        <f>IF(L422="","",IF(COUNTIF(L$10:L422,L422)=1,COUNTIF(L$10:L$609,"&lt;"&amp;L422)+1,""))</f>
        <v/>
      </c>
      <c r="N422" t="str">
        <f>IFERROR(INDEX(tblY10[Class],ROWS(N$10:N422))&amp;"","")</f>
        <v/>
      </c>
      <c r="O422" t="str">
        <f>IF(N422="","",IF(COUNTIF(N$10:N422,N422)=1,COUNTIF(N$10:N$609,"&lt;"&amp;N422)+1,""))</f>
        <v/>
      </c>
      <c r="P422" t="str">
        <f>IFERROR(INDEX(tblY11[Class],ROWS(P$10:P422))&amp;"","")</f>
        <v/>
      </c>
      <c r="Q422" t="str">
        <f>IF(P422="","",IF(COUNTIF(P$10:P422,P422)=1,COUNTIF(P$10:P$609,"&lt;"&amp;P422)+1,""))</f>
        <v/>
      </c>
      <c r="BA422" t="str">
        <f>IFERROR(INDEX(wLast,353)&amp;"","")</f>
        <v/>
      </c>
      <c r="BB422" t="str">
        <f>IF(BA422="","",IFERROR(INDEX(wFirst,353)&amp;"",""))</f>
        <v/>
      </c>
      <c r="BC422" t="str">
        <f>IF(BA422="","",IFERROR(INDEX(wClass,353)&amp;"",""))</f>
        <v/>
      </c>
      <c r="BD422" t="str">
        <f>IF(BA422="","",IFERROR(INDEX(wKsBand,353)+0,""))</f>
        <v/>
      </c>
      <c r="BE422" t="str">
        <f>IF(BA422="","",IFERROR(INDEX(wTests,353)+0,0))</f>
        <v/>
      </c>
      <c r="BF422" t="str">
        <f>IF(BA422="","",IFERROR(INDEX(wMean,353)+0,""))</f>
        <v/>
      </c>
      <c r="BG422" t="str">
        <f>IF(BA422="","",IFERROR(INDEX(wVs,353)+0,""))</f>
        <v/>
      </c>
      <c r="BH422" t="str">
        <f>IF(OR(BA422="",wLatest=""),"",IFERROR(INDEX(wData,353,MATCH(wLatest&amp;CHAR(10)&amp;"Stanine",wHdr,0))+0,""))</f>
        <v/>
      </c>
      <c r="BI422" t="str">
        <f>IF(BA422="","",IF(AND(ISNUMBER(BG422),N(BE422)&gt;=WlMinTests,BG422&lt;=-WlGap),"Below expected for KS2",IF(AND(NOT(ISNUMBER(BD422)),ISNUMBER(BF422),N(BE422)&gt;=WlMinTests,BF422&lt;=WlLowMean),"Low results, no KS2 data","")))</f>
        <v/>
      </c>
      <c r="BJ422" t="str">
        <f>IF(BI422="","",IF(BI422="Below expected for KS2",BG422,100+BF422)+ROW()/1000000)</f>
        <v/>
      </c>
    </row>
    <row r="423">
      <c r="H423" t="str">
        <f>IFERROR(INDEX(tblY7[Class],ROWS(H$10:H423))&amp;"","")</f>
        <v/>
      </c>
      <c r="I423" t="str">
        <f>IF(H423="","",IF(COUNTIF(H$10:H423,H423)=1,COUNTIF(H$10:H$609,"&lt;"&amp;H423)+1,""))</f>
        <v/>
      </c>
      <c r="J423" t="str">
        <f>IFERROR(INDEX(tblY8[Class],ROWS(J$10:J423))&amp;"","")</f>
        <v/>
      </c>
      <c r="K423" t="str">
        <f>IF(J423="","",IF(COUNTIF(J$10:J423,J423)=1,COUNTIF(J$10:J$609,"&lt;"&amp;J423)+1,""))</f>
        <v/>
      </c>
      <c r="L423" t="str">
        <f>IFERROR(INDEX(tblY9[Class],ROWS(L$10:L423))&amp;"","")</f>
        <v/>
      </c>
      <c r="M423" t="str">
        <f>IF(L423="","",IF(COUNTIF(L$10:L423,L423)=1,COUNTIF(L$10:L$609,"&lt;"&amp;L423)+1,""))</f>
        <v/>
      </c>
      <c r="N423" t="str">
        <f>IFERROR(INDEX(tblY10[Class],ROWS(N$10:N423))&amp;"","")</f>
        <v/>
      </c>
      <c r="O423" t="str">
        <f>IF(N423="","",IF(COUNTIF(N$10:N423,N423)=1,COUNTIF(N$10:N$609,"&lt;"&amp;N423)+1,""))</f>
        <v/>
      </c>
      <c r="P423" t="str">
        <f>IFERROR(INDEX(tblY11[Class],ROWS(P$10:P423))&amp;"","")</f>
        <v/>
      </c>
      <c r="Q423" t="str">
        <f>IF(P423="","",IF(COUNTIF(P$10:P423,P423)=1,COUNTIF(P$10:P$609,"&lt;"&amp;P423)+1,""))</f>
        <v/>
      </c>
      <c r="BA423" t="str">
        <f>IFERROR(INDEX(wLast,354)&amp;"","")</f>
        <v/>
      </c>
      <c r="BB423" t="str">
        <f>IF(BA423="","",IFERROR(INDEX(wFirst,354)&amp;"",""))</f>
        <v/>
      </c>
      <c r="BC423" t="str">
        <f>IF(BA423="","",IFERROR(INDEX(wClass,354)&amp;"",""))</f>
        <v/>
      </c>
      <c r="BD423" t="str">
        <f>IF(BA423="","",IFERROR(INDEX(wKsBand,354)+0,""))</f>
        <v/>
      </c>
      <c r="BE423" t="str">
        <f>IF(BA423="","",IFERROR(INDEX(wTests,354)+0,0))</f>
        <v/>
      </c>
      <c r="BF423" t="str">
        <f>IF(BA423="","",IFERROR(INDEX(wMean,354)+0,""))</f>
        <v/>
      </c>
      <c r="BG423" t="str">
        <f>IF(BA423="","",IFERROR(INDEX(wVs,354)+0,""))</f>
        <v/>
      </c>
      <c r="BH423" t="str">
        <f>IF(OR(BA423="",wLatest=""),"",IFERROR(INDEX(wData,354,MATCH(wLatest&amp;CHAR(10)&amp;"Stanine",wHdr,0))+0,""))</f>
        <v/>
      </c>
      <c r="BI423" t="str">
        <f>IF(BA423="","",IF(AND(ISNUMBER(BG423),N(BE423)&gt;=WlMinTests,BG423&lt;=-WlGap),"Below expected for KS2",IF(AND(NOT(ISNUMBER(BD423)),ISNUMBER(BF423),N(BE423)&gt;=WlMinTests,BF423&lt;=WlLowMean),"Low results, no KS2 data","")))</f>
        <v/>
      </c>
      <c r="BJ423" t="str">
        <f>IF(BI423="","",IF(BI423="Below expected for KS2",BG423,100+BF423)+ROW()/1000000)</f>
        <v/>
      </c>
    </row>
    <row r="424">
      <c r="H424" t="str">
        <f>IFERROR(INDEX(tblY7[Class],ROWS(H$10:H424))&amp;"","")</f>
        <v/>
      </c>
      <c r="I424" t="str">
        <f>IF(H424="","",IF(COUNTIF(H$10:H424,H424)=1,COUNTIF(H$10:H$609,"&lt;"&amp;H424)+1,""))</f>
        <v/>
      </c>
      <c r="J424" t="str">
        <f>IFERROR(INDEX(tblY8[Class],ROWS(J$10:J424))&amp;"","")</f>
        <v/>
      </c>
      <c r="K424" t="str">
        <f>IF(J424="","",IF(COUNTIF(J$10:J424,J424)=1,COUNTIF(J$10:J$609,"&lt;"&amp;J424)+1,""))</f>
        <v/>
      </c>
      <c r="L424" t="str">
        <f>IFERROR(INDEX(tblY9[Class],ROWS(L$10:L424))&amp;"","")</f>
        <v/>
      </c>
      <c r="M424" t="str">
        <f>IF(L424="","",IF(COUNTIF(L$10:L424,L424)=1,COUNTIF(L$10:L$609,"&lt;"&amp;L424)+1,""))</f>
        <v/>
      </c>
      <c r="N424" t="str">
        <f>IFERROR(INDEX(tblY10[Class],ROWS(N$10:N424))&amp;"","")</f>
        <v/>
      </c>
      <c r="O424" t="str">
        <f>IF(N424="","",IF(COUNTIF(N$10:N424,N424)=1,COUNTIF(N$10:N$609,"&lt;"&amp;N424)+1,""))</f>
        <v/>
      </c>
      <c r="P424" t="str">
        <f>IFERROR(INDEX(tblY11[Class],ROWS(P$10:P424))&amp;"","")</f>
        <v/>
      </c>
      <c r="Q424" t="str">
        <f>IF(P424="","",IF(COUNTIF(P$10:P424,P424)=1,COUNTIF(P$10:P$609,"&lt;"&amp;P424)+1,""))</f>
        <v/>
      </c>
      <c r="BA424" t="str">
        <f>IFERROR(INDEX(wLast,355)&amp;"","")</f>
        <v/>
      </c>
      <c r="BB424" t="str">
        <f>IF(BA424="","",IFERROR(INDEX(wFirst,355)&amp;"",""))</f>
        <v/>
      </c>
      <c r="BC424" t="str">
        <f>IF(BA424="","",IFERROR(INDEX(wClass,355)&amp;"",""))</f>
        <v/>
      </c>
      <c r="BD424" t="str">
        <f>IF(BA424="","",IFERROR(INDEX(wKsBand,355)+0,""))</f>
        <v/>
      </c>
      <c r="BE424" t="str">
        <f>IF(BA424="","",IFERROR(INDEX(wTests,355)+0,0))</f>
        <v/>
      </c>
      <c r="BF424" t="str">
        <f>IF(BA424="","",IFERROR(INDEX(wMean,355)+0,""))</f>
        <v/>
      </c>
      <c r="BG424" t="str">
        <f>IF(BA424="","",IFERROR(INDEX(wVs,355)+0,""))</f>
        <v/>
      </c>
      <c r="BH424" t="str">
        <f>IF(OR(BA424="",wLatest=""),"",IFERROR(INDEX(wData,355,MATCH(wLatest&amp;CHAR(10)&amp;"Stanine",wHdr,0))+0,""))</f>
        <v/>
      </c>
      <c r="BI424" t="str">
        <f>IF(BA424="","",IF(AND(ISNUMBER(BG424),N(BE424)&gt;=WlMinTests,BG424&lt;=-WlGap),"Below expected for KS2",IF(AND(NOT(ISNUMBER(BD424)),ISNUMBER(BF424),N(BE424)&gt;=WlMinTests,BF424&lt;=WlLowMean),"Low results, no KS2 data","")))</f>
        <v/>
      </c>
      <c r="BJ424" t="str">
        <f>IF(BI424="","",IF(BI424="Below expected for KS2",BG424,100+BF424)+ROW()/1000000)</f>
        <v/>
      </c>
    </row>
    <row r="425">
      <c r="H425" t="str">
        <f>IFERROR(INDEX(tblY7[Class],ROWS(H$10:H425))&amp;"","")</f>
        <v/>
      </c>
      <c r="I425" t="str">
        <f>IF(H425="","",IF(COUNTIF(H$10:H425,H425)=1,COUNTIF(H$10:H$609,"&lt;"&amp;H425)+1,""))</f>
        <v/>
      </c>
      <c r="J425" t="str">
        <f>IFERROR(INDEX(tblY8[Class],ROWS(J$10:J425))&amp;"","")</f>
        <v/>
      </c>
      <c r="K425" t="str">
        <f>IF(J425="","",IF(COUNTIF(J$10:J425,J425)=1,COUNTIF(J$10:J$609,"&lt;"&amp;J425)+1,""))</f>
        <v/>
      </c>
      <c r="L425" t="str">
        <f>IFERROR(INDEX(tblY9[Class],ROWS(L$10:L425))&amp;"","")</f>
        <v/>
      </c>
      <c r="M425" t="str">
        <f>IF(L425="","",IF(COUNTIF(L$10:L425,L425)=1,COUNTIF(L$10:L$609,"&lt;"&amp;L425)+1,""))</f>
        <v/>
      </c>
      <c r="N425" t="str">
        <f>IFERROR(INDEX(tblY10[Class],ROWS(N$10:N425))&amp;"","")</f>
        <v/>
      </c>
      <c r="O425" t="str">
        <f>IF(N425="","",IF(COUNTIF(N$10:N425,N425)=1,COUNTIF(N$10:N$609,"&lt;"&amp;N425)+1,""))</f>
        <v/>
      </c>
      <c r="P425" t="str">
        <f>IFERROR(INDEX(tblY11[Class],ROWS(P$10:P425))&amp;"","")</f>
        <v/>
      </c>
      <c r="Q425" t="str">
        <f>IF(P425="","",IF(COUNTIF(P$10:P425,P425)=1,COUNTIF(P$10:P$609,"&lt;"&amp;P425)+1,""))</f>
        <v/>
      </c>
      <c r="BA425" t="str">
        <f>IFERROR(INDEX(wLast,356)&amp;"","")</f>
        <v/>
      </c>
      <c r="BB425" t="str">
        <f>IF(BA425="","",IFERROR(INDEX(wFirst,356)&amp;"",""))</f>
        <v/>
      </c>
      <c r="BC425" t="str">
        <f>IF(BA425="","",IFERROR(INDEX(wClass,356)&amp;"",""))</f>
        <v/>
      </c>
      <c r="BD425" t="str">
        <f>IF(BA425="","",IFERROR(INDEX(wKsBand,356)+0,""))</f>
        <v/>
      </c>
      <c r="BE425" t="str">
        <f>IF(BA425="","",IFERROR(INDEX(wTests,356)+0,0))</f>
        <v/>
      </c>
      <c r="BF425" t="str">
        <f>IF(BA425="","",IFERROR(INDEX(wMean,356)+0,""))</f>
        <v/>
      </c>
      <c r="BG425" t="str">
        <f>IF(BA425="","",IFERROR(INDEX(wVs,356)+0,""))</f>
        <v/>
      </c>
      <c r="BH425" t="str">
        <f>IF(OR(BA425="",wLatest=""),"",IFERROR(INDEX(wData,356,MATCH(wLatest&amp;CHAR(10)&amp;"Stanine",wHdr,0))+0,""))</f>
        <v/>
      </c>
      <c r="BI425" t="str">
        <f>IF(BA425="","",IF(AND(ISNUMBER(BG425),N(BE425)&gt;=WlMinTests,BG425&lt;=-WlGap),"Below expected for KS2",IF(AND(NOT(ISNUMBER(BD425)),ISNUMBER(BF425),N(BE425)&gt;=WlMinTests,BF425&lt;=WlLowMean),"Low results, no KS2 data","")))</f>
        <v/>
      </c>
      <c r="BJ425" t="str">
        <f>IF(BI425="","",IF(BI425="Below expected for KS2",BG425,100+BF425)+ROW()/1000000)</f>
        <v/>
      </c>
    </row>
    <row r="426">
      <c r="H426" t="str">
        <f>IFERROR(INDEX(tblY7[Class],ROWS(H$10:H426))&amp;"","")</f>
        <v/>
      </c>
      <c r="I426" t="str">
        <f>IF(H426="","",IF(COUNTIF(H$10:H426,H426)=1,COUNTIF(H$10:H$609,"&lt;"&amp;H426)+1,""))</f>
        <v/>
      </c>
      <c r="J426" t="str">
        <f>IFERROR(INDEX(tblY8[Class],ROWS(J$10:J426))&amp;"","")</f>
        <v/>
      </c>
      <c r="K426" t="str">
        <f>IF(J426="","",IF(COUNTIF(J$10:J426,J426)=1,COUNTIF(J$10:J$609,"&lt;"&amp;J426)+1,""))</f>
        <v/>
      </c>
      <c r="L426" t="str">
        <f>IFERROR(INDEX(tblY9[Class],ROWS(L$10:L426))&amp;"","")</f>
        <v/>
      </c>
      <c r="M426" t="str">
        <f>IF(L426="","",IF(COUNTIF(L$10:L426,L426)=1,COUNTIF(L$10:L$609,"&lt;"&amp;L426)+1,""))</f>
        <v/>
      </c>
      <c r="N426" t="str">
        <f>IFERROR(INDEX(tblY10[Class],ROWS(N$10:N426))&amp;"","")</f>
        <v/>
      </c>
      <c r="O426" t="str">
        <f>IF(N426="","",IF(COUNTIF(N$10:N426,N426)=1,COUNTIF(N$10:N$609,"&lt;"&amp;N426)+1,""))</f>
        <v/>
      </c>
      <c r="P426" t="str">
        <f>IFERROR(INDEX(tblY11[Class],ROWS(P$10:P426))&amp;"","")</f>
        <v/>
      </c>
      <c r="Q426" t="str">
        <f>IF(P426="","",IF(COUNTIF(P$10:P426,P426)=1,COUNTIF(P$10:P$609,"&lt;"&amp;P426)+1,""))</f>
        <v/>
      </c>
      <c r="BA426" t="str">
        <f>IFERROR(INDEX(wLast,357)&amp;"","")</f>
        <v/>
      </c>
      <c r="BB426" t="str">
        <f>IF(BA426="","",IFERROR(INDEX(wFirst,357)&amp;"",""))</f>
        <v/>
      </c>
      <c r="BC426" t="str">
        <f>IF(BA426="","",IFERROR(INDEX(wClass,357)&amp;"",""))</f>
        <v/>
      </c>
      <c r="BD426" t="str">
        <f>IF(BA426="","",IFERROR(INDEX(wKsBand,357)+0,""))</f>
        <v/>
      </c>
      <c r="BE426" t="str">
        <f>IF(BA426="","",IFERROR(INDEX(wTests,357)+0,0))</f>
        <v/>
      </c>
      <c r="BF426" t="str">
        <f>IF(BA426="","",IFERROR(INDEX(wMean,357)+0,""))</f>
        <v/>
      </c>
      <c r="BG426" t="str">
        <f>IF(BA426="","",IFERROR(INDEX(wVs,357)+0,""))</f>
        <v/>
      </c>
      <c r="BH426" t="str">
        <f>IF(OR(BA426="",wLatest=""),"",IFERROR(INDEX(wData,357,MATCH(wLatest&amp;CHAR(10)&amp;"Stanine",wHdr,0))+0,""))</f>
        <v/>
      </c>
      <c r="BI426" t="str">
        <f>IF(BA426="","",IF(AND(ISNUMBER(BG426),N(BE426)&gt;=WlMinTests,BG426&lt;=-WlGap),"Below expected for KS2",IF(AND(NOT(ISNUMBER(BD426)),ISNUMBER(BF426),N(BE426)&gt;=WlMinTests,BF426&lt;=WlLowMean),"Low results, no KS2 data","")))</f>
        <v/>
      </c>
      <c r="BJ426" t="str">
        <f>IF(BI426="","",IF(BI426="Below expected for KS2",BG426,100+BF426)+ROW()/1000000)</f>
        <v/>
      </c>
    </row>
    <row r="427">
      <c r="H427" t="str">
        <f>IFERROR(INDEX(tblY7[Class],ROWS(H$10:H427))&amp;"","")</f>
        <v/>
      </c>
      <c r="I427" t="str">
        <f>IF(H427="","",IF(COUNTIF(H$10:H427,H427)=1,COUNTIF(H$10:H$609,"&lt;"&amp;H427)+1,""))</f>
        <v/>
      </c>
      <c r="J427" t="str">
        <f>IFERROR(INDEX(tblY8[Class],ROWS(J$10:J427))&amp;"","")</f>
        <v/>
      </c>
      <c r="K427" t="str">
        <f>IF(J427="","",IF(COUNTIF(J$10:J427,J427)=1,COUNTIF(J$10:J$609,"&lt;"&amp;J427)+1,""))</f>
        <v/>
      </c>
      <c r="L427" t="str">
        <f>IFERROR(INDEX(tblY9[Class],ROWS(L$10:L427))&amp;"","")</f>
        <v/>
      </c>
      <c r="M427" t="str">
        <f>IF(L427="","",IF(COUNTIF(L$10:L427,L427)=1,COUNTIF(L$10:L$609,"&lt;"&amp;L427)+1,""))</f>
        <v/>
      </c>
      <c r="N427" t="str">
        <f>IFERROR(INDEX(tblY10[Class],ROWS(N$10:N427))&amp;"","")</f>
        <v/>
      </c>
      <c r="O427" t="str">
        <f>IF(N427="","",IF(COUNTIF(N$10:N427,N427)=1,COUNTIF(N$10:N$609,"&lt;"&amp;N427)+1,""))</f>
        <v/>
      </c>
      <c r="P427" t="str">
        <f>IFERROR(INDEX(tblY11[Class],ROWS(P$10:P427))&amp;"","")</f>
        <v/>
      </c>
      <c r="Q427" t="str">
        <f>IF(P427="","",IF(COUNTIF(P$10:P427,P427)=1,COUNTIF(P$10:P$609,"&lt;"&amp;P427)+1,""))</f>
        <v/>
      </c>
      <c r="BA427" t="str">
        <f>IFERROR(INDEX(wLast,358)&amp;"","")</f>
        <v/>
      </c>
      <c r="BB427" t="str">
        <f>IF(BA427="","",IFERROR(INDEX(wFirst,358)&amp;"",""))</f>
        <v/>
      </c>
      <c r="BC427" t="str">
        <f>IF(BA427="","",IFERROR(INDEX(wClass,358)&amp;"",""))</f>
        <v/>
      </c>
      <c r="BD427" t="str">
        <f>IF(BA427="","",IFERROR(INDEX(wKsBand,358)+0,""))</f>
        <v/>
      </c>
      <c r="BE427" t="str">
        <f>IF(BA427="","",IFERROR(INDEX(wTests,358)+0,0))</f>
        <v/>
      </c>
      <c r="BF427" t="str">
        <f>IF(BA427="","",IFERROR(INDEX(wMean,358)+0,""))</f>
        <v/>
      </c>
      <c r="BG427" t="str">
        <f>IF(BA427="","",IFERROR(INDEX(wVs,358)+0,""))</f>
        <v/>
      </c>
      <c r="BH427" t="str">
        <f>IF(OR(BA427="",wLatest=""),"",IFERROR(INDEX(wData,358,MATCH(wLatest&amp;CHAR(10)&amp;"Stanine",wHdr,0))+0,""))</f>
        <v/>
      </c>
      <c r="BI427" t="str">
        <f>IF(BA427="","",IF(AND(ISNUMBER(BG427),N(BE427)&gt;=WlMinTests,BG427&lt;=-WlGap),"Below expected for KS2",IF(AND(NOT(ISNUMBER(BD427)),ISNUMBER(BF427),N(BE427)&gt;=WlMinTests,BF427&lt;=WlLowMean),"Low results, no KS2 data","")))</f>
        <v/>
      </c>
      <c r="BJ427" t="str">
        <f>IF(BI427="","",IF(BI427="Below expected for KS2",BG427,100+BF427)+ROW()/1000000)</f>
        <v/>
      </c>
    </row>
    <row r="428">
      <c r="H428" t="str">
        <f>IFERROR(INDEX(tblY7[Class],ROWS(H$10:H428))&amp;"","")</f>
        <v/>
      </c>
      <c r="I428" t="str">
        <f>IF(H428="","",IF(COUNTIF(H$10:H428,H428)=1,COUNTIF(H$10:H$609,"&lt;"&amp;H428)+1,""))</f>
        <v/>
      </c>
      <c r="J428" t="str">
        <f>IFERROR(INDEX(tblY8[Class],ROWS(J$10:J428))&amp;"","")</f>
        <v/>
      </c>
      <c r="K428" t="str">
        <f>IF(J428="","",IF(COUNTIF(J$10:J428,J428)=1,COUNTIF(J$10:J$609,"&lt;"&amp;J428)+1,""))</f>
        <v/>
      </c>
      <c r="L428" t="str">
        <f>IFERROR(INDEX(tblY9[Class],ROWS(L$10:L428))&amp;"","")</f>
        <v/>
      </c>
      <c r="M428" t="str">
        <f>IF(L428="","",IF(COUNTIF(L$10:L428,L428)=1,COUNTIF(L$10:L$609,"&lt;"&amp;L428)+1,""))</f>
        <v/>
      </c>
      <c r="N428" t="str">
        <f>IFERROR(INDEX(tblY10[Class],ROWS(N$10:N428))&amp;"","")</f>
        <v/>
      </c>
      <c r="O428" t="str">
        <f>IF(N428="","",IF(COUNTIF(N$10:N428,N428)=1,COUNTIF(N$10:N$609,"&lt;"&amp;N428)+1,""))</f>
        <v/>
      </c>
      <c r="P428" t="str">
        <f>IFERROR(INDEX(tblY11[Class],ROWS(P$10:P428))&amp;"","")</f>
        <v/>
      </c>
      <c r="Q428" t="str">
        <f>IF(P428="","",IF(COUNTIF(P$10:P428,P428)=1,COUNTIF(P$10:P$609,"&lt;"&amp;P428)+1,""))</f>
        <v/>
      </c>
      <c r="BA428" t="str">
        <f>IFERROR(INDEX(wLast,359)&amp;"","")</f>
        <v/>
      </c>
      <c r="BB428" t="str">
        <f>IF(BA428="","",IFERROR(INDEX(wFirst,359)&amp;"",""))</f>
        <v/>
      </c>
      <c r="BC428" t="str">
        <f>IF(BA428="","",IFERROR(INDEX(wClass,359)&amp;"",""))</f>
        <v/>
      </c>
      <c r="BD428" t="str">
        <f>IF(BA428="","",IFERROR(INDEX(wKsBand,359)+0,""))</f>
        <v/>
      </c>
      <c r="BE428" t="str">
        <f>IF(BA428="","",IFERROR(INDEX(wTests,359)+0,0))</f>
        <v/>
      </c>
      <c r="BF428" t="str">
        <f>IF(BA428="","",IFERROR(INDEX(wMean,359)+0,""))</f>
        <v/>
      </c>
      <c r="BG428" t="str">
        <f>IF(BA428="","",IFERROR(INDEX(wVs,359)+0,""))</f>
        <v/>
      </c>
      <c r="BH428" t="str">
        <f>IF(OR(BA428="",wLatest=""),"",IFERROR(INDEX(wData,359,MATCH(wLatest&amp;CHAR(10)&amp;"Stanine",wHdr,0))+0,""))</f>
        <v/>
      </c>
      <c r="BI428" t="str">
        <f>IF(BA428="","",IF(AND(ISNUMBER(BG428),N(BE428)&gt;=WlMinTests,BG428&lt;=-WlGap),"Below expected for KS2",IF(AND(NOT(ISNUMBER(BD428)),ISNUMBER(BF428),N(BE428)&gt;=WlMinTests,BF428&lt;=WlLowMean),"Low results, no KS2 data","")))</f>
        <v/>
      </c>
      <c r="BJ428" t="str">
        <f>IF(BI428="","",IF(BI428="Below expected for KS2",BG428,100+BF428)+ROW()/1000000)</f>
        <v/>
      </c>
    </row>
    <row r="429">
      <c r="H429" t="str">
        <f>IFERROR(INDEX(tblY7[Class],ROWS(H$10:H429))&amp;"","")</f>
        <v/>
      </c>
      <c r="I429" t="str">
        <f>IF(H429="","",IF(COUNTIF(H$10:H429,H429)=1,COUNTIF(H$10:H$609,"&lt;"&amp;H429)+1,""))</f>
        <v/>
      </c>
      <c r="J429" t="str">
        <f>IFERROR(INDEX(tblY8[Class],ROWS(J$10:J429))&amp;"","")</f>
        <v/>
      </c>
      <c r="K429" t="str">
        <f>IF(J429="","",IF(COUNTIF(J$10:J429,J429)=1,COUNTIF(J$10:J$609,"&lt;"&amp;J429)+1,""))</f>
        <v/>
      </c>
      <c r="L429" t="str">
        <f>IFERROR(INDEX(tblY9[Class],ROWS(L$10:L429))&amp;"","")</f>
        <v/>
      </c>
      <c r="M429" t="str">
        <f>IF(L429="","",IF(COUNTIF(L$10:L429,L429)=1,COUNTIF(L$10:L$609,"&lt;"&amp;L429)+1,""))</f>
        <v/>
      </c>
      <c r="N429" t="str">
        <f>IFERROR(INDEX(tblY10[Class],ROWS(N$10:N429))&amp;"","")</f>
        <v/>
      </c>
      <c r="O429" t="str">
        <f>IF(N429="","",IF(COUNTIF(N$10:N429,N429)=1,COUNTIF(N$10:N$609,"&lt;"&amp;N429)+1,""))</f>
        <v/>
      </c>
      <c r="P429" t="str">
        <f>IFERROR(INDEX(tblY11[Class],ROWS(P$10:P429))&amp;"","")</f>
        <v/>
      </c>
      <c r="Q429" t="str">
        <f>IF(P429="","",IF(COUNTIF(P$10:P429,P429)=1,COUNTIF(P$10:P$609,"&lt;"&amp;P429)+1,""))</f>
        <v/>
      </c>
      <c r="BA429" t="str">
        <f>IFERROR(INDEX(wLast,360)&amp;"","")</f>
        <v/>
      </c>
      <c r="BB429" t="str">
        <f>IF(BA429="","",IFERROR(INDEX(wFirst,360)&amp;"",""))</f>
        <v/>
      </c>
      <c r="BC429" t="str">
        <f>IF(BA429="","",IFERROR(INDEX(wClass,360)&amp;"",""))</f>
        <v/>
      </c>
      <c r="BD429" t="str">
        <f>IF(BA429="","",IFERROR(INDEX(wKsBand,360)+0,""))</f>
        <v/>
      </c>
      <c r="BE429" t="str">
        <f>IF(BA429="","",IFERROR(INDEX(wTests,360)+0,0))</f>
        <v/>
      </c>
      <c r="BF429" t="str">
        <f>IF(BA429="","",IFERROR(INDEX(wMean,360)+0,""))</f>
        <v/>
      </c>
      <c r="BG429" t="str">
        <f>IF(BA429="","",IFERROR(INDEX(wVs,360)+0,""))</f>
        <v/>
      </c>
      <c r="BH429" t="str">
        <f>IF(OR(BA429="",wLatest=""),"",IFERROR(INDEX(wData,360,MATCH(wLatest&amp;CHAR(10)&amp;"Stanine",wHdr,0))+0,""))</f>
        <v/>
      </c>
      <c r="BI429" t="str">
        <f>IF(BA429="","",IF(AND(ISNUMBER(BG429),N(BE429)&gt;=WlMinTests,BG429&lt;=-WlGap),"Below expected for KS2",IF(AND(NOT(ISNUMBER(BD429)),ISNUMBER(BF429),N(BE429)&gt;=WlMinTests,BF429&lt;=WlLowMean),"Low results, no KS2 data","")))</f>
        <v/>
      </c>
      <c r="BJ429" t="str">
        <f>IF(BI429="","",IF(BI429="Below expected for KS2",BG429,100+BF429)+ROW()/1000000)</f>
        <v/>
      </c>
    </row>
    <row r="430">
      <c r="H430" t="str">
        <f>IFERROR(INDEX(tblY7[Class],ROWS(H$10:H430))&amp;"","")</f>
        <v/>
      </c>
      <c r="I430" t="str">
        <f>IF(H430="","",IF(COUNTIF(H$10:H430,H430)=1,COUNTIF(H$10:H$609,"&lt;"&amp;H430)+1,""))</f>
        <v/>
      </c>
      <c r="J430" t="str">
        <f>IFERROR(INDEX(tblY8[Class],ROWS(J$10:J430))&amp;"","")</f>
        <v/>
      </c>
      <c r="K430" t="str">
        <f>IF(J430="","",IF(COUNTIF(J$10:J430,J430)=1,COUNTIF(J$10:J$609,"&lt;"&amp;J430)+1,""))</f>
        <v/>
      </c>
      <c r="L430" t="str">
        <f>IFERROR(INDEX(tblY9[Class],ROWS(L$10:L430))&amp;"","")</f>
        <v/>
      </c>
      <c r="M430" t="str">
        <f>IF(L430="","",IF(COUNTIF(L$10:L430,L430)=1,COUNTIF(L$10:L$609,"&lt;"&amp;L430)+1,""))</f>
        <v/>
      </c>
      <c r="N430" t="str">
        <f>IFERROR(INDEX(tblY10[Class],ROWS(N$10:N430))&amp;"","")</f>
        <v/>
      </c>
      <c r="O430" t="str">
        <f>IF(N430="","",IF(COUNTIF(N$10:N430,N430)=1,COUNTIF(N$10:N$609,"&lt;"&amp;N430)+1,""))</f>
        <v/>
      </c>
      <c r="P430" t="str">
        <f>IFERROR(INDEX(tblY11[Class],ROWS(P$10:P430))&amp;"","")</f>
        <v/>
      </c>
      <c r="Q430" t="str">
        <f>IF(P430="","",IF(COUNTIF(P$10:P430,P430)=1,COUNTIF(P$10:P$609,"&lt;"&amp;P430)+1,""))</f>
        <v/>
      </c>
      <c r="BA430" t="str">
        <f>IFERROR(INDEX(wLast,361)&amp;"","")</f>
        <v/>
      </c>
      <c r="BB430" t="str">
        <f>IF(BA430="","",IFERROR(INDEX(wFirst,361)&amp;"",""))</f>
        <v/>
      </c>
      <c r="BC430" t="str">
        <f>IF(BA430="","",IFERROR(INDEX(wClass,361)&amp;"",""))</f>
        <v/>
      </c>
      <c r="BD430" t="str">
        <f>IF(BA430="","",IFERROR(INDEX(wKsBand,361)+0,""))</f>
        <v/>
      </c>
      <c r="BE430" t="str">
        <f>IF(BA430="","",IFERROR(INDEX(wTests,361)+0,0))</f>
        <v/>
      </c>
      <c r="BF430" t="str">
        <f>IF(BA430="","",IFERROR(INDEX(wMean,361)+0,""))</f>
        <v/>
      </c>
      <c r="BG430" t="str">
        <f>IF(BA430="","",IFERROR(INDEX(wVs,361)+0,""))</f>
        <v/>
      </c>
      <c r="BH430" t="str">
        <f>IF(OR(BA430="",wLatest=""),"",IFERROR(INDEX(wData,361,MATCH(wLatest&amp;CHAR(10)&amp;"Stanine",wHdr,0))+0,""))</f>
        <v/>
      </c>
      <c r="BI430" t="str">
        <f>IF(BA430="","",IF(AND(ISNUMBER(BG430),N(BE430)&gt;=WlMinTests,BG430&lt;=-WlGap),"Below expected for KS2",IF(AND(NOT(ISNUMBER(BD430)),ISNUMBER(BF430),N(BE430)&gt;=WlMinTests,BF430&lt;=WlLowMean),"Low results, no KS2 data","")))</f>
        <v/>
      </c>
      <c r="BJ430" t="str">
        <f>IF(BI430="","",IF(BI430="Below expected for KS2",BG430,100+BF430)+ROW()/1000000)</f>
        <v/>
      </c>
    </row>
    <row r="431">
      <c r="H431" t="str">
        <f>IFERROR(INDEX(tblY7[Class],ROWS(H$10:H431))&amp;"","")</f>
        <v/>
      </c>
      <c r="I431" t="str">
        <f>IF(H431="","",IF(COUNTIF(H$10:H431,H431)=1,COUNTIF(H$10:H$609,"&lt;"&amp;H431)+1,""))</f>
        <v/>
      </c>
      <c r="J431" t="str">
        <f>IFERROR(INDEX(tblY8[Class],ROWS(J$10:J431))&amp;"","")</f>
        <v/>
      </c>
      <c r="K431" t="str">
        <f>IF(J431="","",IF(COUNTIF(J$10:J431,J431)=1,COUNTIF(J$10:J$609,"&lt;"&amp;J431)+1,""))</f>
        <v/>
      </c>
      <c r="L431" t="str">
        <f>IFERROR(INDEX(tblY9[Class],ROWS(L$10:L431))&amp;"","")</f>
        <v/>
      </c>
      <c r="M431" t="str">
        <f>IF(L431="","",IF(COUNTIF(L$10:L431,L431)=1,COUNTIF(L$10:L$609,"&lt;"&amp;L431)+1,""))</f>
        <v/>
      </c>
      <c r="N431" t="str">
        <f>IFERROR(INDEX(tblY10[Class],ROWS(N$10:N431))&amp;"","")</f>
        <v/>
      </c>
      <c r="O431" t="str">
        <f>IF(N431="","",IF(COUNTIF(N$10:N431,N431)=1,COUNTIF(N$10:N$609,"&lt;"&amp;N431)+1,""))</f>
        <v/>
      </c>
      <c r="P431" t="str">
        <f>IFERROR(INDEX(tblY11[Class],ROWS(P$10:P431))&amp;"","")</f>
        <v/>
      </c>
      <c r="Q431" t="str">
        <f>IF(P431="","",IF(COUNTIF(P$10:P431,P431)=1,COUNTIF(P$10:P$609,"&lt;"&amp;P431)+1,""))</f>
        <v/>
      </c>
      <c r="BA431" t="str">
        <f>IFERROR(INDEX(wLast,362)&amp;"","")</f>
        <v/>
      </c>
      <c r="BB431" t="str">
        <f>IF(BA431="","",IFERROR(INDEX(wFirst,362)&amp;"",""))</f>
        <v/>
      </c>
      <c r="BC431" t="str">
        <f>IF(BA431="","",IFERROR(INDEX(wClass,362)&amp;"",""))</f>
        <v/>
      </c>
      <c r="BD431" t="str">
        <f>IF(BA431="","",IFERROR(INDEX(wKsBand,362)+0,""))</f>
        <v/>
      </c>
      <c r="BE431" t="str">
        <f>IF(BA431="","",IFERROR(INDEX(wTests,362)+0,0))</f>
        <v/>
      </c>
      <c r="BF431" t="str">
        <f>IF(BA431="","",IFERROR(INDEX(wMean,362)+0,""))</f>
        <v/>
      </c>
      <c r="BG431" t="str">
        <f>IF(BA431="","",IFERROR(INDEX(wVs,362)+0,""))</f>
        <v/>
      </c>
      <c r="BH431" t="str">
        <f>IF(OR(BA431="",wLatest=""),"",IFERROR(INDEX(wData,362,MATCH(wLatest&amp;CHAR(10)&amp;"Stanine",wHdr,0))+0,""))</f>
        <v/>
      </c>
      <c r="BI431" t="str">
        <f>IF(BA431="","",IF(AND(ISNUMBER(BG431),N(BE431)&gt;=WlMinTests,BG431&lt;=-WlGap),"Below expected for KS2",IF(AND(NOT(ISNUMBER(BD431)),ISNUMBER(BF431),N(BE431)&gt;=WlMinTests,BF431&lt;=WlLowMean),"Low results, no KS2 data","")))</f>
        <v/>
      </c>
      <c r="BJ431" t="str">
        <f>IF(BI431="","",IF(BI431="Below expected for KS2",BG431,100+BF431)+ROW()/1000000)</f>
        <v/>
      </c>
    </row>
    <row r="432">
      <c r="H432" t="str">
        <f>IFERROR(INDEX(tblY7[Class],ROWS(H$10:H432))&amp;"","")</f>
        <v/>
      </c>
      <c r="I432" t="str">
        <f>IF(H432="","",IF(COUNTIF(H$10:H432,H432)=1,COUNTIF(H$10:H$609,"&lt;"&amp;H432)+1,""))</f>
        <v/>
      </c>
      <c r="J432" t="str">
        <f>IFERROR(INDEX(tblY8[Class],ROWS(J$10:J432))&amp;"","")</f>
        <v/>
      </c>
      <c r="K432" t="str">
        <f>IF(J432="","",IF(COUNTIF(J$10:J432,J432)=1,COUNTIF(J$10:J$609,"&lt;"&amp;J432)+1,""))</f>
        <v/>
      </c>
      <c r="L432" t="str">
        <f>IFERROR(INDEX(tblY9[Class],ROWS(L$10:L432))&amp;"","")</f>
        <v/>
      </c>
      <c r="M432" t="str">
        <f>IF(L432="","",IF(COUNTIF(L$10:L432,L432)=1,COUNTIF(L$10:L$609,"&lt;"&amp;L432)+1,""))</f>
        <v/>
      </c>
      <c r="N432" t="str">
        <f>IFERROR(INDEX(tblY10[Class],ROWS(N$10:N432))&amp;"","")</f>
        <v/>
      </c>
      <c r="O432" t="str">
        <f>IF(N432="","",IF(COUNTIF(N$10:N432,N432)=1,COUNTIF(N$10:N$609,"&lt;"&amp;N432)+1,""))</f>
        <v/>
      </c>
      <c r="P432" t="str">
        <f>IFERROR(INDEX(tblY11[Class],ROWS(P$10:P432))&amp;"","")</f>
        <v/>
      </c>
      <c r="Q432" t="str">
        <f>IF(P432="","",IF(COUNTIF(P$10:P432,P432)=1,COUNTIF(P$10:P$609,"&lt;"&amp;P432)+1,""))</f>
        <v/>
      </c>
      <c r="BA432" t="str">
        <f>IFERROR(INDEX(wLast,363)&amp;"","")</f>
        <v/>
      </c>
      <c r="BB432" t="str">
        <f>IF(BA432="","",IFERROR(INDEX(wFirst,363)&amp;"",""))</f>
        <v/>
      </c>
      <c r="BC432" t="str">
        <f>IF(BA432="","",IFERROR(INDEX(wClass,363)&amp;"",""))</f>
        <v/>
      </c>
      <c r="BD432" t="str">
        <f>IF(BA432="","",IFERROR(INDEX(wKsBand,363)+0,""))</f>
        <v/>
      </c>
      <c r="BE432" t="str">
        <f>IF(BA432="","",IFERROR(INDEX(wTests,363)+0,0))</f>
        <v/>
      </c>
      <c r="BF432" t="str">
        <f>IF(BA432="","",IFERROR(INDEX(wMean,363)+0,""))</f>
        <v/>
      </c>
      <c r="BG432" t="str">
        <f>IF(BA432="","",IFERROR(INDEX(wVs,363)+0,""))</f>
        <v/>
      </c>
      <c r="BH432" t="str">
        <f>IF(OR(BA432="",wLatest=""),"",IFERROR(INDEX(wData,363,MATCH(wLatest&amp;CHAR(10)&amp;"Stanine",wHdr,0))+0,""))</f>
        <v/>
      </c>
      <c r="BI432" t="str">
        <f>IF(BA432="","",IF(AND(ISNUMBER(BG432),N(BE432)&gt;=WlMinTests,BG432&lt;=-WlGap),"Below expected for KS2",IF(AND(NOT(ISNUMBER(BD432)),ISNUMBER(BF432),N(BE432)&gt;=WlMinTests,BF432&lt;=WlLowMean),"Low results, no KS2 data","")))</f>
        <v/>
      </c>
      <c r="BJ432" t="str">
        <f>IF(BI432="","",IF(BI432="Below expected for KS2",BG432,100+BF432)+ROW()/1000000)</f>
        <v/>
      </c>
    </row>
    <row r="433">
      <c r="H433" t="str">
        <f>IFERROR(INDEX(tblY7[Class],ROWS(H$10:H433))&amp;"","")</f>
        <v/>
      </c>
      <c r="I433" t="str">
        <f>IF(H433="","",IF(COUNTIF(H$10:H433,H433)=1,COUNTIF(H$10:H$609,"&lt;"&amp;H433)+1,""))</f>
        <v/>
      </c>
      <c r="J433" t="str">
        <f>IFERROR(INDEX(tblY8[Class],ROWS(J$10:J433))&amp;"","")</f>
        <v/>
      </c>
      <c r="K433" t="str">
        <f>IF(J433="","",IF(COUNTIF(J$10:J433,J433)=1,COUNTIF(J$10:J$609,"&lt;"&amp;J433)+1,""))</f>
        <v/>
      </c>
      <c r="L433" t="str">
        <f>IFERROR(INDEX(tblY9[Class],ROWS(L$10:L433))&amp;"","")</f>
        <v/>
      </c>
      <c r="M433" t="str">
        <f>IF(L433="","",IF(COUNTIF(L$10:L433,L433)=1,COUNTIF(L$10:L$609,"&lt;"&amp;L433)+1,""))</f>
        <v/>
      </c>
      <c r="N433" t="str">
        <f>IFERROR(INDEX(tblY10[Class],ROWS(N$10:N433))&amp;"","")</f>
        <v/>
      </c>
      <c r="O433" t="str">
        <f>IF(N433="","",IF(COUNTIF(N$10:N433,N433)=1,COUNTIF(N$10:N$609,"&lt;"&amp;N433)+1,""))</f>
        <v/>
      </c>
      <c r="P433" t="str">
        <f>IFERROR(INDEX(tblY11[Class],ROWS(P$10:P433))&amp;"","")</f>
        <v/>
      </c>
      <c r="Q433" t="str">
        <f>IF(P433="","",IF(COUNTIF(P$10:P433,P433)=1,COUNTIF(P$10:P$609,"&lt;"&amp;P433)+1,""))</f>
        <v/>
      </c>
      <c r="BA433" t="str">
        <f>IFERROR(INDEX(wLast,364)&amp;"","")</f>
        <v/>
      </c>
      <c r="BB433" t="str">
        <f>IF(BA433="","",IFERROR(INDEX(wFirst,364)&amp;"",""))</f>
        <v/>
      </c>
      <c r="BC433" t="str">
        <f>IF(BA433="","",IFERROR(INDEX(wClass,364)&amp;"",""))</f>
        <v/>
      </c>
      <c r="BD433" t="str">
        <f>IF(BA433="","",IFERROR(INDEX(wKsBand,364)+0,""))</f>
        <v/>
      </c>
      <c r="BE433" t="str">
        <f>IF(BA433="","",IFERROR(INDEX(wTests,364)+0,0))</f>
        <v/>
      </c>
      <c r="BF433" t="str">
        <f>IF(BA433="","",IFERROR(INDEX(wMean,364)+0,""))</f>
        <v/>
      </c>
      <c r="BG433" t="str">
        <f>IF(BA433="","",IFERROR(INDEX(wVs,364)+0,""))</f>
        <v/>
      </c>
      <c r="BH433" t="str">
        <f>IF(OR(BA433="",wLatest=""),"",IFERROR(INDEX(wData,364,MATCH(wLatest&amp;CHAR(10)&amp;"Stanine",wHdr,0))+0,""))</f>
        <v/>
      </c>
      <c r="BI433" t="str">
        <f>IF(BA433="","",IF(AND(ISNUMBER(BG433),N(BE433)&gt;=WlMinTests,BG433&lt;=-WlGap),"Below expected for KS2",IF(AND(NOT(ISNUMBER(BD433)),ISNUMBER(BF433),N(BE433)&gt;=WlMinTests,BF433&lt;=WlLowMean),"Low results, no KS2 data","")))</f>
        <v/>
      </c>
      <c r="BJ433" t="str">
        <f>IF(BI433="","",IF(BI433="Below expected for KS2",BG433,100+BF433)+ROW()/1000000)</f>
        <v/>
      </c>
    </row>
    <row r="434">
      <c r="H434" t="str">
        <f>IFERROR(INDEX(tblY7[Class],ROWS(H$10:H434))&amp;"","")</f>
        <v/>
      </c>
      <c r="I434" t="str">
        <f>IF(H434="","",IF(COUNTIF(H$10:H434,H434)=1,COUNTIF(H$10:H$609,"&lt;"&amp;H434)+1,""))</f>
        <v/>
      </c>
      <c r="J434" t="str">
        <f>IFERROR(INDEX(tblY8[Class],ROWS(J$10:J434))&amp;"","")</f>
        <v/>
      </c>
      <c r="K434" t="str">
        <f>IF(J434="","",IF(COUNTIF(J$10:J434,J434)=1,COUNTIF(J$10:J$609,"&lt;"&amp;J434)+1,""))</f>
        <v/>
      </c>
      <c r="L434" t="str">
        <f>IFERROR(INDEX(tblY9[Class],ROWS(L$10:L434))&amp;"","")</f>
        <v/>
      </c>
      <c r="M434" t="str">
        <f>IF(L434="","",IF(COUNTIF(L$10:L434,L434)=1,COUNTIF(L$10:L$609,"&lt;"&amp;L434)+1,""))</f>
        <v/>
      </c>
      <c r="N434" t="str">
        <f>IFERROR(INDEX(tblY10[Class],ROWS(N$10:N434))&amp;"","")</f>
        <v/>
      </c>
      <c r="O434" t="str">
        <f>IF(N434="","",IF(COUNTIF(N$10:N434,N434)=1,COUNTIF(N$10:N$609,"&lt;"&amp;N434)+1,""))</f>
        <v/>
      </c>
      <c r="P434" t="str">
        <f>IFERROR(INDEX(tblY11[Class],ROWS(P$10:P434))&amp;"","")</f>
        <v/>
      </c>
      <c r="Q434" t="str">
        <f>IF(P434="","",IF(COUNTIF(P$10:P434,P434)=1,COUNTIF(P$10:P$609,"&lt;"&amp;P434)+1,""))</f>
        <v/>
      </c>
      <c r="BA434" t="str">
        <f>IFERROR(INDEX(wLast,365)&amp;"","")</f>
        <v/>
      </c>
      <c r="BB434" t="str">
        <f>IF(BA434="","",IFERROR(INDEX(wFirst,365)&amp;"",""))</f>
        <v/>
      </c>
      <c r="BC434" t="str">
        <f>IF(BA434="","",IFERROR(INDEX(wClass,365)&amp;"",""))</f>
        <v/>
      </c>
      <c r="BD434" t="str">
        <f>IF(BA434="","",IFERROR(INDEX(wKsBand,365)+0,""))</f>
        <v/>
      </c>
      <c r="BE434" t="str">
        <f>IF(BA434="","",IFERROR(INDEX(wTests,365)+0,0))</f>
        <v/>
      </c>
      <c r="BF434" t="str">
        <f>IF(BA434="","",IFERROR(INDEX(wMean,365)+0,""))</f>
        <v/>
      </c>
      <c r="BG434" t="str">
        <f>IF(BA434="","",IFERROR(INDEX(wVs,365)+0,""))</f>
        <v/>
      </c>
      <c r="BH434" t="str">
        <f>IF(OR(BA434="",wLatest=""),"",IFERROR(INDEX(wData,365,MATCH(wLatest&amp;CHAR(10)&amp;"Stanine",wHdr,0))+0,""))</f>
        <v/>
      </c>
      <c r="BI434" t="str">
        <f>IF(BA434="","",IF(AND(ISNUMBER(BG434),N(BE434)&gt;=WlMinTests,BG434&lt;=-WlGap),"Below expected for KS2",IF(AND(NOT(ISNUMBER(BD434)),ISNUMBER(BF434),N(BE434)&gt;=WlMinTests,BF434&lt;=WlLowMean),"Low results, no KS2 data","")))</f>
        <v/>
      </c>
      <c r="BJ434" t="str">
        <f>IF(BI434="","",IF(BI434="Below expected for KS2",BG434,100+BF434)+ROW()/1000000)</f>
        <v/>
      </c>
    </row>
    <row r="435">
      <c r="H435" t="str">
        <f>IFERROR(INDEX(tblY7[Class],ROWS(H$10:H435))&amp;"","")</f>
        <v/>
      </c>
      <c r="I435" t="str">
        <f>IF(H435="","",IF(COUNTIF(H$10:H435,H435)=1,COUNTIF(H$10:H$609,"&lt;"&amp;H435)+1,""))</f>
        <v/>
      </c>
      <c r="J435" t="str">
        <f>IFERROR(INDEX(tblY8[Class],ROWS(J$10:J435))&amp;"","")</f>
        <v/>
      </c>
      <c r="K435" t="str">
        <f>IF(J435="","",IF(COUNTIF(J$10:J435,J435)=1,COUNTIF(J$10:J$609,"&lt;"&amp;J435)+1,""))</f>
        <v/>
      </c>
      <c r="L435" t="str">
        <f>IFERROR(INDEX(tblY9[Class],ROWS(L$10:L435))&amp;"","")</f>
        <v/>
      </c>
      <c r="M435" t="str">
        <f>IF(L435="","",IF(COUNTIF(L$10:L435,L435)=1,COUNTIF(L$10:L$609,"&lt;"&amp;L435)+1,""))</f>
        <v/>
      </c>
      <c r="N435" t="str">
        <f>IFERROR(INDEX(tblY10[Class],ROWS(N$10:N435))&amp;"","")</f>
        <v/>
      </c>
      <c r="O435" t="str">
        <f>IF(N435="","",IF(COUNTIF(N$10:N435,N435)=1,COUNTIF(N$10:N$609,"&lt;"&amp;N435)+1,""))</f>
        <v/>
      </c>
      <c r="P435" t="str">
        <f>IFERROR(INDEX(tblY11[Class],ROWS(P$10:P435))&amp;"","")</f>
        <v/>
      </c>
      <c r="Q435" t="str">
        <f>IF(P435="","",IF(COUNTIF(P$10:P435,P435)=1,COUNTIF(P$10:P$609,"&lt;"&amp;P435)+1,""))</f>
        <v/>
      </c>
      <c r="BA435" t="str">
        <f>IFERROR(INDEX(wLast,366)&amp;"","")</f>
        <v/>
      </c>
      <c r="BB435" t="str">
        <f>IF(BA435="","",IFERROR(INDEX(wFirst,366)&amp;"",""))</f>
        <v/>
      </c>
      <c r="BC435" t="str">
        <f>IF(BA435="","",IFERROR(INDEX(wClass,366)&amp;"",""))</f>
        <v/>
      </c>
      <c r="BD435" t="str">
        <f>IF(BA435="","",IFERROR(INDEX(wKsBand,366)+0,""))</f>
        <v/>
      </c>
      <c r="BE435" t="str">
        <f>IF(BA435="","",IFERROR(INDEX(wTests,366)+0,0))</f>
        <v/>
      </c>
      <c r="BF435" t="str">
        <f>IF(BA435="","",IFERROR(INDEX(wMean,366)+0,""))</f>
        <v/>
      </c>
      <c r="BG435" t="str">
        <f>IF(BA435="","",IFERROR(INDEX(wVs,366)+0,""))</f>
        <v/>
      </c>
      <c r="BH435" t="str">
        <f>IF(OR(BA435="",wLatest=""),"",IFERROR(INDEX(wData,366,MATCH(wLatest&amp;CHAR(10)&amp;"Stanine",wHdr,0))+0,""))</f>
        <v/>
      </c>
      <c r="BI435" t="str">
        <f>IF(BA435="","",IF(AND(ISNUMBER(BG435),N(BE435)&gt;=WlMinTests,BG435&lt;=-WlGap),"Below expected for KS2",IF(AND(NOT(ISNUMBER(BD435)),ISNUMBER(BF435),N(BE435)&gt;=WlMinTests,BF435&lt;=WlLowMean),"Low results, no KS2 data","")))</f>
        <v/>
      </c>
      <c r="BJ435" t="str">
        <f>IF(BI435="","",IF(BI435="Below expected for KS2",BG435,100+BF435)+ROW()/1000000)</f>
        <v/>
      </c>
    </row>
    <row r="436">
      <c r="H436" t="str">
        <f>IFERROR(INDEX(tblY7[Class],ROWS(H$10:H436))&amp;"","")</f>
        <v/>
      </c>
      <c r="I436" t="str">
        <f>IF(H436="","",IF(COUNTIF(H$10:H436,H436)=1,COUNTIF(H$10:H$609,"&lt;"&amp;H436)+1,""))</f>
        <v/>
      </c>
      <c r="J436" t="str">
        <f>IFERROR(INDEX(tblY8[Class],ROWS(J$10:J436))&amp;"","")</f>
        <v/>
      </c>
      <c r="K436" t="str">
        <f>IF(J436="","",IF(COUNTIF(J$10:J436,J436)=1,COUNTIF(J$10:J$609,"&lt;"&amp;J436)+1,""))</f>
        <v/>
      </c>
      <c r="L436" t="str">
        <f>IFERROR(INDEX(tblY9[Class],ROWS(L$10:L436))&amp;"","")</f>
        <v/>
      </c>
      <c r="M436" t="str">
        <f>IF(L436="","",IF(COUNTIF(L$10:L436,L436)=1,COUNTIF(L$10:L$609,"&lt;"&amp;L436)+1,""))</f>
        <v/>
      </c>
      <c r="N436" t="str">
        <f>IFERROR(INDEX(tblY10[Class],ROWS(N$10:N436))&amp;"","")</f>
        <v/>
      </c>
      <c r="O436" t="str">
        <f>IF(N436="","",IF(COUNTIF(N$10:N436,N436)=1,COUNTIF(N$10:N$609,"&lt;"&amp;N436)+1,""))</f>
        <v/>
      </c>
      <c r="P436" t="str">
        <f>IFERROR(INDEX(tblY11[Class],ROWS(P$10:P436))&amp;"","")</f>
        <v/>
      </c>
      <c r="Q436" t="str">
        <f>IF(P436="","",IF(COUNTIF(P$10:P436,P436)=1,COUNTIF(P$10:P$609,"&lt;"&amp;P436)+1,""))</f>
        <v/>
      </c>
      <c r="BA436" t="str">
        <f>IFERROR(INDEX(wLast,367)&amp;"","")</f>
        <v/>
      </c>
      <c r="BB436" t="str">
        <f>IF(BA436="","",IFERROR(INDEX(wFirst,367)&amp;"",""))</f>
        <v/>
      </c>
      <c r="BC436" t="str">
        <f>IF(BA436="","",IFERROR(INDEX(wClass,367)&amp;"",""))</f>
        <v/>
      </c>
      <c r="BD436" t="str">
        <f>IF(BA436="","",IFERROR(INDEX(wKsBand,367)+0,""))</f>
        <v/>
      </c>
      <c r="BE436" t="str">
        <f>IF(BA436="","",IFERROR(INDEX(wTests,367)+0,0))</f>
        <v/>
      </c>
      <c r="BF436" t="str">
        <f>IF(BA436="","",IFERROR(INDEX(wMean,367)+0,""))</f>
        <v/>
      </c>
      <c r="BG436" t="str">
        <f>IF(BA436="","",IFERROR(INDEX(wVs,367)+0,""))</f>
        <v/>
      </c>
      <c r="BH436" t="str">
        <f>IF(OR(BA436="",wLatest=""),"",IFERROR(INDEX(wData,367,MATCH(wLatest&amp;CHAR(10)&amp;"Stanine",wHdr,0))+0,""))</f>
        <v/>
      </c>
      <c r="BI436" t="str">
        <f>IF(BA436="","",IF(AND(ISNUMBER(BG436),N(BE436)&gt;=WlMinTests,BG436&lt;=-WlGap),"Below expected for KS2",IF(AND(NOT(ISNUMBER(BD436)),ISNUMBER(BF436),N(BE436)&gt;=WlMinTests,BF436&lt;=WlLowMean),"Low results, no KS2 data","")))</f>
        <v/>
      </c>
      <c r="BJ436" t="str">
        <f>IF(BI436="","",IF(BI436="Below expected for KS2",BG436,100+BF436)+ROW()/1000000)</f>
        <v/>
      </c>
    </row>
    <row r="437">
      <c r="H437" t="str">
        <f>IFERROR(INDEX(tblY7[Class],ROWS(H$10:H437))&amp;"","")</f>
        <v/>
      </c>
      <c r="I437" t="str">
        <f>IF(H437="","",IF(COUNTIF(H$10:H437,H437)=1,COUNTIF(H$10:H$609,"&lt;"&amp;H437)+1,""))</f>
        <v/>
      </c>
      <c r="J437" t="str">
        <f>IFERROR(INDEX(tblY8[Class],ROWS(J$10:J437))&amp;"","")</f>
        <v/>
      </c>
      <c r="K437" t="str">
        <f>IF(J437="","",IF(COUNTIF(J$10:J437,J437)=1,COUNTIF(J$10:J$609,"&lt;"&amp;J437)+1,""))</f>
        <v/>
      </c>
      <c r="L437" t="str">
        <f>IFERROR(INDEX(tblY9[Class],ROWS(L$10:L437))&amp;"","")</f>
        <v/>
      </c>
      <c r="M437" t="str">
        <f>IF(L437="","",IF(COUNTIF(L$10:L437,L437)=1,COUNTIF(L$10:L$609,"&lt;"&amp;L437)+1,""))</f>
        <v/>
      </c>
      <c r="N437" t="str">
        <f>IFERROR(INDEX(tblY10[Class],ROWS(N$10:N437))&amp;"","")</f>
        <v/>
      </c>
      <c r="O437" t="str">
        <f>IF(N437="","",IF(COUNTIF(N$10:N437,N437)=1,COUNTIF(N$10:N$609,"&lt;"&amp;N437)+1,""))</f>
        <v/>
      </c>
      <c r="P437" t="str">
        <f>IFERROR(INDEX(tblY11[Class],ROWS(P$10:P437))&amp;"","")</f>
        <v/>
      </c>
      <c r="Q437" t="str">
        <f>IF(P437="","",IF(COUNTIF(P$10:P437,P437)=1,COUNTIF(P$10:P$609,"&lt;"&amp;P437)+1,""))</f>
        <v/>
      </c>
      <c r="BA437" t="str">
        <f>IFERROR(INDEX(wLast,368)&amp;"","")</f>
        <v/>
      </c>
      <c r="BB437" t="str">
        <f>IF(BA437="","",IFERROR(INDEX(wFirst,368)&amp;"",""))</f>
        <v/>
      </c>
      <c r="BC437" t="str">
        <f>IF(BA437="","",IFERROR(INDEX(wClass,368)&amp;"",""))</f>
        <v/>
      </c>
      <c r="BD437" t="str">
        <f>IF(BA437="","",IFERROR(INDEX(wKsBand,368)+0,""))</f>
        <v/>
      </c>
      <c r="BE437" t="str">
        <f>IF(BA437="","",IFERROR(INDEX(wTests,368)+0,0))</f>
        <v/>
      </c>
      <c r="BF437" t="str">
        <f>IF(BA437="","",IFERROR(INDEX(wMean,368)+0,""))</f>
        <v/>
      </c>
      <c r="BG437" t="str">
        <f>IF(BA437="","",IFERROR(INDEX(wVs,368)+0,""))</f>
        <v/>
      </c>
      <c r="BH437" t="str">
        <f>IF(OR(BA437="",wLatest=""),"",IFERROR(INDEX(wData,368,MATCH(wLatest&amp;CHAR(10)&amp;"Stanine",wHdr,0))+0,""))</f>
        <v/>
      </c>
      <c r="BI437" t="str">
        <f>IF(BA437="","",IF(AND(ISNUMBER(BG437),N(BE437)&gt;=WlMinTests,BG437&lt;=-WlGap),"Below expected for KS2",IF(AND(NOT(ISNUMBER(BD437)),ISNUMBER(BF437),N(BE437)&gt;=WlMinTests,BF437&lt;=WlLowMean),"Low results, no KS2 data","")))</f>
        <v/>
      </c>
      <c r="BJ437" t="str">
        <f>IF(BI437="","",IF(BI437="Below expected for KS2",BG437,100+BF437)+ROW()/1000000)</f>
        <v/>
      </c>
    </row>
    <row r="438">
      <c r="H438" t="str">
        <f>IFERROR(INDEX(tblY7[Class],ROWS(H$10:H438))&amp;"","")</f>
        <v/>
      </c>
      <c r="I438" t="str">
        <f>IF(H438="","",IF(COUNTIF(H$10:H438,H438)=1,COUNTIF(H$10:H$609,"&lt;"&amp;H438)+1,""))</f>
        <v/>
      </c>
      <c r="J438" t="str">
        <f>IFERROR(INDEX(tblY8[Class],ROWS(J$10:J438))&amp;"","")</f>
        <v/>
      </c>
      <c r="K438" t="str">
        <f>IF(J438="","",IF(COUNTIF(J$10:J438,J438)=1,COUNTIF(J$10:J$609,"&lt;"&amp;J438)+1,""))</f>
        <v/>
      </c>
      <c r="L438" t="str">
        <f>IFERROR(INDEX(tblY9[Class],ROWS(L$10:L438))&amp;"","")</f>
        <v/>
      </c>
      <c r="M438" t="str">
        <f>IF(L438="","",IF(COUNTIF(L$10:L438,L438)=1,COUNTIF(L$10:L$609,"&lt;"&amp;L438)+1,""))</f>
        <v/>
      </c>
      <c r="N438" t="str">
        <f>IFERROR(INDEX(tblY10[Class],ROWS(N$10:N438))&amp;"","")</f>
        <v/>
      </c>
      <c r="O438" t="str">
        <f>IF(N438="","",IF(COUNTIF(N$10:N438,N438)=1,COUNTIF(N$10:N$609,"&lt;"&amp;N438)+1,""))</f>
        <v/>
      </c>
      <c r="P438" t="str">
        <f>IFERROR(INDEX(tblY11[Class],ROWS(P$10:P438))&amp;"","")</f>
        <v/>
      </c>
      <c r="Q438" t="str">
        <f>IF(P438="","",IF(COUNTIF(P$10:P438,P438)=1,COUNTIF(P$10:P$609,"&lt;"&amp;P438)+1,""))</f>
        <v/>
      </c>
      <c r="BA438" t="str">
        <f>IFERROR(INDEX(wLast,369)&amp;"","")</f>
        <v/>
      </c>
      <c r="BB438" t="str">
        <f>IF(BA438="","",IFERROR(INDEX(wFirst,369)&amp;"",""))</f>
        <v/>
      </c>
      <c r="BC438" t="str">
        <f>IF(BA438="","",IFERROR(INDEX(wClass,369)&amp;"",""))</f>
        <v/>
      </c>
      <c r="BD438" t="str">
        <f>IF(BA438="","",IFERROR(INDEX(wKsBand,369)+0,""))</f>
        <v/>
      </c>
      <c r="BE438" t="str">
        <f>IF(BA438="","",IFERROR(INDEX(wTests,369)+0,0))</f>
        <v/>
      </c>
      <c r="BF438" t="str">
        <f>IF(BA438="","",IFERROR(INDEX(wMean,369)+0,""))</f>
        <v/>
      </c>
      <c r="BG438" t="str">
        <f>IF(BA438="","",IFERROR(INDEX(wVs,369)+0,""))</f>
        <v/>
      </c>
      <c r="BH438" t="str">
        <f>IF(OR(BA438="",wLatest=""),"",IFERROR(INDEX(wData,369,MATCH(wLatest&amp;CHAR(10)&amp;"Stanine",wHdr,0))+0,""))</f>
        <v/>
      </c>
      <c r="BI438" t="str">
        <f>IF(BA438="","",IF(AND(ISNUMBER(BG438),N(BE438)&gt;=WlMinTests,BG438&lt;=-WlGap),"Below expected for KS2",IF(AND(NOT(ISNUMBER(BD438)),ISNUMBER(BF438),N(BE438)&gt;=WlMinTests,BF438&lt;=WlLowMean),"Low results, no KS2 data","")))</f>
        <v/>
      </c>
      <c r="BJ438" t="str">
        <f>IF(BI438="","",IF(BI438="Below expected for KS2",BG438,100+BF438)+ROW()/1000000)</f>
        <v/>
      </c>
    </row>
    <row r="439">
      <c r="H439" t="str">
        <f>IFERROR(INDEX(tblY7[Class],ROWS(H$10:H439))&amp;"","")</f>
        <v/>
      </c>
      <c r="I439" t="str">
        <f>IF(H439="","",IF(COUNTIF(H$10:H439,H439)=1,COUNTIF(H$10:H$609,"&lt;"&amp;H439)+1,""))</f>
        <v/>
      </c>
      <c r="J439" t="str">
        <f>IFERROR(INDEX(tblY8[Class],ROWS(J$10:J439))&amp;"","")</f>
        <v/>
      </c>
      <c r="K439" t="str">
        <f>IF(J439="","",IF(COUNTIF(J$10:J439,J439)=1,COUNTIF(J$10:J$609,"&lt;"&amp;J439)+1,""))</f>
        <v/>
      </c>
      <c r="L439" t="str">
        <f>IFERROR(INDEX(tblY9[Class],ROWS(L$10:L439))&amp;"","")</f>
        <v/>
      </c>
      <c r="M439" t="str">
        <f>IF(L439="","",IF(COUNTIF(L$10:L439,L439)=1,COUNTIF(L$10:L$609,"&lt;"&amp;L439)+1,""))</f>
        <v/>
      </c>
      <c r="N439" t="str">
        <f>IFERROR(INDEX(tblY10[Class],ROWS(N$10:N439))&amp;"","")</f>
        <v/>
      </c>
      <c r="O439" t="str">
        <f>IF(N439="","",IF(COUNTIF(N$10:N439,N439)=1,COUNTIF(N$10:N$609,"&lt;"&amp;N439)+1,""))</f>
        <v/>
      </c>
      <c r="P439" t="str">
        <f>IFERROR(INDEX(tblY11[Class],ROWS(P$10:P439))&amp;"","")</f>
        <v/>
      </c>
      <c r="Q439" t="str">
        <f>IF(P439="","",IF(COUNTIF(P$10:P439,P439)=1,COUNTIF(P$10:P$609,"&lt;"&amp;P439)+1,""))</f>
        <v/>
      </c>
      <c r="BA439" t="str">
        <f>IFERROR(INDEX(wLast,370)&amp;"","")</f>
        <v/>
      </c>
      <c r="BB439" t="str">
        <f>IF(BA439="","",IFERROR(INDEX(wFirst,370)&amp;"",""))</f>
        <v/>
      </c>
      <c r="BC439" t="str">
        <f>IF(BA439="","",IFERROR(INDEX(wClass,370)&amp;"",""))</f>
        <v/>
      </c>
      <c r="BD439" t="str">
        <f>IF(BA439="","",IFERROR(INDEX(wKsBand,370)+0,""))</f>
        <v/>
      </c>
      <c r="BE439" t="str">
        <f>IF(BA439="","",IFERROR(INDEX(wTests,370)+0,0))</f>
        <v/>
      </c>
      <c r="BF439" t="str">
        <f>IF(BA439="","",IFERROR(INDEX(wMean,370)+0,""))</f>
        <v/>
      </c>
      <c r="BG439" t="str">
        <f>IF(BA439="","",IFERROR(INDEX(wVs,370)+0,""))</f>
        <v/>
      </c>
      <c r="BH439" t="str">
        <f>IF(OR(BA439="",wLatest=""),"",IFERROR(INDEX(wData,370,MATCH(wLatest&amp;CHAR(10)&amp;"Stanine",wHdr,0))+0,""))</f>
        <v/>
      </c>
      <c r="BI439" t="str">
        <f>IF(BA439="","",IF(AND(ISNUMBER(BG439),N(BE439)&gt;=WlMinTests,BG439&lt;=-WlGap),"Below expected for KS2",IF(AND(NOT(ISNUMBER(BD439)),ISNUMBER(BF439),N(BE439)&gt;=WlMinTests,BF439&lt;=WlLowMean),"Low results, no KS2 data","")))</f>
        <v/>
      </c>
      <c r="BJ439" t="str">
        <f>IF(BI439="","",IF(BI439="Below expected for KS2",BG439,100+BF439)+ROW()/1000000)</f>
        <v/>
      </c>
    </row>
    <row r="440">
      <c r="H440" t="str">
        <f>IFERROR(INDEX(tblY7[Class],ROWS(H$10:H440))&amp;"","")</f>
        <v/>
      </c>
      <c r="I440" t="str">
        <f>IF(H440="","",IF(COUNTIF(H$10:H440,H440)=1,COUNTIF(H$10:H$609,"&lt;"&amp;H440)+1,""))</f>
        <v/>
      </c>
      <c r="J440" t="str">
        <f>IFERROR(INDEX(tblY8[Class],ROWS(J$10:J440))&amp;"","")</f>
        <v/>
      </c>
      <c r="K440" t="str">
        <f>IF(J440="","",IF(COUNTIF(J$10:J440,J440)=1,COUNTIF(J$10:J$609,"&lt;"&amp;J440)+1,""))</f>
        <v/>
      </c>
      <c r="L440" t="str">
        <f>IFERROR(INDEX(tblY9[Class],ROWS(L$10:L440))&amp;"","")</f>
        <v/>
      </c>
      <c r="M440" t="str">
        <f>IF(L440="","",IF(COUNTIF(L$10:L440,L440)=1,COUNTIF(L$10:L$609,"&lt;"&amp;L440)+1,""))</f>
        <v/>
      </c>
      <c r="N440" t="str">
        <f>IFERROR(INDEX(tblY10[Class],ROWS(N$10:N440))&amp;"","")</f>
        <v/>
      </c>
      <c r="O440" t="str">
        <f>IF(N440="","",IF(COUNTIF(N$10:N440,N440)=1,COUNTIF(N$10:N$609,"&lt;"&amp;N440)+1,""))</f>
        <v/>
      </c>
      <c r="P440" t="str">
        <f>IFERROR(INDEX(tblY11[Class],ROWS(P$10:P440))&amp;"","")</f>
        <v/>
      </c>
      <c r="Q440" t="str">
        <f>IF(P440="","",IF(COUNTIF(P$10:P440,P440)=1,COUNTIF(P$10:P$609,"&lt;"&amp;P440)+1,""))</f>
        <v/>
      </c>
      <c r="BA440" t="str">
        <f>IFERROR(INDEX(wLast,371)&amp;"","")</f>
        <v/>
      </c>
      <c r="BB440" t="str">
        <f>IF(BA440="","",IFERROR(INDEX(wFirst,371)&amp;"",""))</f>
        <v/>
      </c>
      <c r="BC440" t="str">
        <f>IF(BA440="","",IFERROR(INDEX(wClass,371)&amp;"",""))</f>
        <v/>
      </c>
      <c r="BD440" t="str">
        <f>IF(BA440="","",IFERROR(INDEX(wKsBand,371)+0,""))</f>
        <v/>
      </c>
      <c r="BE440" t="str">
        <f>IF(BA440="","",IFERROR(INDEX(wTests,371)+0,0))</f>
        <v/>
      </c>
      <c r="BF440" t="str">
        <f>IF(BA440="","",IFERROR(INDEX(wMean,371)+0,""))</f>
        <v/>
      </c>
      <c r="BG440" t="str">
        <f>IF(BA440="","",IFERROR(INDEX(wVs,371)+0,""))</f>
        <v/>
      </c>
      <c r="BH440" t="str">
        <f>IF(OR(BA440="",wLatest=""),"",IFERROR(INDEX(wData,371,MATCH(wLatest&amp;CHAR(10)&amp;"Stanine",wHdr,0))+0,""))</f>
        <v/>
      </c>
      <c r="BI440" t="str">
        <f>IF(BA440="","",IF(AND(ISNUMBER(BG440),N(BE440)&gt;=WlMinTests,BG440&lt;=-WlGap),"Below expected for KS2",IF(AND(NOT(ISNUMBER(BD440)),ISNUMBER(BF440),N(BE440)&gt;=WlMinTests,BF440&lt;=WlLowMean),"Low results, no KS2 data","")))</f>
        <v/>
      </c>
      <c r="BJ440" t="str">
        <f>IF(BI440="","",IF(BI440="Below expected for KS2",BG440,100+BF440)+ROW()/1000000)</f>
        <v/>
      </c>
    </row>
    <row r="441">
      <c r="H441" t="str">
        <f>IFERROR(INDEX(tblY7[Class],ROWS(H$10:H441))&amp;"","")</f>
        <v/>
      </c>
      <c r="I441" t="str">
        <f>IF(H441="","",IF(COUNTIF(H$10:H441,H441)=1,COUNTIF(H$10:H$609,"&lt;"&amp;H441)+1,""))</f>
        <v/>
      </c>
      <c r="J441" t="str">
        <f>IFERROR(INDEX(tblY8[Class],ROWS(J$10:J441))&amp;"","")</f>
        <v/>
      </c>
      <c r="K441" t="str">
        <f>IF(J441="","",IF(COUNTIF(J$10:J441,J441)=1,COUNTIF(J$10:J$609,"&lt;"&amp;J441)+1,""))</f>
        <v/>
      </c>
      <c r="L441" t="str">
        <f>IFERROR(INDEX(tblY9[Class],ROWS(L$10:L441))&amp;"","")</f>
        <v/>
      </c>
      <c r="M441" t="str">
        <f>IF(L441="","",IF(COUNTIF(L$10:L441,L441)=1,COUNTIF(L$10:L$609,"&lt;"&amp;L441)+1,""))</f>
        <v/>
      </c>
      <c r="N441" t="str">
        <f>IFERROR(INDEX(tblY10[Class],ROWS(N$10:N441))&amp;"","")</f>
        <v/>
      </c>
      <c r="O441" t="str">
        <f>IF(N441="","",IF(COUNTIF(N$10:N441,N441)=1,COUNTIF(N$10:N$609,"&lt;"&amp;N441)+1,""))</f>
        <v/>
      </c>
      <c r="P441" t="str">
        <f>IFERROR(INDEX(tblY11[Class],ROWS(P$10:P441))&amp;"","")</f>
        <v/>
      </c>
      <c r="Q441" t="str">
        <f>IF(P441="","",IF(COUNTIF(P$10:P441,P441)=1,COUNTIF(P$10:P$609,"&lt;"&amp;P441)+1,""))</f>
        <v/>
      </c>
      <c r="BA441" t="str">
        <f>IFERROR(INDEX(wLast,372)&amp;"","")</f>
        <v/>
      </c>
      <c r="BB441" t="str">
        <f>IF(BA441="","",IFERROR(INDEX(wFirst,372)&amp;"",""))</f>
        <v/>
      </c>
      <c r="BC441" t="str">
        <f>IF(BA441="","",IFERROR(INDEX(wClass,372)&amp;"",""))</f>
        <v/>
      </c>
      <c r="BD441" t="str">
        <f>IF(BA441="","",IFERROR(INDEX(wKsBand,372)+0,""))</f>
        <v/>
      </c>
      <c r="BE441" t="str">
        <f>IF(BA441="","",IFERROR(INDEX(wTests,372)+0,0))</f>
        <v/>
      </c>
      <c r="BF441" t="str">
        <f>IF(BA441="","",IFERROR(INDEX(wMean,372)+0,""))</f>
        <v/>
      </c>
      <c r="BG441" t="str">
        <f>IF(BA441="","",IFERROR(INDEX(wVs,372)+0,""))</f>
        <v/>
      </c>
      <c r="BH441" t="str">
        <f>IF(OR(BA441="",wLatest=""),"",IFERROR(INDEX(wData,372,MATCH(wLatest&amp;CHAR(10)&amp;"Stanine",wHdr,0))+0,""))</f>
        <v/>
      </c>
      <c r="BI441" t="str">
        <f>IF(BA441="","",IF(AND(ISNUMBER(BG441),N(BE441)&gt;=WlMinTests,BG441&lt;=-WlGap),"Below expected for KS2",IF(AND(NOT(ISNUMBER(BD441)),ISNUMBER(BF441),N(BE441)&gt;=WlMinTests,BF441&lt;=WlLowMean),"Low results, no KS2 data","")))</f>
        <v/>
      </c>
      <c r="BJ441" t="str">
        <f>IF(BI441="","",IF(BI441="Below expected for KS2",BG441,100+BF441)+ROW()/1000000)</f>
        <v/>
      </c>
    </row>
    <row r="442">
      <c r="H442" t="str">
        <f>IFERROR(INDEX(tblY7[Class],ROWS(H$10:H442))&amp;"","")</f>
        <v/>
      </c>
      <c r="I442" t="str">
        <f>IF(H442="","",IF(COUNTIF(H$10:H442,H442)=1,COUNTIF(H$10:H$609,"&lt;"&amp;H442)+1,""))</f>
        <v/>
      </c>
      <c r="J442" t="str">
        <f>IFERROR(INDEX(tblY8[Class],ROWS(J$10:J442))&amp;"","")</f>
        <v/>
      </c>
      <c r="K442" t="str">
        <f>IF(J442="","",IF(COUNTIF(J$10:J442,J442)=1,COUNTIF(J$10:J$609,"&lt;"&amp;J442)+1,""))</f>
        <v/>
      </c>
      <c r="L442" t="str">
        <f>IFERROR(INDEX(tblY9[Class],ROWS(L$10:L442))&amp;"","")</f>
        <v/>
      </c>
      <c r="M442" t="str">
        <f>IF(L442="","",IF(COUNTIF(L$10:L442,L442)=1,COUNTIF(L$10:L$609,"&lt;"&amp;L442)+1,""))</f>
        <v/>
      </c>
      <c r="N442" t="str">
        <f>IFERROR(INDEX(tblY10[Class],ROWS(N$10:N442))&amp;"","")</f>
        <v/>
      </c>
      <c r="O442" t="str">
        <f>IF(N442="","",IF(COUNTIF(N$10:N442,N442)=1,COUNTIF(N$10:N$609,"&lt;"&amp;N442)+1,""))</f>
        <v/>
      </c>
      <c r="P442" t="str">
        <f>IFERROR(INDEX(tblY11[Class],ROWS(P$10:P442))&amp;"","")</f>
        <v/>
      </c>
      <c r="Q442" t="str">
        <f>IF(P442="","",IF(COUNTIF(P$10:P442,P442)=1,COUNTIF(P$10:P$609,"&lt;"&amp;P442)+1,""))</f>
        <v/>
      </c>
      <c r="BA442" t="str">
        <f>IFERROR(INDEX(wLast,373)&amp;"","")</f>
        <v/>
      </c>
      <c r="BB442" t="str">
        <f>IF(BA442="","",IFERROR(INDEX(wFirst,373)&amp;"",""))</f>
        <v/>
      </c>
      <c r="BC442" t="str">
        <f>IF(BA442="","",IFERROR(INDEX(wClass,373)&amp;"",""))</f>
        <v/>
      </c>
      <c r="BD442" t="str">
        <f>IF(BA442="","",IFERROR(INDEX(wKsBand,373)+0,""))</f>
        <v/>
      </c>
      <c r="BE442" t="str">
        <f>IF(BA442="","",IFERROR(INDEX(wTests,373)+0,0))</f>
        <v/>
      </c>
      <c r="BF442" t="str">
        <f>IF(BA442="","",IFERROR(INDEX(wMean,373)+0,""))</f>
        <v/>
      </c>
      <c r="BG442" t="str">
        <f>IF(BA442="","",IFERROR(INDEX(wVs,373)+0,""))</f>
        <v/>
      </c>
      <c r="BH442" t="str">
        <f>IF(OR(BA442="",wLatest=""),"",IFERROR(INDEX(wData,373,MATCH(wLatest&amp;CHAR(10)&amp;"Stanine",wHdr,0))+0,""))</f>
        <v/>
      </c>
      <c r="BI442" t="str">
        <f>IF(BA442="","",IF(AND(ISNUMBER(BG442),N(BE442)&gt;=WlMinTests,BG442&lt;=-WlGap),"Below expected for KS2",IF(AND(NOT(ISNUMBER(BD442)),ISNUMBER(BF442),N(BE442)&gt;=WlMinTests,BF442&lt;=WlLowMean),"Low results, no KS2 data","")))</f>
        <v/>
      </c>
      <c r="BJ442" t="str">
        <f>IF(BI442="","",IF(BI442="Below expected for KS2",BG442,100+BF442)+ROW()/1000000)</f>
        <v/>
      </c>
    </row>
    <row r="443">
      <c r="H443" t="str">
        <f>IFERROR(INDEX(tblY7[Class],ROWS(H$10:H443))&amp;"","")</f>
        <v/>
      </c>
      <c r="I443" t="str">
        <f>IF(H443="","",IF(COUNTIF(H$10:H443,H443)=1,COUNTIF(H$10:H$609,"&lt;"&amp;H443)+1,""))</f>
        <v/>
      </c>
      <c r="J443" t="str">
        <f>IFERROR(INDEX(tblY8[Class],ROWS(J$10:J443))&amp;"","")</f>
        <v/>
      </c>
      <c r="K443" t="str">
        <f>IF(J443="","",IF(COUNTIF(J$10:J443,J443)=1,COUNTIF(J$10:J$609,"&lt;"&amp;J443)+1,""))</f>
        <v/>
      </c>
      <c r="L443" t="str">
        <f>IFERROR(INDEX(tblY9[Class],ROWS(L$10:L443))&amp;"","")</f>
        <v/>
      </c>
      <c r="M443" t="str">
        <f>IF(L443="","",IF(COUNTIF(L$10:L443,L443)=1,COUNTIF(L$10:L$609,"&lt;"&amp;L443)+1,""))</f>
        <v/>
      </c>
      <c r="N443" t="str">
        <f>IFERROR(INDEX(tblY10[Class],ROWS(N$10:N443))&amp;"","")</f>
        <v/>
      </c>
      <c r="O443" t="str">
        <f>IF(N443="","",IF(COUNTIF(N$10:N443,N443)=1,COUNTIF(N$10:N$609,"&lt;"&amp;N443)+1,""))</f>
        <v/>
      </c>
      <c r="P443" t="str">
        <f>IFERROR(INDEX(tblY11[Class],ROWS(P$10:P443))&amp;"","")</f>
        <v/>
      </c>
      <c r="Q443" t="str">
        <f>IF(P443="","",IF(COUNTIF(P$10:P443,P443)=1,COUNTIF(P$10:P$609,"&lt;"&amp;P443)+1,""))</f>
        <v/>
      </c>
      <c r="BA443" t="str">
        <f>IFERROR(INDEX(wLast,374)&amp;"","")</f>
        <v/>
      </c>
      <c r="BB443" t="str">
        <f>IF(BA443="","",IFERROR(INDEX(wFirst,374)&amp;"",""))</f>
        <v/>
      </c>
      <c r="BC443" t="str">
        <f>IF(BA443="","",IFERROR(INDEX(wClass,374)&amp;"",""))</f>
        <v/>
      </c>
      <c r="BD443" t="str">
        <f>IF(BA443="","",IFERROR(INDEX(wKsBand,374)+0,""))</f>
        <v/>
      </c>
      <c r="BE443" t="str">
        <f>IF(BA443="","",IFERROR(INDEX(wTests,374)+0,0))</f>
        <v/>
      </c>
      <c r="BF443" t="str">
        <f>IF(BA443="","",IFERROR(INDEX(wMean,374)+0,""))</f>
        <v/>
      </c>
      <c r="BG443" t="str">
        <f>IF(BA443="","",IFERROR(INDEX(wVs,374)+0,""))</f>
        <v/>
      </c>
      <c r="BH443" t="str">
        <f>IF(OR(BA443="",wLatest=""),"",IFERROR(INDEX(wData,374,MATCH(wLatest&amp;CHAR(10)&amp;"Stanine",wHdr,0))+0,""))</f>
        <v/>
      </c>
      <c r="BI443" t="str">
        <f>IF(BA443="","",IF(AND(ISNUMBER(BG443),N(BE443)&gt;=WlMinTests,BG443&lt;=-WlGap),"Below expected for KS2",IF(AND(NOT(ISNUMBER(BD443)),ISNUMBER(BF443),N(BE443)&gt;=WlMinTests,BF443&lt;=WlLowMean),"Low results, no KS2 data","")))</f>
        <v/>
      </c>
      <c r="BJ443" t="str">
        <f>IF(BI443="","",IF(BI443="Below expected for KS2",BG443,100+BF443)+ROW()/1000000)</f>
        <v/>
      </c>
    </row>
    <row r="444">
      <c r="H444" t="str">
        <f>IFERROR(INDEX(tblY7[Class],ROWS(H$10:H444))&amp;"","")</f>
        <v/>
      </c>
      <c r="I444" t="str">
        <f>IF(H444="","",IF(COUNTIF(H$10:H444,H444)=1,COUNTIF(H$10:H$609,"&lt;"&amp;H444)+1,""))</f>
        <v/>
      </c>
      <c r="J444" t="str">
        <f>IFERROR(INDEX(tblY8[Class],ROWS(J$10:J444))&amp;"","")</f>
        <v/>
      </c>
      <c r="K444" t="str">
        <f>IF(J444="","",IF(COUNTIF(J$10:J444,J444)=1,COUNTIF(J$10:J$609,"&lt;"&amp;J444)+1,""))</f>
        <v/>
      </c>
      <c r="L444" t="str">
        <f>IFERROR(INDEX(tblY9[Class],ROWS(L$10:L444))&amp;"","")</f>
        <v/>
      </c>
      <c r="M444" t="str">
        <f>IF(L444="","",IF(COUNTIF(L$10:L444,L444)=1,COUNTIF(L$10:L$609,"&lt;"&amp;L444)+1,""))</f>
        <v/>
      </c>
      <c r="N444" t="str">
        <f>IFERROR(INDEX(tblY10[Class],ROWS(N$10:N444))&amp;"","")</f>
        <v/>
      </c>
      <c r="O444" t="str">
        <f>IF(N444="","",IF(COUNTIF(N$10:N444,N444)=1,COUNTIF(N$10:N$609,"&lt;"&amp;N444)+1,""))</f>
        <v/>
      </c>
      <c r="P444" t="str">
        <f>IFERROR(INDEX(tblY11[Class],ROWS(P$10:P444))&amp;"","")</f>
        <v/>
      </c>
      <c r="Q444" t="str">
        <f>IF(P444="","",IF(COUNTIF(P$10:P444,P444)=1,COUNTIF(P$10:P$609,"&lt;"&amp;P444)+1,""))</f>
        <v/>
      </c>
      <c r="BA444" t="str">
        <f>IFERROR(INDEX(wLast,375)&amp;"","")</f>
        <v/>
      </c>
      <c r="BB444" t="str">
        <f>IF(BA444="","",IFERROR(INDEX(wFirst,375)&amp;"",""))</f>
        <v/>
      </c>
      <c r="BC444" t="str">
        <f>IF(BA444="","",IFERROR(INDEX(wClass,375)&amp;"",""))</f>
        <v/>
      </c>
      <c r="BD444" t="str">
        <f>IF(BA444="","",IFERROR(INDEX(wKsBand,375)+0,""))</f>
        <v/>
      </c>
      <c r="BE444" t="str">
        <f>IF(BA444="","",IFERROR(INDEX(wTests,375)+0,0))</f>
        <v/>
      </c>
      <c r="BF444" t="str">
        <f>IF(BA444="","",IFERROR(INDEX(wMean,375)+0,""))</f>
        <v/>
      </c>
      <c r="BG444" t="str">
        <f>IF(BA444="","",IFERROR(INDEX(wVs,375)+0,""))</f>
        <v/>
      </c>
      <c r="BH444" t="str">
        <f>IF(OR(BA444="",wLatest=""),"",IFERROR(INDEX(wData,375,MATCH(wLatest&amp;CHAR(10)&amp;"Stanine",wHdr,0))+0,""))</f>
        <v/>
      </c>
      <c r="BI444" t="str">
        <f>IF(BA444="","",IF(AND(ISNUMBER(BG444),N(BE444)&gt;=WlMinTests,BG444&lt;=-WlGap),"Below expected for KS2",IF(AND(NOT(ISNUMBER(BD444)),ISNUMBER(BF444),N(BE444)&gt;=WlMinTests,BF444&lt;=WlLowMean),"Low results, no KS2 data","")))</f>
        <v/>
      </c>
      <c r="BJ444" t="str">
        <f>IF(BI444="","",IF(BI444="Below expected for KS2",BG444,100+BF444)+ROW()/1000000)</f>
        <v/>
      </c>
    </row>
    <row r="445">
      <c r="H445" t="str">
        <f>IFERROR(INDEX(tblY7[Class],ROWS(H$10:H445))&amp;"","")</f>
        <v/>
      </c>
      <c r="I445" t="str">
        <f>IF(H445="","",IF(COUNTIF(H$10:H445,H445)=1,COUNTIF(H$10:H$609,"&lt;"&amp;H445)+1,""))</f>
        <v/>
      </c>
      <c r="J445" t="str">
        <f>IFERROR(INDEX(tblY8[Class],ROWS(J$10:J445))&amp;"","")</f>
        <v/>
      </c>
      <c r="K445" t="str">
        <f>IF(J445="","",IF(COUNTIF(J$10:J445,J445)=1,COUNTIF(J$10:J$609,"&lt;"&amp;J445)+1,""))</f>
        <v/>
      </c>
      <c r="L445" t="str">
        <f>IFERROR(INDEX(tblY9[Class],ROWS(L$10:L445))&amp;"","")</f>
        <v/>
      </c>
      <c r="M445" t="str">
        <f>IF(L445="","",IF(COUNTIF(L$10:L445,L445)=1,COUNTIF(L$10:L$609,"&lt;"&amp;L445)+1,""))</f>
        <v/>
      </c>
      <c r="N445" t="str">
        <f>IFERROR(INDEX(tblY10[Class],ROWS(N$10:N445))&amp;"","")</f>
        <v/>
      </c>
      <c r="O445" t="str">
        <f>IF(N445="","",IF(COUNTIF(N$10:N445,N445)=1,COUNTIF(N$10:N$609,"&lt;"&amp;N445)+1,""))</f>
        <v/>
      </c>
      <c r="P445" t="str">
        <f>IFERROR(INDEX(tblY11[Class],ROWS(P$10:P445))&amp;"","")</f>
        <v/>
      </c>
      <c r="Q445" t="str">
        <f>IF(P445="","",IF(COUNTIF(P$10:P445,P445)=1,COUNTIF(P$10:P$609,"&lt;"&amp;P445)+1,""))</f>
        <v/>
      </c>
      <c r="BA445" t="str">
        <f>IFERROR(INDEX(wLast,376)&amp;"","")</f>
        <v/>
      </c>
      <c r="BB445" t="str">
        <f>IF(BA445="","",IFERROR(INDEX(wFirst,376)&amp;"",""))</f>
        <v/>
      </c>
      <c r="BC445" t="str">
        <f>IF(BA445="","",IFERROR(INDEX(wClass,376)&amp;"",""))</f>
        <v/>
      </c>
      <c r="BD445" t="str">
        <f>IF(BA445="","",IFERROR(INDEX(wKsBand,376)+0,""))</f>
        <v/>
      </c>
      <c r="BE445" t="str">
        <f>IF(BA445="","",IFERROR(INDEX(wTests,376)+0,0))</f>
        <v/>
      </c>
      <c r="BF445" t="str">
        <f>IF(BA445="","",IFERROR(INDEX(wMean,376)+0,""))</f>
        <v/>
      </c>
      <c r="BG445" t="str">
        <f>IF(BA445="","",IFERROR(INDEX(wVs,376)+0,""))</f>
        <v/>
      </c>
      <c r="BH445" t="str">
        <f>IF(OR(BA445="",wLatest=""),"",IFERROR(INDEX(wData,376,MATCH(wLatest&amp;CHAR(10)&amp;"Stanine",wHdr,0))+0,""))</f>
        <v/>
      </c>
      <c r="BI445" t="str">
        <f>IF(BA445="","",IF(AND(ISNUMBER(BG445),N(BE445)&gt;=WlMinTests,BG445&lt;=-WlGap),"Below expected for KS2",IF(AND(NOT(ISNUMBER(BD445)),ISNUMBER(BF445),N(BE445)&gt;=WlMinTests,BF445&lt;=WlLowMean),"Low results, no KS2 data","")))</f>
        <v/>
      </c>
      <c r="BJ445" t="str">
        <f>IF(BI445="","",IF(BI445="Below expected for KS2",BG445,100+BF445)+ROW()/1000000)</f>
        <v/>
      </c>
    </row>
    <row r="446">
      <c r="H446" t="str">
        <f>IFERROR(INDEX(tblY7[Class],ROWS(H$10:H446))&amp;"","")</f>
        <v/>
      </c>
      <c r="I446" t="str">
        <f>IF(H446="","",IF(COUNTIF(H$10:H446,H446)=1,COUNTIF(H$10:H$609,"&lt;"&amp;H446)+1,""))</f>
        <v/>
      </c>
      <c r="J446" t="str">
        <f>IFERROR(INDEX(tblY8[Class],ROWS(J$10:J446))&amp;"","")</f>
        <v/>
      </c>
      <c r="K446" t="str">
        <f>IF(J446="","",IF(COUNTIF(J$10:J446,J446)=1,COUNTIF(J$10:J$609,"&lt;"&amp;J446)+1,""))</f>
        <v/>
      </c>
      <c r="L446" t="str">
        <f>IFERROR(INDEX(tblY9[Class],ROWS(L$10:L446))&amp;"","")</f>
        <v/>
      </c>
      <c r="M446" t="str">
        <f>IF(L446="","",IF(COUNTIF(L$10:L446,L446)=1,COUNTIF(L$10:L$609,"&lt;"&amp;L446)+1,""))</f>
        <v/>
      </c>
      <c r="N446" t="str">
        <f>IFERROR(INDEX(tblY10[Class],ROWS(N$10:N446))&amp;"","")</f>
        <v/>
      </c>
      <c r="O446" t="str">
        <f>IF(N446="","",IF(COUNTIF(N$10:N446,N446)=1,COUNTIF(N$10:N$609,"&lt;"&amp;N446)+1,""))</f>
        <v/>
      </c>
      <c r="P446" t="str">
        <f>IFERROR(INDEX(tblY11[Class],ROWS(P$10:P446))&amp;"","")</f>
        <v/>
      </c>
      <c r="Q446" t="str">
        <f>IF(P446="","",IF(COUNTIF(P$10:P446,P446)=1,COUNTIF(P$10:P$609,"&lt;"&amp;P446)+1,""))</f>
        <v/>
      </c>
      <c r="BA446" t="str">
        <f>IFERROR(INDEX(wLast,377)&amp;"","")</f>
        <v/>
      </c>
      <c r="BB446" t="str">
        <f>IF(BA446="","",IFERROR(INDEX(wFirst,377)&amp;"",""))</f>
        <v/>
      </c>
      <c r="BC446" t="str">
        <f>IF(BA446="","",IFERROR(INDEX(wClass,377)&amp;"",""))</f>
        <v/>
      </c>
      <c r="BD446" t="str">
        <f>IF(BA446="","",IFERROR(INDEX(wKsBand,377)+0,""))</f>
        <v/>
      </c>
      <c r="BE446" t="str">
        <f>IF(BA446="","",IFERROR(INDEX(wTests,377)+0,0))</f>
        <v/>
      </c>
      <c r="BF446" t="str">
        <f>IF(BA446="","",IFERROR(INDEX(wMean,377)+0,""))</f>
        <v/>
      </c>
      <c r="BG446" t="str">
        <f>IF(BA446="","",IFERROR(INDEX(wVs,377)+0,""))</f>
        <v/>
      </c>
      <c r="BH446" t="str">
        <f>IF(OR(BA446="",wLatest=""),"",IFERROR(INDEX(wData,377,MATCH(wLatest&amp;CHAR(10)&amp;"Stanine",wHdr,0))+0,""))</f>
        <v/>
      </c>
      <c r="BI446" t="str">
        <f>IF(BA446="","",IF(AND(ISNUMBER(BG446),N(BE446)&gt;=WlMinTests,BG446&lt;=-WlGap),"Below expected for KS2",IF(AND(NOT(ISNUMBER(BD446)),ISNUMBER(BF446),N(BE446)&gt;=WlMinTests,BF446&lt;=WlLowMean),"Low results, no KS2 data","")))</f>
        <v/>
      </c>
      <c r="BJ446" t="str">
        <f>IF(BI446="","",IF(BI446="Below expected for KS2",BG446,100+BF446)+ROW()/1000000)</f>
        <v/>
      </c>
    </row>
    <row r="447">
      <c r="H447" t="str">
        <f>IFERROR(INDEX(tblY7[Class],ROWS(H$10:H447))&amp;"","")</f>
        <v/>
      </c>
      <c r="I447" t="str">
        <f>IF(H447="","",IF(COUNTIF(H$10:H447,H447)=1,COUNTIF(H$10:H$609,"&lt;"&amp;H447)+1,""))</f>
        <v/>
      </c>
      <c r="J447" t="str">
        <f>IFERROR(INDEX(tblY8[Class],ROWS(J$10:J447))&amp;"","")</f>
        <v/>
      </c>
      <c r="K447" t="str">
        <f>IF(J447="","",IF(COUNTIF(J$10:J447,J447)=1,COUNTIF(J$10:J$609,"&lt;"&amp;J447)+1,""))</f>
        <v/>
      </c>
      <c r="L447" t="str">
        <f>IFERROR(INDEX(tblY9[Class],ROWS(L$10:L447))&amp;"","")</f>
        <v/>
      </c>
      <c r="M447" t="str">
        <f>IF(L447="","",IF(COUNTIF(L$10:L447,L447)=1,COUNTIF(L$10:L$609,"&lt;"&amp;L447)+1,""))</f>
        <v/>
      </c>
      <c r="N447" t="str">
        <f>IFERROR(INDEX(tblY10[Class],ROWS(N$10:N447))&amp;"","")</f>
        <v/>
      </c>
      <c r="O447" t="str">
        <f>IF(N447="","",IF(COUNTIF(N$10:N447,N447)=1,COUNTIF(N$10:N$609,"&lt;"&amp;N447)+1,""))</f>
        <v/>
      </c>
      <c r="P447" t="str">
        <f>IFERROR(INDEX(tblY11[Class],ROWS(P$10:P447))&amp;"","")</f>
        <v/>
      </c>
      <c r="Q447" t="str">
        <f>IF(P447="","",IF(COUNTIF(P$10:P447,P447)=1,COUNTIF(P$10:P$609,"&lt;"&amp;P447)+1,""))</f>
        <v/>
      </c>
      <c r="BA447" t="str">
        <f>IFERROR(INDEX(wLast,378)&amp;"","")</f>
        <v/>
      </c>
      <c r="BB447" t="str">
        <f>IF(BA447="","",IFERROR(INDEX(wFirst,378)&amp;"",""))</f>
        <v/>
      </c>
      <c r="BC447" t="str">
        <f>IF(BA447="","",IFERROR(INDEX(wClass,378)&amp;"",""))</f>
        <v/>
      </c>
      <c r="BD447" t="str">
        <f>IF(BA447="","",IFERROR(INDEX(wKsBand,378)+0,""))</f>
        <v/>
      </c>
      <c r="BE447" t="str">
        <f>IF(BA447="","",IFERROR(INDEX(wTests,378)+0,0))</f>
        <v/>
      </c>
      <c r="BF447" t="str">
        <f>IF(BA447="","",IFERROR(INDEX(wMean,378)+0,""))</f>
        <v/>
      </c>
      <c r="BG447" t="str">
        <f>IF(BA447="","",IFERROR(INDEX(wVs,378)+0,""))</f>
        <v/>
      </c>
      <c r="BH447" t="str">
        <f>IF(OR(BA447="",wLatest=""),"",IFERROR(INDEX(wData,378,MATCH(wLatest&amp;CHAR(10)&amp;"Stanine",wHdr,0))+0,""))</f>
        <v/>
      </c>
      <c r="BI447" t="str">
        <f>IF(BA447="","",IF(AND(ISNUMBER(BG447),N(BE447)&gt;=WlMinTests,BG447&lt;=-WlGap),"Below expected for KS2",IF(AND(NOT(ISNUMBER(BD447)),ISNUMBER(BF447),N(BE447)&gt;=WlMinTests,BF447&lt;=WlLowMean),"Low results, no KS2 data","")))</f>
        <v/>
      </c>
      <c r="BJ447" t="str">
        <f>IF(BI447="","",IF(BI447="Below expected for KS2",BG447,100+BF447)+ROW()/1000000)</f>
        <v/>
      </c>
    </row>
    <row r="448">
      <c r="H448" t="str">
        <f>IFERROR(INDEX(tblY7[Class],ROWS(H$10:H448))&amp;"","")</f>
        <v/>
      </c>
      <c r="I448" t="str">
        <f>IF(H448="","",IF(COUNTIF(H$10:H448,H448)=1,COUNTIF(H$10:H$609,"&lt;"&amp;H448)+1,""))</f>
        <v/>
      </c>
      <c r="J448" t="str">
        <f>IFERROR(INDEX(tblY8[Class],ROWS(J$10:J448))&amp;"","")</f>
        <v/>
      </c>
      <c r="K448" t="str">
        <f>IF(J448="","",IF(COUNTIF(J$10:J448,J448)=1,COUNTIF(J$10:J$609,"&lt;"&amp;J448)+1,""))</f>
        <v/>
      </c>
      <c r="L448" t="str">
        <f>IFERROR(INDEX(tblY9[Class],ROWS(L$10:L448))&amp;"","")</f>
        <v/>
      </c>
      <c r="M448" t="str">
        <f>IF(L448="","",IF(COUNTIF(L$10:L448,L448)=1,COUNTIF(L$10:L$609,"&lt;"&amp;L448)+1,""))</f>
        <v/>
      </c>
      <c r="N448" t="str">
        <f>IFERROR(INDEX(tblY10[Class],ROWS(N$10:N448))&amp;"","")</f>
        <v/>
      </c>
      <c r="O448" t="str">
        <f>IF(N448="","",IF(COUNTIF(N$10:N448,N448)=1,COUNTIF(N$10:N$609,"&lt;"&amp;N448)+1,""))</f>
        <v/>
      </c>
      <c r="P448" t="str">
        <f>IFERROR(INDEX(tblY11[Class],ROWS(P$10:P448))&amp;"","")</f>
        <v/>
      </c>
      <c r="Q448" t="str">
        <f>IF(P448="","",IF(COUNTIF(P$10:P448,P448)=1,COUNTIF(P$10:P$609,"&lt;"&amp;P448)+1,""))</f>
        <v/>
      </c>
      <c r="BA448" t="str">
        <f>IFERROR(INDEX(wLast,379)&amp;"","")</f>
        <v/>
      </c>
      <c r="BB448" t="str">
        <f>IF(BA448="","",IFERROR(INDEX(wFirst,379)&amp;"",""))</f>
        <v/>
      </c>
      <c r="BC448" t="str">
        <f>IF(BA448="","",IFERROR(INDEX(wClass,379)&amp;"",""))</f>
        <v/>
      </c>
      <c r="BD448" t="str">
        <f>IF(BA448="","",IFERROR(INDEX(wKsBand,379)+0,""))</f>
        <v/>
      </c>
      <c r="BE448" t="str">
        <f>IF(BA448="","",IFERROR(INDEX(wTests,379)+0,0))</f>
        <v/>
      </c>
      <c r="BF448" t="str">
        <f>IF(BA448="","",IFERROR(INDEX(wMean,379)+0,""))</f>
        <v/>
      </c>
      <c r="BG448" t="str">
        <f>IF(BA448="","",IFERROR(INDEX(wVs,379)+0,""))</f>
        <v/>
      </c>
      <c r="BH448" t="str">
        <f>IF(OR(BA448="",wLatest=""),"",IFERROR(INDEX(wData,379,MATCH(wLatest&amp;CHAR(10)&amp;"Stanine",wHdr,0))+0,""))</f>
        <v/>
      </c>
      <c r="BI448" t="str">
        <f>IF(BA448="","",IF(AND(ISNUMBER(BG448),N(BE448)&gt;=WlMinTests,BG448&lt;=-WlGap),"Below expected for KS2",IF(AND(NOT(ISNUMBER(BD448)),ISNUMBER(BF448),N(BE448)&gt;=WlMinTests,BF448&lt;=WlLowMean),"Low results, no KS2 data","")))</f>
        <v/>
      </c>
      <c r="BJ448" t="str">
        <f>IF(BI448="","",IF(BI448="Below expected for KS2",BG448,100+BF448)+ROW()/1000000)</f>
        <v/>
      </c>
    </row>
    <row r="449">
      <c r="H449" t="str">
        <f>IFERROR(INDEX(tblY7[Class],ROWS(H$10:H449))&amp;"","")</f>
        <v/>
      </c>
      <c r="I449" t="str">
        <f>IF(H449="","",IF(COUNTIF(H$10:H449,H449)=1,COUNTIF(H$10:H$609,"&lt;"&amp;H449)+1,""))</f>
        <v/>
      </c>
      <c r="J449" t="str">
        <f>IFERROR(INDEX(tblY8[Class],ROWS(J$10:J449))&amp;"","")</f>
        <v/>
      </c>
      <c r="K449" t="str">
        <f>IF(J449="","",IF(COUNTIF(J$10:J449,J449)=1,COUNTIF(J$10:J$609,"&lt;"&amp;J449)+1,""))</f>
        <v/>
      </c>
      <c r="L449" t="str">
        <f>IFERROR(INDEX(tblY9[Class],ROWS(L$10:L449))&amp;"","")</f>
        <v/>
      </c>
      <c r="M449" t="str">
        <f>IF(L449="","",IF(COUNTIF(L$10:L449,L449)=1,COUNTIF(L$10:L$609,"&lt;"&amp;L449)+1,""))</f>
        <v/>
      </c>
      <c r="N449" t="str">
        <f>IFERROR(INDEX(tblY10[Class],ROWS(N$10:N449))&amp;"","")</f>
        <v/>
      </c>
      <c r="O449" t="str">
        <f>IF(N449="","",IF(COUNTIF(N$10:N449,N449)=1,COUNTIF(N$10:N$609,"&lt;"&amp;N449)+1,""))</f>
        <v/>
      </c>
      <c r="P449" t="str">
        <f>IFERROR(INDEX(tblY11[Class],ROWS(P$10:P449))&amp;"","")</f>
        <v/>
      </c>
      <c r="Q449" t="str">
        <f>IF(P449="","",IF(COUNTIF(P$10:P449,P449)=1,COUNTIF(P$10:P$609,"&lt;"&amp;P449)+1,""))</f>
        <v/>
      </c>
      <c r="BA449" t="str">
        <f>IFERROR(INDEX(wLast,380)&amp;"","")</f>
        <v/>
      </c>
      <c r="BB449" t="str">
        <f>IF(BA449="","",IFERROR(INDEX(wFirst,380)&amp;"",""))</f>
        <v/>
      </c>
      <c r="BC449" t="str">
        <f>IF(BA449="","",IFERROR(INDEX(wClass,380)&amp;"",""))</f>
        <v/>
      </c>
      <c r="BD449" t="str">
        <f>IF(BA449="","",IFERROR(INDEX(wKsBand,380)+0,""))</f>
        <v/>
      </c>
      <c r="BE449" t="str">
        <f>IF(BA449="","",IFERROR(INDEX(wTests,380)+0,0))</f>
        <v/>
      </c>
      <c r="BF449" t="str">
        <f>IF(BA449="","",IFERROR(INDEX(wMean,380)+0,""))</f>
        <v/>
      </c>
      <c r="BG449" t="str">
        <f>IF(BA449="","",IFERROR(INDEX(wVs,380)+0,""))</f>
        <v/>
      </c>
      <c r="BH449" t="str">
        <f>IF(OR(BA449="",wLatest=""),"",IFERROR(INDEX(wData,380,MATCH(wLatest&amp;CHAR(10)&amp;"Stanine",wHdr,0))+0,""))</f>
        <v/>
      </c>
      <c r="BI449" t="str">
        <f>IF(BA449="","",IF(AND(ISNUMBER(BG449),N(BE449)&gt;=WlMinTests,BG449&lt;=-WlGap),"Below expected for KS2",IF(AND(NOT(ISNUMBER(BD449)),ISNUMBER(BF449),N(BE449)&gt;=WlMinTests,BF449&lt;=WlLowMean),"Low results, no KS2 data","")))</f>
        <v/>
      </c>
      <c r="BJ449" t="str">
        <f>IF(BI449="","",IF(BI449="Below expected for KS2",BG449,100+BF449)+ROW()/1000000)</f>
        <v/>
      </c>
    </row>
    <row r="450">
      <c r="H450" t="str">
        <f>IFERROR(INDEX(tblY7[Class],ROWS(H$10:H450))&amp;"","")</f>
        <v/>
      </c>
      <c r="I450" t="str">
        <f>IF(H450="","",IF(COUNTIF(H$10:H450,H450)=1,COUNTIF(H$10:H$609,"&lt;"&amp;H450)+1,""))</f>
        <v/>
      </c>
      <c r="J450" t="str">
        <f>IFERROR(INDEX(tblY8[Class],ROWS(J$10:J450))&amp;"","")</f>
        <v/>
      </c>
      <c r="K450" t="str">
        <f>IF(J450="","",IF(COUNTIF(J$10:J450,J450)=1,COUNTIF(J$10:J$609,"&lt;"&amp;J450)+1,""))</f>
        <v/>
      </c>
      <c r="L450" t="str">
        <f>IFERROR(INDEX(tblY9[Class],ROWS(L$10:L450))&amp;"","")</f>
        <v/>
      </c>
      <c r="M450" t="str">
        <f>IF(L450="","",IF(COUNTIF(L$10:L450,L450)=1,COUNTIF(L$10:L$609,"&lt;"&amp;L450)+1,""))</f>
        <v/>
      </c>
      <c r="N450" t="str">
        <f>IFERROR(INDEX(tblY10[Class],ROWS(N$10:N450))&amp;"","")</f>
        <v/>
      </c>
      <c r="O450" t="str">
        <f>IF(N450="","",IF(COUNTIF(N$10:N450,N450)=1,COUNTIF(N$10:N$609,"&lt;"&amp;N450)+1,""))</f>
        <v/>
      </c>
      <c r="P450" t="str">
        <f>IFERROR(INDEX(tblY11[Class],ROWS(P$10:P450))&amp;"","")</f>
        <v/>
      </c>
      <c r="Q450" t="str">
        <f>IF(P450="","",IF(COUNTIF(P$10:P450,P450)=1,COUNTIF(P$10:P$609,"&lt;"&amp;P450)+1,""))</f>
        <v/>
      </c>
      <c r="BA450" t="str">
        <f>IFERROR(INDEX(wLast,381)&amp;"","")</f>
        <v/>
      </c>
      <c r="BB450" t="str">
        <f>IF(BA450="","",IFERROR(INDEX(wFirst,381)&amp;"",""))</f>
        <v/>
      </c>
      <c r="BC450" t="str">
        <f>IF(BA450="","",IFERROR(INDEX(wClass,381)&amp;"",""))</f>
        <v/>
      </c>
      <c r="BD450" t="str">
        <f>IF(BA450="","",IFERROR(INDEX(wKsBand,381)+0,""))</f>
        <v/>
      </c>
      <c r="BE450" t="str">
        <f>IF(BA450="","",IFERROR(INDEX(wTests,381)+0,0))</f>
        <v/>
      </c>
      <c r="BF450" t="str">
        <f>IF(BA450="","",IFERROR(INDEX(wMean,381)+0,""))</f>
        <v/>
      </c>
      <c r="BG450" t="str">
        <f>IF(BA450="","",IFERROR(INDEX(wVs,381)+0,""))</f>
        <v/>
      </c>
      <c r="BH450" t="str">
        <f>IF(OR(BA450="",wLatest=""),"",IFERROR(INDEX(wData,381,MATCH(wLatest&amp;CHAR(10)&amp;"Stanine",wHdr,0))+0,""))</f>
        <v/>
      </c>
      <c r="BI450" t="str">
        <f>IF(BA450="","",IF(AND(ISNUMBER(BG450),N(BE450)&gt;=WlMinTests,BG450&lt;=-WlGap),"Below expected for KS2",IF(AND(NOT(ISNUMBER(BD450)),ISNUMBER(BF450),N(BE450)&gt;=WlMinTests,BF450&lt;=WlLowMean),"Low results, no KS2 data","")))</f>
        <v/>
      </c>
      <c r="BJ450" t="str">
        <f>IF(BI450="","",IF(BI450="Below expected for KS2",BG450,100+BF450)+ROW()/1000000)</f>
        <v/>
      </c>
    </row>
    <row r="451">
      <c r="H451" t="str">
        <f>IFERROR(INDEX(tblY7[Class],ROWS(H$10:H451))&amp;"","")</f>
        <v/>
      </c>
      <c r="I451" t="str">
        <f>IF(H451="","",IF(COUNTIF(H$10:H451,H451)=1,COUNTIF(H$10:H$609,"&lt;"&amp;H451)+1,""))</f>
        <v/>
      </c>
      <c r="J451" t="str">
        <f>IFERROR(INDEX(tblY8[Class],ROWS(J$10:J451))&amp;"","")</f>
        <v/>
      </c>
      <c r="K451" t="str">
        <f>IF(J451="","",IF(COUNTIF(J$10:J451,J451)=1,COUNTIF(J$10:J$609,"&lt;"&amp;J451)+1,""))</f>
        <v/>
      </c>
      <c r="L451" t="str">
        <f>IFERROR(INDEX(tblY9[Class],ROWS(L$10:L451))&amp;"","")</f>
        <v/>
      </c>
      <c r="M451" t="str">
        <f>IF(L451="","",IF(COUNTIF(L$10:L451,L451)=1,COUNTIF(L$10:L$609,"&lt;"&amp;L451)+1,""))</f>
        <v/>
      </c>
      <c r="N451" t="str">
        <f>IFERROR(INDEX(tblY10[Class],ROWS(N$10:N451))&amp;"","")</f>
        <v/>
      </c>
      <c r="O451" t="str">
        <f>IF(N451="","",IF(COUNTIF(N$10:N451,N451)=1,COUNTIF(N$10:N$609,"&lt;"&amp;N451)+1,""))</f>
        <v/>
      </c>
      <c r="P451" t="str">
        <f>IFERROR(INDEX(tblY11[Class],ROWS(P$10:P451))&amp;"","")</f>
        <v/>
      </c>
      <c r="Q451" t="str">
        <f>IF(P451="","",IF(COUNTIF(P$10:P451,P451)=1,COUNTIF(P$10:P$609,"&lt;"&amp;P451)+1,""))</f>
        <v/>
      </c>
      <c r="BA451" t="str">
        <f>IFERROR(INDEX(wLast,382)&amp;"","")</f>
        <v/>
      </c>
      <c r="BB451" t="str">
        <f>IF(BA451="","",IFERROR(INDEX(wFirst,382)&amp;"",""))</f>
        <v/>
      </c>
      <c r="BC451" t="str">
        <f>IF(BA451="","",IFERROR(INDEX(wClass,382)&amp;"",""))</f>
        <v/>
      </c>
      <c r="BD451" t="str">
        <f>IF(BA451="","",IFERROR(INDEX(wKsBand,382)+0,""))</f>
        <v/>
      </c>
      <c r="BE451" t="str">
        <f>IF(BA451="","",IFERROR(INDEX(wTests,382)+0,0))</f>
        <v/>
      </c>
      <c r="BF451" t="str">
        <f>IF(BA451="","",IFERROR(INDEX(wMean,382)+0,""))</f>
        <v/>
      </c>
      <c r="BG451" t="str">
        <f>IF(BA451="","",IFERROR(INDEX(wVs,382)+0,""))</f>
        <v/>
      </c>
      <c r="BH451" t="str">
        <f>IF(OR(BA451="",wLatest=""),"",IFERROR(INDEX(wData,382,MATCH(wLatest&amp;CHAR(10)&amp;"Stanine",wHdr,0))+0,""))</f>
        <v/>
      </c>
      <c r="BI451" t="str">
        <f>IF(BA451="","",IF(AND(ISNUMBER(BG451),N(BE451)&gt;=WlMinTests,BG451&lt;=-WlGap),"Below expected for KS2",IF(AND(NOT(ISNUMBER(BD451)),ISNUMBER(BF451),N(BE451)&gt;=WlMinTests,BF451&lt;=WlLowMean),"Low results, no KS2 data","")))</f>
        <v/>
      </c>
      <c r="BJ451" t="str">
        <f>IF(BI451="","",IF(BI451="Below expected for KS2",BG451,100+BF451)+ROW()/1000000)</f>
        <v/>
      </c>
    </row>
    <row r="452">
      <c r="H452" t="str">
        <f>IFERROR(INDEX(tblY7[Class],ROWS(H$10:H452))&amp;"","")</f>
        <v/>
      </c>
      <c r="I452" t="str">
        <f>IF(H452="","",IF(COUNTIF(H$10:H452,H452)=1,COUNTIF(H$10:H$609,"&lt;"&amp;H452)+1,""))</f>
        <v/>
      </c>
      <c r="J452" t="str">
        <f>IFERROR(INDEX(tblY8[Class],ROWS(J$10:J452))&amp;"","")</f>
        <v/>
      </c>
      <c r="K452" t="str">
        <f>IF(J452="","",IF(COUNTIF(J$10:J452,J452)=1,COUNTIF(J$10:J$609,"&lt;"&amp;J452)+1,""))</f>
        <v/>
      </c>
      <c r="L452" t="str">
        <f>IFERROR(INDEX(tblY9[Class],ROWS(L$10:L452))&amp;"","")</f>
        <v/>
      </c>
      <c r="M452" t="str">
        <f>IF(L452="","",IF(COUNTIF(L$10:L452,L452)=1,COUNTIF(L$10:L$609,"&lt;"&amp;L452)+1,""))</f>
        <v/>
      </c>
      <c r="N452" t="str">
        <f>IFERROR(INDEX(tblY10[Class],ROWS(N$10:N452))&amp;"","")</f>
        <v/>
      </c>
      <c r="O452" t="str">
        <f>IF(N452="","",IF(COUNTIF(N$10:N452,N452)=1,COUNTIF(N$10:N$609,"&lt;"&amp;N452)+1,""))</f>
        <v/>
      </c>
      <c r="P452" t="str">
        <f>IFERROR(INDEX(tblY11[Class],ROWS(P$10:P452))&amp;"","")</f>
        <v/>
      </c>
      <c r="Q452" t="str">
        <f>IF(P452="","",IF(COUNTIF(P$10:P452,P452)=1,COUNTIF(P$10:P$609,"&lt;"&amp;P452)+1,""))</f>
        <v/>
      </c>
      <c r="BA452" t="str">
        <f>IFERROR(INDEX(wLast,383)&amp;"","")</f>
        <v/>
      </c>
      <c r="BB452" t="str">
        <f>IF(BA452="","",IFERROR(INDEX(wFirst,383)&amp;"",""))</f>
        <v/>
      </c>
      <c r="BC452" t="str">
        <f>IF(BA452="","",IFERROR(INDEX(wClass,383)&amp;"",""))</f>
        <v/>
      </c>
      <c r="BD452" t="str">
        <f>IF(BA452="","",IFERROR(INDEX(wKsBand,383)+0,""))</f>
        <v/>
      </c>
      <c r="BE452" t="str">
        <f>IF(BA452="","",IFERROR(INDEX(wTests,383)+0,0))</f>
        <v/>
      </c>
      <c r="BF452" t="str">
        <f>IF(BA452="","",IFERROR(INDEX(wMean,383)+0,""))</f>
        <v/>
      </c>
      <c r="BG452" t="str">
        <f>IF(BA452="","",IFERROR(INDEX(wVs,383)+0,""))</f>
        <v/>
      </c>
      <c r="BH452" t="str">
        <f>IF(OR(BA452="",wLatest=""),"",IFERROR(INDEX(wData,383,MATCH(wLatest&amp;CHAR(10)&amp;"Stanine",wHdr,0))+0,""))</f>
        <v/>
      </c>
      <c r="BI452" t="str">
        <f>IF(BA452="","",IF(AND(ISNUMBER(BG452),N(BE452)&gt;=WlMinTests,BG452&lt;=-WlGap),"Below expected for KS2",IF(AND(NOT(ISNUMBER(BD452)),ISNUMBER(BF452),N(BE452)&gt;=WlMinTests,BF452&lt;=WlLowMean),"Low results, no KS2 data","")))</f>
        <v/>
      </c>
      <c r="BJ452" t="str">
        <f>IF(BI452="","",IF(BI452="Below expected for KS2",BG452,100+BF452)+ROW()/1000000)</f>
        <v/>
      </c>
    </row>
    <row r="453">
      <c r="H453" t="str">
        <f>IFERROR(INDEX(tblY7[Class],ROWS(H$10:H453))&amp;"","")</f>
        <v/>
      </c>
      <c r="I453" t="str">
        <f>IF(H453="","",IF(COUNTIF(H$10:H453,H453)=1,COUNTIF(H$10:H$609,"&lt;"&amp;H453)+1,""))</f>
        <v/>
      </c>
      <c r="J453" t="str">
        <f>IFERROR(INDEX(tblY8[Class],ROWS(J$10:J453))&amp;"","")</f>
        <v/>
      </c>
      <c r="K453" t="str">
        <f>IF(J453="","",IF(COUNTIF(J$10:J453,J453)=1,COUNTIF(J$10:J$609,"&lt;"&amp;J453)+1,""))</f>
        <v/>
      </c>
      <c r="L453" t="str">
        <f>IFERROR(INDEX(tblY9[Class],ROWS(L$10:L453))&amp;"","")</f>
        <v/>
      </c>
      <c r="M453" t="str">
        <f>IF(L453="","",IF(COUNTIF(L$10:L453,L453)=1,COUNTIF(L$10:L$609,"&lt;"&amp;L453)+1,""))</f>
        <v/>
      </c>
      <c r="N453" t="str">
        <f>IFERROR(INDEX(tblY10[Class],ROWS(N$10:N453))&amp;"","")</f>
        <v/>
      </c>
      <c r="O453" t="str">
        <f>IF(N453="","",IF(COUNTIF(N$10:N453,N453)=1,COUNTIF(N$10:N$609,"&lt;"&amp;N453)+1,""))</f>
        <v/>
      </c>
      <c r="P453" t="str">
        <f>IFERROR(INDEX(tblY11[Class],ROWS(P$10:P453))&amp;"","")</f>
        <v/>
      </c>
      <c r="Q453" t="str">
        <f>IF(P453="","",IF(COUNTIF(P$10:P453,P453)=1,COUNTIF(P$10:P$609,"&lt;"&amp;P453)+1,""))</f>
        <v/>
      </c>
      <c r="BA453" t="str">
        <f>IFERROR(INDEX(wLast,384)&amp;"","")</f>
        <v/>
      </c>
      <c r="BB453" t="str">
        <f>IF(BA453="","",IFERROR(INDEX(wFirst,384)&amp;"",""))</f>
        <v/>
      </c>
      <c r="BC453" t="str">
        <f>IF(BA453="","",IFERROR(INDEX(wClass,384)&amp;"",""))</f>
        <v/>
      </c>
      <c r="BD453" t="str">
        <f>IF(BA453="","",IFERROR(INDEX(wKsBand,384)+0,""))</f>
        <v/>
      </c>
      <c r="BE453" t="str">
        <f>IF(BA453="","",IFERROR(INDEX(wTests,384)+0,0))</f>
        <v/>
      </c>
      <c r="BF453" t="str">
        <f>IF(BA453="","",IFERROR(INDEX(wMean,384)+0,""))</f>
        <v/>
      </c>
      <c r="BG453" t="str">
        <f>IF(BA453="","",IFERROR(INDEX(wVs,384)+0,""))</f>
        <v/>
      </c>
      <c r="BH453" t="str">
        <f>IF(OR(BA453="",wLatest=""),"",IFERROR(INDEX(wData,384,MATCH(wLatest&amp;CHAR(10)&amp;"Stanine",wHdr,0))+0,""))</f>
        <v/>
      </c>
      <c r="BI453" t="str">
        <f>IF(BA453="","",IF(AND(ISNUMBER(BG453),N(BE453)&gt;=WlMinTests,BG453&lt;=-WlGap),"Below expected for KS2",IF(AND(NOT(ISNUMBER(BD453)),ISNUMBER(BF453),N(BE453)&gt;=WlMinTests,BF453&lt;=WlLowMean),"Low results, no KS2 data","")))</f>
        <v/>
      </c>
      <c r="BJ453" t="str">
        <f>IF(BI453="","",IF(BI453="Below expected for KS2",BG453,100+BF453)+ROW()/1000000)</f>
        <v/>
      </c>
    </row>
    <row r="454">
      <c r="H454" t="str">
        <f>IFERROR(INDEX(tblY7[Class],ROWS(H$10:H454))&amp;"","")</f>
        <v/>
      </c>
      <c r="I454" t="str">
        <f>IF(H454="","",IF(COUNTIF(H$10:H454,H454)=1,COUNTIF(H$10:H$609,"&lt;"&amp;H454)+1,""))</f>
        <v/>
      </c>
      <c r="J454" t="str">
        <f>IFERROR(INDEX(tblY8[Class],ROWS(J$10:J454))&amp;"","")</f>
        <v/>
      </c>
      <c r="K454" t="str">
        <f>IF(J454="","",IF(COUNTIF(J$10:J454,J454)=1,COUNTIF(J$10:J$609,"&lt;"&amp;J454)+1,""))</f>
        <v/>
      </c>
      <c r="L454" t="str">
        <f>IFERROR(INDEX(tblY9[Class],ROWS(L$10:L454))&amp;"","")</f>
        <v/>
      </c>
      <c r="M454" t="str">
        <f>IF(L454="","",IF(COUNTIF(L$10:L454,L454)=1,COUNTIF(L$10:L$609,"&lt;"&amp;L454)+1,""))</f>
        <v/>
      </c>
      <c r="N454" t="str">
        <f>IFERROR(INDEX(tblY10[Class],ROWS(N$10:N454))&amp;"","")</f>
        <v/>
      </c>
      <c r="O454" t="str">
        <f>IF(N454="","",IF(COUNTIF(N$10:N454,N454)=1,COUNTIF(N$10:N$609,"&lt;"&amp;N454)+1,""))</f>
        <v/>
      </c>
      <c r="P454" t="str">
        <f>IFERROR(INDEX(tblY11[Class],ROWS(P$10:P454))&amp;"","")</f>
        <v/>
      </c>
      <c r="Q454" t="str">
        <f>IF(P454="","",IF(COUNTIF(P$10:P454,P454)=1,COUNTIF(P$10:P$609,"&lt;"&amp;P454)+1,""))</f>
        <v/>
      </c>
      <c r="BA454" t="str">
        <f>IFERROR(INDEX(wLast,385)&amp;"","")</f>
        <v/>
      </c>
      <c r="BB454" t="str">
        <f>IF(BA454="","",IFERROR(INDEX(wFirst,385)&amp;"",""))</f>
        <v/>
      </c>
      <c r="BC454" t="str">
        <f>IF(BA454="","",IFERROR(INDEX(wClass,385)&amp;"",""))</f>
        <v/>
      </c>
      <c r="BD454" t="str">
        <f>IF(BA454="","",IFERROR(INDEX(wKsBand,385)+0,""))</f>
        <v/>
      </c>
      <c r="BE454" t="str">
        <f>IF(BA454="","",IFERROR(INDEX(wTests,385)+0,0))</f>
        <v/>
      </c>
      <c r="BF454" t="str">
        <f>IF(BA454="","",IFERROR(INDEX(wMean,385)+0,""))</f>
        <v/>
      </c>
      <c r="BG454" t="str">
        <f>IF(BA454="","",IFERROR(INDEX(wVs,385)+0,""))</f>
        <v/>
      </c>
      <c r="BH454" t="str">
        <f>IF(OR(BA454="",wLatest=""),"",IFERROR(INDEX(wData,385,MATCH(wLatest&amp;CHAR(10)&amp;"Stanine",wHdr,0))+0,""))</f>
        <v/>
      </c>
      <c r="BI454" t="str">
        <f>IF(BA454="","",IF(AND(ISNUMBER(BG454),N(BE454)&gt;=WlMinTests,BG454&lt;=-WlGap),"Below expected for KS2",IF(AND(NOT(ISNUMBER(BD454)),ISNUMBER(BF454),N(BE454)&gt;=WlMinTests,BF454&lt;=WlLowMean),"Low results, no KS2 data","")))</f>
        <v/>
      </c>
      <c r="BJ454" t="str">
        <f>IF(BI454="","",IF(BI454="Below expected for KS2",BG454,100+BF454)+ROW()/1000000)</f>
        <v/>
      </c>
    </row>
    <row r="455">
      <c r="H455" t="str">
        <f>IFERROR(INDEX(tblY7[Class],ROWS(H$10:H455))&amp;"","")</f>
        <v/>
      </c>
      <c r="I455" t="str">
        <f>IF(H455="","",IF(COUNTIF(H$10:H455,H455)=1,COUNTIF(H$10:H$609,"&lt;"&amp;H455)+1,""))</f>
        <v/>
      </c>
      <c r="J455" t="str">
        <f>IFERROR(INDEX(tblY8[Class],ROWS(J$10:J455))&amp;"","")</f>
        <v/>
      </c>
      <c r="K455" t="str">
        <f>IF(J455="","",IF(COUNTIF(J$10:J455,J455)=1,COUNTIF(J$10:J$609,"&lt;"&amp;J455)+1,""))</f>
        <v/>
      </c>
      <c r="L455" t="str">
        <f>IFERROR(INDEX(tblY9[Class],ROWS(L$10:L455))&amp;"","")</f>
        <v/>
      </c>
      <c r="M455" t="str">
        <f>IF(L455="","",IF(COUNTIF(L$10:L455,L455)=1,COUNTIF(L$10:L$609,"&lt;"&amp;L455)+1,""))</f>
        <v/>
      </c>
      <c r="N455" t="str">
        <f>IFERROR(INDEX(tblY10[Class],ROWS(N$10:N455))&amp;"","")</f>
        <v/>
      </c>
      <c r="O455" t="str">
        <f>IF(N455="","",IF(COUNTIF(N$10:N455,N455)=1,COUNTIF(N$10:N$609,"&lt;"&amp;N455)+1,""))</f>
        <v/>
      </c>
      <c r="P455" t="str">
        <f>IFERROR(INDEX(tblY11[Class],ROWS(P$10:P455))&amp;"","")</f>
        <v/>
      </c>
      <c r="Q455" t="str">
        <f>IF(P455="","",IF(COUNTIF(P$10:P455,P455)=1,COUNTIF(P$10:P$609,"&lt;"&amp;P455)+1,""))</f>
        <v/>
      </c>
      <c r="BA455" t="str">
        <f>IFERROR(INDEX(wLast,386)&amp;"","")</f>
        <v/>
      </c>
      <c r="BB455" t="str">
        <f>IF(BA455="","",IFERROR(INDEX(wFirst,386)&amp;"",""))</f>
        <v/>
      </c>
      <c r="BC455" t="str">
        <f>IF(BA455="","",IFERROR(INDEX(wClass,386)&amp;"",""))</f>
        <v/>
      </c>
      <c r="BD455" t="str">
        <f>IF(BA455="","",IFERROR(INDEX(wKsBand,386)+0,""))</f>
        <v/>
      </c>
      <c r="BE455" t="str">
        <f>IF(BA455="","",IFERROR(INDEX(wTests,386)+0,0))</f>
        <v/>
      </c>
      <c r="BF455" t="str">
        <f>IF(BA455="","",IFERROR(INDEX(wMean,386)+0,""))</f>
        <v/>
      </c>
      <c r="BG455" t="str">
        <f>IF(BA455="","",IFERROR(INDEX(wVs,386)+0,""))</f>
        <v/>
      </c>
      <c r="BH455" t="str">
        <f>IF(OR(BA455="",wLatest=""),"",IFERROR(INDEX(wData,386,MATCH(wLatest&amp;CHAR(10)&amp;"Stanine",wHdr,0))+0,""))</f>
        <v/>
      </c>
      <c r="BI455" t="str">
        <f>IF(BA455="","",IF(AND(ISNUMBER(BG455),N(BE455)&gt;=WlMinTests,BG455&lt;=-WlGap),"Below expected for KS2",IF(AND(NOT(ISNUMBER(BD455)),ISNUMBER(BF455),N(BE455)&gt;=WlMinTests,BF455&lt;=WlLowMean),"Low results, no KS2 data","")))</f>
        <v/>
      </c>
      <c r="BJ455" t="str">
        <f>IF(BI455="","",IF(BI455="Below expected for KS2",BG455,100+BF455)+ROW()/1000000)</f>
        <v/>
      </c>
    </row>
    <row r="456">
      <c r="H456" t="str">
        <f>IFERROR(INDEX(tblY7[Class],ROWS(H$10:H456))&amp;"","")</f>
        <v/>
      </c>
      <c r="I456" t="str">
        <f>IF(H456="","",IF(COUNTIF(H$10:H456,H456)=1,COUNTIF(H$10:H$609,"&lt;"&amp;H456)+1,""))</f>
        <v/>
      </c>
      <c r="J456" t="str">
        <f>IFERROR(INDEX(tblY8[Class],ROWS(J$10:J456))&amp;"","")</f>
        <v/>
      </c>
      <c r="K456" t="str">
        <f>IF(J456="","",IF(COUNTIF(J$10:J456,J456)=1,COUNTIF(J$10:J$609,"&lt;"&amp;J456)+1,""))</f>
        <v/>
      </c>
      <c r="L456" t="str">
        <f>IFERROR(INDEX(tblY9[Class],ROWS(L$10:L456))&amp;"","")</f>
        <v/>
      </c>
      <c r="M456" t="str">
        <f>IF(L456="","",IF(COUNTIF(L$10:L456,L456)=1,COUNTIF(L$10:L$609,"&lt;"&amp;L456)+1,""))</f>
        <v/>
      </c>
      <c r="N456" t="str">
        <f>IFERROR(INDEX(tblY10[Class],ROWS(N$10:N456))&amp;"","")</f>
        <v/>
      </c>
      <c r="O456" t="str">
        <f>IF(N456="","",IF(COUNTIF(N$10:N456,N456)=1,COUNTIF(N$10:N$609,"&lt;"&amp;N456)+1,""))</f>
        <v/>
      </c>
      <c r="P456" t="str">
        <f>IFERROR(INDEX(tblY11[Class],ROWS(P$10:P456))&amp;"","")</f>
        <v/>
      </c>
      <c r="Q456" t="str">
        <f>IF(P456="","",IF(COUNTIF(P$10:P456,P456)=1,COUNTIF(P$10:P$609,"&lt;"&amp;P456)+1,""))</f>
        <v/>
      </c>
      <c r="BA456" t="str">
        <f>IFERROR(INDEX(wLast,387)&amp;"","")</f>
        <v/>
      </c>
      <c r="BB456" t="str">
        <f>IF(BA456="","",IFERROR(INDEX(wFirst,387)&amp;"",""))</f>
        <v/>
      </c>
      <c r="BC456" t="str">
        <f>IF(BA456="","",IFERROR(INDEX(wClass,387)&amp;"",""))</f>
        <v/>
      </c>
      <c r="BD456" t="str">
        <f>IF(BA456="","",IFERROR(INDEX(wKsBand,387)+0,""))</f>
        <v/>
      </c>
      <c r="BE456" t="str">
        <f>IF(BA456="","",IFERROR(INDEX(wTests,387)+0,0))</f>
        <v/>
      </c>
      <c r="BF456" t="str">
        <f>IF(BA456="","",IFERROR(INDEX(wMean,387)+0,""))</f>
        <v/>
      </c>
      <c r="BG456" t="str">
        <f>IF(BA456="","",IFERROR(INDEX(wVs,387)+0,""))</f>
        <v/>
      </c>
      <c r="BH456" t="str">
        <f>IF(OR(BA456="",wLatest=""),"",IFERROR(INDEX(wData,387,MATCH(wLatest&amp;CHAR(10)&amp;"Stanine",wHdr,0))+0,""))</f>
        <v/>
      </c>
      <c r="BI456" t="str">
        <f>IF(BA456="","",IF(AND(ISNUMBER(BG456),N(BE456)&gt;=WlMinTests,BG456&lt;=-WlGap),"Below expected for KS2",IF(AND(NOT(ISNUMBER(BD456)),ISNUMBER(BF456),N(BE456)&gt;=WlMinTests,BF456&lt;=WlLowMean),"Low results, no KS2 data","")))</f>
        <v/>
      </c>
      <c r="BJ456" t="str">
        <f>IF(BI456="","",IF(BI456="Below expected for KS2",BG456,100+BF456)+ROW()/1000000)</f>
        <v/>
      </c>
    </row>
    <row r="457">
      <c r="H457" t="str">
        <f>IFERROR(INDEX(tblY7[Class],ROWS(H$10:H457))&amp;"","")</f>
        <v/>
      </c>
      <c r="I457" t="str">
        <f>IF(H457="","",IF(COUNTIF(H$10:H457,H457)=1,COUNTIF(H$10:H$609,"&lt;"&amp;H457)+1,""))</f>
        <v/>
      </c>
      <c r="J457" t="str">
        <f>IFERROR(INDEX(tblY8[Class],ROWS(J$10:J457))&amp;"","")</f>
        <v/>
      </c>
      <c r="K457" t="str">
        <f>IF(J457="","",IF(COUNTIF(J$10:J457,J457)=1,COUNTIF(J$10:J$609,"&lt;"&amp;J457)+1,""))</f>
        <v/>
      </c>
      <c r="L457" t="str">
        <f>IFERROR(INDEX(tblY9[Class],ROWS(L$10:L457))&amp;"","")</f>
        <v/>
      </c>
      <c r="M457" t="str">
        <f>IF(L457="","",IF(COUNTIF(L$10:L457,L457)=1,COUNTIF(L$10:L$609,"&lt;"&amp;L457)+1,""))</f>
        <v/>
      </c>
      <c r="N457" t="str">
        <f>IFERROR(INDEX(tblY10[Class],ROWS(N$10:N457))&amp;"","")</f>
        <v/>
      </c>
      <c r="O457" t="str">
        <f>IF(N457="","",IF(COUNTIF(N$10:N457,N457)=1,COUNTIF(N$10:N$609,"&lt;"&amp;N457)+1,""))</f>
        <v/>
      </c>
      <c r="P457" t="str">
        <f>IFERROR(INDEX(tblY11[Class],ROWS(P$10:P457))&amp;"","")</f>
        <v/>
      </c>
      <c r="Q457" t="str">
        <f>IF(P457="","",IF(COUNTIF(P$10:P457,P457)=1,COUNTIF(P$10:P$609,"&lt;"&amp;P457)+1,""))</f>
        <v/>
      </c>
      <c r="BA457" t="str">
        <f>IFERROR(INDEX(wLast,388)&amp;"","")</f>
        <v/>
      </c>
      <c r="BB457" t="str">
        <f>IF(BA457="","",IFERROR(INDEX(wFirst,388)&amp;"",""))</f>
        <v/>
      </c>
      <c r="BC457" t="str">
        <f>IF(BA457="","",IFERROR(INDEX(wClass,388)&amp;"",""))</f>
        <v/>
      </c>
      <c r="BD457" t="str">
        <f>IF(BA457="","",IFERROR(INDEX(wKsBand,388)+0,""))</f>
        <v/>
      </c>
      <c r="BE457" t="str">
        <f>IF(BA457="","",IFERROR(INDEX(wTests,388)+0,0))</f>
        <v/>
      </c>
      <c r="BF457" t="str">
        <f>IF(BA457="","",IFERROR(INDEX(wMean,388)+0,""))</f>
        <v/>
      </c>
      <c r="BG457" t="str">
        <f>IF(BA457="","",IFERROR(INDEX(wVs,388)+0,""))</f>
        <v/>
      </c>
      <c r="BH457" t="str">
        <f>IF(OR(BA457="",wLatest=""),"",IFERROR(INDEX(wData,388,MATCH(wLatest&amp;CHAR(10)&amp;"Stanine",wHdr,0))+0,""))</f>
        <v/>
      </c>
      <c r="BI457" t="str">
        <f>IF(BA457="","",IF(AND(ISNUMBER(BG457),N(BE457)&gt;=WlMinTests,BG457&lt;=-WlGap),"Below expected for KS2",IF(AND(NOT(ISNUMBER(BD457)),ISNUMBER(BF457),N(BE457)&gt;=WlMinTests,BF457&lt;=WlLowMean),"Low results, no KS2 data","")))</f>
        <v/>
      </c>
      <c r="BJ457" t="str">
        <f>IF(BI457="","",IF(BI457="Below expected for KS2",BG457,100+BF457)+ROW()/1000000)</f>
        <v/>
      </c>
    </row>
    <row r="458">
      <c r="H458" t="str">
        <f>IFERROR(INDEX(tblY7[Class],ROWS(H$10:H458))&amp;"","")</f>
        <v/>
      </c>
      <c r="I458" t="str">
        <f>IF(H458="","",IF(COUNTIF(H$10:H458,H458)=1,COUNTIF(H$10:H$609,"&lt;"&amp;H458)+1,""))</f>
        <v/>
      </c>
      <c r="J458" t="str">
        <f>IFERROR(INDEX(tblY8[Class],ROWS(J$10:J458))&amp;"","")</f>
        <v/>
      </c>
      <c r="K458" t="str">
        <f>IF(J458="","",IF(COUNTIF(J$10:J458,J458)=1,COUNTIF(J$10:J$609,"&lt;"&amp;J458)+1,""))</f>
        <v/>
      </c>
      <c r="L458" t="str">
        <f>IFERROR(INDEX(tblY9[Class],ROWS(L$10:L458))&amp;"","")</f>
        <v/>
      </c>
      <c r="M458" t="str">
        <f>IF(L458="","",IF(COUNTIF(L$10:L458,L458)=1,COUNTIF(L$10:L$609,"&lt;"&amp;L458)+1,""))</f>
        <v/>
      </c>
      <c r="N458" t="str">
        <f>IFERROR(INDEX(tblY10[Class],ROWS(N$10:N458))&amp;"","")</f>
        <v/>
      </c>
      <c r="O458" t="str">
        <f>IF(N458="","",IF(COUNTIF(N$10:N458,N458)=1,COUNTIF(N$10:N$609,"&lt;"&amp;N458)+1,""))</f>
        <v/>
      </c>
      <c r="P458" t="str">
        <f>IFERROR(INDEX(tblY11[Class],ROWS(P$10:P458))&amp;"","")</f>
        <v/>
      </c>
      <c r="Q458" t="str">
        <f>IF(P458="","",IF(COUNTIF(P$10:P458,P458)=1,COUNTIF(P$10:P$609,"&lt;"&amp;P458)+1,""))</f>
        <v/>
      </c>
      <c r="BA458" t="str">
        <f>IFERROR(INDEX(wLast,389)&amp;"","")</f>
        <v/>
      </c>
      <c r="BB458" t="str">
        <f>IF(BA458="","",IFERROR(INDEX(wFirst,389)&amp;"",""))</f>
        <v/>
      </c>
      <c r="BC458" t="str">
        <f>IF(BA458="","",IFERROR(INDEX(wClass,389)&amp;"",""))</f>
        <v/>
      </c>
      <c r="BD458" t="str">
        <f>IF(BA458="","",IFERROR(INDEX(wKsBand,389)+0,""))</f>
        <v/>
      </c>
      <c r="BE458" t="str">
        <f>IF(BA458="","",IFERROR(INDEX(wTests,389)+0,0))</f>
        <v/>
      </c>
      <c r="BF458" t="str">
        <f>IF(BA458="","",IFERROR(INDEX(wMean,389)+0,""))</f>
        <v/>
      </c>
      <c r="BG458" t="str">
        <f>IF(BA458="","",IFERROR(INDEX(wVs,389)+0,""))</f>
        <v/>
      </c>
      <c r="BH458" t="str">
        <f>IF(OR(BA458="",wLatest=""),"",IFERROR(INDEX(wData,389,MATCH(wLatest&amp;CHAR(10)&amp;"Stanine",wHdr,0))+0,""))</f>
        <v/>
      </c>
      <c r="BI458" t="str">
        <f>IF(BA458="","",IF(AND(ISNUMBER(BG458),N(BE458)&gt;=WlMinTests,BG458&lt;=-WlGap),"Below expected for KS2",IF(AND(NOT(ISNUMBER(BD458)),ISNUMBER(BF458),N(BE458)&gt;=WlMinTests,BF458&lt;=WlLowMean),"Low results, no KS2 data","")))</f>
        <v/>
      </c>
      <c r="BJ458" t="str">
        <f>IF(BI458="","",IF(BI458="Below expected for KS2",BG458,100+BF458)+ROW()/1000000)</f>
        <v/>
      </c>
    </row>
    <row r="459">
      <c r="H459" t="str">
        <f>IFERROR(INDEX(tblY7[Class],ROWS(H$10:H459))&amp;"","")</f>
        <v/>
      </c>
      <c r="I459" t="str">
        <f>IF(H459="","",IF(COUNTIF(H$10:H459,H459)=1,COUNTIF(H$10:H$609,"&lt;"&amp;H459)+1,""))</f>
        <v/>
      </c>
      <c r="J459" t="str">
        <f>IFERROR(INDEX(tblY8[Class],ROWS(J$10:J459))&amp;"","")</f>
        <v/>
      </c>
      <c r="K459" t="str">
        <f>IF(J459="","",IF(COUNTIF(J$10:J459,J459)=1,COUNTIF(J$10:J$609,"&lt;"&amp;J459)+1,""))</f>
        <v/>
      </c>
      <c r="L459" t="str">
        <f>IFERROR(INDEX(tblY9[Class],ROWS(L$10:L459))&amp;"","")</f>
        <v/>
      </c>
      <c r="M459" t="str">
        <f>IF(L459="","",IF(COUNTIF(L$10:L459,L459)=1,COUNTIF(L$10:L$609,"&lt;"&amp;L459)+1,""))</f>
        <v/>
      </c>
      <c r="N459" t="str">
        <f>IFERROR(INDEX(tblY10[Class],ROWS(N$10:N459))&amp;"","")</f>
        <v/>
      </c>
      <c r="O459" t="str">
        <f>IF(N459="","",IF(COUNTIF(N$10:N459,N459)=1,COUNTIF(N$10:N$609,"&lt;"&amp;N459)+1,""))</f>
        <v/>
      </c>
      <c r="P459" t="str">
        <f>IFERROR(INDEX(tblY11[Class],ROWS(P$10:P459))&amp;"","")</f>
        <v/>
      </c>
      <c r="Q459" t="str">
        <f>IF(P459="","",IF(COUNTIF(P$10:P459,P459)=1,COUNTIF(P$10:P$609,"&lt;"&amp;P459)+1,""))</f>
        <v/>
      </c>
      <c r="BA459" t="str">
        <f>IFERROR(INDEX(wLast,390)&amp;"","")</f>
        <v/>
      </c>
      <c r="BB459" t="str">
        <f>IF(BA459="","",IFERROR(INDEX(wFirst,390)&amp;"",""))</f>
        <v/>
      </c>
      <c r="BC459" t="str">
        <f>IF(BA459="","",IFERROR(INDEX(wClass,390)&amp;"",""))</f>
        <v/>
      </c>
      <c r="BD459" t="str">
        <f>IF(BA459="","",IFERROR(INDEX(wKsBand,390)+0,""))</f>
        <v/>
      </c>
      <c r="BE459" t="str">
        <f>IF(BA459="","",IFERROR(INDEX(wTests,390)+0,0))</f>
        <v/>
      </c>
      <c r="BF459" t="str">
        <f>IF(BA459="","",IFERROR(INDEX(wMean,390)+0,""))</f>
        <v/>
      </c>
      <c r="BG459" t="str">
        <f>IF(BA459="","",IFERROR(INDEX(wVs,390)+0,""))</f>
        <v/>
      </c>
      <c r="BH459" t="str">
        <f>IF(OR(BA459="",wLatest=""),"",IFERROR(INDEX(wData,390,MATCH(wLatest&amp;CHAR(10)&amp;"Stanine",wHdr,0))+0,""))</f>
        <v/>
      </c>
      <c r="BI459" t="str">
        <f>IF(BA459="","",IF(AND(ISNUMBER(BG459),N(BE459)&gt;=WlMinTests,BG459&lt;=-WlGap),"Below expected for KS2",IF(AND(NOT(ISNUMBER(BD459)),ISNUMBER(BF459),N(BE459)&gt;=WlMinTests,BF459&lt;=WlLowMean),"Low results, no KS2 data","")))</f>
        <v/>
      </c>
      <c r="BJ459" t="str">
        <f>IF(BI459="","",IF(BI459="Below expected for KS2",BG459,100+BF459)+ROW()/1000000)</f>
        <v/>
      </c>
    </row>
    <row r="460">
      <c r="H460" t="str">
        <f>IFERROR(INDEX(tblY7[Class],ROWS(H$10:H460))&amp;"","")</f>
        <v/>
      </c>
      <c r="I460" t="str">
        <f>IF(H460="","",IF(COUNTIF(H$10:H460,H460)=1,COUNTIF(H$10:H$609,"&lt;"&amp;H460)+1,""))</f>
        <v/>
      </c>
      <c r="J460" t="str">
        <f>IFERROR(INDEX(tblY8[Class],ROWS(J$10:J460))&amp;"","")</f>
        <v/>
      </c>
      <c r="K460" t="str">
        <f>IF(J460="","",IF(COUNTIF(J$10:J460,J460)=1,COUNTIF(J$10:J$609,"&lt;"&amp;J460)+1,""))</f>
        <v/>
      </c>
      <c r="L460" t="str">
        <f>IFERROR(INDEX(tblY9[Class],ROWS(L$10:L460))&amp;"","")</f>
        <v/>
      </c>
      <c r="M460" t="str">
        <f>IF(L460="","",IF(COUNTIF(L$10:L460,L460)=1,COUNTIF(L$10:L$609,"&lt;"&amp;L460)+1,""))</f>
        <v/>
      </c>
      <c r="N460" t="str">
        <f>IFERROR(INDEX(tblY10[Class],ROWS(N$10:N460))&amp;"","")</f>
        <v/>
      </c>
      <c r="O460" t="str">
        <f>IF(N460="","",IF(COUNTIF(N$10:N460,N460)=1,COUNTIF(N$10:N$609,"&lt;"&amp;N460)+1,""))</f>
        <v/>
      </c>
      <c r="P460" t="str">
        <f>IFERROR(INDEX(tblY11[Class],ROWS(P$10:P460))&amp;"","")</f>
        <v/>
      </c>
      <c r="Q460" t="str">
        <f>IF(P460="","",IF(COUNTIF(P$10:P460,P460)=1,COUNTIF(P$10:P$609,"&lt;"&amp;P460)+1,""))</f>
        <v/>
      </c>
      <c r="BA460" t="str">
        <f>IFERROR(INDEX(wLast,391)&amp;"","")</f>
        <v/>
      </c>
      <c r="BB460" t="str">
        <f>IF(BA460="","",IFERROR(INDEX(wFirst,391)&amp;"",""))</f>
        <v/>
      </c>
      <c r="BC460" t="str">
        <f>IF(BA460="","",IFERROR(INDEX(wClass,391)&amp;"",""))</f>
        <v/>
      </c>
      <c r="BD460" t="str">
        <f>IF(BA460="","",IFERROR(INDEX(wKsBand,391)+0,""))</f>
        <v/>
      </c>
      <c r="BE460" t="str">
        <f>IF(BA460="","",IFERROR(INDEX(wTests,391)+0,0))</f>
        <v/>
      </c>
      <c r="BF460" t="str">
        <f>IF(BA460="","",IFERROR(INDEX(wMean,391)+0,""))</f>
        <v/>
      </c>
      <c r="BG460" t="str">
        <f>IF(BA460="","",IFERROR(INDEX(wVs,391)+0,""))</f>
        <v/>
      </c>
      <c r="BH460" t="str">
        <f>IF(OR(BA460="",wLatest=""),"",IFERROR(INDEX(wData,391,MATCH(wLatest&amp;CHAR(10)&amp;"Stanine",wHdr,0))+0,""))</f>
        <v/>
      </c>
      <c r="BI460" t="str">
        <f>IF(BA460="","",IF(AND(ISNUMBER(BG460),N(BE460)&gt;=WlMinTests,BG460&lt;=-WlGap),"Below expected for KS2",IF(AND(NOT(ISNUMBER(BD460)),ISNUMBER(BF460),N(BE460)&gt;=WlMinTests,BF460&lt;=WlLowMean),"Low results, no KS2 data","")))</f>
        <v/>
      </c>
      <c r="BJ460" t="str">
        <f>IF(BI460="","",IF(BI460="Below expected for KS2",BG460,100+BF460)+ROW()/1000000)</f>
        <v/>
      </c>
    </row>
    <row r="461">
      <c r="H461" t="str">
        <f>IFERROR(INDEX(tblY7[Class],ROWS(H$10:H461))&amp;"","")</f>
        <v/>
      </c>
      <c r="I461" t="str">
        <f>IF(H461="","",IF(COUNTIF(H$10:H461,H461)=1,COUNTIF(H$10:H$609,"&lt;"&amp;H461)+1,""))</f>
        <v/>
      </c>
      <c r="J461" t="str">
        <f>IFERROR(INDEX(tblY8[Class],ROWS(J$10:J461))&amp;"","")</f>
        <v/>
      </c>
      <c r="K461" t="str">
        <f>IF(J461="","",IF(COUNTIF(J$10:J461,J461)=1,COUNTIF(J$10:J$609,"&lt;"&amp;J461)+1,""))</f>
        <v/>
      </c>
      <c r="L461" t="str">
        <f>IFERROR(INDEX(tblY9[Class],ROWS(L$10:L461))&amp;"","")</f>
        <v/>
      </c>
      <c r="M461" t="str">
        <f>IF(L461="","",IF(COUNTIF(L$10:L461,L461)=1,COUNTIF(L$10:L$609,"&lt;"&amp;L461)+1,""))</f>
        <v/>
      </c>
      <c r="N461" t="str">
        <f>IFERROR(INDEX(tblY10[Class],ROWS(N$10:N461))&amp;"","")</f>
        <v/>
      </c>
      <c r="O461" t="str">
        <f>IF(N461="","",IF(COUNTIF(N$10:N461,N461)=1,COUNTIF(N$10:N$609,"&lt;"&amp;N461)+1,""))</f>
        <v/>
      </c>
      <c r="P461" t="str">
        <f>IFERROR(INDEX(tblY11[Class],ROWS(P$10:P461))&amp;"","")</f>
        <v/>
      </c>
      <c r="Q461" t="str">
        <f>IF(P461="","",IF(COUNTIF(P$10:P461,P461)=1,COUNTIF(P$10:P$609,"&lt;"&amp;P461)+1,""))</f>
        <v/>
      </c>
      <c r="BA461" t="str">
        <f>IFERROR(INDEX(wLast,392)&amp;"","")</f>
        <v/>
      </c>
      <c r="BB461" t="str">
        <f>IF(BA461="","",IFERROR(INDEX(wFirst,392)&amp;"",""))</f>
        <v/>
      </c>
      <c r="BC461" t="str">
        <f>IF(BA461="","",IFERROR(INDEX(wClass,392)&amp;"",""))</f>
        <v/>
      </c>
      <c r="BD461" t="str">
        <f>IF(BA461="","",IFERROR(INDEX(wKsBand,392)+0,""))</f>
        <v/>
      </c>
      <c r="BE461" t="str">
        <f>IF(BA461="","",IFERROR(INDEX(wTests,392)+0,0))</f>
        <v/>
      </c>
      <c r="BF461" t="str">
        <f>IF(BA461="","",IFERROR(INDEX(wMean,392)+0,""))</f>
        <v/>
      </c>
      <c r="BG461" t="str">
        <f>IF(BA461="","",IFERROR(INDEX(wVs,392)+0,""))</f>
        <v/>
      </c>
      <c r="BH461" t="str">
        <f>IF(OR(BA461="",wLatest=""),"",IFERROR(INDEX(wData,392,MATCH(wLatest&amp;CHAR(10)&amp;"Stanine",wHdr,0))+0,""))</f>
        <v/>
      </c>
      <c r="BI461" t="str">
        <f>IF(BA461="","",IF(AND(ISNUMBER(BG461),N(BE461)&gt;=WlMinTests,BG461&lt;=-WlGap),"Below expected for KS2",IF(AND(NOT(ISNUMBER(BD461)),ISNUMBER(BF461),N(BE461)&gt;=WlMinTests,BF461&lt;=WlLowMean),"Low results, no KS2 data","")))</f>
        <v/>
      </c>
      <c r="BJ461" t="str">
        <f>IF(BI461="","",IF(BI461="Below expected for KS2",BG461,100+BF461)+ROW()/1000000)</f>
        <v/>
      </c>
    </row>
    <row r="462">
      <c r="H462" t="str">
        <f>IFERROR(INDEX(tblY7[Class],ROWS(H$10:H462))&amp;"","")</f>
        <v/>
      </c>
      <c r="I462" t="str">
        <f>IF(H462="","",IF(COUNTIF(H$10:H462,H462)=1,COUNTIF(H$10:H$609,"&lt;"&amp;H462)+1,""))</f>
        <v/>
      </c>
      <c r="J462" t="str">
        <f>IFERROR(INDEX(tblY8[Class],ROWS(J$10:J462))&amp;"","")</f>
        <v/>
      </c>
      <c r="K462" t="str">
        <f>IF(J462="","",IF(COUNTIF(J$10:J462,J462)=1,COUNTIF(J$10:J$609,"&lt;"&amp;J462)+1,""))</f>
        <v/>
      </c>
      <c r="L462" t="str">
        <f>IFERROR(INDEX(tblY9[Class],ROWS(L$10:L462))&amp;"","")</f>
        <v/>
      </c>
      <c r="M462" t="str">
        <f>IF(L462="","",IF(COUNTIF(L$10:L462,L462)=1,COUNTIF(L$10:L$609,"&lt;"&amp;L462)+1,""))</f>
        <v/>
      </c>
      <c r="N462" t="str">
        <f>IFERROR(INDEX(tblY10[Class],ROWS(N$10:N462))&amp;"","")</f>
        <v/>
      </c>
      <c r="O462" t="str">
        <f>IF(N462="","",IF(COUNTIF(N$10:N462,N462)=1,COUNTIF(N$10:N$609,"&lt;"&amp;N462)+1,""))</f>
        <v/>
      </c>
      <c r="P462" t="str">
        <f>IFERROR(INDEX(tblY11[Class],ROWS(P$10:P462))&amp;"","")</f>
        <v/>
      </c>
      <c r="Q462" t="str">
        <f>IF(P462="","",IF(COUNTIF(P$10:P462,P462)=1,COUNTIF(P$10:P$609,"&lt;"&amp;P462)+1,""))</f>
        <v/>
      </c>
      <c r="BA462" t="str">
        <f>IFERROR(INDEX(wLast,393)&amp;"","")</f>
        <v/>
      </c>
      <c r="BB462" t="str">
        <f>IF(BA462="","",IFERROR(INDEX(wFirst,393)&amp;"",""))</f>
        <v/>
      </c>
      <c r="BC462" t="str">
        <f>IF(BA462="","",IFERROR(INDEX(wClass,393)&amp;"",""))</f>
        <v/>
      </c>
      <c r="BD462" t="str">
        <f>IF(BA462="","",IFERROR(INDEX(wKsBand,393)+0,""))</f>
        <v/>
      </c>
      <c r="BE462" t="str">
        <f>IF(BA462="","",IFERROR(INDEX(wTests,393)+0,0))</f>
        <v/>
      </c>
      <c r="BF462" t="str">
        <f>IF(BA462="","",IFERROR(INDEX(wMean,393)+0,""))</f>
        <v/>
      </c>
      <c r="BG462" t="str">
        <f>IF(BA462="","",IFERROR(INDEX(wVs,393)+0,""))</f>
        <v/>
      </c>
      <c r="BH462" t="str">
        <f>IF(OR(BA462="",wLatest=""),"",IFERROR(INDEX(wData,393,MATCH(wLatest&amp;CHAR(10)&amp;"Stanine",wHdr,0))+0,""))</f>
        <v/>
      </c>
      <c r="BI462" t="str">
        <f>IF(BA462="","",IF(AND(ISNUMBER(BG462),N(BE462)&gt;=WlMinTests,BG462&lt;=-WlGap),"Below expected for KS2",IF(AND(NOT(ISNUMBER(BD462)),ISNUMBER(BF462),N(BE462)&gt;=WlMinTests,BF462&lt;=WlLowMean),"Low results, no KS2 data","")))</f>
        <v/>
      </c>
      <c r="BJ462" t="str">
        <f>IF(BI462="","",IF(BI462="Below expected for KS2",BG462,100+BF462)+ROW()/1000000)</f>
        <v/>
      </c>
    </row>
    <row r="463">
      <c r="H463" t="str">
        <f>IFERROR(INDEX(tblY7[Class],ROWS(H$10:H463))&amp;"","")</f>
        <v/>
      </c>
      <c r="I463" t="str">
        <f>IF(H463="","",IF(COUNTIF(H$10:H463,H463)=1,COUNTIF(H$10:H$609,"&lt;"&amp;H463)+1,""))</f>
        <v/>
      </c>
      <c r="J463" t="str">
        <f>IFERROR(INDEX(tblY8[Class],ROWS(J$10:J463))&amp;"","")</f>
        <v/>
      </c>
      <c r="K463" t="str">
        <f>IF(J463="","",IF(COUNTIF(J$10:J463,J463)=1,COUNTIF(J$10:J$609,"&lt;"&amp;J463)+1,""))</f>
        <v/>
      </c>
      <c r="L463" t="str">
        <f>IFERROR(INDEX(tblY9[Class],ROWS(L$10:L463))&amp;"","")</f>
        <v/>
      </c>
      <c r="M463" t="str">
        <f>IF(L463="","",IF(COUNTIF(L$10:L463,L463)=1,COUNTIF(L$10:L$609,"&lt;"&amp;L463)+1,""))</f>
        <v/>
      </c>
      <c r="N463" t="str">
        <f>IFERROR(INDEX(tblY10[Class],ROWS(N$10:N463))&amp;"","")</f>
        <v/>
      </c>
      <c r="O463" t="str">
        <f>IF(N463="","",IF(COUNTIF(N$10:N463,N463)=1,COUNTIF(N$10:N$609,"&lt;"&amp;N463)+1,""))</f>
        <v/>
      </c>
      <c r="P463" t="str">
        <f>IFERROR(INDEX(tblY11[Class],ROWS(P$10:P463))&amp;"","")</f>
        <v/>
      </c>
      <c r="Q463" t="str">
        <f>IF(P463="","",IF(COUNTIF(P$10:P463,P463)=1,COUNTIF(P$10:P$609,"&lt;"&amp;P463)+1,""))</f>
        <v/>
      </c>
      <c r="BA463" t="str">
        <f>IFERROR(INDEX(wLast,394)&amp;"","")</f>
        <v/>
      </c>
      <c r="BB463" t="str">
        <f>IF(BA463="","",IFERROR(INDEX(wFirst,394)&amp;"",""))</f>
        <v/>
      </c>
      <c r="BC463" t="str">
        <f>IF(BA463="","",IFERROR(INDEX(wClass,394)&amp;"",""))</f>
        <v/>
      </c>
      <c r="BD463" t="str">
        <f>IF(BA463="","",IFERROR(INDEX(wKsBand,394)+0,""))</f>
        <v/>
      </c>
      <c r="BE463" t="str">
        <f>IF(BA463="","",IFERROR(INDEX(wTests,394)+0,0))</f>
        <v/>
      </c>
      <c r="BF463" t="str">
        <f>IF(BA463="","",IFERROR(INDEX(wMean,394)+0,""))</f>
        <v/>
      </c>
      <c r="BG463" t="str">
        <f>IF(BA463="","",IFERROR(INDEX(wVs,394)+0,""))</f>
        <v/>
      </c>
      <c r="BH463" t="str">
        <f>IF(OR(BA463="",wLatest=""),"",IFERROR(INDEX(wData,394,MATCH(wLatest&amp;CHAR(10)&amp;"Stanine",wHdr,0))+0,""))</f>
        <v/>
      </c>
      <c r="BI463" t="str">
        <f>IF(BA463="","",IF(AND(ISNUMBER(BG463),N(BE463)&gt;=WlMinTests,BG463&lt;=-WlGap),"Below expected for KS2",IF(AND(NOT(ISNUMBER(BD463)),ISNUMBER(BF463),N(BE463)&gt;=WlMinTests,BF463&lt;=WlLowMean),"Low results, no KS2 data","")))</f>
        <v/>
      </c>
      <c r="BJ463" t="str">
        <f>IF(BI463="","",IF(BI463="Below expected for KS2",BG463,100+BF463)+ROW()/1000000)</f>
        <v/>
      </c>
    </row>
    <row r="464">
      <c r="H464" t="str">
        <f>IFERROR(INDEX(tblY7[Class],ROWS(H$10:H464))&amp;"","")</f>
        <v/>
      </c>
      <c r="I464" t="str">
        <f>IF(H464="","",IF(COUNTIF(H$10:H464,H464)=1,COUNTIF(H$10:H$609,"&lt;"&amp;H464)+1,""))</f>
        <v/>
      </c>
      <c r="J464" t="str">
        <f>IFERROR(INDEX(tblY8[Class],ROWS(J$10:J464))&amp;"","")</f>
        <v/>
      </c>
      <c r="K464" t="str">
        <f>IF(J464="","",IF(COUNTIF(J$10:J464,J464)=1,COUNTIF(J$10:J$609,"&lt;"&amp;J464)+1,""))</f>
        <v/>
      </c>
      <c r="L464" t="str">
        <f>IFERROR(INDEX(tblY9[Class],ROWS(L$10:L464))&amp;"","")</f>
        <v/>
      </c>
      <c r="M464" t="str">
        <f>IF(L464="","",IF(COUNTIF(L$10:L464,L464)=1,COUNTIF(L$10:L$609,"&lt;"&amp;L464)+1,""))</f>
        <v/>
      </c>
      <c r="N464" t="str">
        <f>IFERROR(INDEX(tblY10[Class],ROWS(N$10:N464))&amp;"","")</f>
        <v/>
      </c>
      <c r="O464" t="str">
        <f>IF(N464="","",IF(COUNTIF(N$10:N464,N464)=1,COUNTIF(N$10:N$609,"&lt;"&amp;N464)+1,""))</f>
        <v/>
      </c>
      <c r="P464" t="str">
        <f>IFERROR(INDEX(tblY11[Class],ROWS(P$10:P464))&amp;"","")</f>
        <v/>
      </c>
      <c r="Q464" t="str">
        <f>IF(P464="","",IF(COUNTIF(P$10:P464,P464)=1,COUNTIF(P$10:P$609,"&lt;"&amp;P464)+1,""))</f>
        <v/>
      </c>
      <c r="BA464" t="str">
        <f>IFERROR(INDEX(wLast,395)&amp;"","")</f>
        <v/>
      </c>
      <c r="BB464" t="str">
        <f>IF(BA464="","",IFERROR(INDEX(wFirst,395)&amp;"",""))</f>
        <v/>
      </c>
      <c r="BC464" t="str">
        <f>IF(BA464="","",IFERROR(INDEX(wClass,395)&amp;"",""))</f>
        <v/>
      </c>
      <c r="BD464" t="str">
        <f>IF(BA464="","",IFERROR(INDEX(wKsBand,395)+0,""))</f>
        <v/>
      </c>
      <c r="BE464" t="str">
        <f>IF(BA464="","",IFERROR(INDEX(wTests,395)+0,0))</f>
        <v/>
      </c>
      <c r="BF464" t="str">
        <f>IF(BA464="","",IFERROR(INDEX(wMean,395)+0,""))</f>
        <v/>
      </c>
      <c r="BG464" t="str">
        <f>IF(BA464="","",IFERROR(INDEX(wVs,395)+0,""))</f>
        <v/>
      </c>
      <c r="BH464" t="str">
        <f>IF(OR(BA464="",wLatest=""),"",IFERROR(INDEX(wData,395,MATCH(wLatest&amp;CHAR(10)&amp;"Stanine",wHdr,0))+0,""))</f>
        <v/>
      </c>
      <c r="BI464" t="str">
        <f>IF(BA464="","",IF(AND(ISNUMBER(BG464),N(BE464)&gt;=WlMinTests,BG464&lt;=-WlGap),"Below expected for KS2",IF(AND(NOT(ISNUMBER(BD464)),ISNUMBER(BF464),N(BE464)&gt;=WlMinTests,BF464&lt;=WlLowMean),"Low results, no KS2 data","")))</f>
        <v/>
      </c>
      <c r="BJ464" t="str">
        <f>IF(BI464="","",IF(BI464="Below expected for KS2",BG464,100+BF464)+ROW()/1000000)</f>
        <v/>
      </c>
    </row>
    <row r="465">
      <c r="H465" t="str">
        <f>IFERROR(INDEX(tblY7[Class],ROWS(H$10:H465))&amp;"","")</f>
        <v/>
      </c>
      <c r="I465" t="str">
        <f>IF(H465="","",IF(COUNTIF(H$10:H465,H465)=1,COUNTIF(H$10:H$609,"&lt;"&amp;H465)+1,""))</f>
        <v/>
      </c>
      <c r="J465" t="str">
        <f>IFERROR(INDEX(tblY8[Class],ROWS(J$10:J465))&amp;"","")</f>
        <v/>
      </c>
      <c r="K465" t="str">
        <f>IF(J465="","",IF(COUNTIF(J$10:J465,J465)=1,COUNTIF(J$10:J$609,"&lt;"&amp;J465)+1,""))</f>
        <v/>
      </c>
      <c r="L465" t="str">
        <f>IFERROR(INDEX(tblY9[Class],ROWS(L$10:L465))&amp;"","")</f>
        <v/>
      </c>
      <c r="M465" t="str">
        <f>IF(L465="","",IF(COUNTIF(L$10:L465,L465)=1,COUNTIF(L$10:L$609,"&lt;"&amp;L465)+1,""))</f>
        <v/>
      </c>
      <c r="N465" t="str">
        <f>IFERROR(INDEX(tblY10[Class],ROWS(N$10:N465))&amp;"","")</f>
        <v/>
      </c>
      <c r="O465" t="str">
        <f>IF(N465="","",IF(COUNTIF(N$10:N465,N465)=1,COUNTIF(N$10:N$609,"&lt;"&amp;N465)+1,""))</f>
        <v/>
      </c>
      <c r="P465" t="str">
        <f>IFERROR(INDEX(tblY11[Class],ROWS(P$10:P465))&amp;"","")</f>
        <v/>
      </c>
      <c r="Q465" t="str">
        <f>IF(P465="","",IF(COUNTIF(P$10:P465,P465)=1,COUNTIF(P$10:P$609,"&lt;"&amp;P465)+1,""))</f>
        <v/>
      </c>
      <c r="BA465" t="str">
        <f>IFERROR(INDEX(wLast,396)&amp;"","")</f>
        <v/>
      </c>
      <c r="BB465" t="str">
        <f>IF(BA465="","",IFERROR(INDEX(wFirst,396)&amp;"",""))</f>
        <v/>
      </c>
      <c r="BC465" t="str">
        <f>IF(BA465="","",IFERROR(INDEX(wClass,396)&amp;"",""))</f>
        <v/>
      </c>
      <c r="BD465" t="str">
        <f>IF(BA465="","",IFERROR(INDEX(wKsBand,396)+0,""))</f>
        <v/>
      </c>
      <c r="BE465" t="str">
        <f>IF(BA465="","",IFERROR(INDEX(wTests,396)+0,0))</f>
        <v/>
      </c>
      <c r="BF465" t="str">
        <f>IF(BA465="","",IFERROR(INDEX(wMean,396)+0,""))</f>
        <v/>
      </c>
      <c r="BG465" t="str">
        <f>IF(BA465="","",IFERROR(INDEX(wVs,396)+0,""))</f>
        <v/>
      </c>
      <c r="BH465" t="str">
        <f>IF(OR(BA465="",wLatest=""),"",IFERROR(INDEX(wData,396,MATCH(wLatest&amp;CHAR(10)&amp;"Stanine",wHdr,0))+0,""))</f>
        <v/>
      </c>
      <c r="BI465" t="str">
        <f>IF(BA465="","",IF(AND(ISNUMBER(BG465),N(BE465)&gt;=WlMinTests,BG465&lt;=-WlGap),"Below expected for KS2",IF(AND(NOT(ISNUMBER(BD465)),ISNUMBER(BF465),N(BE465)&gt;=WlMinTests,BF465&lt;=WlLowMean),"Low results, no KS2 data","")))</f>
        <v/>
      </c>
      <c r="BJ465" t="str">
        <f>IF(BI465="","",IF(BI465="Below expected for KS2",BG465,100+BF465)+ROW()/1000000)</f>
        <v/>
      </c>
    </row>
    <row r="466">
      <c r="H466" t="str">
        <f>IFERROR(INDEX(tblY7[Class],ROWS(H$10:H466))&amp;"","")</f>
        <v/>
      </c>
      <c r="I466" t="str">
        <f>IF(H466="","",IF(COUNTIF(H$10:H466,H466)=1,COUNTIF(H$10:H$609,"&lt;"&amp;H466)+1,""))</f>
        <v/>
      </c>
      <c r="J466" t="str">
        <f>IFERROR(INDEX(tblY8[Class],ROWS(J$10:J466))&amp;"","")</f>
        <v/>
      </c>
      <c r="K466" t="str">
        <f>IF(J466="","",IF(COUNTIF(J$10:J466,J466)=1,COUNTIF(J$10:J$609,"&lt;"&amp;J466)+1,""))</f>
        <v/>
      </c>
      <c r="L466" t="str">
        <f>IFERROR(INDEX(tblY9[Class],ROWS(L$10:L466))&amp;"","")</f>
        <v/>
      </c>
      <c r="M466" t="str">
        <f>IF(L466="","",IF(COUNTIF(L$10:L466,L466)=1,COUNTIF(L$10:L$609,"&lt;"&amp;L466)+1,""))</f>
        <v/>
      </c>
      <c r="N466" t="str">
        <f>IFERROR(INDEX(tblY10[Class],ROWS(N$10:N466))&amp;"","")</f>
        <v/>
      </c>
      <c r="O466" t="str">
        <f>IF(N466="","",IF(COUNTIF(N$10:N466,N466)=1,COUNTIF(N$10:N$609,"&lt;"&amp;N466)+1,""))</f>
        <v/>
      </c>
      <c r="P466" t="str">
        <f>IFERROR(INDEX(tblY11[Class],ROWS(P$10:P466))&amp;"","")</f>
        <v/>
      </c>
      <c r="Q466" t="str">
        <f>IF(P466="","",IF(COUNTIF(P$10:P466,P466)=1,COUNTIF(P$10:P$609,"&lt;"&amp;P466)+1,""))</f>
        <v/>
      </c>
      <c r="BA466" t="str">
        <f>IFERROR(INDEX(wLast,397)&amp;"","")</f>
        <v/>
      </c>
      <c r="BB466" t="str">
        <f>IF(BA466="","",IFERROR(INDEX(wFirst,397)&amp;"",""))</f>
        <v/>
      </c>
      <c r="BC466" t="str">
        <f>IF(BA466="","",IFERROR(INDEX(wClass,397)&amp;"",""))</f>
        <v/>
      </c>
      <c r="BD466" t="str">
        <f>IF(BA466="","",IFERROR(INDEX(wKsBand,397)+0,""))</f>
        <v/>
      </c>
      <c r="BE466" t="str">
        <f>IF(BA466="","",IFERROR(INDEX(wTests,397)+0,0))</f>
        <v/>
      </c>
      <c r="BF466" t="str">
        <f>IF(BA466="","",IFERROR(INDEX(wMean,397)+0,""))</f>
        <v/>
      </c>
      <c r="BG466" t="str">
        <f>IF(BA466="","",IFERROR(INDEX(wVs,397)+0,""))</f>
        <v/>
      </c>
      <c r="BH466" t="str">
        <f>IF(OR(BA466="",wLatest=""),"",IFERROR(INDEX(wData,397,MATCH(wLatest&amp;CHAR(10)&amp;"Stanine",wHdr,0))+0,""))</f>
        <v/>
      </c>
      <c r="BI466" t="str">
        <f>IF(BA466="","",IF(AND(ISNUMBER(BG466),N(BE466)&gt;=WlMinTests,BG466&lt;=-WlGap),"Below expected for KS2",IF(AND(NOT(ISNUMBER(BD466)),ISNUMBER(BF466),N(BE466)&gt;=WlMinTests,BF466&lt;=WlLowMean),"Low results, no KS2 data","")))</f>
        <v/>
      </c>
      <c r="BJ466" t="str">
        <f>IF(BI466="","",IF(BI466="Below expected for KS2",BG466,100+BF466)+ROW()/1000000)</f>
        <v/>
      </c>
    </row>
    <row r="467">
      <c r="H467" t="str">
        <f>IFERROR(INDEX(tblY7[Class],ROWS(H$10:H467))&amp;"","")</f>
        <v/>
      </c>
      <c r="I467" t="str">
        <f>IF(H467="","",IF(COUNTIF(H$10:H467,H467)=1,COUNTIF(H$10:H$609,"&lt;"&amp;H467)+1,""))</f>
        <v/>
      </c>
      <c r="J467" t="str">
        <f>IFERROR(INDEX(tblY8[Class],ROWS(J$10:J467))&amp;"","")</f>
        <v/>
      </c>
      <c r="K467" t="str">
        <f>IF(J467="","",IF(COUNTIF(J$10:J467,J467)=1,COUNTIF(J$10:J$609,"&lt;"&amp;J467)+1,""))</f>
        <v/>
      </c>
      <c r="L467" t="str">
        <f>IFERROR(INDEX(tblY9[Class],ROWS(L$10:L467))&amp;"","")</f>
        <v/>
      </c>
      <c r="M467" t="str">
        <f>IF(L467="","",IF(COUNTIF(L$10:L467,L467)=1,COUNTIF(L$10:L$609,"&lt;"&amp;L467)+1,""))</f>
        <v/>
      </c>
      <c r="N467" t="str">
        <f>IFERROR(INDEX(tblY10[Class],ROWS(N$10:N467))&amp;"","")</f>
        <v/>
      </c>
      <c r="O467" t="str">
        <f>IF(N467="","",IF(COUNTIF(N$10:N467,N467)=1,COUNTIF(N$10:N$609,"&lt;"&amp;N467)+1,""))</f>
        <v/>
      </c>
      <c r="P467" t="str">
        <f>IFERROR(INDEX(tblY11[Class],ROWS(P$10:P467))&amp;"","")</f>
        <v/>
      </c>
      <c r="Q467" t="str">
        <f>IF(P467="","",IF(COUNTIF(P$10:P467,P467)=1,COUNTIF(P$10:P$609,"&lt;"&amp;P467)+1,""))</f>
        <v/>
      </c>
      <c r="BA467" t="str">
        <f>IFERROR(INDEX(wLast,398)&amp;"","")</f>
        <v/>
      </c>
      <c r="BB467" t="str">
        <f>IF(BA467="","",IFERROR(INDEX(wFirst,398)&amp;"",""))</f>
        <v/>
      </c>
      <c r="BC467" t="str">
        <f>IF(BA467="","",IFERROR(INDEX(wClass,398)&amp;"",""))</f>
        <v/>
      </c>
      <c r="BD467" t="str">
        <f>IF(BA467="","",IFERROR(INDEX(wKsBand,398)+0,""))</f>
        <v/>
      </c>
      <c r="BE467" t="str">
        <f>IF(BA467="","",IFERROR(INDEX(wTests,398)+0,0))</f>
        <v/>
      </c>
      <c r="BF467" t="str">
        <f>IF(BA467="","",IFERROR(INDEX(wMean,398)+0,""))</f>
        <v/>
      </c>
      <c r="BG467" t="str">
        <f>IF(BA467="","",IFERROR(INDEX(wVs,398)+0,""))</f>
        <v/>
      </c>
      <c r="BH467" t="str">
        <f>IF(OR(BA467="",wLatest=""),"",IFERROR(INDEX(wData,398,MATCH(wLatest&amp;CHAR(10)&amp;"Stanine",wHdr,0))+0,""))</f>
        <v/>
      </c>
      <c r="BI467" t="str">
        <f>IF(BA467="","",IF(AND(ISNUMBER(BG467),N(BE467)&gt;=WlMinTests,BG467&lt;=-WlGap),"Below expected for KS2",IF(AND(NOT(ISNUMBER(BD467)),ISNUMBER(BF467),N(BE467)&gt;=WlMinTests,BF467&lt;=WlLowMean),"Low results, no KS2 data","")))</f>
        <v/>
      </c>
      <c r="BJ467" t="str">
        <f>IF(BI467="","",IF(BI467="Below expected for KS2",BG467,100+BF467)+ROW()/1000000)</f>
        <v/>
      </c>
    </row>
    <row r="468">
      <c r="H468" t="str">
        <f>IFERROR(INDEX(tblY7[Class],ROWS(H$10:H468))&amp;"","")</f>
        <v/>
      </c>
      <c r="I468" t="str">
        <f>IF(H468="","",IF(COUNTIF(H$10:H468,H468)=1,COUNTIF(H$10:H$609,"&lt;"&amp;H468)+1,""))</f>
        <v/>
      </c>
      <c r="J468" t="str">
        <f>IFERROR(INDEX(tblY8[Class],ROWS(J$10:J468))&amp;"","")</f>
        <v/>
      </c>
      <c r="K468" t="str">
        <f>IF(J468="","",IF(COUNTIF(J$10:J468,J468)=1,COUNTIF(J$10:J$609,"&lt;"&amp;J468)+1,""))</f>
        <v/>
      </c>
      <c r="L468" t="str">
        <f>IFERROR(INDEX(tblY9[Class],ROWS(L$10:L468))&amp;"","")</f>
        <v/>
      </c>
      <c r="M468" t="str">
        <f>IF(L468="","",IF(COUNTIF(L$10:L468,L468)=1,COUNTIF(L$10:L$609,"&lt;"&amp;L468)+1,""))</f>
        <v/>
      </c>
      <c r="N468" t="str">
        <f>IFERROR(INDEX(tblY10[Class],ROWS(N$10:N468))&amp;"","")</f>
        <v/>
      </c>
      <c r="O468" t="str">
        <f>IF(N468="","",IF(COUNTIF(N$10:N468,N468)=1,COUNTIF(N$10:N$609,"&lt;"&amp;N468)+1,""))</f>
        <v/>
      </c>
      <c r="P468" t="str">
        <f>IFERROR(INDEX(tblY11[Class],ROWS(P$10:P468))&amp;"","")</f>
        <v/>
      </c>
      <c r="Q468" t="str">
        <f>IF(P468="","",IF(COUNTIF(P$10:P468,P468)=1,COUNTIF(P$10:P$609,"&lt;"&amp;P468)+1,""))</f>
        <v/>
      </c>
      <c r="BA468" t="str">
        <f>IFERROR(INDEX(wLast,399)&amp;"","")</f>
        <v/>
      </c>
      <c r="BB468" t="str">
        <f>IF(BA468="","",IFERROR(INDEX(wFirst,399)&amp;"",""))</f>
        <v/>
      </c>
      <c r="BC468" t="str">
        <f>IF(BA468="","",IFERROR(INDEX(wClass,399)&amp;"",""))</f>
        <v/>
      </c>
      <c r="BD468" t="str">
        <f>IF(BA468="","",IFERROR(INDEX(wKsBand,399)+0,""))</f>
        <v/>
      </c>
      <c r="BE468" t="str">
        <f>IF(BA468="","",IFERROR(INDEX(wTests,399)+0,0))</f>
        <v/>
      </c>
      <c r="BF468" t="str">
        <f>IF(BA468="","",IFERROR(INDEX(wMean,399)+0,""))</f>
        <v/>
      </c>
      <c r="BG468" t="str">
        <f>IF(BA468="","",IFERROR(INDEX(wVs,399)+0,""))</f>
        <v/>
      </c>
      <c r="BH468" t="str">
        <f>IF(OR(BA468="",wLatest=""),"",IFERROR(INDEX(wData,399,MATCH(wLatest&amp;CHAR(10)&amp;"Stanine",wHdr,0))+0,""))</f>
        <v/>
      </c>
      <c r="BI468" t="str">
        <f>IF(BA468="","",IF(AND(ISNUMBER(BG468),N(BE468)&gt;=WlMinTests,BG468&lt;=-WlGap),"Below expected for KS2",IF(AND(NOT(ISNUMBER(BD468)),ISNUMBER(BF468),N(BE468)&gt;=WlMinTests,BF468&lt;=WlLowMean),"Low results, no KS2 data","")))</f>
        <v/>
      </c>
      <c r="BJ468" t="str">
        <f>IF(BI468="","",IF(BI468="Below expected for KS2",BG468,100+BF468)+ROW()/1000000)</f>
        <v/>
      </c>
    </row>
    <row r="469">
      <c r="H469" t="str">
        <f>IFERROR(INDEX(tblY7[Class],ROWS(H$10:H469))&amp;"","")</f>
        <v/>
      </c>
      <c r="I469" t="str">
        <f>IF(H469="","",IF(COUNTIF(H$10:H469,H469)=1,COUNTIF(H$10:H$609,"&lt;"&amp;H469)+1,""))</f>
        <v/>
      </c>
      <c r="J469" t="str">
        <f>IFERROR(INDEX(tblY8[Class],ROWS(J$10:J469))&amp;"","")</f>
        <v/>
      </c>
      <c r="K469" t="str">
        <f>IF(J469="","",IF(COUNTIF(J$10:J469,J469)=1,COUNTIF(J$10:J$609,"&lt;"&amp;J469)+1,""))</f>
        <v/>
      </c>
      <c r="L469" t="str">
        <f>IFERROR(INDEX(tblY9[Class],ROWS(L$10:L469))&amp;"","")</f>
        <v/>
      </c>
      <c r="M469" t="str">
        <f>IF(L469="","",IF(COUNTIF(L$10:L469,L469)=1,COUNTIF(L$10:L$609,"&lt;"&amp;L469)+1,""))</f>
        <v/>
      </c>
      <c r="N469" t="str">
        <f>IFERROR(INDEX(tblY10[Class],ROWS(N$10:N469))&amp;"","")</f>
        <v/>
      </c>
      <c r="O469" t="str">
        <f>IF(N469="","",IF(COUNTIF(N$10:N469,N469)=1,COUNTIF(N$10:N$609,"&lt;"&amp;N469)+1,""))</f>
        <v/>
      </c>
      <c r="P469" t="str">
        <f>IFERROR(INDEX(tblY11[Class],ROWS(P$10:P469))&amp;"","")</f>
        <v/>
      </c>
      <c r="Q469" t="str">
        <f>IF(P469="","",IF(COUNTIF(P$10:P469,P469)=1,COUNTIF(P$10:P$609,"&lt;"&amp;P469)+1,""))</f>
        <v/>
      </c>
      <c r="BA469" t="str">
        <f>IFERROR(INDEX(wLast,400)&amp;"","")</f>
        <v/>
      </c>
      <c r="BB469" t="str">
        <f>IF(BA469="","",IFERROR(INDEX(wFirst,400)&amp;"",""))</f>
        <v/>
      </c>
      <c r="BC469" t="str">
        <f>IF(BA469="","",IFERROR(INDEX(wClass,400)&amp;"",""))</f>
        <v/>
      </c>
      <c r="BD469" t="str">
        <f>IF(BA469="","",IFERROR(INDEX(wKsBand,400)+0,""))</f>
        <v/>
      </c>
      <c r="BE469" t="str">
        <f>IF(BA469="","",IFERROR(INDEX(wTests,400)+0,0))</f>
        <v/>
      </c>
      <c r="BF469" t="str">
        <f>IF(BA469="","",IFERROR(INDEX(wMean,400)+0,""))</f>
        <v/>
      </c>
      <c r="BG469" t="str">
        <f>IF(BA469="","",IFERROR(INDEX(wVs,400)+0,""))</f>
        <v/>
      </c>
      <c r="BH469" t="str">
        <f>IF(OR(BA469="",wLatest=""),"",IFERROR(INDEX(wData,400,MATCH(wLatest&amp;CHAR(10)&amp;"Stanine",wHdr,0))+0,""))</f>
        <v/>
      </c>
      <c r="BI469" t="str">
        <f>IF(BA469="","",IF(AND(ISNUMBER(BG469),N(BE469)&gt;=WlMinTests,BG469&lt;=-WlGap),"Below expected for KS2",IF(AND(NOT(ISNUMBER(BD469)),ISNUMBER(BF469),N(BE469)&gt;=WlMinTests,BF469&lt;=WlLowMean),"Low results, no KS2 data","")))</f>
        <v/>
      </c>
      <c r="BJ469" t="str">
        <f>IF(BI469="","",IF(BI469="Below expected for KS2",BG469,100+BF469)+ROW()/1000000)</f>
        <v/>
      </c>
    </row>
    <row r="470">
      <c r="H470" t="str">
        <f>IFERROR(INDEX(tblY7[Class],ROWS(H$10:H470))&amp;"","")</f>
        <v/>
      </c>
      <c r="I470" t="str">
        <f>IF(H470="","",IF(COUNTIF(H$10:H470,H470)=1,COUNTIF(H$10:H$609,"&lt;"&amp;H470)+1,""))</f>
        <v/>
      </c>
      <c r="J470" t="str">
        <f>IFERROR(INDEX(tblY8[Class],ROWS(J$10:J470))&amp;"","")</f>
        <v/>
      </c>
      <c r="K470" t="str">
        <f>IF(J470="","",IF(COUNTIF(J$10:J470,J470)=1,COUNTIF(J$10:J$609,"&lt;"&amp;J470)+1,""))</f>
        <v/>
      </c>
      <c r="L470" t="str">
        <f>IFERROR(INDEX(tblY9[Class],ROWS(L$10:L470))&amp;"","")</f>
        <v/>
      </c>
      <c r="M470" t="str">
        <f>IF(L470="","",IF(COUNTIF(L$10:L470,L470)=1,COUNTIF(L$10:L$609,"&lt;"&amp;L470)+1,""))</f>
        <v/>
      </c>
      <c r="N470" t="str">
        <f>IFERROR(INDEX(tblY10[Class],ROWS(N$10:N470))&amp;"","")</f>
        <v/>
      </c>
      <c r="O470" t="str">
        <f>IF(N470="","",IF(COUNTIF(N$10:N470,N470)=1,COUNTIF(N$10:N$609,"&lt;"&amp;N470)+1,""))</f>
        <v/>
      </c>
      <c r="P470" t="str">
        <f>IFERROR(INDEX(tblY11[Class],ROWS(P$10:P470))&amp;"","")</f>
        <v/>
      </c>
      <c r="Q470" t="str">
        <f>IF(P470="","",IF(COUNTIF(P$10:P470,P470)=1,COUNTIF(P$10:P$609,"&lt;"&amp;P470)+1,""))</f>
        <v/>
      </c>
      <c r="BA470" t="str">
        <f>IFERROR(INDEX(wLast,401)&amp;"","")</f>
        <v/>
      </c>
      <c r="BB470" t="str">
        <f>IF(BA470="","",IFERROR(INDEX(wFirst,401)&amp;"",""))</f>
        <v/>
      </c>
      <c r="BC470" t="str">
        <f>IF(BA470="","",IFERROR(INDEX(wClass,401)&amp;"",""))</f>
        <v/>
      </c>
      <c r="BD470" t="str">
        <f>IF(BA470="","",IFERROR(INDEX(wKsBand,401)+0,""))</f>
        <v/>
      </c>
      <c r="BE470" t="str">
        <f>IF(BA470="","",IFERROR(INDEX(wTests,401)+0,0))</f>
        <v/>
      </c>
      <c r="BF470" t="str">
        <f>IF(BA470="","",IFERROR(INDEX(wMean,401)+0,""))</f>
        <v/>
      </c>
      <c r="BG470" t="str">
        <f>IF(BA470="","",IFERROR(INDEX(wVs,401)+0,""))</f>
        <v/>
      </c>
      <c r="BH470" t="str">
        <f>IF(OR(BA470="",wLatest=""),"",IFERROR(INDEX(wData,401,MATCH(wLatest&amp;CHAR(10)&amp;"Stanine",wHdr,0))+0,""))</f>
        <v/>
      </c>
      <c r="BI470" t="str">
        <f>IF(BA470="","",IF(AND(ISNUMBER(BG470),N(BE470)&gt;=WlMinTests,BG470&lt;=-WlGap),"Below expected for KS2",IF(AND(NOT(ISNUMBER(BD470)),ISNUMBER(BF470),N(BE470)&gt;=WlMinTests,BF470&lt;=WlLowMean),"Low results, no KS2 data","")))</f>
        <v/>
      </c>
      <c r="BJ470" t="str">
        <f>IF(BI470="","",IF(BI470="Below expected for KS2",BG470,100+BF470)+ROW()/1000000)</f>
        <v/>
      </c>
    </row>
    <row r="471">
      <c r="H471" t="str">
        <f>IFERROR(INDEX(tblY7[Class],ROWS(H$10:H471))&amp;"","")</f>
        <v/>
      </c>
      <c r="I471" t="str">
        <f>IF(H471="","",IF(COUNTIF(H$10:H471,H471)=1,COUNTIF(H$10:H$609,"&lt;"&amp;H471)+1,""))</f>
        <v/>
      </c>
      <c r="J471" t="str">
        <f>IFERROR(INDEX(tblY8[Class],ROWS(J$10:J471))&amp;"","")</f>
        <v/>
      </c>
      <c r="K471" t="str">
        <f>IF(J471="","",IF(COUNTIF(J$10:J471,J471)=1,COUNTIF(J$10:J$609,"&lt;"&amp;J471)+1,""))</f>
        <v/>
      </c>
      <c r="L471" t="str">
        <f>IFERROR(INDEX(tblY9[Class],ROWS(L$10:L471))&amp;"","")</f>
        <v/>
      </c>
      <c r="M471" t="str">
        <f>IF(L471="","",IF(COUNTIF(L$10:L471,L471)=1,COUNTIF(L$10:L$609,"&lt;"&amp;L471)+1,""))</f>
        <v/>
      </c>
      <c r="N471" t="str">
        <f>IFERROR(INDEX(tblY10[Class],ROWS(N$10:N471))&amp;"","")</f>
        <v/>
      </c>
      <c r="O471" t="str">
        <f>IF(N471="","",IF(COUNTIF(N$10:N471,N471)=1,COUNTIF(N$10:N$609,"&lt;"&amp;N471)+1,""))</f>
        <v/>
      </c>
      <c r="P471" t="str">
        <f>IFERROR(INDEX(tblY11[Class],ROWS(P$10:P471))&amp;"","")</f>
        <v/>
      </c>
      <c r="Q471" t="str">
        <f>IF(P471="","",IF(COUNTIF(P$10:P471,P471)=1,COUNTIF(P$10:P$609,"&lt;"&amp;P471)+1,""))</f>
        <v/>
      </c>
      <c r="BA471" t="str">
        <f>IFERROR(INDEX(wLast,402)&amp;"","")</f>
        <v/>
      </c>
      <c r="BB471" t="str">
        <f>IF(BA471="","",IFERROR(INDEX(wFirst,402)&amp;"",""))</f>
        <v/>
      </c>
      <c r="BC471" t="str">
        <f>IF(BA471="","",IFERROR(INDEX(wClass,402)&amp;"",""))</f>
        <v/>
      </c>
      <c r="BD471" t="str">
        <f>IF(BA471="","",IFERROR(INDEX(wKsBand,402)+0,""))</f>
        <v/>
      </c>
      <c r="BE471" t="str">
        <f>IF(BA471="","",IFERROR(INDEX(wTests,402)+0,0))</f>
        <v/>
      </c>
      <c r="BF471" t="str">
        <f>IF(BA471="","",IFERROR(INDEX(wMean,402)+0,""))</f>
        <v/>
      </c>
      <c r="BG471" t="str">
        <f>IF(BA471="","",IFERROR(INDEX(wVs,402)+0,""))</f>
        <v/>
      </c>
      <c r="BH471" t="str">
        <f>IF(OR(BA471="",wLatest=""),"",IFERROR(INDEX(wData,402,MATCH(wLatest&amp;CHAR(10)&amp;"Stanine",wHdr,0))+0,""))</f>
        <v/>
      </c>
      <c r="BI471" t="str">
        <f>IF(BA471="","",IF(AND(ISNUMBER(BG471),N(BE471)&gt;=WlMinTests,BG471&lt;=-WlGap),"Below expected for KS2",IF(AND(NOT(ISNUMBER(BD471)),ISNUMBER(BF471),N(BE471)&gt;=WlMinTests,BF471&lt;=WlLowMean),"Low results, no KS2 data","")))</f>
        <v/>
      </c>
      <c r="BJ471" t="str">
        <f>IF(BI471="","",IF(BI471="Below expected for KS2",BG471,100+BF471)+ROW()/1000000)</f>
        <v/>
      </c>
    </row>
    <row r="472">
      <c r="H472" t="str">
        <f>IFERROR(INDEX(tblY7[Class],ROWS(H$10:H472))&amp;"","")</f>
        <v/>
      </c>
      <c r="I472" t="str">
        <f>IF(H472="","",IF(COUNTIF(H$10:H472,H472)=1,COUNTIF(H$10:H$609,"&lt;"&amp;H472)+1,""))</f>
        <v/>
      </c>
      <c r="J472" t="str">
        <f>IFERROR(INDEX(tblY8[Class],ROWS(J$10:J472))&amp;"","")</f>
        <v/>
      </c>
      <c r="K472" t="str">
        <f>IF(J472="","",IF(COUNTIF(J$10:J472,J472)=1,COUNTIF(J$10:J$609,"&lt;"&amp;J472)+1,""))</f>
        <v/>
      </c>
      <c r="L472" t="str">
        <f>IFERROR(INDEX(tblY9[Class],ROWS(L$10:L472))&amp;"","")</f>
        <v/>
      </c>
      <c r="M472" t="str">
        <f>IF(L472="","",IF(COUNTIF(L$10:L472,L472)=1,COUNTIF(L$10:L$609,"&lt;"&amp;L472)+1,""))</f>
        <v/>
      </c>
      <c r="N472" t="str">
        <f>IFERROR(INDEX(tblY10[Class],ROWS(N$10:N472))&amp;"","")</f>
        <v/>
      </c>
      <c r="O472" t="str">
        <f>IF(N472="","",IF(COUNTIF(N$10:N472,N472)=1,COUNTIF(N$10:N$609,"&lt;"&amp;N472)+1,""))</f>
        <v/>
      </c>
      <c r="P472" t="str">
        <f>IFERROR(INDEX(tblY11[Class],ROWS(P$10:P472))&amp;"","")</f>
        <v/>
      </c>
      <c r="Q472" t="str">
        <f>IF(P472="","",IF(COUNTIF(P$10:P472,P472)=1,COUNTIF(P$10:P$609,"&lt;"&amp;P472)+1,""))</f>
        <v/>
      </c>
      <c r="BA472" t="str">
        <f>IFERROR(INDEX(wLast,403)&amp;"","")</f>
        <v/>
      </c>
      <c r="BB472" t="str">
        <f>IF(BA472="","",IFERROR(INDEX(wFirst,403)&amp;"",""))</f>
        <v/>
      </c>
      <c r="BC472" t="str">
        <f>IF(BA472="","",IFERROR(INDEX(wClass,403)&amp;"",""))</f>
        <v/>
      </c>
      <c r="BD472" t="str">
        <f>IF(BA472="","",IFERROR(INDEX(wKsBand,403)+0,""))</f>
        <v/>
      </c>
      <c r="BE472" t="str">
        <f>IF(BA472="","",IFERROR(INDEX(wTests,403)+0,0))</f>
        <v/>
      </c>
      <c r="BF472" t="str">
        <f>IF(BA472="","",IFERROR(INDEX(wMean,403)+0,""))</f>
        <v/>
      </c>
      <c r="BG472" t="str">
        <f>IF(BA472="","",IFERROR(INDEX(wVs,403)+0,""))</f>
        <v/>
      </c>
      <c r="BH472" t="str">
        <f>IF(OR(BA472="",wLatest=""),"",IFERROR(INDEX(wData,403,MATCH(wLatest&amp;CHAR(10)&amp;"Stanine",wHdr,0))+0,""))</f>
        <v/>
      </c>
      <c r="BI472" t="str">
        <f>IF(BA472="","",IF(AND(ISNUMBER(BG472),N(BE472)&gt;=WlMinTests,BG472&lt;=-WlGap),"Below expected for KS2",IF(AND(NOT(ISNUMBER(BD472)),ISNUMBER(BF472),N(BE472)&gt;=WlMinTests,BF472&lt;=WlLowMean),"Low results, no KS2 data","")))</f>
        <v/>
      </c>
      <c r="BJ472" t="str">
        <f>IF(BI472="","",IF(BI472="Below expected for KS2",BG472,100+BF472)+ROW()/1000000)</f>
        <v/>
      </c>
    </row>
    <row r="473">
      <c r="H473" t="str">
        <f>IFERROR(INDEX(tblY7[Class],ROWS(H$10:H473))&amp;"","")</f>
        <v/>
      </c>
      <c r="I473" t="str">
        <f>IF(H473="","",IF(COUNTIF(H$10:H473,H473)=1,COUNTIF(H$10:H$609,"&lt;"&amp;H473)+1,""))</f>
        <v/>
      </c>
      <c r="J473" t="str">
        <f>IFERROR(INDEX(tblY8[Class],ROWS(J$10:J473))&amp;"","")</f>
        <v/>
      </c>
      <c r="K473" t="str">
        <f>IF(J473="","",IF(COUNTIF(J$10:J473,J473)=1,COUNTIF(J$10:J$609,"&lt;"&amp;J473)+1,""))</f>
        <v/>
      </c>
      <c r="L473" t="str">
        <f>IFERROR(INDEX(tblY9[Class],ROWS(L$10:L473))&amp;"","")</f>
        <v/>
      </c>
      <c r="M473" t="str">
        <f>IF(L473="","",IF(COUNTIF(L$10:L473,L473)=1,COUNTIF(L$10:L$609,"&lt;"&amp;L473)+1,""))</f>
        <v/>
      </c>
      <c r="N473" t="str">
        <f>IFERROR(INDEX(tblY10[Class],ROWS(N$10:N473))&amp;"","")</f>
        <v/>
      </c>
      <c r="O473" t="str">
        <f>IF(N473="","",IF(COUNTIF(N$10:N473,N473)=1,COUNTIF(N$10:N$609,"&lt;"&amp;N473)+1,""))</f>
        <v/>
      </c>
      <c r="P473" t="str">
        <f>IFERROR(INDEX(tblY11[Class],ROWS(P$10:P473))&amp;"","")</f>
        <v/>
      </c>
      <c r="Q473" t="str">
        <f>IF(P473="","",IF(COUNTIF(P$10:P473,P473)=1,COUNTIF(P$10:P$609,"&lt;"&amp;P473)+1,""))</f>
        <v/>
      </c>
      <c r="BA473" t="str">
        <f>IFERROR(INDEX(wLast,404)&amp;"","")</f>
        <v/>
      </c>
      <c r="BB473" t="str">
        <f>IF(BA473="","",IFERROR(INDEX(wFirst,404)&amp;"",""))</f>
        <v/>
      </c>
      <c r="BC473" t="str">
        <f>IF(BA473="","",IFERROR(INDEX(wClass,404)&amp;"",""))</f>
        <v/>
      </c>
      <c r="BD473" t="str">
        <f>IF(BA473="","",IFERROR(INDEX(wKsBand,404)+0,""))</f>
        <v/>
      </c>
      <c r="BE473" t="str">
        <f>IF(BA473="","",IFERROR(INDEX(wTests,404)+0,0))</f>
        <v/>
      </c>
      <c r="BF473" t="str">
        <f>IF(BA473="","",IFERROR(INDEX(wMean,404)+0,""))</f>
        <v/>
      </c>
      <c r="BG473" t="str">
        <f>IF(BA473="","",IFERROR(INDEX(wVs,404)+0,""))</f>
        <v/>
      </c>
      <c r="BH473" t="str">
        <f>IF(OR(BA473="",wLatest=""),"",IFERROR(INDEX(wData,404,MATCH(wLatest&amp;CHAR(10)&amp;"Stanine",wHdr,0))+0,""))</f>
        <v/>
      </c>
      <c r="BI473" t="str">
        <f>IF(BA473="","",IF(AND(ISNUMBER(BG473),N(BE473)&gt;=WlMinTests,BG473&lt;=-WlGap),"Below expected for KS2",IF(AND(NOT(ISNUMBER(BD473)),ISNUMBER(BF473),N(BE473)&gt;=WlMinTests,BF473&lt;=WlLowMean),"Low results, no KS2 data","")))</f>
        <v/>
      </c>
      <c r="BJ473" t="str">
        <f>IF(BI473="","",IF(BI473="Below expected for KS2",BG473,100+BF473)+ROW()/1000000)</f>
        <v/>
      </c>
    </row>
    <row r="474">
      <c r="H474" t="str">
        <f>IFERROR(INDEX(tblY7[Class],ROWS(H$10:H474))&amp;"","")</f>
        <v/>
      </c>
      <c r="I474" t="str">
        <f>IF(H474="","",IF(COUNTIF(H$10:H474,H474)=1,COUNTIF(H$10:H$609,"&lt;"&amp;H474)+1,""))</f>
        <v/>
      </c>
      <c r="J474" t="str">
        <f>IFERROR(INDEX(tblY8[Class],ROWS(J$10:J474))&amp;"","")</f>
        <v/>
      </c>
      <c r="K474" t="str">
        <f>IF(J474="","",IF(COUNTIF(J$10:J474,J474)=1,COUNTIF(J$10:J$609,"&lt;"&amp;J474)+1,""))</f>
        <v/>
      </c>
      <c r="L474" t="str">
        <f>IFERROR(INDEX(tblY9[Class],ROWS(L$10:L474))&amp;"","")</f>
        <v/>
      </c>
      <c r="M474" t="str">
        <f>IF(L474="","",IF(COUNTIF(L$10:L474,L474)=1,COUNTIF(L$10:L$609,"&lt;"&amp;L474)+1,""))</f>
        <v/>
      </c>
      <c r="N474" t="str">
        <f>IFERROR(INDEX(tblY10[Class],ROWS(N$10:N474))&amp;"","")</f>
        <v/>
      </c>
      <c r="O474" t="str">
        <f>IF(N474="","",IF(COUNTIF(N$10:N474,N474)=1,COUNTIF(N$10:N$609,"&lt;"&amp;N474)+1,""))</f>
        <v/>
      </c>
      <c r="P474" t="str">
        <f>IFERROR(INDEX(tblY11[Class],ROWS(P$10:P474))&amp;"","")</f>
        <v/>
      </c>
      <c r="Q474" t="str">
        <f>IF(P474="","",IF(COUNTIF(P$10:P474,P474)=1,COUNTIF(P$10:P$609,"&lt;"&amp;P474)+1,""))</f>
        <v/>
      </c>
      <c r="BA474" t="str">
        <f>IFERROR(INDEX(wLast,405)&amp;"","")</f>
        <v/>
      </c>
      <c r="BB474" t="str">
        <f>IF(BA474="","",IFERROR(INDEX(wFirst,405)&amp;"",""))</f>
        <v/>
      </c>
      <c r="BC474" t="str">
        <f>IF(BA474="","",IFERROR(INDEX(wClass,405)&amp;"",""))</f>
        <v/>
      </c>
      <c r="BD474" t="str">
        <f>IF(BA474="","",IFERROR(INDEX(wKsBand,405)+0,""))</f>
        <v/>
      </c>
      <c r="BE474" t="str">
        <f>IF(BA474="","",IFERROR(INDEX(wTests,405)+0,0))</f>
        <v/>
      </c>
      <c r="BF474" t="str">
        <f>IF(BA474="","",IFERROR(INDEX(wMean,405)+0,""))</f>
        <v/>
      </c>
      <c r="BG474" t="str">
        <f>IF(BA474="","",IFERROR(INDEX(wVs,405)+0,""))</f>
        <v/>
      </c>
      <c r="BH474" t="str">
        <f>IF(OR(BA474="",wLatest=""),"",IFERROR(INDEX(wData,405,MATCH(wLatest&amp;CHAR(10)&amp;"Stanine",wHdr,0))+0,""))</f>
        <v/>
      </c>
      <c r="BI474" t="str">
        <f>IF(BA474="","",IF(AND(ISNUMBER(BG474),N(BE474)&gt;=WlMinTests,BG474&lt;=-WlGap),"Below expected for KS2",IF(AND(NOT(ISNUMBER(BD474)),ISNUMBER(BF474),N(BE474)&gt;=WlMinTests,BF474&lt;=WlLowMean),"Low results, no KS2 data","")))</f>
        <v/>
      </c>
      <c r="BJ474" t="str">
        <f>IF(BI474="","",IF(BI474="Below expected for KS2",BG474,100+BF474)+ROW()/1000000)</f>
        <v/>
      </c>
    </row>
    <row r="475">
      <c r="H475" t="str">
        <f>IFERROR(INDEX(tblY7[Class],ROWS(H$10:H475))&amp;"","")</f>
        <v/>
      </c>
      <c r="I475" t="str">
        <f>IF(H475="","",IF(COUNTIF(H$10:H475,H475)=1,COUNTIF(H$10:H$609,"&lt;"&amp;H475)+1,""))</f>
        <v/>
      </c>
      <c r="J475" t="str">
        <f>IFERROR(INDEX(tblY8[Class],ROWS(J$10:J475))&amp;"","")</f>
        <v/>
      </c>
      <c r="K475" t="str">
        <f>IF(J475="","",IF(COUNTIF(J$10:J475,J475)=1,COUNTIF(J$10:J$609,"&lt;"&amp;J475)+1,""))</f>
        <v/>
      </c>
      <c r="L475" t="str">
        <f>IFERROR(INDEX(tblY9[Class],ROWS(L$10:L475))&amp;"","")</f>
        <v/>
      </c>
      <c r="M475" t="str">
        <f>IF(L475="","",IF(COUNTIF(L$10:L475,L475)=1,COUNTIF(L$10:L$609,"&lt;"&amp;L475)+1,""))</f>
        <v/>
      </c>
      <c r="N475" t="str">
        <f>IFERROR(INDEX(tblY10[Class],ROWS(N$10:N475))&amp;"","")</f>
        <v/>
      </c>
      <c r="O475" t="str">
        <f>IF(N475="","",IF(COUNTIF(N$10:N475,N475)=1,COUNTIF(N$10:N$609,"&lt;"&amp;N475)+1,""))</f>
        <v/>
      </c>
      <c r="P475" t="str">
        <f>IFERROR(INDEX(tblY11[Class],ROWS(P$10:P475))&amp;"","")</f>
        <v/>
      </c>
      <c r="Q475" t="str">
        <f>IF(P475="","",IF(COUNTIF(P$10:P475,P475)=1,COUNTIF(P$10:P$609,"&lt;"&amp;P475)+1,""))</f>
        <v/>
      </c>
      <c r="BA475" t="str">
        <f>IFERROR(INDEX(wLast,406)&amp;"","")</f>
        <v/>
      </c>
      <c r="BB475" t="str">
        <f>IF(BA475="","",IFERROR(INDEX(wFirst,406)&amp;"",""))</f>
        <v/>
      </c>
      <c r="BC475" t="str">
        <f>IF(BA475="","",IFERROR(INDEX(wClass,406)&amp;"",""))</f>
        <v/>
      </c>
      <c r="BD475" t="str">
        <f>IF(BA475="","",IFERROR(INDEX(wKsBand,406)+0,""))</f>
        <v/>
      </c>
      <c r="BE475" t="str">
        <f>IF(BA475="","",IFERROR(INDEX(wTests,406)+0,0))</f>
        <v/>
      </c>
      <c r="BF475" t="str">
        <f>IF(BA475="","",IFERROR(INDEX(wMean,406)+0,""))</f>
        <v/>
      </c>
      <c r="BG475" t="str">
        <f>IF(BA475="","",IFERROR(INDEX(wVs,406)+0,""))</f>
        <v/>
      </c>
      <c r="BH475" t="str">
        <f>IF(OR(BA475="",wLatest=""),"",IFERROR(INDEX(wData,406,MATCH(wLatest&amp;CHAR(10)&amp;"Stanine",wHdr,0))+0,""))</f>
        <v/>
      </c>
      <c r="BI475" t="str">
        <f>IF(BA475="","",IF(AND(ISNUMBER(BG475),N(BE475)&gt;=WlMinTests,BG475&lt;=-WlGap),"Below expected for KS2",IF(AND(NOT(ISNUMBER(BD475)),ISNUMBER(BF475),N(BE475)&gt;=WlMinTests,BF475&lt;=WlLowMean),"Low results, no KS2 data","")))</f>
        <v/>
      </c>
      <c r="BJ475" t="str">
        <f>IF(BI475="","",IF(BI475="Below expected for KS2",BG475,100+BF475)+ROW()/1000000)</f>
        <v/>
      </c>
    </row>
    <row r="476">
      <c r="H476" t="str">
        <f>IFERROR(INDEX(tblY7[Class],ROWS(H$10:H476))&amp;"","")</f>
        <v/>
      </c>
      <c r="I476" t="str">
        <f>IF(H476="","",IF(COUNTIF(H$10:H476,H476)=1,COUNTIF(H$10:H$609,"&lt;"&amp;H476)+1,""))</f>
        <v/>
      </c>
      <c r="J476" t="str">
        <f>IFERROR(INDEX(tblY8[Class],ROWS(J$10:J476))&amp;"","")</f>
        <v/>
      </c>
      <c r="K476" t="str">
        <f>IF(J476="","",IF(COUNTIF(J$10:J476,J476)=1,COUNTIF(J$10:J$609,"&lt;"&amp;J476)+1,""))</f>
        <v/>
      </c>
      <c r="L476" t="str">
        <f>IFERROR(INDEX(tblY9[Class],ROWS(L$10:L476))&amp;"","")</f>
        <v/>
      </c>
      <c r="M476" t="str">
        <f>IF(L476="","",IF(COUNTIF(L$10:L476,L476)=1,COUNTIF(L$10:L$609,"&lt;"&amp;L476)+1,""))</f>
        <v/>
      </c>
      <c r="N476" t="str">
        <f>IFERROR(INDEX(tblY10[Class],ROWS(N$10:N476))&amp;"","")</f>
        <v/>
      </c>
      <c r="O476" t="str">
        <f>IF(N476="","",IF(COUNTIF(N$10:N476,N476)=1,COUNTIF(N$10:N$609,"&lt;"&amp;N476)+1,""))</f>
        <v/>
      </c>
      <c r="P476" t="str">
        <f>IFERROR(INDEX(tblY11[Class],ROWS(P$10:P476))&amp;"","")</f>
        <v/>
      </c>
      <c r="Q476" t="str">
        <f>IF(P476="","",IF(COUNTIF(P$10:P476,P476)=1,COUNTIF(P$10:P$609,"&lt;"&amp;P476)+1,""))</f>
        <v/>
      </c>
      <c r="BA476" t="str">
        <f>IFERROR(INDEX(wLast,407)&amp;"","")</f>
        <v/>
      </c>
      <c r="BB476" t="str">
        <f>IF(BA476="","",IFERROR(INDEX(wFirst,407)&amp;"",""))</f>
        <v/>
      </c>
      <c r="BC476" t="str">
        <f>IF(BA476="","",IFERROR(INDEX(wClass,407)&amp;"",""))</f>
        <v/>
      </c>
      <c r="BD476" t="str">
        <f>IF(BA476="","",IFERROR(INDEX(wKsBand,407)+0,""))</f>
        <v/>
      </c>
      <c r="BE476" t="str">
        <f>IF(BA476="","",IFERROR(INDEX(wTests,407)+0,0))</f>
        <v/>
      </c>
      <c r="BF476" t="str">
        <f>IF(BA476="","",IFERROR(INDEX(wMean,407)+0,""))</f>
        <v/>
      </c>
      <c r="BG476" t="str">
        <f>IF(BA476="","",IFERROR(INDEX(wVs,407)+0,""))</f>
        <v/>
      </c>
      <c r="BH476" t="str">
        <f>IF(OR(BA476="",wLatest=""),"",IFERROR(INDEX(wData,407,MATCH(wLatest&amp;CHAR(10)&amp;"Stanine",wHdr,0))+0,""))</f>
        <v/>
      </c>
      <c r="BI476" t="str">
        <f>IF(BA476="","",IF(AND(ISNUMBER(BG476),N(BE476)&gt;=WlMinTests,BG476&lt;=-WlGap),"Below expected for KS2",IF(AND(NOT(ISNUMBER(BD476)),ISNUMBER(BF476),N(BE476)&gt;=WlMinTests,BF476&lt;=WlLowMean),"Low results, no KS2 data","")))</f>
        <v/>
      </c>
      <c r="BJ476" t="str">
        <f>IF(BI476="","",IF(BI476="Below expected for KS2",BG476,100+BF476)+ROW()/1000000)</f>
        <v/>
      </c>
    </row>
    <row r="477">
      <c r="H477" t="str">
        <f>IFERROR(INDEX(tblY7[Class],ROWS(H$10:H477))&amp;"","")</f>
        <v/>
      </c>
      <c r="I477" t="str">
        <f>IF(H477="","",IF(COUNTIF(H$10:H477,H477)=1,COUNTIF(H$10:H$609,"&lt;"&amp;H477)+1,""))</f>
        <v/>
      </c>
      <c r="J477" t="str">
        <f>IFERROR(INDEX(tblY8[Class],ROWS(J$10:J477))&amp;"","")</f>
        <v/>
      </c>
      <c r="K477" t="str">
        <f>IF(J477="","",IF(COUNTIF(J$10:J477,J477)=1,COUNTIF(J$10:J$609,"&lt;"&amp;J477)+1,""))</f>
        <v/>
      </c>
      <c r="L477" t="str">
        <f>IFERROR(INDEX(tblY9[Class],ROWS(L$10:L477))&amp;"","")</f>
        <v/>
      </c>
      <c r="M477" t="str">
        <f>IF(L477="","",IF(COUNTIF(L$10:L477,L477)=1,COUNTIF(L$10:L$609,"&lt;"&amp;L477)+1,""))</f>
        <v/>
      </c>
      <c r="N477" t="str">
        <f>IFERROR(INDEX(tblY10[Class],ROWS(N$10:N477))&amp;"","")</f>
        <v/>
      </c>
      <c r="O477" t="str">
        <f>IF(N477="","",IF(COUNTIF(N$10:N477,N477)=1,COUNTIF(N$10:N$609,"&lt;"&amp;N477)+1,""))</f>
        <v/>
      </c>
      <c r="P477" t="str">
        <f>IFERROR(INDEX(tblY11[Class],ROWS(P$10:P477))&amp;"","")</f>
        <v/>
      </c>
      <c r="Q477" t="str">
        <f>IF(P477="","",IF(COUNTIF(P$10:P477,P477)=1,COUNTIF(P$10:P$609,"&lt;"&amp;P477)+1,""))</f>
        <v/>
      </c>
      <c r="BA477" t="str">
        <f>IFERROR(INDEX(wLast,408)&amp;"","")</f>
        <v/>
      </c>
      <c r="BB477" t="str">
        <f>IF(BA477="","",IFERROR(INDEX(wFirst,408)&amp;"",""))</f>
        <v/>
      </c>
      <c r="BC477" t="str">
        <f>IF(BA477="","",IFERROR(INDEX(wClass,408)&amp;"",""))</f>
        <v/>
      </c>
      <c r="BD477" t="str">
        <f>IF(BA477="","",IFERROR(INDEX(wKsBand,408)+0,""))</f>
        <v/>
      </c>
      <c r="BE477" t="str">
        <f>IF(BA477="","",IFERROR(INDEX(wTests,408)+0,0))</f>
        <v/>
      </c>
      <c r="BF477" t="str">
        <f>IF(BA477="","",IFERROR(INDEX(wMean,408)+0,""))</f>
        <v/>
      </c>
      <c r="BG477" t="str">
        <f>IF(BA477="","",IFERROR(INDEX(wVs,408)+0,""))</f>
        <v/>
      </c>
      <c r="BH477" t="str">
        <f>IF(OR(BA477="",wLatest=""),"",IFERROR(INDEX(wData,408,MATCH(wLatest&amp;CHAR(10)&amp;"Stanine",wHdr,0))+0,""))</f>
        <v/>
      </c>
      <c r="BI477" t="str">
        <f>IF(BA477="","",IF(AND(ISNUMBER(BG477),N(BE477)&gt;=WlMinTests,BG477&lt;=-WlGap),"Below expected for KS2",IF(AND(NOT(ISNUMBER(BD477)),ISNUMBER(BF477),N(BE477)&gt;=WlMinTests,BF477&lt;=WlLowMean),"Low results, no KS2 data","")))</f>
        <v/>
      </c>
      <c r="BJ477" t="str">
        <f>IF(BI477="","",IF(BI477="Below expected for KS2",BG477,100+BF477)+ROW()/1000000)</f>
        <v/>
      </c>
    </row>
    <row r="478">
      <c r="H478" t="str">
        <f>IFERROR(INDEX(tblY7[Class],ROWS(H$10:H478))&amp;"","")</f>
        <v/>
      </c>
      <c r="I478" t="str">
        <f>IF(H478="","",IF(COUNTIF(H$10:H478,H478)=1,COUNTIF(H$10:H$609,"&lt;"&amp;H478)+1,""))</f>
        <v/>
      </c>
      <c r="J478" t="str">
        <f>IFERROR(INDEX(tblY8[Class],ROWS(J$10:J478))&amp;"","")</f>
        <v/>
      </c>
      <c r="K478" t="str">
        <f>IF(J478="","",IF(COUNTIF(J$10:J478,J478)=1,COUNTIF(J$10:J$609,"&lt;"&amp;J478)+1,""))</f>
        <v/>
      </c>
      <c r="L478" t="str">
        <f>IFERROR(INDEX(tblY9[Class],ROWS(L$10:L478))&amp;"","")</f>
        <v/>
      </c>
      <c r="M478" t="str">
        <f>IF(L478="","",IF(COUNTIF(L$10:L478,L478)=1,COUNTIF(L$10:L$609,"&lt;"&amp;L478)+1,""))</f>
        <v/>
      </c>
      <c r="N478" t="str">
        <f>IFERROR(INDEX(tblY10[Class],ROWS(N$10:N478))&amp;"","")</f>
        <v/>
      </c>
      <c r="O478" t="str">
        <f>IF(N478="","",IF(COUNTIF(N$10:N478,N478)=1,COUNTIF(N$10:N$609,"&lt;"&amp;N478)+1,""))</f>
        <v/>
      </c>
      <c r="P478" t="str">
        <f>IFERROR(INDEX(tblY11[Class],ROWS(P$10:P478))&amp;"","")</f>
        <v/>
      </c>
      <c r="Q478" t="str">
        <f>IF(P478="","",IF(COUNTIF(P$10:P478,P478)=1,COUNTIF(P$10:P$609,"&lt;"&amp;P478)+1,""))</f>
        <v/>
      </c>
      <c r="BA478" t="str">
        <f>IFERROR(INDEX(wLast,409)&amp;"","")</f>
        <v/>
      </c>
      <c r="BB478" t="str">
        <f>IF(BA478="","",IFERROR(INDEX(wFirst,409)&amp;"",""))</f>
        <v/>
      </c>
      <c r="BC478" t="str">
        <f>IF(BA478="","",IFERROR(INDEX(wClass,409)&amp;"",""))</f>
        <v/>
      </c>
      <c r="BD478" t="str">
        <f>IF(BA478="","",IFERROR(INDEX(wKsBand,409)+0,""))</f>
        <v/>
      </c>
      <c r="BE478" t="str">
        <f>IF(BA478="","",IFERROR(INDEX(wTests,409)+0,0))</f>
        <v/>
      </c>
      <c r="BF478" t="str">
        <f>IF(BA478="","",IFERROR(INDEX(wMean,409)+0,""))</f>
        <v/>
      </c>
      <c r="BG478" t="str">
        <f>IF(BA478="","",IFERROR(INDEX(wVs,409)+0,""))</f>
        <v/>
      </c>
      <c r="BH478" t="str">
        <f>IF(OR(BA478="",wLatest=""),"",IFERROR(INDEX(wData,409,MATCH(wLatest&amp;CHAR(10)&amp;"Stanine",wHdr,0))+0,""))</f>
        <v/>
      </c>
      <c r="BI478" t="str">
        <f>IF(BA478="","",IF(AND(ISNUMBER(BG478),N(BE478)&gt;=WlMinTests,BG478&lt;=-WlGap),"Below expected for KS2",IF(AND(NOT(ISNUMBER(BD478)),ISNUMBER(BF478),N(BE478)&gt;=WlMinTests,BF478&lt;=WlLowMean),"Low results, no KS2 data","")))</f>
        <v/>
      </c>
      <c r="BJ478" t="str">
        <f>IF(BI478="","",IF(BI478="Below expected for KS2",BG478,100+BF478)+ROW()/1000000)</f>
        <v/>
      </c>
    </row>
    <row r="479">
      <c r="H479" t="str">
        <f>IFERROR(INDEX(tblY7[Class],ROWS(H$10:H479))&amp;"","")</f>
        <v/>
      </c>
      <c r="I479" t="str">
        <f>IF(H479="","",IF(COUNTIF(H$10:H479,H479)=1,COUNTIF(H$10:H$609,"&lt;"&amp;H479)+1,""))</f>
        <v/>
      </c>
      <c r="J479" t="str">
        <f>IFERROR(INDEX(tblY8[Class],ROWS(J$10:J479))&amp;"","")</f>
        <v/>
      </c>
      <c r="K479" t="str">
        <f>IF(J479="","",IF(COUNTIF(J$10:J479,J479)=1,COUNTIF(J$10:J$609,"&lt;"&amp;J479)+1,""))</f>
        <v/>
      </c>
      <c r="L479" t="str">
        <f>IFERROR(INDEX(tblY9[Class],ROWS(L$10:L479))&amp;"","")</f>
        <v/>
      </c>
      <c r="M479" t="str">
        <f>IF(L479="","",IF(COUNTIF(L$10:L479,L479)=1,COUNTIF(L$10:L$609,"&lt;"&amp;L479)+1,""))</f>
        <v/>
      </c>
      <c r="N479" t="str">
        <f>IFERROR(INDEX(tblY10[Class],ROWS(N$10:N479))&amp;"","")</f>
        <v/>
      </c>
      <c r="O479" t="str">
        <f>IF(N479="","",IF(COUNTIF(N$10:N479,N479)=1,COUNTIF(N$10:N$609,"&lt;"&amp;N479)+1,""))</f>
        <v/>
      </c>
      <c r="P479" t="str">
        <f>IFERROR(INDEX(tblY11[Class],ROWS(P$10:P479))&amp;"","")</f>
        <v/>
      </c>
      <c r="Q479" t="str">
        <f>IF(P479="","",IF(COUNTIF(P$10:P479,P479)=1,COUNTIF(P$10:P$609,"&lt;"&amp;P479)+1,""))</f>
        <v/>
      </c>
      <c r="BA479" t="str">
        <f>IFERROR(INDEX(wLast,410)&amp;"","")</f>
        <v/>
      </c>
      <c r="BB479" t="str">
        <f>IF(BA479="","",IFERROR(INDEX(wFirst,410)&amp;"",""))</f>
        <v/>
      </c>
      <c r="BC479" t="str">
        <f>IF(BA479="","",IFERROR(INDEX(wClass,410)&amp;"",""))</f>
        <v/>
      </c>
      <c r="BD479" t="str">
        <f>IF(BA479="","",IFERROR(INDEX(wKsBand,410)+0,""))</f>
        <v/>
      </c>
      <c r="BE479" t="str">
        <f>IF(BA479="","",IFERROR(INDEX(wTests,410)+0,0))</f>
        <v/>
      </c>
      <c r="BF479" t="str">
        <f>IF(BA479="","",IFERROR(INDEX(wMean,410)+0,""))</f>
        <v/>
      </c>
      <c r="BG479" t="str">
        <f>IF(BA479="","",IFERROR(INDEX(wVs,410)+0,""))</f>
        <v/>
      </c>
      <c r="BH479" t="str">
        <f>IF(OR(BA479="",wLatest=""),"",IFERROR(INDEX(wData,410,MATCH(wLatest&amp;CHAR(10)&amp;"Stanine",wHdr,0))+0,""))</f>
        <v/>
      </c>
      <c r="BI479" t="str">
        <f>IF(BA479="","",IF(AND(ISNUMBER(BG479),N(BE479)&gt;=WlMinTests,BG479&lt;=-WlGap),"Below expected for KS2",IF(AND(NOT(ISNUMBER(BD479)),ISNUMBER(BF479),N(BE479)&gt;=WlMinTests,BF479&lt;=WlLowMean),"Low results, no KS2 data","")))</f>
        <v/>
      </c>
      <c r="BJ479" t="str">
        <f>IF(BI479="","",IF(BI479="Below expected for KS2",BG479,100+BF479)+ROW()/1000000)</f>
        <v/>
      </c>
    </row>
    <row r="480">
      <c r="H480" t="str">
        <f>IFERROR(INDEX(tblY7[Class],ROWS(H$10:H480))&amp;"","")</f>
        <v/>
      </c>
      <c r="I480" t="str">
        <f>IF(H480="","",IF(COUNTIF(H$10:H480,H480)=1,COUNTIF(H$10:H$609,"&lt;"&amp;H480)+1,""))</f>
        <v/>
      </c>
      <c r="J480" t="str">
        <f>IFERROR(INDEX(tblY8[Class],ROWS(J$10:J480))&amp;"","")</f>
        <v/>
      </c>
      <c r="K480" t="str">
        <f>IF(J480="","",IF(COUNTIF(J$10:J480,J480)=1,COUNTIF(J$10:J$609,"&lt;"&amp;J480)+1,""))</f>
        <v/>
      </c>
      <c r="L480" t="str">
        <f>IFERROR(INDEX(tblY9[Class],ROWS(L$10:L480))&amp;"","")</f>
        <v/>
      </c>
      <c r="M480" t="str">
        <f>IF(L480="","",IF(COUNTIF(L$10:L480,L480)=1,COUNTIF(L$10:L$609,"&lt;"&amp;L480)+1,""))</f>
        <v/>
      </c>
      <c r="N480" t="str">
        <f>IFERROR(INDEX(tblY10[Class],ROWS(N$10:N480))&amp;"","")</f>
        <v/>
      </c>
      <c r="O480" t="str">
        <f>IF(N480="","",IF(COUNTIF(N$10:N480,N480)=1,COUNTIF(N$10:N$609,"&lt;"&amp;N480)+1,""))</f>
        <v/>
      </c>
      <c r="P480" t="str">
        <f>IFERROR(INDEX(tblY11[Class],ROWS(P$10:P480))&amp;"","")</f>
        <v/>
      </c>
      <c r="Q480" t="str">
        <f>IF(P480="","",IF(COUNTIF(P$10:P480,P480)=1,COUNTIF(P$10:P$609,"&lt;"&amp;P480)+1,""))</f>
        <v/>
      </c>
      <c r="BA480" t="str">
        <f>IFERROR(INDEX(wLast,411)&amp;"","")</f>
        <v/>
      </c>
      <c r="BB480" t="str">
        <f>IF(BA480="","",IFERROR(INDEX(wFirst,411)&amp;"",""))</f>
        <v/>
      </c>
      <c r="BC480" t="str">
        <f>IF(BA480="","",IFERROR(INDEX(wClass,411)&amp;"",""))</f>
        <v/>
      </c>
      <c r="BD480" t="str">
        <f>IF(BA480="","",IFERROR(INDEX(wKsBand,411)+0,""))</f>
        <v/>
      </c>
      <c r="BE480" t="str">
        <f>IF(BA480="","",IFERROR(INDEX(wTests,411)+0,0))</f>
        <v/>
      </c>
      <c r="BF480" t="str">
        <f>IF(BA480="","",IFERROR(INDEX(wMean,411)+0,""))</f>
        <v/>
      </c>
      <c r="BG480" t="str">
        <f>IF(BA480="","",IFERROR(INDEX(wVs,411)+0,""))</f>
        <v/>
      </c>
      <c r="BH480" t="str">
        <f>IF(OR(BA480="",wLatest=""),"",IFERROR(INDEX(wData,411,MATCH(wLatest&amp;CHAR(10)&amp;"Stanine",wHdr,0))+0,""))</f>
        <v/>
      </c>
      <c r="BI480" t="str">
        <f>IF(BA480="","",IF(AND(ISNUMBER(BG480),N(BE480)&gt;=WlMinTests,BG480&lt;=-WlGap),"Below expected for KS2",IF(AND(NOT(ISNUMBER(BD480)),ISNUMBER(BF480),N(BE480)&gt;=WlMinTests,BF480&lt;=WlLowMean),"Low results, no KS2 data","")))</f>
        <v/>
      </c>
      <c r="BJ480" t="str">
        <f>IF(BI480="","",IF(BI480="Below expected for KS2",BG480,100+BF480)+ROW()/1000000)</f>
        <v/>
      </c>
    </row>
    <row r="481">
      <c r="H481" t="str">
        <f>IFERROR(INDEX(tblY7[Class],ROWS(H$10:H481))&amp;"","")</f>
        <v/>
      </c>
      <c r="I481" t="str">
        <f>IF(H481="","",IF(COUNTIF(H$10:H481,H481)=1,COUNTIF(H$10:H$609,"&lt;"&amp;H481)+1,""))</f>
        <v/>
      </c>
      <c r="J481" t="str">
        <f>IFERROR(INDEX(tblY8[Class],ROWS(J$10:J481))&amp;"","")</f>
        <v/>
      </c>
      <c r="K481" t="str">
        <f>IF(J481="","",IF(COUNTIF(J$10:J481,J481)=1,COUNTIF(J$10:J$609,"&lt;"&amp;J481)+1,""))</f>
        <v/>
      </c>
      <c r="L481" t="str">
        <f>IFERROR(INDEX(tblY9[Class],ROWS(L$10:L481))&amp;"","")</f>
        <v/>
      </c>
      <c r="M481" t="str">
        <f>IF(L481="","",IF(COUNTIF(L$10:L481,L481)=1,COUNTIF(L$10:L$609,"&lt;"&amp;L481)+1,""))</f>
        <v/>
      </c>
      <c r="N481" t="str">
        <f>IFERROR(INDEX(tblY10[Class],ROWS(N$10:N481))&amp;"","")</f>
        <v/>
      </c>
      <c r="O481" t="str">
        <f>IF(N481="","",IF(COUNTIF(N$10:N481,N481)=1,COUNTIF(N$10:N$609,"&lt;"&amp;N481)+1,""))</f>
        <v/>
      </c>
      <c r="P481" t="str">
        <f>IFERROR(INDEX(tblY11[Class],ROWS(P$10:P481))&amp;"","")</f>
        <v/>
      </c>
      <c r="Q481" t="str">
        <f>IF(P481="","",IF(COUNTIF(P$10:P481,P481)=1,COUNTIF(P$10:P$609,"&lt;"&amp;P481)+1,""))</f>
        <v/>
      </c>
      <c r="BA481" t="str">
        <f>IFERROR(INDEX(wLast,412)&amp;"","")</f>
        <v/>
      </c>
      <c r="BB481" t="str">
        <f>IF(BA481="","",IFERROR(INDEX(wFirst,412)&amp;"",""))</f>
        <v/>
      </c>
      <c r="BC481" t="str">
        <f>IF(BA481="","",IFERROR(INDEX(wClass,412)&amp;"",""))</f>
        <v/>
      </c>
      <c r="BD481" t="str">
        <f>IF(BA481="","",IFERROR(INDEX(wKsBand,412)+0,""))</f>
        <v/>
      </c>
      <c r="BE481" t="str">
        <f>IF(BA481="","",IFERROR(INDEX(wTests,412)+0,0))</f>
        <v/>
      </c>
      <c r="BF481" t="str">
        <f>IF(BA481="","",IFERROR(INDEX(wMean,412)+0,""))</f>
        <v/>
      </c>
      <c r="BG481" t="str">
        <f>IF(BA481="","",IFERROR(INDEX(wVs,412)+0,""))</f>
        <v/>
      </c>
      <c r="BH481" t="str">
        <f>IF(OR(BA481="",wLatest=""),"",IFERROR(INDEX(wData,412,MATCH(wLatest&amp;CHAR(10)&amp;"Stanine",wHdr,0))+0,""))</f>
        <v/>
      </c>
      <c r="BI481" t="str">
        <f>IF(BA481="","",IF(AND(ISNUMBER(BG481),N(BE481)&gt;=WlMinTests,BG481&lt;=-WlGap),"Below expected for KS2",IF(AND(NOT(ISNUMBER(BD481)),ISNUMBER(BF481),N(BE481)&gt;=WlMinTests,BF481&lt;=WlLowMean),"Low results, no KS2 data","")))</f>
        <v/>
      </c>
      <c r="BJ481" t="str">
        <f>IF(BI481="","",IF(BI481="Below expected for KS2",BG481,100+BF481)+ROW()/1000000)</f>
        <v/>
      </c>
    </row>
    <row r="482">
      <c r="H482" t="str">
        <f>IFERROR(INDEX(tblY7[Class],ROWS(H$10:H482))&amp;"","")</f>
        <v/>
      </c>
      <c r="I482" t="str">
        <f>IF(H482="","",IF(COUNTIF(H$10:H482,H482)=1,COUNTIF(H$10:H$609,"&lt;"&amp;H482)+1,""))</f>
        <v/>
      </c>
      <c r="J482" t="str">
        <f>IFERROR(INDEX(tblY8[Class],ROWS(J$10:J482))&amp;"","")</f>
        <v/>
      </c>
      <c r="K482" t="str">
        <f>IF(J482="","",IF(COUNTIF(J$10:J482,J482)=1,COUNTIF(J$10:J$609,"&lt;"&amp;J482)+1,""))</f>
        <v/>
      </c>
      <c r="L482" t="str">
        <f>IFERROR(INDEX(tblY9[Class],ROWS(L$10:L482))&amp;"","")</f>
        <v/>
      </c>
      <c r="M482" t="str">
        <f>IF(L482="","",IF(COUNTIF(L$10:L482,L482)=1,COUNTIF(L$10:L$609,"&lt;"&amp;L482)+1,""))</f>
        <v/>
      </c>
      <c r="N482" t="str">
        <f>IFERROR(INDEX(tblY10[Class],ROWS(N$10:N482))&amp;"","")</f>
        <v/>
      </c>
      <c r="O482" t="str">
        <f>IF(N482="","",IF(COUNTIF(N$10:N482,N482)=1,COUNTIF(N$10:N$609,"&lt;"&amp;N482)+1,""))</f>
        <v/>
      </c>
      <c r="P482" t="str">
        <f>IFERROR(INDEX(tblY11[Class],ROWS(P$10:P482))&amp;"","")</f>
        <v/>
      </c>
      <c r="Q482" t="str">
        <f>IF(P482="","",IF(COUNTIF(P$10:P482,P482)=1,COUNTIF(P$10:P$609,"&lt;"&amp;P482)+1,""))</f>
        <v/>
      </c>
      <c r="BA482" t="str">
        <f>IFERROR(INDEX(wLast,413)&amp;"","")</f>
        <v/>
      </c>
      <c r="BB482" t="str">
        <f>IF(BA482="","",IFERROR(INDEX(wFirst,413)&amp;"",""))</f>
        <v/>
      </c>
      <c r="BC482" t="str">
        <f>IF(BA482="","",IFERROR(INDEX(wClass,413)&amp;"",""))</f>
        <v/>
      </c>
      <c r="BD482" t="str">
        <f>IF(BA482="","",IFERROR(INDEX(wKsBand,413)+0,""))</f>
        <v/>
      </c>
      <c r="BE482" t="str">
        <f>IF(BA482="","",IFERROR(INDEX(wTests,413)+0,0))</f>
        <v/>
      </c>
      <c r="BF482" t="str">
        <f>IF(BA482="","",IFERROR(INDEX(wMean,413)+0,""))</f>
        <v/>
      </c>
      <c r="BG482" t="str">
        <f>IF(BA482="","",IFERROR(INDEX(wVs,413)+0,""))</f>
        <v/>
      </c>
      <c r="BH482" t="str">
        <f>IF(OR(BA482="",wLatest=""),"",IFERROR(INDEX(wData,413,MATCH(wLatest&amp;CHAR(10)&amp;"Stanine",wHdr,0))+0,""))</f>
        <v/>
      </c>
      <c r="BI482" t="str">
        <f>IF(BA482="","",IF(AND(ISNUMBER(BG482),N(BE482)&gt;=WlMinTests,BG482&lt;=-WlGap),"Below expected for KS2",IF(AND(NOT(ISNUMBER(BD482)),ISNUMBER(BF482),N(BE482)&gt;=WlMinTests,BF482&lt;=WlLowMean),"Low results, no KS2 data","")))</f>
        <v/>
      </c>
      <c r="BJ482" t="str">
        <f>IF(BI482="","",IF(BI482="Below expected for KS2",BG482,100+BF482)+ROW()/1000000)</f>
        <v/>
      </c>
    </row>
    <row r="483">
      <c r="H483" t="str">
        <f>IFERROR(INDEX(tblY7[Class],ROWS(H$10:H483))&amp;"","")</f>
        <v/>
      </c>
      <c r="I483" t="str">
        <f>IF(H483="","",IF(COUNTIF(H$10:H483,H483)=1,COUNTIF(H$10:H$609,"&lt;"&amp;H483)+1,""))</f>
        <v/>
      </c>
      <c r="J483" t="str">
        <f>IFERROR(INDEX(tblY8[Class],ROWS(J$10:J483))&amp;"","")</f>
        <v/>
      </c>
      <c r="K483" t="str">
        <f>IF(J483="","",IF(COUNTIF(J$10:J483,J483)=1,COUNTIF(J$10:J$609,"&lt;"&amp;J483)+1,""))</f>
        <v/>
      </c>
      <c r="L483" t="str">
        <f>IFERROR(INDEX(tblY9[Class],ROWS(L$10:L483))&amp;"","")</f>
        <v/>
      </c>
      <c r="M483" t="str">
        <f>IF(L483="","",IF(COUNTIF(L$10:L483,L483)=1,COUNTIF(L$10:L$609,"&lt;"&amp;L483)+1,""))</f>
        <v/>
      </c>
      <c r="N483" t="str">
        <f>IFERROR(INDEX(tblY10[Class],ROWS(N$10:N483))&amp;"","")</f>
        <v/>
      </c>
      <c r="O483" t="str">
        <f>IF(N483="","",IF(COUNTIF(N$10:N483,N483)=1,COUNTIF(N$10:N$609,"&lt;"&amp;N483)+1,""))</f>
        <v/>
      </c>
      <c r="P483" t="str">
        <f>IFERROR(INDEX(tblY11[Class],ROWS(P$10:P483))&amp;"","")</f>
        <v/>
      </c>
      <c r="Q483" t="str">
        <f>IF(P483="","",IF(COUNTIF(P$10:P483,P483)=1,COUNTIF(P$10:P$609,"&lt;"&amp;P483)+1,""))</f>
        <v/>
      </c>
      <c r="BA483" t="str">
        <f>IFERROR(INDEX(wLast,414)&amp;"","")</f>
        <v/>
      </c>
      <c r="BB483" t="str">
        <f>IF(BA483="","",IFERROR(INDEX(wFirst,414)&amp;"",""))</f>
        <v/>
      </c>
      <c r="BC483" t="str">
        <f>IF(BA483="","",IFERROR(INDEX(wClass,414)&amp;"",""))</f>
        <v/>
      </c>
      <c r="BD483" t="str">
        <f>IF(BA483="","",IFERROR(INDEX(wKsBand,414)+0,""))</f>
        <v/>
      </c>
      <c r="BE483" t="str">
        <f>IF(BA483="","",IFERROR(INDEX(wTests,414)+0,0))</f>
        <v/>
      </c>
      <c r="BF483" t="str">
        <f>IF(BA483="","",IFERROR(INDEX(wMean,414)+0,""))</f>
        <v/>
      </c>
      <c r="BG483" t="str">
        <f>IF(BA483="","",IFERROR(INDEX(wVs,414)+0,""))</f>
        <v/>
      </c>
      <c r="BH483" t="str">
        <f>IF(OR(BA483="",wLatest=""),"",IFERROR(INDEX(wData,414,MATCH(wLatest&amp;CHAR(10)&amp;"Stanine",wHdr,0))+0,""))</f>
        <v/>
      </c>
      <c r="BI483" t="str">
        <f>IF(BA483="","",IF(AND(ISNUMBER(BG483),N(BE483)&gt;=WlMinTests,BG483&lt;=-WlGap),"Below expected for KS2",IF(AND(NOT(ISNUMBER(BD483)),ISNUMBER(BF483),N(BE483)&gt;=WlMinTests,BF483&lt;=WlLowMean),"Low results, no KS2 data","")))</f>
        <v/>
      </c>
      <c r="BJ483" t="str">
        <f>IF(BI483="","",IF(BI483="Below expected for KS2",BG483,100+BF483)+ROW()/1000000)</f>
        <v/>
      </c>
    </row>
    <row r="484">
      <c r="H484" t="str">
        <f>IFERROR(INDEX(tblY7[Class],ROWS(H$10:H484))&amp;"","")</f>
        <v/>
      </c>
      <c r="I484" t="str">
        <f>IF(H484="","",IF(COUNTIF(H$10:H484,H484)=1,COUNTIF(H$10:H$609,"&lt;"&amp;H484)+1,""))</f>
        <v/>
      </c>
      <c r="J484" t="str">
        <f>IFERROR(INDEX(tblY8[Class],ROWS(J$10:J484))&amp;"","")</f>
        <v/>
      </c>
      <c r="K484" t="str">
        <f>IF(J484="","",IF(COUNTIF(J$10:J484,J484)=1,COUNTIF(J$10:J$609,"&lt;"&amp;J484)+1,""))</f>
        <v/>
      </c>
      <c r="L484" t="str">
        <f>IFERROR(INDEX(tblY9[Class],ROWS(L$10:L484))&amp;"","")</f>
        <v/>
      </c>
      <c r="M484" t="str">
        <f>IF(L484="","",IF(COUNTIF(L$10:L484,L484)=1,COUNTIF(L$10:L$609,"&lt;"&amp;L484)+1,""))</f>
        <v/>
      </c>
      <c r="N484" t="str">
        <f>IFERROR(INDEX(tblY10[Class],ROWS(N$10:N484))&amp;"","")</f>
        <v/>
      </c>
      <c r="O484" t="str">
        <f>IF(N484="","",IF(COUNTIF(N$10:N484,N484)=1,COUNTIF(N$10:N$609,"&lt;"&amp;N484)+1,""))</f>
        <v/>
      </c>
      <c r="P484" t="str">
        <f>IFERROR(INDEX(tblY11[Class],ROWS(P$10:P484))&amp;"","")</f>
        <v/>
      </c>
      <c r="Q484" t="str">
        <f>IF(P484="","",IF(COUNTIF(P$10:P484,P484)=1,COUNTIF(P$10:P$609,"&lt;"&amp;P484)+1,""))</f>
        <v/>
      </c>
      <c r="BA484" t="str">
        <f>IFERROR(INDEX(wLast,415)&amp;"","")</f>
        <v/>
      </c>
      <c r="BB484" t="str">
        <f>IF(BA484="","",IFERROR(INDEX(wFirst,415)&amp;"",""))</f>
        <v/>
      </c>
      <c r="BC484" t="str">
        <f>IF(BA484="","",IFERROR(INDEX(wClass,415)&amp;"",""))</f>
        <v/>
      </c>
      <c r="BD484" t="str">
        <f>IF(BA484="","",IFERROR(INDEX(wKsBand,415)+0,""))</f>
        <v/>
      </c>
      <c r="BE484" t="str">
        <f>IF(BA484="","",IFERROR(INDEX(wTests,415)+0,0))</f>
        <v/>
      </c>
      <c r="BF484" t="str">
        <f>IF(BA484="","",IFERROR(INDEX(wMean,415)+0,""))</f>
        <v/>
      </c>
      <c r="BG484" t="str">
        <f>IF(BA484="","",IFERROR(INDEX(wVs,415)+0,""))</f>
        <v/>
      </c>
      <c r="BH484" t="str">
        <f>IF(OR(BA484="",wLatest=""),"",IFERROR(INDEX(wData,415,MATCH(wLatest&amp;CHAR(10)&amp;"Stanine",wHdr,0))+0,""))</f>
        <v/>
      </c>
      <c r="BI484" t="str">
        <f>IF(BA484="","",IF(AND(ISNUMBER(BG484),N(BE484)&gt;=WlMinTests,BG484&lt;=-WlGap),"Below expected for KS2",IF(AND(NOT(ISNUMBER(BD484)),ISNUMBER(BF484),N(BE484)&gt;=WlMinTests,BF484&lt;=WlLowMean),"Low results, no KS2 data","")))</f>
        <v/>
      </c>
      <c r="BJ484" t="str">
        <f>IF(BI484="","",IF(BI484="Below expected for KS2",BG484,100+BF484)+ROW()/1000000)</f>
        <v/>
      </c>
    </row>
    <row r="485">
      <c r="H485" t="str">
        <f>IFERROR(INDEX(tblY7[Class],ROWS(H$10:H485))&amp;"","")</f>
        <v/>
      </c>
      <c r="I485" t="str">
        <f>IF(H485="","",IF(COUNTIF(H$10:H485,H485)=1,COUNTIF(H$10:H$609,"&lt;"&amp;H485)+1,""))</f>
        <v/>
      </c>
      <c r="J485" t="str">
        <f>IFERROR(INDEX(tblY8[Class],ROWS(J$10:J485))&amp;"","")</f>
        <v/>
      </c>
      <c r="K485" t="str">
        <f>IF(J485="","",IF(COUNTIF(J$10:J485,J485)=1,COUNTIF(J$10:J$609,"&lt;"&amp;J485)+1,""))</f>
        <v/>
      </c>
      <c r="L485" t="str">
        <f>IFERROR(INDEX(tblY9[Class],ROWS(L$10:L485))&amp;"","")</f>
        <v/>
      </c>
      <c r="M485" t="str">
        <f>IF(L485="","",IF(COUNTIF(L$10:L485,L485)=1,COUNTIF(L$10:L$609,"&lt;"&amp;L485)+1,""))</f>
        <v/>
      </c>
      <c r="N485" t="str">
        <f>IFERROR(INDEX(tblY10[Class],ROWS(N$10:N485))&amp;"","")</f>
        <v/>
      </c>
      <c r="O485" t="str">
        <f>IF(N485="","",IF(COUNTIF(N$10:N485,N485)=1,COUNTIF(N$10:N$609,"&lt;"&amp;N485)+1,""))</f>
        <v/>
      </c>
      <c r="P485" t="str">
        <f>IFERROR(INDEX(tblY11[Class],ROWS(P$10:P485))&amp;"","")</f>
        <v/>
      </c>
      <c r="Q485" t="str">
        <f>IF(P485="","",IF(COUNTIF(P$10:P485,P485)=1,COUNTIF(P$10:P$609,"&lt;"&amp;P485)+1,""))</f>
        <v/>
      </c>
      <c r="BA485" t="str">
        <f>IFERROR(INDEX(wLast,416)&amp;"","")</f>
        <v/>
      </c>
      <c r="BB485" t="str">
        <f>IF(BA485="","",IFERROR(INDEX(wFirst,416)&amp;"",""))</f>
        <v/>
      </c>
      <c r="BC485" t="str">
        <f>IF(BA485="","",IFERROR(INDEX(wClass,416)&amp;"",""))</f>
        <v/>
      </c>
      <c r="BD485" t="str">
        <f>IF(BA485="","",IFERROR(INDEX(wKsBand,416)+0,""))</f>
        <v/>
      </c>
      <c r="BE485" t="str">
        <f>IF(BA485="","",IFERROR(INDEX(wTests,416)+0,0))</f>
        <v/>
      </c>
      <c r="BF485" t="str">
        <f>IF(BA485="","",IFERROR(INDEX(wMean,416)+0,""))</f>
        <v/>
      </c>
      <c r="BG485" t="str">
        <f>IF(BA485="","",IFERROR(INDEX(wVs,416)+0,""))</f>
        <v/>
      </c>
      <c r="BH485" t="str">
        <f>IF(OR(BA485="",wLatest=""),"",IFERROR(INDEX(wData,416,MATCH(wLatest&amp;CHAR(10)&amp;"Stanine",wHdr,0))+0,""))</f>
        <v/>
      </c>
      <c r="BI485" t="str">
        <f>IF(BA485="","",IF(AND(ISNUMBER(BG485),N(BE485)&gt;=WlMinTests,BG485&lt;=-WlGap),"Below expected for KS2",IF(AND(NOT(ISNUMBER(BD485)),ISNUMBER(BF485),N(BE485)&gt;=WlMinTests,BF485&lt;=WlLowMean),"Low results, no KS2 data","")))</f>
        <v/>
      </c>
      <c r="BJ485" t="str">
        <f>IF(BI485="","",IF(BI485="Below expected for KS2",BG485,100+BF485)+ROW()/1000000)</f>
        <v/>
      </c>
    </row>
    <row r="486">
      <c r="H486" t="str">
        <f>IFERROR(INDEX(tblY7[Class],ROWS(H$10:H486))&amp;"","")</f>
        <v/>
      </c>
      <c r="I486" t="str">
        <f>IF(H486="","",IF(COUNTIF(H$10:H486,H486)=1,COUNTIF(H$10:H$609,"&lt;"&amp;H486)+1,""))</f>
        <v/>
      </c>
      <c r="J486" t="str">
        <f>IFERROR(INDEX(tblY8[Class],ROWS(J$10:J486))&amp;"","")</f>
        <v/>
      </c>
      <c r="K486" t="str">
        <f>IF(J486="","",IF(COUNTIF(J$10:J486,J486)=1,COUNTIF(J$10:J$609,"&lt;"&amp;J486)+1,""))</f>
        <v/>
      </c>
      <c r="L486" t="str">
        <f>IFERROR(INDEX(tblY9[Class],ROWS(L$10:L486))&amp;"","")</f>
        <v/>
      </c>
      <c r="M486" t="str">
        <f>IF(L486="","",IF(COUNTIF(L$10:L486,L486)=1,COUNTIF(L$10:L$609,"&lt;"&amp;L486)+1,""))</f>
        <v/>
      </c>
      <c r="N486" t="str">
        <f>IFERROR(INDEX(tblY10[Class],ROWS(N$10:N486))&amp;"","")</f>
        <v/>
      </c>
      <c r="O486" t="str">
        <f>IF(N486="","",IF(COUNTIF(N$10:N486,N486)=1,COUNTIF(N$10:N$609,"&lt;"&amp;N486)+1,""))</f>
        <v/>
      </c>
      <c r="P486" t="str">
        <f>IFERROR(INDEX(tblY11[Class],ROWS(P$10:P486))&amp;"","")</f>
        <v/>
      </c>
      <c r="Q486" t="str">
        <f>IF(P486="","",IF(COUNTIF(P$10:P486,P486)=1,COUNTIF(P$10:P$609,"&lt;"&amp;P486)+1,""))</f>
        <v/>
      </c>
      <c r="BA486" t="str">
        <f>IFERROR(INDEX(wLast,417)&amp;"","")</f>
        <v/>
      </c>
      <c r="BB486" t="str">
        <f>IF(BA486="","",IFERROR(INDEX(wFirst,417)&amp;"",""))</f>
        <v/>
      </c>
      <c r="BC486" t="str">
        <f>IF(BA486="","",IFERROR(INDEX(wClass,417)&amp;"",""))</f>
        <v/>
      </c>
      <c r="BD486" t="str">
        <f>IF(BA486="","",IFERROR(INDEX(wKsBand,417)+0,""))</f>
        <v/>
      </c>
      <c r="BE486" t="str">
        <f>IF(BA486="","",IFERROR(INDEX(wTests,417)+0,0))</f>
        <v/>
      </c>
      <c r="BF486" t="str">
        <f>IF(BA486="","",IFERROR(INDEX(wMean,417)+0,""))</f>
        <v/>
      </c>
      <c r="BG486" t="str">
        <f>IF(BA486="","",IFERROR(INDEX(wVs,417)+0,""))</f>
        <v/>
      </c>
      <c r="BH486" t="str">
        <f>IF(OR(BA486="",wLatest=""),"",IFERROR(INDEX(wData,417,MATCH(wLatest&amp;CHAR(10)&amp;"Stanine",wHdr,0))+0,""))</f>
        <v/>
      </c>
      <c r="BI486" t="str">
        <f>IF(BA486="","",IF(AND(ISNUMBER(BG486),N(BE486)&gt;=WlMinTests,BG486&lt;=-WlGap),"Below expected for KS2",IF(AND(NOT(ISNUMBER(BD486)),ISNUMBER(BF486),N(BE486)&gt;=WlMinTests,BF486&lt;=WlLowMean),"Low results, no KS2 data","")))</f>
        <v/>
      </c>
      <c r="BJ486" t="str">
        <f>IF(BI486="","",IF(BI486="Below expected for KS2",BG486,100+BF486)+ROW()/1000000)</f>
        <v/>
      </c>
    </row>
    <row r="487">
      <c r="H487" t="str">
        <f>IFERROR(INDEX(tblY7[Class],ROWS(H$10:H487))&amp;"","")</f>
        <v/>
      </c>
      <c r="I487" t="str">
        <f>IF(H487="","",IF(COUNTIF(H$10:H487,H487)=1,COUNTIF(H$10:H$609,"&lt;"&amp;H487)+1,""))</f>
        <v/>
      </c>
      <c r="J487" t="str">
        <f>IFERROR(INDEX(tblY8[Class],ROWS(J$10:J487))&amp;"","")</f>
        <v/>
      </c>
      <c r="K487" t="str">
        <f>IF(J487="","",IF(COUNTIF(J$10:J487,J487)=1,COUNTIF(J$10:J$609,"&lt;"&amp;J487)+1,""))</f>
        <v/>
      </c>
      <c r="L487" t="str">
        <f>IFERROR(INDEX(tblY9[Class],ROWS(L$10:L487))&amp;"","")</f>
        <v/>
      </c>
      <c r="M487" t="str">
        <f>IF(L487="","",IF(COUNTIF(L$10:L487,L487)=1,COUNTIF(L$10:L$609,"&lt;"&amp;L487)+1,""))</f>
        <v/>
      </c>
      <c r="N487" t="str">
        <f>IFERROR(INDEX(tblY10[Class],ROWS(N$10:N487))&amp;"","")</f>
        <v/>
      </c>
      <c r="O487" t="str">
        <f>IF(N487="","",IF(COUNTIF(N$10:N487,N487)=1,COUNTIF(N$10:N$609,"&lt;"&amp;N487)+1,""))</f>
        <v/>
      </c>
      <c r="P487" t="str">
        <f>IFERROR(INDEX(tblY11[Class],ROWS(P$10:P487))&amp;"","")</f>
        <v/>
      </c>
      <c r="Q487" t="str">
        <f>IF(P487="","",IF(COUNTIF(P$10:P487,P487)=1,COUNTIF(P$10:P$609,"&lt;"&amp;P487)+1,""))</f>
        <v/>
      </c>
      <c r="BA487" t="str">
        <f>IFERROR(INDEX(wLast,418)&amp;"","")</f>
        <v/>
      </c>
      <c r="BB487" t="str">
        <f>IF(BA487="","",IFERROR(INDEX(wFirst,418)&amp;"",""))</f>
        <v/>
      </c>
      <c r="BC487" t="str">
        <f>IF(BA487="","",IFERROR(INDEX(wClass,418)&amp;"",""))</f>
        <v/>
      </c>
      <c r="BD487" t="str">
        <f>IF(BA487="","",IFERROR(INDEX(wKsBand,418)+0,""))</f>
        <v/>
      </c>
      <c r="BE487" t="str">
        <f>IF(BA487="","",IFERROR(INDEX(wTests,418)+0,0))</f>
        <v/>
      </c>
      <c r="BF487" t="str">
        <f>IF(BA487="","",IFERROR(INDEX(wMean,418)+0,""))</f>
        <v/>
      </c>
      <c r="BG487" t="str">
        <f>IF(BA487="","",IFERROR(INDEX(wVs,418)+0,""))</f>
        <v/>
      </c>
      <c r="BH487" t="str">
        <f>IF(OR(BA487="",wLatest=""),"",IFERROR(INDEX(wData,418,MATCH(wLatest&amp;CHAR(10)&amp;"Stanine",wHdr,0))+0,""))</f>
        <v/>
      </c>
      <c r="BI487" t="str">
        <f>IF(BA487="","",IF(AND(ISNUMBER(BG487),N(BE487)&gt;=WlMinTests,BG487&lt;=-WlGap),"Below expected for KS2",IF(AND(NOT(ISNUMBER(BD487)),ISNUMBER(BF487),N(BE487)&gt;=WlMinTests,BF487&lt;=WlLowMean),"Low results, no KS2 data","")))</f>
        <v/>
      </c>
      <c r="BJ487" t="str">
        <f>IF(BI487="","",IF(BI487="Below expected for KS2",BG487,100+BF487)+ROW()/1000000)</f>
        <v/>
      </c>
    </row>
    <row r="488">
      <c r="H488" t="str">
        <f>IFERROR(INDEX(tblY7[Class],ROWS(H$10:H488))&amp;"","")</f>
        <v/>
      </c>
      <c r="I488" t="str">
        <f>IF(H488="","",IF(COUNTIF(H$10:H488,H488)=1,COUNTIF(H$10:H$609,"&lt;"&amp;H488)+1,""))</f>
        <v/>
      </c>
      <c r="J488" t="str">
        <f>IFERROR(INDEX(tblY8[Class],ROWS(J$10:J488))&amp;"","")</f>
        <v/>
      </c>
      <c r="K488" t="str">
        <f>IF(J488="","",IF(COUNTIF(J$10:J488,J488)=1,COUNTIF(J$10:J$609,"&lt;"&amp;J488)+1,""))</f>
        <v/>
      </c>
      <c r="L488" t="str">
        <f>IFERROR(INDEX(tblY9[Class],ROWS(L$10:L488))&amp;"","")</f>
        <v/>
      </c>
      <c r="M488" t="str">
        <f>IF(L488="","",IF(COUNTIF(L$10:L488,L488)=1,COUNTIF(L$10:L$609,"&lt;"&amp;L488)+1,""))</f>
        <v/>
      </c>
      <c r="N488" t="str">
        <f>IFERROR(INDEX(tblY10[Class],ROWS(N$10:N488))&amp;"","")</f>
        <v/>
      </c>
      <c r="O488" t="str">
        <f>IF(N488="","",IF(COUNTIF(N$10:N488,N488)=1,COUNTIF(N$10:N$609,"&lt;"&amp;N488)+1,""))</f>
        <v/>
      </c>
      <c r="P488" t="str">
        <f>IFERROR(INDEX(tblY11[Class],ROWS(P$10:P488))&amp;"","")</f>
        <v/>
      </c>
      <c r="Q488" t="str">
        <f>IF(P488="","",IF(COUNTIF(P$10:P488,P488)=1,COUNTIF(P$10:P$609,"&lt;"&amp;P488)+1,""))</f>
        <v/>
      </c>
      <c r="BA488" t="str">
        <f>IFERROR(INDEX(wLast,419)&amp;"","")</f>
        <v/>
      </c>
      <c r="BB488" t="str">
        <f>IF(BA488="","",IFERROR(INDEX(wFirst,419)&amp;"",""))</f>
        <v/>
      </c>
      <c r="BC488" t="str">
        <f>IF(BA488="","",IFERROR(INDEX(wClass,419)&amp;"",""))</f>
        <v/>
      </c>
      <c r="BD488" t="str">
        <f>IF(BA488="","",IFERROR(INDEX(wKsBand,419)+0,""))</f>
        <v/>
      </c>
      <c r="BE488" t="str">
        <f>IF(BA488="","",IFERROR(INDEX(wTests,419)+0,0))</f>
        <v/>
      </c>
      <c r="BF488" t="str">
        <f>IF(BA488="","",IFERROR(INDEX(wMean,419)+0,""))</f>
        <v/>
      </c>
      <c r="BG488" t="str">
        <f>IF(BA488="","",IFERROR(INDEX(wVs,419)+0,""))</f>
        <v/>
      </c>
      <c r="BH488" t="str">
        <f>IF(OR(BA488="",wLatest=""),"",IFERROR(INDEX(wData,419,MATCH(wLatest&amp;CHAR(10)&amp;"Stanine",wHdr,0))+0,""))</f>
        <v/>
      </c>
      <c r="BI488" t="str">
        <f>IF(BA488="","",IF(AND(ISNUMBER(BG488),N(BE488)&gt;=WlMinTests,BG488&lt;=-WlGap),"Below expected for KS2",IF(AND(NOT(ISNUMBER(BD488)),ISNUMBER(BF488),N(BE488)&gt;=WlMinTests,BF488&lt;=WlLowMean),"Low results, no KS2 data","")))</f>
        <v/>
      </c>
      <c r="BJ488" t="str">
        <f>IF(BI488="","",IF(BI488="Below expected for KS2",BG488,100+BF488)+ROW()/1000000)</f>
        <v/>
      </c>
    </row>
    <row r="489">
      <c r="H489" t="str">
        <f>IFERROR(INDEX(tblY7[Class],ROWS(H$10:H489))&amp;"","")</f>
        <v/>
      </c>
      <c r="I489" t="str">
        <f>IF(H489="","",IF(COUNTIF(H$10:H489,H489)=1,COUNTIF(H$10:H$609,"&lt;"&amp;H489)+1,""))</f>
        <v/>
      </c>
      <c r="J489" t="str">
        <f>IFERROR(INDEX(tblY8[Class],ROWS(J$10:J489))&amp;"","")</f>
        <v/>
      </c>
      <c r="K489" t="str">
        <f>IF(J489="","",IF(COUNTIF(J$10:J489,J489)=1,COUNTIF(J$10:J$609,"&lt;"&amp;J489)+1,""))</f>
        <v/>
      </c>
      <c r="L489" t="str">
        <f>IFERROR(INDEX(tblY9[Class],ROWS(L$10:L489))&amp;"","")</f>
        <v/>
      </c>
      <c r="M489" t="str">
        <f>IF(L489="","",IF(COUNTIF(L$10:L489,L489)=1,COUNTIF(L$10:L$609,"&lt;"&amp;L489)+1,""))</f>
        <v/>
      </c>
      <c r="N489" t="str">
        <f>IFERROR(INDEX(tblY10[Class],ROWS(N$10:N489))&amp;"","")</f>
        <v/>
      </c>
      <c r="O489" t="str">
        <f>IF(N489="","",IF(COUNTIF(N$10:N489,N489)=1,COUNTIF(N$10:N$609,"&lt;"&amp;N489)+1,""))</f>
        <v/>
      </c>
      <c r="P489" t="str">
        <f>IFERROR(INDEX(tblY11[Class],ROWS(P$10:P489))&amp;"","")</f>
        <v/>
      </c>
      <c r="Q489" t="str">
        <f>IF(P489="","",IF(COUNTIF(P$10:P489,P489)=1,COUNTIF(P$10:P$609,"&lt;"&amp;P489)+1,""))</f>
        <v/>
      </c>
      <c r="BA489" t="str">
        <f>IFERROR(INDEX(wLast,420)&amp;"","")</f>
        <v/>
      </c>
      <c r="BB489" t="str">
        <f>IF(BA489="","",IFERROR(INDEX(wFirst,420)&amp;"",""))</f>
        <v/>
      </c>
      <c r="BC489" t="str">
        <f>IF(BA489="","",IFERROR(INDEX(wClass,420)&amp;"",""))</f>
        <v/>
      </c>
      <c r="BD489" t="str">
        <f>IF(BA489="","",IFERROR(INDEX(wKsBand,420)+0,""))</f>
        <v/>
      </c>
      <c r="BE489" t="str">
        <f>IF(BA489="","",IFERROR(INDEX(wTests,420)+0,0))</f>
        <v/>
      </c>
      <c r="BF489" t="str">
        <f>IF(BA489="","",IFERROR(INDEX(wMean,420)+0,""))</f>
        <v/>
      </c>
      <c r="BG489" t="str">
        <f>IF(BA489="","",IFERROR(INDEX(wVs,420)+0,""))</f>
        <v/>
      </c>
      <c r="BH489" t="str">
        <f>IF(OR(BA489="",wLatest=""),"",IFERROR(INDEX(wData,420,MATCH(wLatest&amp;CHAR(10)&amp;"Stanine",wHdr,0))+0,""))</f>
        <v/>
      </c>
      <c r="BI489" t="str">
        <f>IF(BA489="","",IF(AND(ISNUMBER(BG489),N(BE489)&gt;=WlMinTests,BG489&lt;=-WlGap),"Below expected for KS2",IF(AND(NOT(ISNUMBER(BD489)),ISNUMBER(BF489),N(BE489)&gt;=WlMinTests,BF489&lt;=WlLowMean),"Low results, no KS2 data","")))</f>
        <v/>
      </c>
      <c r="BJ489" t="str">
        <f>IF(BI489="","",IF(BI489="Below expected for KS2",BG489,100+BF489)+ROW()/1000000)</f>
        <v/>
      </c>
    </row>
    <row r="490">
      <c r="H490" t="str">
        <f>IFERROR(INDEX(tblY7[Class],ROWS(H$10:H490))&amp;"","")</f>
        <v/>
      </c>
      <c r="I490" t="str">
        <f>IF(H490="","",IF(COUNTIF(H$10:H490,H490)=1,COUNTIF(H$10:H$609,"&lt;"&amp;H490)+1,""))</f>
        <v/>
      </c>
      <c r="J490" t="str">
        <f>IFERROR(INDEX(tblY8[Class],ROWS(J$10:J490))&amp;"","")</f>
        <v/>
      </c>
      <c r="K490" t="str">
        <f>IF(J490="","",IF(COUNTIF(J$10:J490,J490)=1,COUNTIF(J$10:J$609,"&lt;"&amp;J490)+1,""))</f>
        <v/>
      </c>
      <c r="L490" t="str">
        <f>IFERROR(INDEX(tblY9[Class],ROWS(L$10:L490))&amp;"","")</f>
        <v/>
      </c>
      <c r="M490" t="str">
        <f>IF(L490="","",IF(COUNTIF(L$10:L490,L490)=1,COUNTIF(L$10:L$609,"&lt;"&amp;L490)+1,""))</f>
        <v/>
      </c>
      <c r="N490" t="str">
        <f>IFERROR(INDEX(tblY10[Class],ROWS(N$10:N490))&amp;"","")</f>
        <v/>
      </c>
      <c r="O490" t="str">
        <f>IF(N490="","",IF(COUNTIF(N$10:N490,N490)=1,COUNTIF(N$10:N$609,"&lt;"&amp;N490)+1,""))</f>
        <v/>
      </c>
      <c r="P490" t="str">
        <f>IFERROR(INDEX(tblY11[Class],ROWS(P$10:P490))&amp;"","")</f>
        <v/>
      </c>
      <c r="Q490" t="str">
        <f>IF(P490="","",IF(COUNTIF(P$10:P490,P490)=1,COUNTIF(P$10:P$609,"&lt;"&amp;P490)+1,""))</f>
        <v/>
      </c>
      <c r="BA490" t="str">
        <f>IFERROR(INDEX(wLast,421)&amp;"","")</f>
        <v/>
      </c>
      <c r="BB490" t="str">
        <f>IF(BA490="","",IFERROR(INDEX(wFirst,421)&amp;"",""))</f>
        <v/>
      </c>
      <c r="BC490" t="str">
        <f>IF(BA490="","",IFERROR(INDEX(wClass,421)&amp;"",""))</f>
        <v/>
      </c>
      <c r="BD490" t="str">
        <f>IF(BA490="","",IFERROR(INDEX(wKsBand,421)+0,""))</f>
        <v/>
      </c>
      <c r="BE490" t="str">
        <f>IF(BA490="","",IFERROR(INDEX(wTests,421)+0,0))</f>
        <v/>
      </c>
      <c r="BF490" t="str">
        <f>IF(BA490="","",IFERROR(INDEX(wMean,421)+0,""))</f>
        <v/>
      </c>
      <c r="BG490" t="str">
        <f>IF(BA490="","",IFERROR(INDEX(wVs,421)+0,""))</f>
        <v/>
      </c>
      <c r="BH490" t="str">
        <f>IF(OR(BA490="",wLatest=""),"",IFERROR(INDEX(wData,421,MATCH(wLatest&amp;CHAR(10)&amp;"Stanine",wHdr,0))+0,""))</f>
        <v/>
      </c>
      <c r="BI490" t="str">
        <f>IF(BA490="","",IF(AND(ISNUMBER(BG490),N(BE490)&gt;=WlMinTests,BG490&lt;=-WlGap),"Below expected for KS2",IF(AND(NOT(ISNUMBER(BD490)),ISNUMBER(BF490),N(BE490)&gt;=WlMinTests,BF490&lt;=WlLowMean),"Low results, no KS2 data","")))</f>
        <v/>
      </c>
      <c r="BJ490" t="str">
        <f>IF(BI490="","",IF(BI490="Below expected for KS2",BG490,100+BF490)+ROW()/1000000)</f>
        <v/>
      </c>
    </row>
    <row r="491">
      <c r="H491" t="str">
        <f>IFERROR(INDEX(tblY7[Class],ROWS(H$10:H491))&amp;"","")</f>
        <v/>
      </c>
      <c r="I491" t="str">
        <f>IF(H491="","",IF(COUNTIF(H$10:H491,H491)=1,COUNTIF(H$10:H$609,"&lt;"&amp;H491)+1,""))</f>
        <v/>
      </c>
      <c r="J491" t="str">
        <f>IFERROR(INDEX(tblY8[Class],ROWS(J$10:J491))&amp;"","")</f>
        <v/>
      </c>
      <c r="K491" t="str">
        <f>IF(J491="","",IF(COUNTIF(J$10:J491,J491)=1,COUNTIF(J$10:J$609,"&lt;"&amp;J491)+1,""))</f>
        <v/>
      </c>
      <c r="L491" t="str">
        <f>IFERROR(INDEX(tblY9[Class],ROWS(L$10:L491))&amp;"","")</f>
        <v/>
      </c>
      <c r="M491" t="str">
        <f>IF(L491="","",IF(COUNTIF(L$10:L491,L491)=1,COUNTIF(L$10:L$609,"&lt;"&amp;L491)+1,""))</f>
        <v/>
      </c>
      <c r="N491" t="str">
        <f>IFERROR(INDEX(tblY10[Class],ROWS(N$10:N491))&amp;"","")</f>
        <v/>
      </c>
      <c r="O491" t="str">
        <f>IF(N491="","",IF(COUNTIF(N$10:N491,N491)=1,COUNTIF(N$10:N$609,"&lt;"&amp;N491)+1,""))</f>
        <v/>
      </c>
      <c r="P491" t="str">
        <f>IFERROR(INDEX(tblY11[Class],ROWS(P$10:P491))&amp;"","")</f>
        <v/>
      </c>
      <c r="Q491" t="str">
        <f>IF(P491="","",IF(COUNTIF(P$10:P491,P491)=1,COUNTIF(P$10:P$609,"&lt;"&amp;P491)+1,""))</f>
        <v/>
      </c>
      <c r="BA491" t="str">
        <f>IFERROR(INDEX(wLast,422)&amp;"","")</f>
        <v/>
      </c>
      <c r="BB491" t="str">
        <f>IF(BA491="","",IFERROR(INDEX(wFirst,422)&amp;"",""))</f>
        <v/>
      </c>
      <c r="BC491" t="str">
        <f>IF(BA491="","",IFERROR(INDEX(wClass,422)&amp;"",""))</f>
        <v/>
      </c>
      <c r="BD491" t="str">
        <f>IF(BA491="","",IFERROR(INDEX(wKsBand,422)+0,""))</f>
        <v/>
      </c>
      <c r="BE491" t="str">
        <f>IF(BA491="","",IFERROR(INDEX(wTests,422)+0,0))</f>
        <v/>
      </c>
      <c r="BF491" t="str">
        <f>IF(BA491="","",IFERROR(INDEX(wMean,422)+0,""))</f>
        <v/>
      </c>
      <c r="BG491" t="str">
        <f>IF(BA491="","",IFERROR(INDEX(wVs,422)+0,""))</f>
        <v/>
      </c>
      <c r="BH491" t="str">
        <f>IF(OR(BA491="",wLatest=""),"",IFERROR(INDEX(wData,422,MATCH(wLatest&amp;CHAR(10)&amp;"Stanine",wHdr,0))+0,""))</f>
        <v/>
      </c>
      <c r="BI491" t="str">
        <f>IF(BA491="","",IF(AND(ISNUMBER(BG491),N(BE491)&gt;=WlMinTests,BG491&lt;=-WlGap),"Below expected for KS2",IF(AND(NOT(ISNUMBER(BD491)),ISNUMBER(BF491),N(BE491)&gt;=WlMinTests,BF491&lt;=WlLowMean),"Low results, no KS2 data","")))</f>
        <v/>
      </c>
      <c r="BJ491" t="str">
        <f>IF(BI491="","",IF(BI491="Below expected for KS2",BG491,100+BF491)+ROW()/1000000)</f>
        <v/>
      </c>
    </row>
    <row r="492">
      <c r="H492" t="str">
        <f>IFERROR(INDEX(tblY7[Class],ROWS(H$10:H492))&amp;"","")</f>
        <v/>
      </c>
      <c r="I492" t="str">
        <f>IF(H492="","",IF(COUNTIF(H$10:H492,H492)=1,COUNTIF(H$10:H$609,"&lt;"&amp;H492)+1,""))</f>
        <v/>
      </c>
      <c r="J492" t="str">
        <f>IFERROR(INDEX(tblY8[Class],ROWS(J$10:J492))&amp;"","")</f>
        <v/>
      </c>
      <c r="K492" t="str">
        <f>IF(J492="","",IF(COUNTIF(J$10:J492,J492)=1,COUNTIF(J$10:J$609,"&lt;"&amp;J492)+1,""))</f>
        <v/>
      </c>
      <c r="L492" t="str">
        <f>IFERROR(INDEX(tblY9[Class],ROWS(L$10:L492))&amp;"","")</f>
        <v/>
      </c>
      <c r="M492" t="str">
        <f>IF(L492="","",IF(COUNTIF(L$10:L492,L492)=1,COUNTIF(L$10:L$609,"&lt;"&amp;L492)+1,""))</f>
        <v/>
      </c>
      <c r="N492" t="str">
        <f>IFERROR(INDEX(tblY10[Class],ROWS(N$10:N492))&amp;"","")</f>
        <v/>
      </c>
      <c r="O492" t="str">
        <f>IF(N492="","",IF(COUNTIF(N$10:N492,N492)=1,COUNTIF(N$10:N$609,"&lt;"&amp;N492)+1,""))</f>
        <v/>
      </c>
      <c r="P492" t="str">
        <f>IFERROR(INDEX(tblY11[Class],ROWS(P$10:P492))&amp;"","")</f>
        <v/>
      </c>
      <c r="Q492" t="str">
        <f>IF(P492="","",IF(COUNTIF(P$10:P492,P492)=1,COUNTIF(P$10:P$609,"&lt;"&amp;P492)+1,""))</f>
        <v/>
      </c>
      <c r="BA492" t="str">
        <f>IFERROR(INDEX(wLast,423)&amp;"","")</f>
        <v/>
      </c>
      <c r="BB492" t="str">
        <f>IF(BA492="","",IFERROR(INDEX(wFirst,423)&amp;"",""))</f>
        <v/>
      </c>
      <c r="BC492" t="str">
        <f>IF(BA492="","",IFERROR(INDEX(wClass,423)&amp;"",""))</f>
        <v/>
      </c>
      <c r="BD492" t="str">
        <f>IF(BA492="","",IFERROR(INDEX(wKsBand,423)+0,""))</f>
        <v/>
      </c>
      <c r="BE492" t="str">
        <f>IF(BA492="","",IFERROR(INDEX(wTests,423)+0,0))</f>
        <v/>
      </c>
      <c r="BF492" t="str">
        <f>IF(BA492="","",IFERROR(INDEX(wMean,423)+0,""))</f>
        <v/>
      </c>
      <c r="BG492" t="str">
        <f>IF(BA492="","",IFERROR(INDEX(wVs,423)+0,""))</f>
        <v/>
      </c>
      <c r="BH492" t="str">
        <f>IF(OR(BA492="",wLatest=""),"",IFERROR(INDEX(wData,423,MATCH(wLatest&amp;CHAR(10)&amp;"Stanine",wHdr,0))+0,""))</f>
        <v/>
      </c>
      <c r="BI492" t="str">
        <f>IF(BA492="","",IF(AND(ISNUMBER(BG492),N(BE492)&gt;=WlMinTests,BG492&lt;=-WlGap),"Below expected for KS2",IF(AND(NOT(ISNUMBER(BD492)),ISNUMBER(BF492),N(BE492)&gt;=WlMinTests,BF492&lt;=WlLowMean),"Low results, no KS2 data","")))</f>
        <v/>
      </c>
      <c r="BJ492" t="str">
        <f>IF(BI492="","",IF(BI492="Below expected for KS2",BG492,100+BF492)+ROW()/1000000)</f>
        <v/>
      </c>
    </row>
    <row r="493">
      <c r="H493" t="str">
        <f>IFERROR(INDEX(tblY7[Class],ROWS(H$10:H493))&amp;"","")</f>
        <v/>
      </c>
      <c r="I493" t="str">
        <f>IF(H493="","",IF(COUNTIF(H$10:H493,H493)=1,COUNTIF(H$10:H$609,"&lt;"&amp;H493)+1,""))</f>
        <v/>
      </c>
      <c r="J493" t="str">
        <f>IFERROR(INDEX(tblY8[Class],ROWS(J$10:J493))&amp;"","")</f>
        <v/>
      </c>
      <c r="K493" t="str">
        <f>IF(J493="","",IF(COUNTIF(J$10:J493,J493)=1,COUNTIF(J$10:J$609,"&lt;"&amp;J493)+1,""))</f>
        <v/>
      </c>
      <c r="L493" t="str">
        <f>IFERROR(INDEX(tblY9[Class],ROWS(L$10:L493))&amp;"","")</f>
        <v/>
      </c>
      <c r="M493" t="str">
        <f>IF(L493="","",IF(COUNTIF(L$10:L493,L493)=1,COUNTIF(L$10:L$609,"&lt;"&amp;L493)+1,""))</f>
        <v/>
      </c>
      <c r="N493" t="str">
        <f>IFERROR(INDEX(tblY10[Class],ROWS(N$10:N493))&amp;"","")</f>
        <v/>
      </c>
      <c r="O493" t="str">
        <f>IF(N493="","",IF(COUNTIF(N$10:N493,N493)=1,COUNTIF(N$10:N$609,"&lt;"&amp;N493)+1,""))</f>
        <v/>
      </c>
      <c r="P493" t="str">
        <f>IFERROR(INDEX(tblY11[Class],ROWS(P$10:P493))&amp;"","")</f>
        <v/>
      </c>
      <c r="Q493" t="str">
        <f>IF(P493="","",IF(COUNTIF(P$10:P493,P493)=1,COUNTIF(P$10:P$609,"&lt;"&amp;P493)+1,""))</f>
        <v/>
      </c>
      <c r="BA493" t="str">
        <f>IFERROR(INDEX(wLast,424)&amp;"","")</f>
        <v/>
      </c>
      <c r="BB493" t="str">
        <f>IF(BA493="","",IFERROR(INDEX(wFirst,424)&amp;"",""))</f>
        <v/>
      </c>
      <c r="BC493" t="str">
        <f>IF(BA493="","",IFERROR(INDEX(wClass,424)&amp;"",""))</f>
        <v/>
      </c>
      <c r="BD493" t="str">
        <f>IF(BA493="","",IFERROR(INDEX(wKsBand,424)+0,""))</f>
        <v/>
      </c>
      <c r="BE493" t="str">
        <f>IF(BA493="","",IFERROR(INDEX(wTests,424)+0,0))</f>
        <v/>
      </c>
      <c r="BF493" t="str">
        <f>IF(BA493="","",IFERROR(INDEX(wMean,424)+0,""))</f>
        <v/>
      </c>
      <c r="BG493" t="str">
        <f>IF(BA493="","",IFERROR(INDEX(wVs,424)+0,""))</f>
        <v/>
      </c>
      <c r="BH493" t="str">
        <f>IF(OR(BA493="",wLatest=""),"",IFERROR(INDEX(wData,424,MATCH(wLatest&amp;CHAR(10)&amp;"Stanine",wHdr,0))+0,""))</f>
        <v/>
      </c>
      <c r="BI493" t="str">
        <f>IF(BA493="","",IF(AND(ISNUMBER(BG493),N(BE493)&gt;=WlMinTests,BG493&lt;=-WlGap),"Below expected for KS2",IF(AND(NOT(ISNUMBER(BD493)),ISNUMBER(BF493),N(BE493)&gt;=WlMinTests,BF493&lt;=WlLowMean),"Low results, no KS2 data","")))</f>
        <v/>
      </c>
      <c r="BJ493" t="str">
        <f>IF(BI493="","",IF(BI493="Below expected for KS2",BG493,100+BF493)+ROW()/1000000)</f>
        <v/>
      </c>
    </row>
    <row r="494">
      <c r="H494" t="str">
        <f>IFERROR(INDEX(tblY7[Class],ROWS(H$10:H494))&amp;"","")</f>
        <v/>
      </c>
      <c r="I494" t="str">
        <f>IF(H494="","",IF(COUNTIF(H$10:H494,H494)=1,COUNTIF(H$10:H$609,"&lt;"&amp;H494)+1,""))</f>
        <v/>
      </c>
      <c r="J494" t="str">
        <f>IFERROR(INDEX(tblY8[Class],ROWS(J$10:J494))&amp;"","")</f>
        <v/>
      </c>
      <c r="K494" t="str">
        <f>IF(J494="","",IF(COUNTIF(J$10:J494,J494)=1,COUNTIF(J$10:J$609,"&lt;"&amp;J494)+1,""))</f>
        <v/>
      </c>
      <c r="L494" t="str">
        <f>IFERROR(INDEX(tblY9[Class],ROWS(L$10:L494))&amp;"","")</f>
        <v/>
      </c>
      <c r="M494" t="str">
        <f>IF(L494="","",IF(COUNTIF(L$10:L494,L494)=1,COUNTIF(L$10:L$609,"&lt;"&amp;L494)+1,""))</f>
        <v/>
      </c>
      <c r="N494" t="str">
        <f>IFERROR(INDEX(tblY10[Class],ROWS(N$10:N494))&amp;"","")</f>
        <v/>
      </c>
      <c r="O494" t="str">
        <f>IF(N494="","",IF(COUNTIF(N$10:N494,N494)=1,COUNTIF(N$10:N$609,"&lt;"&amp;N494)+1,""))</f>
        <v/>
      </c>
      <c r="P494" t="str">
        <f>IFERROR(INDEX(tblY11[Class],ROWS(P$10:P494))&amp;"","")</f>
        <v/>
      </c>
      <c r="Q494" t="str">
        <f>IF(P494="","",IF(COUNTIF(P$10:P494,P494)=1,COUNTIF(P$10:P$609,"&lt;"&amp;P494)+1,""))</f>
        <v/>
      </c>
      <c r="BA494" t="str">
        <f>IFERROR(INDEX(wLast,425)&amp;"","")</f>
        <v/>
      </c>
      <c r="BB494" t="str">
        <f>IF(BA494="","",IFERROR(INDEX(wFirst,425)&amp;"",""))</f>
        <v/>
      </c>
      <c r="BC494" t="str">
        <f>IF(BA494="","",IFERROR(INDEX(wClass,425)&amp;"",""))</f>
        <v/>
      </c>
      <c r="BD494" t="str">
        <f>IF(BA494="","",IFERROR(INDEX(wKsBand,425)+0,""))</f>
        <v/>
      </c>
      <c r="BE494" t="str">
        <f>IF(BA494="","",IFERROR(INDEX(wTests,425)+0,0))</f>
        <v/>
      </c>
      <c r="BF494" t="str">
        <f>IF(BA494="","",IFERROR(INDEX(wMean,425)+0,""))</f>
        <v/>
      </c>
      <c r="BG494" t="str">
        <f>IF(BA494="","",IFERROR(INDEX(wVs,425)+0,""))</f>
        <v/>
      </c>
      <c r="BH494" t="str">
        <f>IF(OR(BA494="",wLatest=""),"",IFERROR(INDEX(wData,425,MATCH(wLatest&amp;CHAR(10)&amp;"Stanine",wHdr,0))+0,""))</f>
        <v/>
      </c>
      <c r="BI494" t="str">
        <f>IF(BA494="","",IF(AND(ISNUMBER(BG494),N(BE494)&gt;=WlMinTests,BG494&lt;=-WlGap),"Below expected for KS2",IF(AND(NOT(ISNUMBER(BD494)),ISNUMBER(BF494),N(BE494)&gt;=WlMinTests,BF494&lt;=WlLowMean),"Low results, no KS2 data","")))</f>
        <v/>
      </c>
      <c r="BJ494" t="str">
        <f>IF(BI494="","",IF(BI494="Below expected for KS2",BG494,100+BF494)+ROW()/1000000)</f>
        <v/>
      </c>
    </row>
    <row r="495">
      <c r="H495" t="str">
        <f>IFERROR(INDEX(tblY7[Class],ROWS(H$10:H495))&amp;"","")</f>
        <v/>
      </c>
      <c r="I495" t="str">
        <f>IF(H495="","",IF(COUNTIF(H$10:H495,H495)=1,COUNTIF(H$10:H$609,"&lt;"&amp;H495)+1,""))</f>
        <v/>
      </c>
      <c r="J495" t="str">
        <f>IFERROR(INDEX(tblY8[Class],ROWS(J$10:J495))&amp;"","")</f>
        <v/>
      </c>
      <c r="K495" t="str">
        <f>IF(J495="","",IF(COUNTIF(J$10:J495,J495)=1,COUNTIF(J$10:J$609,"&lt;"&amp;J495)+1,""))</f>
        <v/>
      </c>
      <c r="L495" t="str">
        <f>IFERROR(INDEX(tblY9[Class],ROWS(L$10:L495))&amp;"","")</f>
        <v/>
      </c>
      <c r="M495" t="str">
        <f>IF(L495="","",IF(COUNTIF(L$10:L495,L495)=1,COUNTIF(L$10:L$609,"&lt;"&amp;L495)+1,""))</f>
        <v/>
      </c>
      <c r="N495" t="str">
        <f>IFERROR(INDEX(tblY10[Class],ROWS(N$10:N495))&amp;"","")</f>
        <v/>
      </c>
      <c r="O495" t="str">
        <f>IF(N495="","",IF(COUNTIF(N$10:N495,N495)=1,COUNTIF(N$10:N$609,"&lt;"&amp;N495)+1,""))</f>
        <v/>
      </c>
      <c r="P495" t="str">
        <f>IFERROR(INDEX(tblY11[Class],ROWS(P$10:P495))&amp;"","")</f>
        <v/>
      </c>
      <c r="Q495" t="str">
        <f>IF(P495="","",IF(COUNTIF(P$10:P495,P495)=1,COUNTIF(P$10:P$609,"&lt;"&amp;P495)+1,""))</f>
        <v/>
      </c>
      <c r="BA495" t="str">
        <f>IFERROR(INDEX(wLast,426)&amp;"","")</f>
        <v/>
      </c>
      <c r="BB495" t="str">
        <f>IF(BA495="","",IFERROR(INDEX(wFirst,426)&amp;"",""))</f>
        <v/>
      </c>
      <c r="BC495" t="str">
        <f>IF(BA495="","",IFERROR(INDEX(wClass,426)&amp;"",""))</f>
        <v/>
      </c>
      <c r="BD495" t="str">
        <f>IF(BA495="","",IFERROR(INDEX(wKsBand,426)+0,""))</f>
        <v/>
      </c>
      <c r="BE495" t="str">
        <f>IF(BA495="","",IFERROR(INDEX(wTests,426)+0,0))</f>
        <v/>
      </c>
      <c r="BF495" t="str">
        <f>IF(BA495="","",IFERROR(INDEX(wMean,426)+0,""))</f>
        <v/>
      </c>
      <c r="BG495" t="str">
        <f>IF(BA495="","",IFERROR(INDEX(wVs,426)+0,""))</f>
        <v/>
      </c>
      <c r="BH495" t="str">
        <f>IF(OR(BA495="",wLatest=""),"",IFERROR(INDEX(wData,426,MATCH(wLatest&amp;CHAR(10)&amp;"Stanine",wHdr,0))+0,""))</f>
        <v/>
      </c>
      <c r="BI495" t="str">
        <f>IF(BA495="","",IF(AND(ISNUMBER(BG495),N(BE495)&gt;=WlMinTests,BG495&lt;=-WlGap),"Below expected for KS2",IF(AND(NOT(ISNUMBER(BD495)),ISNUMBER(BF495),N(BE495)&gt;=WlMinTests,BF495&lt;=WlLowMean),"Low results, no KS2 data","")))</f>
        <v/>
      </c>
      <c r="BJ495" t="str">
        <f>IF(BI495="","",IF(BI495="Below expected for KS2",BG495,100+BF495)+ROW()/1000000)</f>
        <v/>
      </c>
    </row>
    <row r="496">
      <c r="H496" t="str">
        <f>IFERROR(INDEX(tblY7[Class],ROWS(H$10:H496))&amp;"","")</f>
        <v/>
      </c>
      <c r="I496" t="str">
        <f>IF(H496="","",IF(COUNTIF(H$10:H496,H496)=1,COUNTIF(H$10:H$609,"&lt;"&amp;H496)+1,""))</f>
        <v/>
      </c>
      <c r="J496" t="str">
        <f>IFERROR(INDEX(tblY8[Class],ROWS(J$10:J496))&amp;"","")</f>
        <v/>
      </c>
      <c r="K496" t="str">
        <f>IF(J496="","",IF(COUNTIF(J$10:J496,J496)=1,COUNTIF(J$10:J$609,"&lt;"&amp;J496)+1,""))</f>
        <v/>
      </c>
      <c r="L496" t="str">
        <f>IFERROR(INDEX(tblY9[Class],ROWS(L$10:L496))&amp;"","")</f>
        <v/>
      </c>
      <c r="M496" t="str">
        <f>IF(L496="","",IF(COUNTIF(L$10:L496,L496)=1,COUNTIF(L$10:L$609,"&lt;"&amp;L496)+1,""))</f>
        <v/>
      </c>
      <c r="N496" t="str">
        <f>IFERROR(INDEX(tblY10[Class],ROWS(N$10:N496))&amp;"","")</f>
        <v/>
      </c>
      <c r="O496" t="str">
        <f>IF(N496="","",IF(COUNTIF(N$10:N496,N496)=1,COUNTIF(N$10:N$609,"&lt;"&amp;N496)+1,""))</f>
        <v/>
      </c>
      <c r="P496" t="str">
        <f>IFERROR(INDEX(tblY11[Class],ROWS(P$10:P496))&amp;"","")</f>
        <v/>
      </c>
      <c r="Q496" t="str">
        <f>IF(P496="","",IF(COUNTIF(P$10:P496,P496)=1,COUNTIF(P$10:P$609,"&lt;"&amp;P496)+1,""))</f>
        <v/>
      </c>
      <c r="BA496" t="str">
        <f>IFERROR(INDEX(wLast,427)&amp;"","")</f>
        <v/>
      </c>
      <c r="BB496" t="str">
        <f>IF(BA496="","",IFERROR(INDEX(wFirst,427)&amp;"",""))</f>
        <v/>
      </c>
      <c r="BC496" t="str">
        <f>IF(BA496="","",IFERROR(INDEX(wClass,427)&amp;"",""))</f>
        <v/>
      </c>
      <c r="BD496" t="str">
        <f>IF(BA496="","",IFERROR(INDEX(wKsBand,427)+0,""))</f>
        <v/>
      </c>
      <c r="BE496" t="str">
        <f>IF(BA496="","",IFERROR(INDEX(wTests,427)+0,0))</f>
        <v/>
      </c>
      <c r="BF496" t="str">
        <f>IF(BA496="","",IFERROR(INDEX(wMean,427)+0,""))</f>
        <v/>
      </c>
      <c r="BG496" t="str">
        <f>IF(BA496="","",IFERROR(INDEX(wVs,427)+0,""))</f>
        <v/>
      </c>
      <c r="BH496" t="str">
        <f>IF(OR(BA496="",wLatest=""),"",IFERROR(INDEX(wData,427,MATCH(wLatest&amp;CHAR(10)&amp;"Stanine",wHdr,0))+0,""))</f>
        <v/>
      </c>
      <c r="BI496" t="str">
        <f>IF(BA496="","",IF(AND(ISNUMBER(BG496),N(BE496)&gt;=WlMinTests,BG496&lt;=-WlGap),"Below expected for KS2",IF(AND(NOT(ISNUMBER(BD496)),ISNUMBER(BF496),N(BE496)&gt;=WlMinTests,BF496&lt;=WlLowMean),"Low results, no KS2 data","")))</f>
        <v/>
      </c>
      <c r="BJ496" t="str">
        <f>IF(BI496="","",IF(BI496="Below expected for KS2",BG496,100+BF496)+ROW()/1000000)</f>
        <v/>
      </c>
    </row>
    <row r="497">
      <c r="H497" t="str">
        <f>IFERROR(INDEX(tblY7[Class],ROWS(H$10:H497))&amp;"","")</f>
        <v/>
      </c>
      <c r="I497" t="str">
        <f>IF(H497="","",IF(COUNTIF(H$10:H497,H497)=1,COUNTIF(H$10:H$609,"&lt;"&amp;H497)+1,""))</f>
        <v/>
      </c>
      <c r="J497" t="str">
        <f>IFERROR(INDEX(tblY8[Class],ROWS(J$10:J497))&amp;"","")</f>
        <v/>
      </c>
      <c r="K497" t="str">
        <f>IF(J497="","",IF(COUNTIF(J$10:J497,J497)=1,COUNTIF(J$10:J$609,"&lt;"&amp;J497)+1,""))</f>
        <v/>
      </c>
      <c r="L497" t="str">
        <f>IFERROR(INDEX(tblY9[Class],ROWS(L$10:L497))&amp;"","")</f>
        <v/>
      </c>
      <c r="M497" t="str">
        <f>IF(L497="","",IF(COUNTIF(L$10:L497,L497)=1,COUNTIF(L$10:L$609,"&lt;"&amp;L497)+1,""))</f>
        <v/>
      </c>
      <c r="N497" t="str">
        <f>IFERROR(INDEX(tblY10[Class],ROWS(N$10:N497))&amp;"","")</f>
        <v/>
      </c>
      <c r="O497" t="str">
        <f>IF(N497="","",IF(COUNTIF(N$10:N497,N497)=1,COUNTIF(N$10:N$609,"&lt;"&amp;N497)+1,""))</f>
        <v/>
      </c>
      <c r="P497" t="str">
        <f>IFERROR(INDEX(tblY11[Class],ROWS(P$10:P497))&amp;"","")</f>
        <v/>
      </c>
      <c r="Q497" t="str">
        <f>IF(P497="","",IF(COUNTIF(P$10:P497,P497)=1,COUNTIF(P$10:P$609,"&lt;"&amp;P497)+1,""))</f>
        <v/>
      </c>
      <c r="BA497" t="str">
        <f>IFERROR(INDEX(wLast,428)&amp;"","")</f>
        <v/>
      </c>
      <c r="BB497" t="str">
        <f>IF(BA497="","",IFERROR(INDEX(wFirst,428)&amp;"",""))</f>
        <v/>
      </c>
      <c r="BC497" t="str">
        <f>IF(BA497="","",IFERROR(INDEX(wClass,428)&amp;"",""))</f>
        <v/>
      </c>
      <c r="BD497" t="str">
        <f>IF(BA497="","",IFERROR(INDEX(wKsBand,428)+0,""))</f>
        <v/>
      </c>
      <c r="BE497" t="str">
        <f>IF(BA497="","",IFERROR(INDEX(wTests,428)+0,0))</f>
        <v/>
      </c>
      <c r="BF497" t="str">
        <f>IF(BA497="","",IFERROR(INDEX(wMean,428)+0,""))</f>
        <v/>
      </c>
      <c r="BG497" t="str">
        <f>IF(BA497="","",IFERROR(INDEX(wVs,428)+0,""))</f>
        <v/>
      </c>
      <c r="BH497" t="str">
        <f>IF(OR(BA497="",wLatest=""),"",IFERROR(INDEX(wData,428,MATCH(wLatest&amp;CHAR(10)&amp;"Stanine",wHdr,0))+0,""))</f>
        <v/>
      </c>
      <c r="BI497" t="str">
        <f>IF(BA497="","",IF(AND(ISNUMBER(BG497),N(BE497)&gt;=WlMinTests,BG497&lt;=-WlGap),"Below expected for KS2",IF(AND(NOT(ISNUMBER(BD497)),ISNUMBER(BF497),N(BE497)&gt;=WlMinTests,BF497&lt;=WlLowMean),"Low results, no KS2 data","")))</f>
        <v/>
      </c>
      <c r="BJ497" t="str">
        <f>IF(BI497="","",IF(BI497="Below expected for KS2",BG497,100+BF497)+ROW()/1000000)</f>
        <v/>
      </c>
    </row>
    <row r="498">
      <c r="H498" t="str">
        <f>IFERROR(INDEX(tblY7[Class],ROWS(H$10:H498))&amp;"","")</f>
        <v/>
      </c>
      <c r="I498" t="str">
        <f>IF(H498="","",IF(COUNTIF(H$10:H498,H498)=1,COUNTIF(H$10:H$609,"&lt;"&amp;H498)+1,""))</f>
        <v/>
      </c>
      <c r="J498" t="str">
        <f>IFERROR(INDEX(tblY8[Class],ROWS(J$10:J498))&amp;"","")</f>
        <v/>
      </c>
      <c r="K498" t="str">
        <f>IF(J498="","",IF(COUNTIF(J$10:J498,J498)=1,COUNTIF(J$10:J$609,"&lt;"&amp;J498)+1,""))</f>
        <v/>
      </c>
      <c r="L498" t="str">
        <f>IFERROR(INDEX(tblY9[Class],ROWS(L$10:L498))&amp;"","")</f>
        <v/>
      </c>
      <c r="M498" t="str">
        <f>IF(L498="","",IF(COUNTIF(L$10:L498,L498)=1,COUNTIF(L$10:L$609,"&lt;"&amp;L498)+1,""))</f>
        <v/>
      </c>
      <c r="N498" t="str">
        <f>IFERROR(INDEX(tblY10[Class],ROWS(N$10:N498))&amp;"","")</f>
        <v/>
      </c>
      <c r="O498" t="str">
        <f>IF(N498="","",IF(COUNTIF(N$10:N498,N498)=1,COUNTIF(N$10:N$609,"&lt;"&amp;N498)+1,""))</f>
        <v/>
      </c>
      <c r="P498" t="str">
        <f>IFERROR(INDEX(tblY11[Class],ROWS(P$10:P498))&amp;"","")</f>
        <v/>
      </c>
      <c r="Q498" t="str">
        <f>IF(P498="","",IF(COUNTIF(P$10:P498,P498)=1,COUNTIF(P$10:P$609,"&lt;"&amp;P498)+1,""))</f>
        <v/>
      </c>
      <c r="BA498" t="str">
        <f>IFERROR(INDEX(wLast,429)&amp;"","")</f>
        <v/>
      </c>
      <c r="BB498" t="str">
        <f>IF(BA498="","",IFERROR(INDEX(wFirst,429)&amp;"",""))</f>
        <v/>
      </c>
      <c r="BC498" t="str">
        <f>IF(BA498="","",IFERROR(INDEX(wClass,429)&amp;"",""))</f>
        <v/>
      </c>
      <c r="BD498" t="str">
        <f>IF(BA498="","",IFERROR(INDEX(wKsBand,429)+0,""))</f>
        <v/>
      </c>
      <c r="BE498" t="str">
        <f>IF(BA498="","",IFERROR(INDEX(wTests,429)+0,0))</f>
        <v/>
      </c>
      <c r="BF498" t="str">
        <f>IF(BA498="","",IFERROR(INDEX(wMean,429)+0,""))</f>
        <v/>
      </c>
      <c r="BG498" t="str">
        <f>IF(BA498="","",IFERROR(INDEX(wVs,429)+0,""))</f>
        <v/>
      </c>
      <c r="BH498" t="str">
        <f>IF(OR(BA498="",wLatest=""),"",IFERROR(INDEX(wData,429,MATCH(wLatest&amp;CHAR(10)&amp;"Stanine",wHdr,0))+0,""))</f>
        <v/>
      </c>
      <c r="BI498" t="str">
        <f>IF(BA498="","",IF(AND(ISNUMBER(BG498),N(BE498)&gt;=WlMinTests,BG498&lt;=-WlGap),"Below expected for KS2",IF(AND(NOT(ISNUMBER(BD498)),ISNUMBER(BF498),N(BE498)&gt;=WlMinTests,BF498&lt;=WlLowMean),"Low results, no KS2 data","")))</f>
        <v/>
      </c>
      <c r="BJ498" t="str">
        <f>IF(BI498="","",IF(BI498="Below expected for KS2",BG498,100+BF498)+ROW()/1000000)</f>
        <v/>
      </c>
    </row>
    <row r="499">
      <c r="H499" t="str">
        <f>IFERROR(INDEX(tblY7[Class],ROWS(H$10:H499))&amp;"","")</f>
        <v/>
      </c>
      <c r="I499" t="str">
        <f>IF(H499="","",IF(COUNTIF(H$10:H499,H499)=1,COUNTIF(H$10:H$609,"&lt;"&amp;H499)+1,""))</f>
        <v/>
      </c>
      <c r="J499" t="str">
        <f>IFERROR(INDEX(tblY8[Class],ROWS(J$10:J499))&amp;"","")</f>
        <v/>
      </c>
      <c r="K499" t="str">
        <f>IF(J499="","",IF(COUNTIF(J$10:J499,J499)=1,COUNTIF(J$10:J$609,"&lt;"&amp;J499)+1,""))</f>
        <v/>
      </c>
      <c r="L499" t="str">
        <f>IFERROR(INDEX(tblY9[Class],ROWS(L$10:L499))&amp;"","")</f>
        <v/>
      </c>
      <c r="M499" t="str">
        <f>IF(L499="","",IF(COUNTIF(L$10:L499,L499)=1,COUNTIF(L$10:L$609,"&lt;"&amp;L499)+1,""))</f>
        <v/>
      </c>
      <c r="N499" t="str">
        <f>IFERROR(INDEX(tblY10[Class],ROWS(N$10:N499))&amp;"","")</f>
        <v/>
      </c>
      <c r="O499" t="str">
        <f>IF(N499="","",IF(COUNTIF(N$10:N499,N499)=1,COUNTIF(N$10:N$609,"&lt;"&amp;N499)+1,""))</f>
        <v/>
      </c>
      <c r="P499" t="str">
        <f>IFERROR(INDEX(tblY11[Class],ROWS(P$10:P499))&amp;"","")</f>
        <v/>
      </c>
      <c r="Q499" t="str">
        <f>IF(P499="","",IF(COUNTIF(P$10:P499,P499)=1,COUNTIF(P$10:P$609,"&lt;"&amp;P499)+1,""))</f>
        <v/>
      </c>
      <c r="BA499" t="str">
        <f>IFERROR(INDEX(wLast,430)&amp;"","")</f>
        <v/>
      </c>
      <c r="BB499" t="str">
        <f>IF(BA499="","",IFERROR(INDEX(wFirst,430)&amp;"",""))</f>
        <v/>
      </c>
      <c r="BC499" t="str">
        <f>IF(BA499="","",IFERROR(INDEX(wClass,430)&amp;"",""))</f>
        <v/>
      </c>
      <c r="BD499" t="str">
        <f>IF(BA499="","",IFERROR(INDEX(wKsBand,430)+0,""))</f>
        <v/>
      </c>
      <c r="BE499" t="str">
        <f>IF(BA499="","",IFERROR(INDEX(wTests,430)+0,0))</f>
        <v/>
      </c>
      <c r="BF499" t="str">
        <f>IF(BA499="","",IFERROR(INDEX(wMean,430)+0,""))</f>
        <v/>
      </c>
      <c r="BG499" t="str">
        <f>IF(BA499="","",IFERROR(INDEX(wVs,430)+0,""))</f>
        <v/>
      </c>
      <c r="BH499" t="str">
        <f>IF(OR(BA499="",wLatest=""),"",IFERROR(INDEX(wData,430,MATCH(wLatest&amp;CHAR(10)&amp;"Stanine",wHdr,0))+0,""))</f>
        <v/>
      </c>
      <c r="BI499" t="str">
        <f>IF(BA499="","",IF(AND(ISNUMBER(BG499),N(BE499)&gt;=WlMinTests,BG499&lt;=-WlGap),"Below expected for KS2",IF(AND(NOT(ISNUMBER(BD499)),ISNUMBER(BF499),N(BE499)&gt;=WlMinTests,BF499&lt;=WlLowMean),"Low results, no KS2 data","")))</f>
        <v/>
      </c>
      <c r="BJ499" t="str">
        <f>IF(BI499="","",IF(BI499="Below expected for KS2",BG499,100+BF499)+ROW()/1000000)</f>
        <v/>
      </c>
    </row>
    <row r="500">
      <c r="H500" t="str">
        <f>IFERROR(INDEX(tblY7[Class],ROWS(H$10:H500))&amp;"","")</f>
        <v/>
      </c>
      <c r="I500" t="str">
        <f>IF(H500="","",IF(COUNTIF(H$10:H500,H500)=1,COUNTIF(H$10:H$609,"&lt;"&amp;H500)+1,""))</f>
        <v/>
      </c>
      <c r="J500" t="str">
        <f>IFERROR(INDEX(tblY8[Class],ROWS(J$10:J500))&amp;"","")</f>
        <v/>
      </c>
      <c r="K500" t="str">
        <f>IF(J500="","",IF(COUNTIF(J$10:J500,J500)=1,COUNTIF(J$10:J$609,"&lt;"&amp;J500)+1,""))</f>
        <v/>
      </c>
      <c r="L500" t="str">
        <f>IFERROR(INDEX(tblY9[Class],ROWS(L$10:L500))&amp;"","")</f>
        <v/>
      </c>
      <c r="M500" t="str">
        <f>IF(L500="","",IF(COUNTIF(L$10:L500,L500)=1,COUNTIF(L$10:L$609,"&lt;"&amp;L500)+1,""))</f>
        <v/>
      </c>
      <c r="N500" t="str">
        <f>IFERROR(INDEX(tblY10[Class],ROWS(N$10:N500))&amp;"","")</f>
        <v/>
      </c>
      <c r="O500" t="str">
        <f>IF(N500="","",IF(COUNTIF(N$10:N500,N500)=1,COUNTIF(N$10:N$609,"&lt;"&amp;N500)+1,""))</f>
        <v/>
      </c>
      <c r="P500" t="str">
        <f>IFERROR(INDEX(tblY11[Class],ROWS(P$10:P500))&amp;"","")</f>
        <v/>
      </c>
      <c r="Q500" t="str">
        <f>IF(P500="","",IF(COUNTIF(P$10:P500,P500)=1,COUNTIF(P$10:P$609,"&lt;"&amp;P500)+1,""))</f>
        <v/>
      </c>
      <c r="BA500" t="str">
        <f>IFERROR(INDEX(wLast,431)&amp;"","")</f>
        <v/>
      </c>
      <c r="BB500" t="str">
        <f>IF(BA500="","",IFERROR(INDEX(wFirst,431)&amp;"",""))</f>
        <v/>
      </c>
      <c r="BC500" t="str">
        <f>IF(BA500="","",IFERROR(INDEX(wClass,431)&amp;"",""))</f>
        <v/>
      </c>
      <c r="BD500" t="str">
        <f>IF(BA500="","",IFERROR(INDEX(wKsBand,431)+0,""))</f>
        <v/>
      </c>
      <c r="BE500" t="str">
        <f>IF(BA500="","",IFERROR(INDEX(wTests,431)+0,0))</f>
        <v/>
      </c>
      <c r="BF500" t="str">
        <f>IF(BA500="","",IFERROR(INDEX(wMean,431)+0,""))</f>
        <v/>
      </c>
      <c r="BG500" t="str">
        <f>IF(BA500="","",IFERROR(INDEX(wVs,431)+0,""))</f>
        <v/>
      </c>
      <c r="BH500" t="str">
        <f>IF(OR(BA500="",wLatest=""),"",IFERROR(INDEX(wData,431,MATCH(wLatest&amp;CHAR(10)&amp;"Stanine",wHdr,0))+0,""))</f>
        <v/>
      </c>
      <c r="BI500" t="str">
        <f>IF(BA500="","",IF(AND(ISNUMBER(BG500),N(BE500)&gt;=WlMinTests,BG500&lt;=-WlGap),"Below expected for KS2",IF(AND(NOT(ISNUMBER(BD500)),ISNUMBER(BF500),N(BE500)&gt;=WlMinTests,BF500&lt;=WlLowMean),"Low results, no KS2 data","")))</f>
        <v/>
      </c>
      <c r="BJ500" t="str">
        <f>IF(BI500="","",IF(BI500="Below expected for KS2",BG500,100+BF500)+ROW()/1000000)</f>
        <v/>
      </c>
    </row>
    <row r="501">
      <c r="H501" t="str">
        <f>IFERROR(INDEX(tblY7[Class],ROWS(H$10:H501))&amp;"","")</f>
        <v/>
      </c>
      <c r="I501" t="str">
        <f>IF(H501="","",IF(COUNTIF(H$10:H501,H501)=1,COUNTIF(H$10:H$609,"&lt;"&amp;H501)+1,""))</f>
        <v/>
      </c>
      <c r="J501" t="str">
        <f>IFERROR(INDEX(tblY8[Class],ROWS(J$10:J501))&amp;"","")</f>
        <v/>
      </c>
      <c r="K501" t="str">
        <f>IF(J501="","",IF(COUNTIF(J$10:J501,J501)=1,COUNTIF(J$10:J$609,"&lt;"&amp;J501)+1,""))</f>
        <v/>
      </c>
      <c r="L501" t="str">
        <f>IFERROR(INDEX(tblY9[Class],ROWS(L$10:L501))&amp;"","")</f>
        <v/>
      </c>
      <c r="M501" t="str">
        <f>IF(L501="","",IF(COUNTIF(L$10:L501,L501)=1,COUNTIF(L$10:L$609,"&lt;"&amp;L501)+1,""))</f>
        <v/>
      </c>
      <c r="N501" t="str">
        <f>IFERROR(INDEX(tblY10[Class],ROWS(N$10:N501))&amp;"","")</f>
        <v/>
      </c>
      <c r="O501" t="str">
        <f>IF(N501="","",IF(COUNTIF(N$10:N501,N501)=1,COUNTIF(N$10:N$609,"&lt;"&amp;N501)+1,""))</f>
        <v/>
      </c>
      <c r="P501" t="str">
        <f>IFERROR(INDEX(tblY11[Class],ROWS(P$10:P501))&amp;"","")</f>
        <v/>
      </c>
      <c r="Q501" t="str">
        <f>IF(P501="","",IF(COUNTIF(P$10:P501,P501)=1,COUNTIF(P$10:P$609,"&lt;"&amp;P501)+1,""))</f>
        <v/>
      </c>
      <c r="BA501" t="str">
        <f>IFERROR(INDEX(wLast,432)&amp;"","")</f>
        <v/>
      </c>
      <c r="BB501" t="str">
        <f>IF(BA501="","",IFERROR(INDEX(wFirst,432)&amp;"",""))</f>
        <v/>
      </c>
      <c r="BC501" t="str">
        <f>IF(BA501="","",IFERROR(INDEX(wClass,432)&amp;"",""))</f>
        <v/>
      </c>
      <c r="BD501" t="str">
        <f>IF(BA501="","",IFERROR(INDEX(wKsBand,432)+0,""))</f>
        <v/>
      </c>
      <c r="BE501" t="str">
        <f>IF(BA501="","",IFERROR(INDEX(wTests,432)+0,0))</f>
        <v/>
      </c>
      <c r="BF501" t="str">
        <f>IF(BA501="","",IFERROR(INDEX(wMean,432)+0,""))</f>
        <v/>
      </c>
      <c r="BG501" t="str">
        <f>IF(BA501="","",IFERROR(INDEX(wVs,432)+0,""))</f>
        <v/>
      </c>
      <c r="BH501" t="str">
        <f>IF(OR(BA501="",wLatest=""),"",IFERROR(INDEX(wData,432,MATCH(wLatest&amp;CHAR(10)&amp;"Stanine",wHdr,0))+0,""))</f>
        <v/>
      </c>
      <c r="BI501" t="str">
        <f>IF(BA501="","",IF(AND(ISNUMBER(BG501),N(BE501)&gt;=WlMinTests,BG501&lt;=-WlGap),"Below expected for KS2",IF(AND(NOT(ISNUMBER(BD501)),ISNUMBER(BF501),N(BE501)&gt;=WlMinTests,BF501&lt;=WlLowMean),"Low results, no KS2 data","")))</f>
        <v/>
      </c>
      <c r="BJ501" t="str">
        <f>IF(BI501="","",IF(BI501="Below expected for KS2",BG501,100+BF501)+ROW()/1000000)</f>
        <v/>
      </c>
    </row>
    <row r="502">
      <c r="H502" t="str">
        <f>IFERROR(INDEX(tblY7[Class],ROWS(H$10:H502))&amp;"","")</f>
        <v/>
      </c>
      <c r="I502" t="str">
        <f>IF(H502="","",IF(COUNTIF(H$10:H502,H502)=1,COUNTIF(H$10:H$609,"&lt;"&amp;H502)+1,""))</f>
        <v/>
      </c>
      <c r="J502" t="str">
        <f>IFERROR(INDEX(tblY8[Class],ROWS(J$10:J502))&amp;"","")</f>
        <v/>
      </c>
      <c r="K502" t="str">
        <f>IF(J502="","",IF(COUNTIF(J$10:J502,J502)=1,COUNTIF(J$10:J$609,"&lt;"&amp;J502)+1,""))</f>
        <v/>
      </c>
      <c r="L502" t="str">
        <f>IFERROR(INDEX(tblY9[Class],ROWS(L$10:L502))&amp;"","")</f>
        <v/>
      </c>
      <c r="M502" t="str">
        <f>IF(L502="","",IF(COUNTIF(L$10:L502,L502)=1,COUNTIF(L$10:L$609,"&lt;"&amp;L502)+1,""))</f>
        <v/>
      </c>
      <c r="N502" t="str">
        <f>IFERROR(INDEX(tblY10[Class],ROWS(N$10:N502))&amp;"","")</f>
        <v/>
      </c>
      <c r="O502" t="str">
        <f>IF(N502="","",IF(COUNTIF(N$10:N502,N502)=1,COUNTIF(N$10:N$609,"&lt;"&amp;N502)+1,""))</f>
        <v/>
      </c>
      <c r="P502" t="str">
        <f>IFERROR(INDEX(tblY11[Class],ROWS(P$10:P502))&amp;"","")</f>
        <v/>
      </c>
      <c r="Q502" t="str">
        <f>IF(P502="","",IF(COUNTIF(P$10:P502,P502)=1,COUNTIF(P$10:P$609,"&lt;"&amp;P502)+1,""))</f>
        <v/>
      </c>
      <c r="BA502" t="str">
        <f>IFERROR(INDEX(wLast,433)&amp;"","")</f>
        <v/>
      </c>
      <c r="BB502" t="str">
        <f>IF(BA502="","",IFERROR(INDEX(wFirst,433)&amp;"",""))</f>
        <v/>
      </c>
      <c r="BC502" t="str">
        <f>IF(BA502="","",IFERROR(INDEX(wClass,433)&amp;"",""))</f>
        <v/>
      </c>
      <c r="BD502" t="str">
        <f>IF(BA502="","",IFERROR(INDEX(wKsBand,433)+0,""))</f>
        <v/>
      </c>
      <c r="BE502" t="str">
        <f>IF(BA502="","",IFERROR(INDEX(wTests,433)+0,0))</f>
        <v/>
      </c>
      <c r="BF502" t="str">
        <f>IF(BA502="","",IFERROR(INDEX(wMean,433)+0,""))</f>
        <v/>
      </c>
      <c r="BG502" t="str">
        <f>IF(BA502="","",IFERROR(INDEX(wVs,433)+0,""))</f>
        <v/>
      </c>
      <c r="BH502" t="str">
        <f>IF(OR(BA502="",wLatest=""),"",IFERROR(INDEX(wData,433,MATCH(wLatest&amp;CHAR(10)&amp;"Stanine",wHdr,0))+0,""))</f>
        <v/>
      </c>
      <c r="BI502" t="str">
        <f>IF(BA502="","",IF(AND(ISNUMBER(BG502),N(BE502)&gt;=WlMinTests,BG502&lt;=-WlGap),"Below expected for KS2",IF(AND(NOT(ISNUMBER(BD502)),ISNUMBER(BF502),N(BE502)&gt;=WlMinTests,BF502&lt;=WlLowMean),"Low results, no KS2 data","")))</f>
        <v/>
      </c>
      <c r="BJ502" t="str">
        <f>IF(BI502="","",IF(BI502="Below expected for KS2",BG502,100+BF502)+ROW()/1000000)</f>
        <v/>
      </c>
    </row>
    <row r="503">
      <c r="H503" t="str">
        <f>IFERROR(INDEX(tblY7[Class],ROWS(H$10:H503))&amp;"","")</f>
        <v/>
      </c>
      <c r="I503" t="str">
        <f>IF(H503="","",IF(COUNTIF(H$10:H503,H503)=1,COUNTIF(H$10:H$609,"&lt;"&amp;H503)+1,""))</f>
        <v/>
      </c>
      <c r="J503" t="str">
        <f>IFERROR(INDEX(tblY8[Class],ROWS(J$10:J503))&amp;"","")</f>
        <v/>
      </c>
      <c r="K503" t="str">
        <f>IF(J503="","",IF(COUNTIF(J$10:J503,J503)=1,COUNTIF(J$10:J$609,"&lt;"&amp;J503)+1,""))</f>
        <v/>
      </c>
      <c r="L503" t="str">
        <f>IFERROR(INDEX(tblY9[Class],ROWS(L$10:L503))&amp;"","")</f>
        <v/>
      </c>
      <c r="M503" t="str">
        <f>IF(L503="","",IF(COUNTIF(L$10:L503,L503)=1,COUNTIF(L$10:L$609,"&lt;"&amp;L503)+1,""))</f>
        <v/>
      </c>
      <c r="N503" t="str">
        <f>IFERROR(INDEX(tblY10[Class],ROWS(N$10:N503))&amp;"","")</f>
        <v/>
      </c>
      <c r="O503" t="str">
        <f>IF(N503="","",IF(COUNTIF(N$10:N503,N503)=1,COUNTIF(N$10:N$609,"&lt;"&amp;N503)+1,""))</f>
        <v/>
      </c>
      <c r="P503" t="str">
        <f>IFERROR(INDEX(tblY11[Class],ROWS(P$10:P503))&amp;"","")</f>
        <v/>
      </c>
      <c r="Q503" t="str">
        <f>IF(P503="","",IF(COUNTIF(P$10:P503,P503)=1,COUNTIF(P$10:P$609,"&lt;"&amp;P503)+1,""))</f>
        <v/>
      </c>
      <c r="BA503" t="str">
        <f>IFERROR(INDEX(wLast,434)&amp;"","")</f>
        <v/>
      </c>
      <c r="BB503" t="str">
        <f>IF(BA503="","",IFERROR(INDEX(wFirst,434)&amp;"",""))</f>
        <v/>
      </c>
      <c r="BC503" t="str">
        <f>IF(BA503="","",IFERROR(INDEX(wClass,434)&amp;"",""))</f>
        <v/>
      </c>
      <c r="BD503" t="str">
        <f>IF(BA503="","",IFERROR(INDEX(wKsBand,434)+0,""))</f>
        <v/>
      </c>
      <c r="BE503" t="str">
        <f>IF(BA503="","",IFERROR(INDEX(wTests,434)+0,0))</f>
        <v/>
      </c>
      <c r="BF503" t="str">
        <f>IF(BA503="","",IFERROR(INDEX(wMean,434)+0,""))</f>
        <v/>
      </c>
      <c r="BG503" t="str">
        <f>IF(BA503="","",IFERROR(INDEX(wVs,434)+0,""))</f>
        <v/>
      </c>
      <c r="BH503" t="str">
        <f>IF(OR(BA503="",wLatest=""),"",IFERROR(INDEX(wData,434,MATCH(wLatest&amp;CHAR(10)&amp;"Stanine",wHdr,0))+0,""))</f>
        <v/>
      </c>
      <c r="BI503" t="str">
        <f>IF(BA503="","",IF(AND(ISNUMBER(BG503),N(BE503)&gt;=WlMinTests,BG503&lt;=-WlGap),"Below expected for KS2",IF(AND(NOT(ISNUMBER(BD503)),ISNUMBER(BF503),N(BE503)&gt;=WlMinTests,BF503&lt;=WlLowMean),"Low results, no KS2 data","")))</f>
        <v/>
      </c>
      <c r="BJ503" t="str">
        <f>IF(BI503="","",IF(BI503="Below expected for KS2",BG503,100+BF503)+ROW()/1000000)</f>
        <v/>
      </c>
    </row>
    <row r="504">
      <c r="H504" t="str">
        <f>IFERROR(INDEX(tblY7[Class],ROWS(H$10:H504))&amp;"","")</f>
        <v/>
      </c>
      <c r="I504" t="str">
        <f>IF(H504="","",IF(COUNTIF(H$10:H504,H504)=1,COUNTIF(H$10:H$609,"&lt;"&amp;H504)+1,""))</f>
        <v/>
      </c>
      <c r="J504" t="str">
        <f>IFERROR(INDEX(tblY8[Class],ROWS(J$10:J504))&amp;"","")</f>
        <v/>
      </c>
      <c r="K504" t="str">
        <f>IF(J504="","",IF(COUNTIF(J$10:J504,J504)=1,COUNTIF(J$10:J$609,"&lt;"&amp;J504)+1,""))</f>
        <v/>
      </c>
      <c r="L504" t="str">
        <f>IFERROR(INDEX(tblY9[Class],ROWS(L$10:L504))&amp;"","")</f>
        <v/>
      </c>
      <c r="M504" t="str">
        <f>IF(L504="","",IF(COUNTIF(L$10:L504,L504)=1,COUNTIF(L$10:L$609,"&lt;"&amp;L504)+1,""))</f>
        <v/>
      </c>
      <c r="N504" t="str">
        <f>IFERROR(INDEX(tblY10[Class],ROWS(N$10:N504))&amp;"","")</f>
        <v/>
      </c>
      <c r="O504" t="str">
        <f>IF(N504="","",IF(COUNTIF(N$10:N504,N504)=1,COUNTIF(N$10:N$609,"&lt;"&amp;N504)+1,""))</f>
        <v/>
      </c>
      <c r="P504" t="str">
        <f>IFERROR(INDEX(tblY11[Class],ROWS(P$10:P504))&amp;"","")</f>
        <v/>
      </c>
      <c r="Q504" t="str">
        <f>IF(P504="","",IF(COUNTIF(P$10:P504,P504)=1,COUNTIF(P$10:P$609,"&lt;"&amp;P504)+1,""))</f>
        <v/>
      </c>
      <c r="BA504" t="str">
        <f>IFERROR(INDEX(wLast,435)&amp;"","")</f>
        <v/>
      </c>
      <c r="BB504" t="str">
        <f>IF(BA504="","",IFERROR(INDEX(wFirst,435)&amp;"",""))</f>
        <v/>
      </c>
      <c r="BC504" t="str">
        <f>IF(BA504="","",IFERROR(INDEX(wClass,435)&amp;"",""))</f>
        <v/>
      </c>
      <c r="BD504" t="str">
        <f>IF(BA504="","",IFERROR(INDEX(wKsBand,435)+0,""))</f>
        <v/>
      </c>
      <c r="BE504" t="str">
        <f>IF(BA504="","",IFERROR(INDEX(wTests,435)+0,0))</f>
        <v/>
      </c>
      <c r="BF504" t="str">
        <f>IF(BA504="","",IFERROR(INDEX(wMean,435)+0,""))</f>
        <v/>
      </c>
      <c r="BG504" t="str">
        <f>IF(BA504="","",IFERROR(INDEX(wVs,435)+0,""))</f>
        <v/>
      </c>
      <c r="BH504" t="str">
        <f>IF(OR(BA504="",wLatest=""),"",IFERROR(INDEX(wData,435,MATCH(wLatest&amp;CHAR(10)&amp;"Stanine",wHdr,0))+0,""))</f>
        <v/>
      </c>
      <c r="BI504" t="str">
        <f>IF(BA504="","",IF(AND(ISNUMBER(BG504),N(BE504)&gt;=WlMinTests,BG504&lt;=-WlGap),"Below expected for KS2",IF(AND(NOT(ISNUMBER(BD504)),ISNUMBER(BF504),N(BE504)&gt;=WlMinTests,BF504&lt;=WlLowMean),"Low results, no KS2 data","")))</f>
        <v/>
      </c>
      <c r="BJ504" t="str">
        <f>IF(BI504="","",IF(BI504="Below expected for KS2",BG504,100+BF504)+ROW()/1000000)</f>
        <v/>
      </c>
    </row>
    <row r="505">
      <c r="H505" t="str">
        <f>IFERROR(INDEX(tblY7[Class],ROWS(H$10:H505))&amp;"","")</f>
        <v/>
      </c>
      <c r="I505" t="str">
        <f>IF(H505="","",IF(COUNTIF(H$10:H505,H505)=1,COUNTIF(H$10:H$609,"&lt;"&amp;H505)+1,""))</f>
        <v/>
      </c>
      <c r="J505" t="str">
        <f>IFERROR(INDEX(tblY8[Class],ROWS(J$10:J505))&amp;"","")</f>
        <v/>
      </c>
      <c r="K505" t="str">
        <f>IF(J505="","",IF(COUNTIF(J$10:J505,J505)=1,COUNTIF(J$10:J$609,"&lt;"&amp;J505)+1,""))</f>
        <v/>
      </c>
      <c r="L505" t="str">
        <f>IFERROR(INDEX(tblY9[Class],ROWS(L$10:L505))&amp;"","")</f>
        <v/>
      </c>
      <c r="M505" t="str">
        <f>IF(L505="","",IF(COUNTIF(L$10:L505,L505)=1,COUNTIF(L$10:L$609,"&lt;"&amp;L505)+1,""))</f>
        <v/>
      </c>
      <c r="N505" t="str">
        <f>IFERROR(INDEX(tblY10[Class],ROWS(N$10:N505))&amp;"","")</f>
        <v/>
      </c>
      <c r="O505" t="str">
        <f>IF(N505="","",IF(COUNTIF(N$10:N505,N505)=1,COUNTIF(N$10:N$609,"&lt;"&amp;N505)+1,""))</f>
        <v/>
      </c>
      <c r="P505" t="str">
        <f>IFERROR(INDEX(tblY11[Class],ROWS(P$10:P505))&amp;"","")</f>
        <v/>
      </c>
      <c r="Q505" t="str">
        <f>IF(P505="","",IF(COUNTIF(P$10:P505,P505)=1,COUNTIF(P$10:P$609,"&lt;"&amp;P505)+1,""))</f>
        <v/>
      </c>
      <c r="BA505" t="str">
        <f>IFERROR(INDEX(wLast,436)&amp;"","")</f>
        <v/>
      </c>
      <c r="BB505" t="str">
        <f>IF(BA505="","",IFERROR(INDEX(wFirst,436)&amp;"",""))</f>
        <v/>
      </c>
      <c r="BC505" t="str">
        <f>IF(BA505="","",IFERROR(INDEX(wClass,436)&amp;"",""))</f>
        <v/>
      </c>
      <c r="BD505" t="str">
        <f>IF(BA505="","",IFERROR(INDEX(wKsBand,436)+0,""))</f>
        <v/>
      </c>
      <c r="BE505" t="str">
        <f>IF(BA505="","",IFERROR(INDEX(wTests,436)+0,0))</f>
        <v/>
      </c>
      <c r="BF505" t="str">
        <f>IF(BA505="","",IFERROR(INDEX(wMean,436)+0,""))</f>
        <v/>
      </c>
      <c r="BG505" t="str">
        <f>IF(BA505="","",IFERROR(INDEX(wVs,436)+0,""))</f>
        <v/>
      </c>
      <c r="BH505" t="str">
        <f>IF(OR(BA505="",wLatest=""),"",IFERROR(INDEX(wData,436,MATCH(wLatest&amp;CHAR(10)&amp;"Stanine",wHdr,0))+0,""))</f>
        <v/>
      </c>
      <c r="BI505" t="str">
        <f>IF(BA505="","",IF(AND(ISNUMBER(BG505),N(BE505)&gt;=WlMinTests,BG505&lt;=-WlGap),"Below expected for KS2",IF(AND(NOT(ISNUMBER(BD505)),ISNUMBER(BF505),N(BE505)&gt;=WlMinTests,BF505&lt;=WlLowMean),"Low results, no KS2 data","")))</f>
        <v/>
      </c>
      <c r="BJ505" t="str">
        <f>IF(BI505="","",IF(BI505="Below expected for KS2",BG505,100+BF505)+ROW()/1000000)</f>
        <v/>
      </c>
    </row>
    <row r="506">
      <c r="H506" t="str">
        <f>IFERROR(INDEX(tblY7[Class],ROWS(H$10:H506))&amp;"","")</f>
        <v/>
      </c>
      <c r="I506" t="str">
        <f>IF(H506="","",IF(COUNTIF(H$10:H506,H506)=1,COUNTIF(H$10:H$609,"&lt;"&amp;H506)+1,""))</f>
        <v/>
      </c>
      <c r="J506" t="str">
        <f>IFERROR(INDEX(tblY8[Class],ROWS(J$10:J506))&amp;"","")</f>
        <v/>
      </c>
      <c r="K506" t="str">
        <f>IF(J506="","",IF(COUNTIF(J$10:J506,J506)=1,COUNTIF(J$10:J$609,"&lt;"&amp;J506)+1,""))</f>
        <v/>
      </c>
      <c r="L506" t="str">
        <f>IFERROR(INDEX(tblY9[Class],ROWS(L$10:L506))&amp;"","")</f>
        <v/>
      </c>
      <c r="M506" t="str">
        <f>IF(L506="","",IF(COUNTIF(L$10:L506,L506)=1,COUNTIF(L$10:L$609,"&lt;"&amp;L506)+1,""))</f>
        <v/>
      </c>
      <c r="N506" t="str">
        <f>IFERROR(INDEX(tblY10[Class],ROWS(N$10:N506))&amp;"","")</f>
        <v/>
      </c>
      <c r="O506" t="str">
        <f>IF(N506="","",IF(COUNTIF(N$10:N506,N506)=1,COUNTIF(N$10:N$609,"&lt;"&amp;N506)+1,""))</f>
        <v/>
      </c>
      <c r="P506" t="str">
        <f>IFERROR(INDEX(tblY11[Class],ROWS(P$10:P506))&amp;"","")</f>
        <v/>
      </c>
      <c r="Q506" t="str">
        <f>IF(P506="","",IF(COUNTIF(P$10:P506,P506)=1,COUNTIF(P$10:P$609,"&lt;"&amp;P506)+1,""))</f>
        <v/>
      </c>
      <c r="BA506" t="str">
        <f>IFERROR(INDEX(wLast,437)&amp;"","")</f>
        <v/>
      </c>
      <c r="BB506" t="str">
        <f>IF(BA506="","",IFERROR(INDEX(wFirst,437)&amp;"",""))</f>
        <v/>
      </c>
      <c r="BC506" t="str">
        <f>IF(BA506="","",IFERROR(INDEX(wClass,437)&amp;"",""))</f>
        <v/>
      </c>
      <c r="BD506" t="str">
        <f>IF(BA506="","",IFERROR(INDEX(wKsBand,437)+0,""))</f>
        <v/>
      </c>
      <c r="BE506" t="str">
        <f>IF(BA506="","",IFERROR(INDEX(wTests,437)+0,0))</f>
        <v/>
      </c>
      <c r="BF506" t="str">
        <f>IF(BA506="","",IFERROR(INDEX(wMean,437)+0,""))</f>
        <v/>
      </c>
      <c r="BG506" t="str">
        <f>IF(BA506="","",IFERROR(INDEX(wVs,437)+0,""))</f>
        <v/>
      </c>
      <c r="BH506" t="str">
        <f>IF(OR(BA506="",wLatest=""),"",IFERROR(INDEX(wData,437,MATCH(wLatest&amp;CHAR(10)&amp;"Stanine",wHdr,0))+0,""))</f>
        <v/>
      </c>
      <c r="BI506" t="str">
        <f>IF(BA506="","",IF(AND(ISNUMBER(BG506),N(BE506)&gt;=WlMinTests,BG506&lt;=-WlGap),"Below expected for KS2",IF(AND(NOT(ISNUMBER(BD506)),ISNUMBER(BF506),N(BE506)&gt;=WlMinTests,BF506&lt;=WlLowMean),"Low results, no KS2 data","")))</f>
        <v/>
      </c>
      <c r="BJ506" t="str">
        <f>IF(BI506="","",IF(BI506="Below expected for KS2",BG506,100+BF506)+ROW()/1000000)</f>
        <v/>
      </c>
    </row>
    <row r="507">
      <c r="H507" t="str">
        <f>IFERROR(INDEX(tblY7[Class],ROWS(H$10:H507))&amp;"","")</f>
        <v/>
      </c>
      <c r="I507" t="str">
        <f>IF(H507="","",IF(COUNTIF(H$10:H507,H507)=1,COUNTIF(H$10:H$609,"&lt;"&amp;H507)+1,""))</f>
        <v/>
      </c>
      <c r="J507" t="str">
        <f>IFERROR(INDEX(tblY8[Class],ROWS(J$10:J507))&amp;"","")</f>
        <v/>
      </c>
      <c r="K507" t="str">
        <f>IF(J507="","",IF(COUNTIF(J$10:J507,J507)=1,COUNTIF(J$10:J$609,"&lt;"&amp;J507)+1,""))</f>
        <v/>
      </c>
      <c r="L507" t="str">
        <f>IFERROR(INDEX(tblY9[Class],ROWS(L$10:L507))&amp;"","")</f>
        <v/>
      </c>
      <c r="M507" t="str">
        <f>IF(L507="","",IF(COUNTIF(L$10:L507,L507)=1,COUNTIF(L$10:L$609,"&lt;"&amp;L507)+1,""))</f>
        <v/>
      </c>
      <c r="N507" t="str">
        <f>IFERROR(INDEX(tblY10[Class],ROWS(N$10:N507))&amp;"","")</f>
        <v/>
      </c>
      <c r="O507" t="str">
        <f>IF(N507="","",IF(COUNTIF(N$10:N507,N507)=1,COUNTIF(N$10:N$609,"&lt;"&amp;N507)+1,""))</f>
        <v/>
      </c>
      <c r="P507" t="str">
        <f>IFERROR(INDEX(tblY11[Class],ROWS(P$10:P507))&amp;"","")</f>
        <v/>
      </c>
      <c r="Q507" t="str">
        <f>IF(P507="","",IF(COUNTIF(P$10:P507,P507)=1,COUNTIF(P$10:P$609,"&lt;"&amp;P507)+1,""))</f>
        <v/>
      </c>
      <c r="BA507" t="str">
        <f>IFERROR(INDEX(wLast,438)&amp;"","")</f>
        <v/>
      </c>
      <c r="BB507" t="str">
        <f>IF(BA507="","",IFERROR(INDEX(wFirst,438)&amp;"",""))</f>
        <v/>
      </c>
      <c r="BC507" t="str">
        <f>IF(BA507="","",IFERROR(INDEX(wClass,438)&amp;"",""))</f>
        <v/>
      </c>
      <c r="BD507" t="str">
        <f>IF(BA507="","",IFERROR(INDEX(wKsBand,438)+0,""))</f>
        <v/>
      </c>
      <c r="BE507" t="str">
        <f>IF(BA507="","",IFERROR(INDEX(wTests,438)+0,0))</f>
        <v/>
      </c>
      <c r="BF507" t="str">
        <f>IF(BA507="","",IFERROR(INDEX(wMean,438)+0,""))</f>
        <v/>
      </c>
      <c r="BG507" t="str">
        <f>IF(BA507="","",IFERROR(INDEX(wVs,438)+0,""))</f>
        <v/>
      </c>
      <c r="BH507" t="str">
        <f>IF(OR(BA507="",wLatest=""),"",IFERROR(INDEX(wData,438,MATCH(wLatest&amp;CHAR(10)&amp;"Stanine",wHdr,0))+0,""))</f>
        <v/>
      </c>
      <c r="BI507" t="str">
        <f>IF(BA507="","",IF(AND(ISNUMBER(BG507),N(BE507)&gt;=WlMinTests,BG507&lt;=-WlGap),"Below expected for KS2",IF(AND(NOT(ISNUMBER(BD507)),ISNUMBER(BF507),N(BE507)&gt;=WlMinTests,BF507&lt;=WlLowMean),"Low results, no KS2 data","")))</f>
        <v/>
      </c>
      <c r="BJ507" t="str">
        <f>IF(BI507="","",IF(BI507="Below expected for KS2",BG507,100+BF507)+ROW()/1000000)</f>
        <v/>
      </c>
    </row>
    <row r="508">
      <c r="H508" t="str">
        <f>IFERROR(INDEX(tblY7[Class],ROWS(H$10:H508))&amp;"","")</f>
        <v/>
      </c>
      <c r="I508" t="str">
        <f>IF(H508="","",IF(COUNTIF(H$10:H508,H508)=1,COUNTIF(H$10:H$609,"&lt;"&amp;H508)+1,""))</f>
        <v/>
      </c>
      <c r="J508" t="str">
        <f>IFERROR(INDEX(tblY8[Class],ROWS(J$10:J508))&amp;"","")</f>
        <v/>
      </c>
      <c r="K508" t="str">
        <f>IF(J508="","",IF(COUNTIF(J$10:J508,J508)=1,COUNTIF(J$10:J$609,"&lt;"&amp;J508)+1,""))</f>
        <v/>
      </c>
      <c r="L508" t="str">
        <f>IFERROR(INDEX(tblY9[Class],ROWS(L$10:L508))&amp;"","")</f>
        <v/>
      </c>
      <c r="M508" t="str">
        <f>IF(L508="","",IF(COUNTIF(L$10:L508,L508)=1,COUNTIF(L$10:L$609,"&lt;"&amp;L508)+1,""))</f>
        <v/>
      </c>
      <c r="N508" t="str">
        <f>IFERROR(INDEX(tblY10[Class],ROWS(N$10:N508))&amp;"","")</f>
        <v/>
      </c>
      <c r="O508" t="str">
        <f>IF(N508="","",IF(COUNTIF(N$10:N508,N508)=1,COUNTIF(N$10:N$609,"&lt;"&amp;N508)+1,""))</f>
        <v/>
      </c>
      <c r="P508" t="str">
        <f>IFERROR(INDEX(tblY11[Class],ROWS(P$10:P508))&amp;"","")</f>
        <v/>
      </c>
      <c r="Q508" t="str">
        <f>IF(P508="","",IF(COUNTIF(P$10:P508,P508)=1,COUNTIF(P$10:P$609,"&lt;"&amp;P508)+1,""))</f>
        <v/>
      </c>
      <c r="BA508" t="str">
        <f>IFERROR(INDEX(wLast,439)&amp;"","")</f>
        <v/>
      </c>
      <c r="BB508" t="str">
        <f>IF(BA508="","",IFERROR(INDEX(wFirst,439)&amp;"",""))</f>
        <v/>
      </c>
      <c r="BC508" t="str">
        <f>IF(BA508="","",IFERROR(INDEX(wClass,439)&amp;"",""))</f>
        <v/>
      </c>
      <c r="BD508" t="str">
        <f>IF(BA508="","",IFERROR(INDEX(wKsBand,439)+0,""))</f>
        <v/>
      </c>
      <c r="BE508" t="str">
        <f>IF(BA508="","",IFERROR(INDEX(wTests,439)+0,0))</f>
        <v/>
      </c>
      <c r="BF508" t="str">
        <f>IF(BA508="","",IFERROR(INDEX(wMean,439)+0,""))</f>
        <v/>
      </c>
      <c r="BG508" t="str">
        <f>IF(BA508="","",IFERROR(INDEX(wVs,439)+0,""))</f>
        <v/>
      </c>
      <c r="BH508" t="str">
        <f>IF(OR(BA508="",wLatest=""),"",IFERROR(INDEX(wData,439,MATCH(wLatest&amp;CHAR(10)&amp;"Stanine",wHdr,0))+0,""))</f>
        <v/>
      </c>
      <c r="BI508" t="str">
        <f>IF(BA508="","",IF(AND(ISNUMBER(BG508),N(BE508)&gt;=WlMinTests,BG508&lt;=-WlGap),"Below expected for KS2",IF(AND(NOT(ISNUMBER(BD508)),ISNUMBER(BF508),N(BE508)&gt;=WlMinTests,BF508&lt;=WlLowMean),"Low results, no KS2 data","")))</f>
        <v/>
      </c>
      <c r="BJ508" t="str">
        <f>IF(BI508="","",IF(BI508="Below expected for KS2",BG508,100+BF508)+ROW()/1000000)</f>
        <v/>
      </c>
    </row>
    <row r="509">
      <c r="H509" t="str">
        <f>IFERROR(INDEX(tblY7[Class],ROWS(H$10:H509))&amp;"","")</f>
        <v/>
      </c>
      <c r="I509" t="str">
        <f>IF(H509="","",IF(COUNTIF(H$10:H509,H509)=1,COUNTIF(H$10:H$609,"&lt;"&amp;H509)+1,""))</f>
        <v/>
      </c>
      <c r="J509" t="str">
        <f>IFERROR(INDEX(tblY8[Class],ROWS(J$10:J509))&amp;"","")</f>
        <v/>
      </c>
      <c r="K509" t="str">
        <f>IF(J509="","",IF(COUNTIF(J$10:J509,J509)=1,COUNTIF(J$10:J$609,"&lt;"&amp;J509)+1,""))</f>
        <v/>
      </c>
      <c r="L509" t="str">
        <f>IFERROR(INDEX(tblY9[Class],ROWS(L$10:L509))&amp;"","")</f>
        <v/>
      </c>
      <c r="M509" t="str">
        <f>IF(L509="","",IF(COUNTIF(L$10:L509,L509)=1,COUNTIF(L$10:L$609,"&lt;"&amp;L509)+1,""))</f>
        <v/>
      </c>
      <c r="N509" t="str">
        <f>IFERROR(INDEX(tblY10[Class],ROWS(N$10:N509))&amp;"","")</f>
        <v/>
      </c>
      <c r="O509" t="str">
        <f>IF(N509="","",IF(COUNTIF(N$10:N509,N509)=1,COUNTIF(N$10:N$609,"&lt;"&amp;N509)+1,""))</f>
        <v/>
      </c>
      <c r="P509" t="str">
        <f>IFERROR(INDEX(tblY11[Class],ROWS(P$10:P509))&amp;"","")</f>
        <v/>
      </c>
      <c r="Q509" t="str">
        <f>IF(P509="","",IF(COUNTIF(P$10:P509,P509)=1,COUNTIF(P$10:P$609,"&lt;"&amp;P509)+1,""))</f>
        <v/>
      </c>
      <c r="BA509" t="str">
        <f>IFERROR(INDEX(wLast,440)&amp;"","")</f>
        <v/>
      </c>
      <c r="BB509" t="str">
        <f>IF(BA509="","",IFERROR(INDEX(wFirst,440)&amp;"",""))</f>
        <v/>
      </c>
      <c r="BC509" t="str">
        <f>IF(BA509="","",IFERROR(INDEX(wClass,440)&amp;"",""))</f>
        <v/>
      </c>
      <c r="BD509" t="str">
        <f>IF(BA509="","",IFERROR(INDEX(wKsBand,440)+0,""))</f>
        <v/>
      </c>
      <c r="BE509" t="str">
        <f>IF(BA509="","",IFERROR(INDEX(wTests,440)+0,0))</f>
        <v/>
      </c>
      <c r="BF509" t="str">
        <f>IF(BA509="","",IFERROR(INDEX(wMean,440)+0,""))</f>
        <v/>
      </c>
      <c r="BG509" t="str">
        <f>IF(BA509="","",IFERROR(INDEX(wVs,440)+0,""))</f>
        <v/>
      </c>
      <c r="BH509" t="str">
        <f>IF(OR(BA509="",wLatest=""),"",IFERROR(INDEX(wData,440,MATCH(wLatest&amp;CHAR(10)&amp;"Stanine",wHdr,0))+0,""))</f>
        <v/>
      </c>
      <c r="BI509" t="str">
        <f>IF(BA509="","",IF(AND(ISNUMBER(BG509),N(BE509)&gt;=WlMinTests,BG509&lt;=-WlGap),"Below expected for KS2",IF(AND(NOT(ISNUMBER(BD509)),ISNUMBER(BF509),N(BE509)&gt;=WlMinTests,BF509&lt;=WlLowMean),"Low results, no KS2 data","")))</f>
        <v/>
      </c>
      <c r="BJ509" t="str">
        <f>IF(BI509="","",IF(BI509="Below expected for KS2",BG509,100+BF509)+ROW()/1000000)</f>
        <v/>
      </c>
    </row>
    <row r="510">
      <c r="H510" t="str">
        <f>IFERROR(INDEX(tblY7[Class],ROWS(H$10:H510))&amp;"","")</f>
        <v/>
      </c>
      <c r="I510" t="str">
        <f>IF(H510="","",IF(COUNTIF(H$10:H510,H510)=1,COUNTIF(H$10:H$609,"&lt;"&amp;H510)+1,""))</f>
        <v/>
      </c>
      <c r="J510" t="str">
        <f>IFERROR(INDEX(tblY8[Class],ROWS(J$10:J510))&amp;"","")</f>
        <v/>
      </c>
      <c r="K510" t="str">
        <f>IF(J510="","",IF(COUNTIF(J$10:J510,J510)=1,COUNTIF(J$10:J$609,"&lt;"&amp;J510)+1,""))</f>
        <v/>
      </c>
      <c r="L510" t="str">
        <f>IFERROR(INDEX(tblY9[Class],ROWS(L$10:L510))&amp;"","")</f>
        <v/>
      </c>
      <c r="M510" t="str">
        <f>IF(L510="","",IF(COUNTIF(L$10:L510,L510)=1,COUNTIF(L$10:L$609,"&lt;"&amp;L510)+1,""))</f>
        <v/>
      </c>
      <c r="N510" t="str">
        <f>IFERROR(INDEX(tblY10[Class],ROWS(N$10:N510))&amp;"","")</f>
        <v/>
      </c>
      <c r="O510" t="str">
        <f>IF(N510="","",IF(COUNTIF(N$10:N510,N510)=1,COUNTIF(N$10:N$609,"&lt;"&amp;N510)+1,""))</f>
        <v/>
      </c>
      <c r="P510" t="str">
        <f>IFERROR(INDEX(tblY11[Class],ROWS(P$10:P510))&amp;"","")</f>
        <v/>
      </c>
      <c r="Q510" t="str">
        <f>IF(P510="","",IF(COUNTIF(P$10:P510,P510)=1,COUNTIF(P$10:P$609,"&lt;"&amp;P510)+1,""))</f>
        <v/>
      </c>
      <c r="BA510" t="str">
        <f>IFERROR(INDEX(wLast,441)&amp;"","")</f>
        <v/>
      </c>
      <c r="BB510" t="str">
        <f>IF(BA510="","",IFERROR(INDEX(wFirst,441)&amp;"",""))</f>
        <v/>
      </c>
      <c r="BC510" t="str">
        <f>IF(BA510="","",IFERROR(INDEX(wClass,441)&amp;"",""))</f>
        <v/>
      </c>
      <c r="BD510" t="str">
        <f>IF(BA510="","",IFERROR(INDEX(wKsBand,441)+0,""))</f>
        <v/>
      </c>
      <c r="BE510" t="str">
        <f>IF(BA510="","",IFERROR(INDEX(wTests,441)+0,0))</f>
        <v/>
      </c>
      <c r="BF510" t="str">
        <f>IF(BA510="","",IFERROR(INDEX(wMean,441)+0,""))</f>
        <v/>
      </c>
      <c r="BG510" t="str">
        <f>IF(BA510="","",IFERROR(INDEX(wVs,441)+0,""))</f>
        <v/>
      </c>
      <c r="BH510" t="str">
        <f>IF(OR(BA510="",wLatest=""),"",IFERROR(INDEX(wData,441,MATCH(wLatest&amp;CHAR(10)&amp;"Stanine",wHdr,0))+0,""))</f>
        <v/>
      </c>
      <c r="BI510" t="str">
        <f>IF(BA510="","",IF(AND(ISNUMBER(BG510),N(BE510)&gt;=WlMinTests,BG510&lt;=-WlGap),"Below expected for KS2",IF(AND(NOT(ISNUMBER(BD510)),ISNUMBER(BF510),N(BE510)&gt;=WlMinTests,BF510&lt;=WlLowMean),"Low results, no KS2 data","")))</f>
        <v/>
      </c>
      <c r="BJ510" t="str">
        <f>IF(BI510="","",IF(BI510="Below expected for KS2",BG510,100+BF510)+ROW()/1000000)</f>
        <v/>
      </c>
    </row>
    <row r="511">
      <c r="H511" t="str">
        <f>IFERROR(INDEX(tblY7[Class],ROWS(H$10:H511))&amp;"","")</f>
        <v/>
      </c>
      <c r="I511" t="str">
        <f>IF(H511="","",IF(COUNTIF(H$10:H511,H511)=1,COUNTIF(H$10:H$609,"&lt;"&amp;H511)+1,""))</f>
        <v/>
      </c>
      <c r="J511" t="str">
        <f>IFERROR(INDEX(tblY8[Class],ROWS(J$10:J511))&amp;"","")</f>
        <v/>
      </c>
      <c r="K511" t="str">
        <f>IF(J511="","",IF(COUNTIF(J$10:J511,J511)=1,COUNTIF(J$10:J$609,"&lt;"&amp;J511)+1,""))</f>
        <v/>
      </c>
      <c r="L511" t="str">
        <f>IFERROR(INDEX(tblY9[Class],ROWS(L$10:L511))&amp;"","")</f>
        <v/>
      </c>
      <c r="M511" t="str">
        <f>IF(L511="","",IF(COUNTIF(L$10:L511,L511)=1,COUNTIF(L$10:L$609,"&lt;"&amp;L511)+1,""))</f>
        <v/>
      </c>
      <c r="N511" t="str">
        <f>IFERROR(INDEX(tblY10[Class],ROWS(N$10:N511))&amp;"","")</f>
        <v/>
      </c>
      <c r="O511" t="str">
        <f>IF(N511="","",IF(COUNTIF(N$10:N511,N511)=1,COUNTIF(N$10:N$609,"&lt;"&amp;N511)+1,""))</f>
        <v/>
      </c>
      <c r="P511" t="str">
        <f>IFERROR(INDEX(tblY11[Class],ROWS(P$10:P511))&amp;"","")</f>
        <v/>
      </c>
      <c r="Q511" t="str">
        <f>IF(P511="","",IF(COUNTIF(P$10:P511,P511)=1,COUNTIF(P$10:P$609,"&lt;"&amp;P511)+1,""))</f>
        <v/>
      </c>
      <c r="BA511" t="str">
        <f>IFERROR(INDEX(wLast,442)&amp;"","")</f>
        <v/>
      </c>
      <c r="BB511" t="str">
        <f>IF(BA511="","",IFERROR(INDEX(wFirst,442)&amp;"",""))</f>
        <v/>
      </c>
      <c r="BC511" t="str">
        <f>IF(BA511="","",IFERROR(INDEX(wClass,442)&amp;"",""))</f>
        <v/>
      </c>
      <c r="BD511" t="str">
        <f>IF(BA511="","",IFERROR(INDEX(wKsBand,442)+0,""))</f>
        <v/>
      </c>
      <c r="BE511" t="str">
        <f>IF(BA511="","",IFERROR(INDEX(wTests,442)+0,0))</f>
        <v/>
      </c>
      <c r="BF511" t="str">
        <f>IF(BA511="","",IFERROR(INDEX(wMean,442)+0,""))</f>
        <v/>
      </c>
      <c r="BG511" t="str">
        <f>IF(BA511="","",IFERROR(INDEX(wVs,442)+0,""))</f>
        <v/>
      </c>
      <c r="BH511" t="str">
        <f>IF(OR(BA511="",wLatest=""),"",IFERROR(INDEX(wData,442,MATCH(wLatest&amp;CHAR(10)&amp;"Stanine",wHdr,0))+0,""))</f>
        <v/>
      </c>
      <c r="BI511" t="str">
        <f>IF(BA511="","",IF(AND(ISNUMBER(BG511),N(BE511)&gt;=WlMinTests,BG511&lt;=-WlGap),"Below expected for KS2",IF(AND(NOT(ISNUMBER(BD511)),ISNUMBER(BF511),N(BE511)&gt;=WlMinTests,BF511&lt;=WlLowMean),"Low results, no KS2 data","")))</f>
        <v/>
      </c>
      <c r="BJ511" t="str">
        <f>IF(BI511="","",IF(BI511="Below expected for KS2",BG511,100+BF511)+ROW()/1000000)</f>
        <v/>
      </c>
    </row>
    <row r="512">
      <c r="H512" t="str">
        <f>IFERROR(INDEX(tblY7[Class],ROWS(H$10:H512))&amp;"","")</f>
        <v/>
      </c>
      <c r="I512" t="str">
        <f>IF(H512="","",IF(COUNTIF(H$10:H512,H512)=1,COUNTIF(H$10:H$609,"&lt;"&amp;H512)+1,""))</f>
        <v/>
      </c>
      <c r="J512" t="str">
        <f>IFERROR(INDEX(tblY8[Class],ROWS(J$10:J512))&amp;"","")</f>
        <v/>
      </c>
      <c r="K512" t="str">
        <f>IF(J512="","",IF(COUNTIF(J$10:J512,J512)=1,COUNTIF(J$10:J$609,"&lt;"&amp;J512)+1,""))</f>
        <v/>
      </c>
      <c r="L512" t="str">
        <f>IFERROR(INDEX(tblY9[Class],ROWS(L$10:L512))&amp;"","")</f>
        <v/>
      </c>
      <c r="M512" t="str">
        <f>IF(L512="","",IF(COUNTIF(L$10:L512,L512)=1,COUNTIF(L$10:L$609,"&lt;"&amp;L512)+1,""))</f>
        <v/>
      </c>
      <c r="N512" t="str">
        <f>IFERROR(INDEX(tblY10[Class],ROWS(N$10:N512))&amp;"","")</f>
        <v/>
      </c>
      <c r="O512" t="str">
        <f>IF(N512="","",IF(COUNTIF(N$10:N512,N512)=1,COUNTIF(N$10:N$609,"&lt;"&amp;N512)+1,""))</f>
        <v/>
      </c>
      <c r="P512" t="str">
        <f>IFERROR(INDEX(tblY11[Class],ROWS(P$10:P512))&amp;"","")</f>
        <v/>
      </c>
      <c r="Q512" t="str">
        <f>IF(P512="","",IF(COUNTIF(P$10:P512,P512)=1,COUNTIF(P$10:P$609,"&lt;"&amp;P512)+1,""))</f>
        <v/>
      </c>
      <c r="BA512" t="str">
        <f>IFERROR(INDEX(wLast,443)&amp;"","")</f>
        <v/>
      </c>
      <c r="BB512" t="str">
        <f>IF(BA512="","",IFERROR(INDEX(wFirst,443)&amp;"",""))</f>
        <v/>
      </c>
      <c r="BC512" t="str">
        <f>IF(BA512="","",IFERROR(INDEX(wClass,443)&amp;"",""))</f>
        <v/>
      </c>
      <c r="BD512" t="str">
        <f>IF(BA512="","",IFERROR(INDEX(wKsBand,443)+0,""))</f>
        <v/>
      </c>
      <c r="BE512" t="str">
        <f>IF(BA512="","",IFERROR(INDEX(wTests,443)+0,0))</f>
        <v/>
      </c>
      <c r="BF512" t="str">
        <f>IF(BA512="","",IFERROR(INDEX(wMean,443)+0,""))</f>
        <v/>
      </c>
      <c r="BG512" t="str">
        <f>IF(BA512="","",IFERROR(INDEX(wVs,443)+0,""))</f>
        <v/>
      </c>
      <c r="BH512" t="str">
        <f>IF(OR(BA512="",wLatest=""),"",IFERROR(INDEX(wData,443,MATCH(wLatest&amp;CHAR(10)&amp;"Stanine",wHdr,0))+0,""))</f>
        <v/>
      </c>
      <c r="BI512" t="str">
        <f>IF(BA512="","",IF(AND(ISNUMBER(BG512),N(BE512)&gt;=WlMinTests,BG512&lt;=-WlGap),"Below expected for KS2",IF(AND(NOT(ISNUMBER(BD512)),ISNUMBER(BF512),N(BE512)&gt;=WlMinTests,BF512&lt;=WlLowMean),"Low results, no KS2 data","")))</f>
        <v/>
      </c>
      <c r="BJ512" t="str">
        <f>IF(BI512="","",IF(BI512="Below expected for KS2",BG512,100+BF512)+ROW()/1000000)</f>
        <v/>
      </c>
    </row>
    <row r="513">
      <c r="H513" t="str">
        <f>IFERROR(INDEX(tblY7[Class],ROWS(H$10:H513))&amp;"","")</f>
        <v/>
      </c>
      <c r="I513" t="str">
        <f>IF(H513="","",IF(COUNTIF(H$10:H513,H513)=1,COUNTIF(H$10:H$609,"&lt;"&amp;H513)+1,""))</f>
        <v/>
      </c>
      <c r="J513" t="str">
        <f>IFERROR(INDEX(tblY8[Class],ROWS(J$10:J513))&amp;"","")</f>
        <v/>
      </c>
      <c r="K513" t="str">
        <f>IF(J513="","",IF(COUNTIF(J$10:J513,J513)=1,COUNTIF(J$10:J$609,"&lt;"&amp;J513)+1,""))</f>
        <v/>
      </c>
      <c r="L513" t="str">
        <f>IFERROR(INDEX(tblY9[Class],ROWS(L$10:L513))&amp;"","")</f>
        <v/>
      </c>
      <c r="M513" t="str">
        <f>IF(L513="","",IF(COUNTIF(L$10:L513,L513)=1,COUNTIF(L$10:L$609,"&lt;"&amp;L513)+1,""))</f>
        <v/>
      </c>
      <c r="N513" t="str">
        <f>IFERROR(INDEX(tblY10[Class],ROWS(N$10:N513))&amp;"","")</f>
        <v/>
      </c>
      <c r="O513" t="str">
        <f>IF(N513="","",IF(COUNTIF(N$10:N513,N513)=1,COUNTIF(N$10:N$609,"&lt;"&amp;N513)+1,""))</f>
        <v/>
      </c>
      <c r="P513" t="str">
        <f>IFERROR(INDEX(tblY11[Class],ROWS(P$10:P513))&amp;"","")</f>
        <v/>
      </c>
      <c r="Q513" t="str">
        <f>IF(P513="","",IF(COUNTIF(P$10:P513,P513)=1,COUNTIF(P$10:P$609,"&lt;"&amp;P513)+1,""))</f>
        <v/>
      </c>
      <c r="BA513" t="str">
        <f>IFERROR(INDEX(wLast,444)&amp;"","")</f>
        <v/>
      </c>
      <c r="BB513" t="str">
        <f>IF(BA513="","",IFERROR(INDEX(wFirst,444)&amp;"",""))</f>
        <v/>
      </c>
      <c r="BC513" t="str">
        <f>IF(BA513="","",IFERROR(INDEX(wClass,444)&amp;"",""))</f>
        <v/>
      </c>
      <c r="BD513" t="str">
        <f>IF(BA513="","",IFERROR(INDEX(wKsBand,444)+0,""))</f>
        <v/>
      </c>
      <c r="BE513" t="str">
        <f>IF(BA513="","",IFERROR(INDEX(wTests,444)+0,0))</f>
        <v/>
      </c>
      <c r="BF513" t="str">
        <f>IF(BA513="","",IFERROR(INDEX(wMean,444)+0,""))</f>
        <v/>
      </c>
      <c r="BG513" t="str">
        <f>IF(BA513="","",IFERROR(INDEX(wVs,444)+0,""))</f>
        <v/>
      </c>
      <c r="BH513" t="str">
        <f>IF(OR(BA513="",wLatest=""),"",IFERROR(INDEX(wData,444,MATCH(wLatest&amp;CHAR(10)&amp;"Stanine",wHdr,0))+0,""))</f>
        <v/>
      </c>
      <c r="BI513" t="str">
        <f>IF(BA513="","",IF(AND(ISNUMBER(BG513),N(BE513)&gt;=WlMinTests,BG513&lt;=-WlGap),"Below expected for KS2",IF(AND(NOT(ISNUMBER(BD513)),ISNUMBER(BF513),N(BE513)&gt;=WlMinTests,BF513&lt;=WlLowMean),"Low results, no KS2 data","")))</f>
        <v/>
      </c>
      <c r="BJ513" t="str">
        <f>IF(BI513="","",IF(BI513="Below expected for KS2",BG513,100+BF513)+ROW()/1000000)</f>
        <v/>
      </c>
    </row>
    <row r="514">
      <c r="H514" t="str">
        <f>IFERROR(INDEX(tblY7[Class],ROWS(H$10:H514))&amp;"","")</f>
        <v/>
      </c>
      <c r="I514" t="str">
        <f>IF(H514="","",IF(COUNTIF(H$10:H514,H514)=1,COUNTIF(H$10:H$609,"&lt;"&amp;H514)+1,""))</f>
        <v/>
      </c>
      <c r="J514" t="str">
        <f>IFERROR(INDEX(tblY8[Class],ROWS(J$10:J514))&amp;"","")</f>
        <v/>
      </c>
      <c r="K514" t="str">
        <f>IF(J514="","",IF(COUNTIF(J$10:J514,J514)=1,COUNTIF(J$10:J$609,"&lt;"&amp;J514)+1,""))</f>
        <v/>
      </c>
      <c r="L514" t="str">
        <f>IFERROR(INDEX(tblY9[Class],ROWS(L$10:L514))&amp;"","")</f>
        <v/>
      </c>
      <c r="M514" t="str">
        <f>IF(L514="","",IF(COUNTIF(L$10:L514,L514)=1,COUNTIF(L$10:L$609,"&lt;"&amp;L514)+1,""))</f>
        <v/>
      </c>
      <c r="N514" t="str">
        <f>IFERROR(INDEX(tblY10[Class],ROWS(N$10:N514))&amp;"","")</f>
        <v/>
      </c>
      <c r="O514" t="str">
        <f>IF(N514="","",IF(COUNTIF(N$10:N514,N514)=1,COUNTIF(N$10:N$609,"&lt;"&amp;N514)+1,""))</f>
        <v/>
      </c>
      <c r="P514" t="str">
        <f>IFERROR(INDEX(tblY11[Class],ROWS(P$10:P514))&amp;"","")</f>
        <v/>
      </c>
      <c r="Q514" t="str">
        <f>IF(P514="","",IF(COUNTIF(P$10:P514,P514)=1,COUNTIF(P$10:P$609,"&lt;"&amp;P514)+1,""))</f>
        <v/>
      </c>
      <c r="BA514" t="str">
        <f>IFERROR(INDEX(wLast,445)&amp;"","")</f>
        <v/>
      </c>
      <c r="BB514" t="str">
        <f>IF(BA514="","",IFERROR(INDEX(wFirst,445)&amp;"",""))</f>
        <v/>
      </c>
      <c r="BC514" t="str">
        <f>IF(BA514="","",IFERROR(INDEX(wClass,445)&amp;"",""))</f>
        <v/>
      </c>
      <c r="BD514" t="str">
        <f>IF(BA514="","",IFERROR(INDEX(wKsBand,445)+0,""))</f>
        <v/>
      </c>
      <c r="BE514" t="str">
        <f>IF(BA514="","",IFERROR(INDEX(wTests,445)+0,0))</f>
        <v/>
      </c>
      <c r="BF514" t="str">
        <f>IF(BA514="","",IFERROR(INDEX(wMean,445)+0,""))</f>
        <v/>
      </c>
      <c r="BG514" t="str">
        <f>IF(BA514="","",IFERROR(INDEX(wVs,445)+0,""))</f>
        <v/>
      </c>
      <c r="BH514" t="str">
        <f>IF(OR(BA514="",wLatest=""),"",IFERROR(INDEX(wData,445,MATCH(wLatest&amp;CHAR(10)&amp;"Stanine",wHdr,0))+0,""))</f>
        <v/>
      </c>
      <c r="BI514" t="str">
        <f>IF(BA514="","",IF(AND(ISNUMBER(BG514),N(BE514)&gt;=WlMinTests,BG514&lt;=-WlGap),"Below expected for KS2",IF(AND(NOT(ISNUMBER(BD514)),ISNUMBER(BF514),N(BE514)&gt;=WlMinTests,BF514&lt;=WlLowMean),"Low results, no KS2 data","")))</f>
        <v/>
      </c>
      <c r="BJ514" t="str">
        <f>IF(BI514="","",IF(BI514="Below expected for KS2",BG514,100+BF514)+ROW()/1000000)</f>
        <v/>
      </c>
    </row>
    <row r="515">
      <c r="H515" t="str">
        <f>IFERROR(INDEX(tblY7[Class],ROWS(H$10:H515))&amp;"","")</f>
        <v/>
      </c>
      <c r="I515" t="str">
        <f>IF(H515="","",IF(COUNTIF(H$10:H515,H515)=1,COUNTIF(H$10:H$609,"&lt;"&amp;H515)+1,""))</f>
        <v/>
      </c>
      <c r="J515" t="str">
        <f>IFERROR(INDEX(tblY8[Class],ROWS(J$10:J515))&amp;"","")</f>
        <v/>
      </c>
      <c r="K515" t="str">
        <f>IF(J515="","",IF(COUNTIF(J$10:J515,J515)=1,COUNTIF(J$10:J$609,"&lt;"&amp;J515)+1,""))</f>
        <v/>
      </c>
      <c r="L515" t="str">
        <f>IFERROR(INDEX(tblY9[Class],ROWS(L$10:L515))&amp;"","")</f>
        <v/>
      </c>
      <c r="M515" t="str">
        <f>IF(L515="","",IF(COUNTIF(L$10:L515,L515)=1,COUNTIF(L$10:L$609,"&lt;"&amp;L515)+1,""))</f>
        <v/>
      </c>
      <c r="N515" t="str">
        <f>IFERROR(INDEX(tblY10[Class],ROWS(N$10:N515))&amp;"","")</f>
        <v/>
      </c>
      <c r="O515" t="str">
        <f>IF(N515="","",IF(COUNTIF(N$10:N515,N515)=1,COUNTIF(N$10:N$609,"&lt;"&amp;N515)+1,""))</f>
        <v/>
      </c>
      <c r="P515" t="str">
        <f>IFERROR(INDEX(tblY11[Class],ROWS(P$10:P515))&amp;"","")</f>
        <v/>
      </c>
      <c r="Q515" t="str">
        <f>IF(P515="","",IF(COUNTIF(P$10:P515,P515)=1,COUNTIF(P$10:P$609,"&lt;"&amp;P515)+1,""))</f>
        <v/>
      </c>
      <c r="BA515" t="str">
        <f>IFERROR(INDEX(wLast,446)&amp;"","")</f>
        <v/>
      </c>
      <c r="BB515" t="str">
        <f>IF(BA515="","",IFERROR(INDEX(wFirst,446)&amp;"",""))</f>
        <v/>
      </c>
      <c r="BC515" t="str">
        <f>IF(BA515="","",IFERROR(INDEX(wClass,446)&amp;"",""))</f>
        <v/>
      </c>
      <c r="BD515" t="str">
        <f>IF(BA515="","",IFERROR(INDEX(wKsBand,446)+0,""))</f>
        <v/>
      </c>
      <c r="BE515" t="str">
        <f>IF(BA515="","",IFERROR(INDEX(wTests,446)+0,0))</f>
        <v/>
      </c>
      <c r="BF515" t="str">
        <f>IF(BA515="","",IFERROR(INDEX(wMean,446)+0,""))</f>
        <v/>
      </c>
      <c r="BG515" t="str">
        <f>IF(BA515="","",IFERROR(INDEX(wVs,446)+0,""))</f>
        <v/>
      </c>
      <c r="BH515" t="str">
        <f>IF(OR(BA515="",wLatest=""),"",IFERROR(INDEX(wData,446,MATCH(wLatest&amp;CHAR(10)&amp;"Stanine",wHdr,0))+0,""))</f>
        <v/>
      </c>
      <c r="BI515" t="str">
        <f>IF(BA515="","",IF(AND(ISNUMBER(BG515),N(BE515)&gt;=WlMinTests,BG515&lt;=-WlGap),"Below expected for KS2",IF(AND(NOT(ISNUMBER(BD515)),ISNUMBER(BF515),N(BE515)&gt;=WlMinTests,BF515&lt;=WlLowMean),"Low results, no KS2 data","")))</f>
        <v/>
      </c>
      <c r="BJ515" t="str">
        <f>IF(BI515="","",IF(BI515="Below expected for KS2",BG515,100+BF515)+ROW()/1000000)</f>
        <v/>
      </c>
    </row>
    <row r="516">
      <c r="H516" t="str">
        <f>IFERROR(INDEX(tblY7[Class],ROWS(H$10:H516))&amp;"","")</f>
        <v/>
      </c>
      <c r="I516" t="str">
        <f>IF(H516="","",IF(COUNTIF(H$10:H516,H516)=1,COUNTIF(H$10:H$609,"&lt;"&amp;H516)+1,""))</f>
        <v/>
      </c>
      <c r="J516" t="str">
        <f>IFERROR(INDEX(tblY8[Class],ROWS(J$10:J516))&amp;"","")</f>
        <v/>
      </c>
      <c r="K516" t="str">
        <f>IF(J516="","",IF(COUNTIF(J$10:J516,J516)=1,COUNTIF(J$10:J$609,"&lt;"&amp;J516)+1,""))</f>
        <v/>
      </c>
      <c r="L516" t="str">
        <f>IFERROR(INDEX(tblY9[Class],ROWS(L$10:L516))&amp;"","")</f>
        <v/>
      </c>
      <c r="M516" t="str">
        <f>IF(L516="","",IF(COUNTIF(L$10:L516,L516)=1,COUNTIF(L$10:L$609,"&lt;"&amp;L516)+1,""))</f>
        <v/>
      </c>
      <c r="N516" t="str">
        <f>IFERROR(INDEX(tblY10[Class],ROWS(N$10:N516))&amp;"","")</f>
        <v/>
      </c>
      <c r="O516" t="str">
        <f>IF(N516="","",IF(COUNTIF(N$10:N516,N516)=1,COUNTIF(N$10:N$609,"&lt;"&amp;N516)+1,""))</f>
        <v/>
      </c>
      <c r="P516" t="str">
        <f>IFERROR(INDEX(tblY11[Class],ROWS(P$10:P516))&amp;"","")</f>
        <v/>
      </c>
      <c r="Q516" t="str">
        <f>IF(P516="","",IF(COUNTIF(P$10:P516,P516)=1,COUNTIF(P$10:P$609,"&lt;"&amp;P516)+1,""))</f>
        <v/>
      </c>
      <c r="BA516" t="str">
        <f>IFERROR(INDEX(wLast,447)&amp;"","")</f>
        <v/>
      </c>
      <c r="BB516" t="str">
        <f>IF(BA516="","",IFERROR(INDEX(wFirst,447)&amp;"",""))</f>
        <v/>
      </c>
      <c r="BC516" t="str">
        <f>IF(BA516="","",IFERROR(INDEX(wClass,447)&amp;"",""))</f>
        <v/>
      </c>
      <c r="BD516" t="str">
        <f>IF(BA516="","",IFERROR(INDEX(wKsBand,447)+0,""))</f>
        <v/>
      </c>
      <c r="BE516" t="str">
        <f>IF(BA516="","",IFERROR(INDEX(wTests,447)+0,0))</f>
        <v/>
      </c>
      <c r="BF516" t="str">
        <f>IF(BA516="","",IFERROR(INDEX(wMean,447)+0,""))</f>
        <v/>
      </c>
      <c r="BG516" t="str">
        <f>IF(BA516="","",IFERROR(INDEX(wVs,447)+0,""))</f>
        <v/>
      </c>
      <c r="BH516" t="str">
        <f>IF(OR(BA516="",wLatest=""),"",IFERROR(INDEX(wData,447,MATCH(wLatest&amp;CHAR(10)&amp;"Stanine",wHdr,0))+0,""))</f>
        <v/>
      </c>
      <c r="BI516" t="str">
        <f>IF(BA516="","",IF(AND(ISNUMBER(BG516),N(BE516)&gt;=WlMinTests,BG516&lt;=-WlGap),"Below expected for KS2",IF(AND(NOT(ISNUMBER(BD516)),ISNUMBER(BF516),N(BE516)&gt;=WlMinTests,BF516&lt;=WlLowMean),"Low results, no KS2 data","")))</f>
        <v/>
      </c>
      <c r="BJ516" t="str">
        <f>IF(BI516="","",IF(BI516="Below expected for KS2",BG516,100+BF516)+ROW()/1000000)</f>
        <v/>
      </c>
    </row>
    <row r="517">
      <c r="H517" t="str">
        <f>IFERROR(INDEX(tblY7[Class],ROWS(H$10:H517))&amp;"","")</f>
        <v/>
      </c>
      <c r="I517" t="str">
        <f>IF(H517="","",IF(COUNTIF(H$10:H517,H517)=1,COUNTIF(H$10:H$609,"&lt;"&amp;H517)+1,""))</f>
        <v/>
      </c>
      <c r="J517" t="str">
        <f>IFERROR(INDEX(tblY8[Class],ROWS(J$10:J517))&amp;"","")</f>
        <v/>
      </c>
      <c r="K517" t="str">
        <f>IF(J517="","",IF(COUNTIF(J$10:J517,J517)=1,COUNTIF(J$10:J$609,"&lt;"&amp;J517)+1,""))</f>
        <v/>
      </c>
      <c r="L517" t="str">
        <f>IFERROR(INDEX(tblY9[Class],ROWS(L$10:L517))&amp;"","")</f>
        <v/>
      </c>
      <c r="M517" t="str">
        <f>IF(L517="","",IF(COUNTIF(L$10:L517,L517)=1,COUNTIF(L$10:L$609,"&lt;"&amp;L517)+1,""))</f>
        <v/>
      </c>
      <c r="N517" t="str">
        <f>IFERROR(INDEX(tblY10[Class],ROWS(N$10:N517))&amp;"","")</f>
        <v/>
      </c>
      <c r="O517" t="str">
        <f>IF(N517="","",IF(COUNTIF(N$10:N517,N517)=1,COUNTIF(N$10:N$609,"&lt;"&amp;N517)+1,""))</f>
        <v/>
      </c>
      <c r="P517" t="str">
        <f>IFERROR(INDEX(tblY11[Class],ROWS(P$10:P517))&amp;"","")</f>
        <v/>
      </c>
      <c r="Q517" t="str">
        <f>IF(P517="","",IF(COUNTIF(P$10:P517,P517)=1,COUNTIF(P$10:P$609,"&lt;"&amp;P517)+1,""))</f>
        <v/>
      </c>
      <c r="BA517" t="str">
        <f>IFERROR(INDEX(wLast,448)&amp;"","")</f>
        <v/>
      </c>
      <c r="BB517" t="str">
        <f>IF(BA517="","",IFERROR(INDEX(wFirst,448)&amp;"",""))</f>
        <v/>
      </c>
      <c r="BC517" t="str">
        <f>IF(BA517="","",IFERROR(INDEX(wClass,448)&amp;"",""))</f>
        <v/>
      </c>
      <c r="BD517" t="str">
        <f>IF(BA517="","",IFERROR(INDEX(wKsBand,448)+0,""))</f>
        <v/>
      </c>
      <c r="BE517" t="str">
        <f>IF(BA517="","",IFERROR(INDEX(wTests,448)+0,0))</f>
        <v/>
      </c>
      <c r="BF517" t="str">
        <f>IF(BA517="","",IFERROR(INDEX(wMean,448)+0,""))</f>
        <v/>
      </c>
      <c r="BG517" t="str">
        <f>IF(BA517="","",IFERROR(INDEX(wVs,448)+0,""))</f>
        <v/>
      </c>
      <c r="BH517" t="str">
        <f>IF(OR(BA517="",wLatest=""),"",IFERROR(INDEX(wData,448,MATCH(wLatest&amp;CHAR(10)&amp;"Stanine",wHdr,0))+0,""))</f>
        <v/>
      </c>
      <c r="BI517" t="str">
        <f>IF(BA517="","",IF(AND(ISNUMBER(BG517),N(BE517)&gt;=WlMinTests,BG517&lt;=-WlGap),"Below expected for KS2",IF(AND(NOT(ISNUMBER(BD517)),ISNUMBER(BF517),N(BE517)&gt;=WlMinTests,BF517&lt;=WlLowMean),"Low results, no KS2 data","")))</f>
        <v/>
      </c>
      <c r="BJ517" t="str">
        <f>IF(BI517="","",IF(BI517="Below expected for KS2",BG517,100+BF517)+ROW()/1000000)</f>
        <v/>
      </c>
    </row>
    <row r="518">
      <c r="H518" t="str">
        <f>IFERROR(INDEX(tblY7[Class],ROWS(H$10:H518))&amp;"","")</f>
        <v/>
      </c>
      <c r="I518" t="str">
        <f>IF(H518="","",IF(COUNTIF(H$10:H518,H518)=1,COUNTIF(H$10:H$609,"&lt;"&amp;H518)+1,""))</f>
        <v/>
      </c>
      <c r="J518" t="str">
        <f>IFERROR(INDEX(tblY8[Class],ROWS(J$10:J518))&amp;"","")</f>
        <v/>
      </c>
      <c r="K518" t="str">
        <f>IF(J518="","",IF(COUNTIF(J$10:J518,J518)=1,COUNTIF(J$10:J$609,"&lt;"&amp;J518)+1,""))</f>
        <v/>
      </c>
      <c r="L518" t="str">
        <f>IFERROR(INDEX(tblY9[Class],ROWS(L$10:L518))&amp;"","")</f>
        <v/>
      </c>
      <c r="M518" t="str">
        <f>IF(L518="","",IF(COUNTIF(L$10:L518,L518)=1,COUNTIF(L$10:L$609,"&lt;"&amp;L518)+1,""))</f>
        <v/>
      </c>
      <c r="N518" t="str">
        <f>IFERROR(INDEX(tblY10[Class],ROWS(N$10:N518))&amp;"","")</f>
        <v/>
      </c>
      <c r="O518" t="str">
        <f>IF(N518="","",IF(COUNTIF(N$10:N518,N518)=1,COUNTIF(N$10:N$609,"&lt;"&amp;N518)+1,""))</f>
        <v/>
      </c>
      <c r="P518" t="str">
        <f>IFERROR(INDEX(tblY11[Class],ROWS(P$10:P518))&amp;"","")</f>
        <v/>
      </c>
      <c r="Q518" t="str">
        <f>IF(P518="","",IF(COUNTIF(P$10:P518,P518)=1,COUNTIF(P$10:P$609,"&lt;"&amp;P518)+1,""))</f>
        <v/>
      </c>
      <c r="BA518" t="str">
        <f>IFERROR(INDEX(wLast,449)&amp;"","")</f>
        <v/>
      </c>
      <c r="BB518" t="str">
        <f>IF(BA518="","",IFERROR(INDEX(wFirst,449)&amp;"",""))</f>
        <v/>
      </c>
      <c r="BC518" t="str">
        <f>IF(BA518="","",IFERROR(INDEX(wClass,449)&amp;"",""))</f>
        <v/>
      </c>
      <c r="BD518" t="str">
        <f>IF(BA518="","",IFERROR(INDEX(wKsBand,449)+0,""))</f>
        <v/>
      </c>
      <c r="BE518" t="str">
        <f>IF(BA518="","",IFERROR(INDEX(wTests,449)+0,0))</f>
        <v/>
      </c>
      <c r="BF518" t="str">
        <f>IF(BA518="","",IFERROR(INDEX(wMean,449)+0,""))</f>
        <v/>
      </c>
      <c r="BG518" t="str">
        <f>IF(BA518="","",IFERROR(INDEX(wVs,449)+0,""))</f>
        <v/>
      </c>
      <c r="BH518" t="str">
        <f>IF(OR(BA518="",wLatest=""),"",IFERROR(INDEX(wData,449,MATCH(wLatest&amp;CHAR(10)&amp;"Stanine",wHdr,0))+0,""))</f>
        <v/>
      </c>
      <c r="BI518" t="str">
        <f>IF(BA518="","",IF(AND(ISNUMBER(BG518),N(BE518)&gt;=WlMinTests,BG518&lt;=-WlGap),"Below expected for KS2",IF(AND(NOT(ISNUMBER(BD518)),ISNUMBER(BF518),N(BE518)&gt;=WlMinTests,BF518&lt;=WlLowMean),"Low results, no KS2 data","")))</f>
        <v/>
      </c>
      <c r="BJ518" t="str">
        <f>IF(BI518="","",IF(BI518="Below expected for KS2",BG518,100+BF518)+ROW()/1000000)</f>
        <v/>
      </c>
    </row>
    <row r="519">
      <c r="H519" t="str">
        <f>IFERROR(INDEX(tblY7[Class],ROWS(H$10:H519))&amp;"","")</f>
        <v/>
      </c>
      <c r="I519" t="str">
        <f>IF(H519="","",IF(COUNTIF(H$10:H519,H519)=1,COUNTIF(H$10:H$609,"&lt;"&amp;H519)+1,""))</f>
        <v/>
      </c>
      <c r="J519" t="str">
        <f>IFERROR(INDEX(tblY8[Class],ROWS(J$10:J519))&amp;"","")</f>
        <v/>
      </c>
      <c r="K519" t="str">
        <f>IF(J519="","",IF(COUNTIF(J$10:J519,J519)=1,COUNTIF(J$10:J$609,"&lt;"&amp;J519)+1,""))</f>
        <v/>
      </c>
      <c r="L519" t="str">
        <f>IFERROR(INDEX(tblY9[Class],ROWS(L$10:L519))&amp;"","")</f>
        <v/>
      </c>
      <c r="M519" t="str">
        <f>IF(L519="","",IF(COUNTIF(L$10:L519,L519)=1,COUNTIF(L$10:L$609,"&lt;"&amp;L519)+1,""))</f>
        <v/>
      </c>
      <c r="N519" t="str">
        <f>IFERROR(INDEX(tblY10[Class],ROWS(N$10:N519))&amp;"","")</f>
        <v/>
      </c>
      <c r="O519" t="str">
        <f>IF(N519="","",IF(COUNTIF(N$10:N519,N519)=1,COUNTIF(N$10:N$609,"&lt;"&amp;N519)+1,""))</f>
        <v/>
      </c>
      <c r="P519" t="str">
        <f>IFERROR(INDEX(tblY11[Class],ROWS(P$10:P519))&amp;"","")</f>
        <v/>
      </c>
      <c r="Q519" t="str">
        <f>IF(P519="","",IF(COUNTIF(P$10:P519,P519)=1,COUNTIF(P$10:P$609,"&lt;"&amp;P519)+1,""))</f>
        <v/>
      </c>
      <c r="BA519" t="str">
        <f>IFERROR(INDEX(wLast,450)&amp;"","")</f>
        <v/>
      </c>
      <c r="BB519" t="str">
        <f>IF(BA519="","",IFERROR(INDEX(wFirst,450)&amp;"",""))</f>
        <v/>
      </c>
      <c r="BC519" t="str">
        <f>IF(BA519="","",IFERROR(INDEX(wClass,450)&amp;"",""))</f>
        <v/>
      </c>
      <c r="BD519" t="str">
        <f>IF(BA519="","",IFERROR(INDEX(wKsBand,450)+0,""))</f>
        <v/>
      </c>
      <c r="BE519" t="str">
        <f>IF(BA519="","",IFERROR(INDEX(wTests,450)+0,0))</f>
        <v/>
      </c>
      <c r="BF519" t="str">
        <f>IF(BA519="","",IFERROR(INDEX(wMean,450)+0,""))</f>
        <v/>
      </c>
      <c r="BG519" t="str">
        <f>IF(BA519="","",IFERROR(INDEX(wVs,450)+0,""))</f>
        <v/>
      </c>
      <c r="BH519" t="str">
        <f>IF(OR(BA519="",wLatest=""),"",IFERROR(INDEX(wData,450,MATCH(wLatest&amp;CHAR(10)&amp;"Stanine",wHdr,0))+0,""))</f>
        <v/>
      </c>
      <c r="BI519" t="str">
        <f>IF(BA519="","",IF(AND(ISNUMBER(BG519),N(BE519)&gt;=WlMinTests,BG519&lt;=-WlGap),"Below expected for KS2",IF(AND(NOT(ISNUMBER(BD519)),ISNUMBER(BF519),N(BE519)&gt;=WlMinTests,BF519&lt;=WlLowMean),"Low results, no KS2 data","")))</f>
        <v/>
      </c>
      <c r="BJ519" t="str">
        <f>IF(BI519="","",IF(BI519="Below expected for KS2",BG519,100+BF519)+ROW()/1000000)</f>
        <v/>
      </c>
    </row>
    <row r="520">
      <c r="H520" t="str">
        <f>IFERROR(INDEX(tblY7[Class],ROWS(H$10:H520))&amp;"","")</f>
        <v/>
      </c>
      <c r="I520" t="str">
        <f>IF(H520="","",IF(COUNTIF(H$10:H520,H520)=1,COUNTIF(H$10:H$609,"&lt;"&amp;H520)+1,""))</f>
        <v/>
      </c>
      <c r="J520" t="str">
        <f>IFERROR(INDEX(tblY8[Class],ROWS(J$10:J520))&amp;"","")</f>
        <v/>
      </c>
      <c r="K520" t="str">
        <f>IF(J520="","",IF(COUNTIF(J$10:J520,J520)=1,COUNTIF(J$10:J$609,"&lt;"&amp;J520)+1,""))</f>
        <v/>
      </c>
      <c r="L520" t="str">
        <f>IFERROR(INDEX(tblY9[Class],ROWS(L$10:L520))&amp;"","")</f>
        <v/>
      </c>
      <c r="M520" t="str">
        <f>IF(L520="","",IF(COUNTIF(L$10:L520,L520)=1,COUNTIF(L$10:L$609,"&lt;"&amp;L520)+1,""))</f>
        <v/>
      </c>
      <c r="N520" t="str">
        <f>IFERROR(INDEX(tblY10[Class],ROWS(N$10:N520))&amp;"","")</f>
        <v/>
      </c>
      <c r="O520" t="str">
        <f>IF(N520="","",IF(COUNTIF(N$10:N520,N520)=1,COUNTIF(N$10:N$609,"&lt;"&amp;N520)+1,""))</f>
        <v/>
      </c>
      <c r="P520" t="str">
        <f>IFERROR(INDEX(tblY11[Class],ROWS(P$10:P520))&amp;"","")</f>
        <v/>
      </c>
      <c r="Q520" t="str">
        <f>IF(P520="","",IF(COUNTIF(P$10:P520,P520)=1,COUNTIF(P$10:P$609,"&lt;"&amp;P520)+1,""))</f>
        <v/>
      </c>
      <c r="BA520" t="str">
        <f>IFERROR(INDEX(wLast,451)&amp;"","")</f>
        <v/>
      </c>
      <c r="BB520" t="str">
        <f>IF(BA520="","",IFERROR(INDEX(wFirst,451)&amp;"",""))</f>
        <v/>
      </c>
      <c r="BC520" t="str">
        <f>IF(BA520="","",IFERROR(INDEX(wClass,451)&amp;"",""))</f>
        <v/>
      </c>
      <c r="BD520" t="str">
        <f>IF(BA520="","",IFERROR(INDEX(wKsBand,451)+0,""))</f>
        <v/>
      </c>
      <c r="BE520" t="str">
        <f>IF(BA520="","",IFERROR(INDEX(wTests,451)+0,0))</f>
        <v/>
      </c>
      <c r="BF520" t="str">
        <f>IF(BA520="","",IFERROR(INDEX(wMean,451)+0,""))</f>
        <v/>
      </c>
      <c r="BG520" t="str">
        <f>IF(BA520="","",IFERROR(INDEX(wVs,451)+0,""))</f>
        <v/>
      </c>
      <c r="BH520" t="str">
        <f>IF(OR(BA520="",wLatest=""),"",IFERROR(INDEX(wData,451,MATCH(wLatest&amp;CHAR(10)&amp;"Stanine",wHdr,0))+0,""))</f>
        <v/>
      </c>
      <c r="BI520" t="str">
        <f>IF(BA520="","",IF(AND(ISNUMBER(BG520),N(BE520)&gt;=WlMinTests,BG520&lt;=-WlGap),"Below expected for KS2",IF(AND(NOT(ISNUMBER(BD520)),ISNUMBER(BF520),N(BE520)&gt;=WlMinTests,BF520&lt;=WlLowMean),"Low results, no KS2 data","")))</f>
        <v/>
      </c>
      <c r="BJ520" t="str">
        <f>IF(BI520="","",IF(BI520="Below expected for KS2",BG520,100+BF520)+ROW()/1000000)</f>
        <v/>
      </c>
    </row>
    <row r="521">
      <c r="H521" t="str">
        <f>IFERROR(INDEX(tblY7[Class],ROWS(H$10:H521))&amp;"","")</f>
        <v/>
      </c>
      <c r="I521" t="str">
        <f>IF(H521="","",IF(COUNTIF(H$10:H521,H521)=1,COUNTIF(H$10:H$609,"&lt;"&amp;H521)+1,""))</f>
        <v/>
      </c>
      <c r="J521" t="str">
        <f>IFERROR(INDEX(tblY8[Class],ROWS(J$10:J521))&amp;"","")</f>
        <v/>
      </c>
      <c r="K521" t="str">
        <f>IF(J521="","",IF(COUNTIF(J$10:J521,J521)=1,COUNTIF(J$10:J$609,"&lt;"&amp;J521)+1,""))</f>
        <v/>
      </c>
      <c r="L521" t="str">
        <f>IFERROR(INDEX(tblY9[Class],ROWS(L$10:L521))&amp;"","")</f>
        <v/>
      </c>
      <c r="M521" t="str">
        <f>IF(L521="","",IF(COUNTIF(L$10:L521,L521)=1,COUNTIF(L$10:L$609,"&lt;"&amp;L521)+1,""))</f>
        <v/>
      </c>
      <c r="N521" t="str">
        <f>IFERROR(INDEX(tblY10[Class],ROWS(N$10:N521))&amp;"","")</f>
        <v/>
      </c>
      <c r="O521" t="str">
        <f>IF(N521="","",IF(COUNTIF(N$10:N521,N521)=1,COUNTIF(N$10:N$609,"&lt;"&amp;N521)+1,""))</f>
        <v/>
      </c>
      <c r="P521" t="str">
        <f>IFERROR(INDEX(tblY11[Class],ROWS(P$10:P521))&amp;"","")</f>
        <v/>
      </c>
      <c r="Q521" t="str">
        <f>IF(P521="","",IF(COUNTIF(P$10:P521,P521)=1,COUNTIF(P$10:P$609,"&lt;"&amp;P521)+1,""))</f>
        <v/>
      </c>
      <c r="BA521" t="str">
        <f>IFERROR(INDEX(wLast,452)&amp;"","")</f>
        <v/>
      </c>
      <c r="BB521" t="str">
        <f>IF(BA521="","",IFERROR(INDEX(wFirst,452)&amp;"",""))</f>
        <v/>
      </c>
      <c r="BC521" t="str">
        <f>IF(BA521="","",IFERROR(INDEX(wClass,452)&amp;"",""))</f>
        <v/>
      </c>
      <c r="BD521" t="str">
        <f>IF(BA521="","",IFERROR(INDEX(wKsBand,452)+0,""))</f>
        <v/>
      </c>
      <c r="BE521" t="str">
        <f>IF(BA521="","",IFERROR(INDEX(wTests,452)+0,0))</f>
        <v/>
      </c>
      <c r="BF521" t="str">
        <f>IF(BA521="","",IFERROR(INDEX(wMean,452)+0,""))</f>
        <v/>
      </c>
      <c r="BG521" t="str">
        <f>IF(BA521="","",IFERROR(INDEX(wVs,452)+0,""))</f>
        <v/>
      </c>
      <c r="BH521" t="str">
        <f>IF(OR(BA521="",wLatest=""),"",IFERROR(INDEX(wData,452,MATCH(wLatest&amp;CHAR(10)&amp;"Stanine",wHdr,0))+0,""))</f>
        <v/>
      </c>
      <c r="BI521" t="str">
        <f>IF(BA521="","",IF(AND(ISNUMBER(BG521),N(BE521)&gt;=WlMinTests,BG521&lt;=-WlGap),"Below expected for KS2",IF(AND(NOT(ISNUMBER(BD521)),ISNUMBER(BF521),N(BE521)&gt;=WlMinTests,BF521&lt;=WlLowMean),"Low results, no KS2 data","")))</f>
        <v/>
      </c>
      <c r="BJ521" t="str">
        <f>IF(BI521="","",IF(BI521="Below expected for KS2",BG521,100+BF521)+ROW()/1000000)</f>
        <v/>
      </c>
    </row>
    <row r="522">
      <c r="H522" t="str">
        <f>IFERROR(INDEX(tblY7[Class],ROWS(H$10:H522))&amp;"","")</f>
        <v/>
      </c>
      <c r="I522" t="str">
        <f>IF(H522="","",IF(COUNTIF(H$10:H522,H522)=1,COUNTIF(H$10:H$609,"&lt;"&amp;H522)+1,""))</f>
        <v/>
      </c>
      <c r="J522" t="str">
        <f>IFERROR(INDEX(tblY8[Class],ROWS(J$10:J522))&amp;"","")</f>
        <v/>
      </c>
      <c r="K522" t="str">
        <f>IF(J522="","",IF(COUNTIF(J$10:J522,J522)=1,COUNTIF(J$10:J$609,"&lt;"&amp;J522)+1,""))</f>
        <v/>
      </c>
      <c r="L522" t="str">
        <f>IFERROR(INDEX(tblY9[Class],ROWS(L$10:L522))&amp;"","")</f>
        <v/>
      </c>
      <c r="M522" t="str">
        <f>IF(L522="","",IF(COUNTIF(L$10:L522,L522)=1,COUNTIF(L$10:L$609,"&lt;"&amp;L522)+1,""))</f>
        <v/>
      </c>
      <c r="N522" t="str">
        <f>IFERROR(INDEX(tblY10[Class],ROWS(N$10:N522))&amp;"","")</f>
        <v/>
      </c>
      <c r="O522" t="str">
        <f>IF(N522="","",IF(COUNTIF(N$10:N522,N522)=1,COUNTIF(N$10:N$609,"&lt;"&amp;N522)+1,""))</f>
        <v/>
      </c>
      <c r="P522" t="str">
        <f>IFERROR(INDEX(tblY11[Class],ROWS(P$10:P522))&amp;"","")</f>
        <v/>
      </c>
      <c r="Q522" t="str">
        <f>IF(P522="","",IF(COUNTIF(P$10:P522,P522)=1,COUNTIF(P$10:P$609,"&lt;"&amp;P522)+1,""))</f>
        <v/>
      </c>
      <c r="BA522" t="str">
        <f>IFERROR(INDEX(wLast,453)&amp;"","")</f>
        <v/>
      </c>
      <c r="BB522" t="str">
        <f>IF(BA522="","",IFERROR(INDEX(wFirst,453)&amp;"",""))</f>
        <v/>
      </c>
      <c r="BC522" t="str">
        <f>IF(BA522="","",IFERROR(INDEX(wClass,453)&amp;"",""))</f>
        <v/>
      </c>
      <c r="BD522" t="str">
        <f>IF(BA522="","",IFERROR(INDEX(wKsBand,453)+0,""))</f>
        <v/>
      </c>
      <c r="BE522" t="str">
        <f>IF(BA522="","",IFERROR(INDEX(wTests,453)+0,0))</f>
        <v/>
      </c>
      <c r="BF522" t="str">
        <f>IF(BA522="","",IFERROR(INDEX(wMean,453)+0,""))</f>
        <v/>
      </c>
      <c r="BG522" t="str">
        <f>IF(BA522="","",IFERROR(INDEX(wVs,453)+0,""))</f>
        <v/>
      </c>
      <c r="BH522" t="str">
        <f>IF(OR(BA522="",wLatest=""),"",IFERROR(INDEX(wData,453,MATCH(wLatest&amp;CHAR(10)&amp;"Stanine",wHdr,0))+0,""))</f>
        <v/>
      </c>
      <c r="BI522" t="str">
        <f>IF(BA522="","",IF(AND(ISNUMBER(BG522),N(BE522)&gt;=WlMinTests,BG522&lt;=-WlGap),"Below expected for KS2",IF(AND(NOT(ISNUMBER(BD522)),ISNUMBER(BF522),N(BE522)&gt;=WlMinTests,BF522&lt;=WlLowMean),"Low results, no KS2 data","")))</f>
        <v/>
      </c>
      <c r="BJ522" t="str">
        <f>IF(BI522="","",IF(BI522="Below expected for KS2",BG522,100+BF522)+ROW()/1000000)</f>
        <v/>
      </c>
    </row>
    <row r="523">
      <c r="H523" t="str">
        <f>IFERROR(INDEX(tblY7[Class],ROWS(H$10:H523))&amp;"","")</f>
        <v/>
      </c>
      <c r="I523" t="str">
        <f>IF(H523="","",IF(COUNTIF(H$10:H523,H523)=1,COUNTIF(H$10:H$609,"&lt;"&amp;H523)+1,""))</f>
        <v/>
      </c>
      <c r="J523" t="str">
        <f>IFERROR(INDEX(tblY8[Class],ROWS(J$10:J523))&amp;"","")</f>
        <v/>
      </c>
      <c r="K523" t="str">
        <f>IF(J523="","",IF(COUNTIF(J$10:J523,J523)=1,COUNTIF(J$10:J$609,"&lt;"&amp;J523)+1,""))</f>
        <v/>
      </c>
      <c r="L523" t="str">
        <f>IFERROR(INDEX(tblY9[Class],ROWS(L$10:L523))&amp;"","")</f>
        <v/>
      </c>
      <c r="M523" t="str">
        <f>IF(L523="","",IF(COUNTIF(L$10:L523,L523)=1,COUNTIF(L$10:L$609,"&lt;"&amp;L523)+1,""))</f>
        <v/>
      </c>
      <c r="N523" t="str">
        <f>IFERROR(INDEX(tblY10[Class],ROWS(N$10:N523))&amp;"","")</f>
        <v/>
      </c>
      <c r="O523" t="str">
        <f>IF(N523="","",IF(COUNTIF(N$10:N523,N523)=1,COUNTIF(N$10:N$609,"&lt;"&amp;N523)+1,""))</f>
        <v/>
      </c>
      <c r="P523" t="str">
        <f>IFERROR(INDEX(tblY11[Class],ROWS(P$10:P523))&amp;"","")</f>
        <v/>
      </c>
      <c r="Q523" t="str">
        <f>IF(P523="","",IF(COUNTIF(P$10:P523,P523)=1,COUNTIF(P$10:P$609,"&lt;"&amp;P523)+1,""))</f>
        <v/>
      </c>
      <c r="BA523" t="str">
        <f>IFERROR(INDEX(wLast,454)&amp;"","")</f>
        <v/>
      </c>
      <c r="BB523" t="str">
        <f>IF(BA523="","",IFERROR(INDEX(wFirst,454)&amp;"",""))</f>
        <v/>
      </c>
      <c r="BC523" t="str">
        <f>IF(BA523="","",IFERROR(INDEX(wClass,454)&amp;"",""))</f>
        <v/>
      </c>
      <c r="BD523" t="str">
        <f>IF(BA523="","",IFERROR(INDEX(wKsBand,454)+0,""))</f>
        <v/>
      </c>
      <c r="BE523" t="str">
        <f>IF(BA523="","",IFERROR(INDEX(wTests,454)+0,0))</f>
        <v/>
      </c>
      <c r="BF523" t="str">
        <f>IF(BA523="","",IFERROR(INDEX(wMean,454)+0,""))</f>
        <v/>
      </c>
      <c r="BG523" t="str">
        <f>IF(BA523="","",IFERROR(INDEX(wVs,454)+0,""))</f>
        <v/>
      </c>
      <c r="BH523" t="str">
        <f>IF(OR(BA523="",wLatest=""),"",IFERROR(INDEX(wData,454,MATCH(wLatest&amp;CHAR(10)&amp;"Stanine",wHdr,0))+0,""))</f>
        <v/>
      </c>
      <c r="BI523" t="str">
        <f>IF(BA523="","",IF(AND(ISNUMBER(BG523),N(BE523)&gt;=WlMinTests,BG523&lt;=-WlGap),"Below expected for KS2",IF(AND(NOT(ISNUMBER(BD523)),ISNUMBER(BF523),N(BE523)&gt;=WlMinTests,BF523&lt;=WlLowMean),"Low results, no KS2 data","")))</f>
        <v/>
      </c>
      <c r="BJ523" t="str">
        <f>IF(BI523="","",IF(BI523="Below expected for KS2",BG523,100+BF523)+ROW()/1000000)</f>
        <v/>
      </c>
    </row>
    <row r="524">
      <c r="H524" t="str">
        <f>IFERROR(INDEX(tblY7[Class],ROWS(H$10:H524))&amp;"","")</f>
        <v/>
      </c>
      <c r="I524" t="str">
        <f>IF(H524="","",IF(COUNTIF(H$10:H524,H524)=1,COUNTIF(H$10:H$609,"&lt;"&amp;H524)+1,""))</f>
        <v/>
      </c>
      <c r="J524" t="str">
        <f>IFERROR(INDEX(tblY8[Class],ROWS(J$10:J524))&amp;"","")</f>
        <v/>
      </c>
      <c r="K524" t="str">
        <f>IF(J524="","",IF(COUNTIF(J$10:J524,J524)=1,COUNTIF(J$10:J$609,"&lt;"&amp;J524)+1,""))</f>
        <v/>
      </c>
      <c r="L524" t="str">
        <f>IFERROR(INDEX(tblY9[Class],ROWS(L$10:L524))&amp;"","")</f>
        <v/>
      </c>
      <c r="M524" t="str">
        <f>IF(L524="","",IF(COUNTIF(L$10:L524,L524)=1,COUNTIF(L$10:L$609,"&lt;"&amp;L524)+1,""))</f>
        <v/>
      </c>
      <c r="N524" t="str">
        <f>IFERROR(INDEX(tblY10[Class],ROWS(N$10:N524))&amp;"","")</f>
        <v/>
      </c>
      <c r="O524" t="str">
        <f>IF(N524="","",IF(COUNTIF(N$10:N524,N524)=1,COUNTIF(N$10:N$609,"&lt;"&amp;N524)+1,""))</f>
        <v/>
      </c>
      <c r="P524" t="str">
        <f>IFERROR(INDEX(tblY11[Class],ROWS(P$10:P524))&amp;"","")</f>
        <v/>
      </c>
      <c r="Q524" t="str">
        <f>IF(P524="","",IF(COUNTIF(P$10:P524,P524)=1,COUNTIF(P$10:P$609,"&lt;"&amp;P524)+1,""))</f>
        <v/>
      </c>
      <c r="BA524" t="str">
        <f>IFERROR(INDEX(wLast,455)&amp;"","")</f>
        <v/>
      </c>
      <c r="BB524" t="str">
        <f>IF(BA524="","",IFERROR(INDEX(wFirst,455)&amp;"",""))</f>
        <v/>
      </c>
      <c r="BC524" t="str">
        <f>IF(BA524="","",IFERROR(INDEX(wClass,455)&amp;"",""))</f>
        <v/>
      </c>
      <c r="BD524" t="str">
        <f>IF(BA524="","",IFERROR(INDEX(wKsBand,455)+0,""))</f>
        <v/>
      </c>
      <c r="BE524" t="str">
        <f>IF(BA524="","",IFERROR(INDEX(wTests,455)+0,0))</f>
        <v/>
      </c>
      <c r="BF524" t="str">
        <f>IF(BA524="","",IFERROR(INDEX(wMean,455)+0,""))</f>
        <v/>
      </c>
      <c r="BG524" t="str">
        <f>IF(BA524="","",IFERROR(INDEX(wVs,455)+0,""))</f>
        <v/>
      </c>
      <c r="BH524" t="str">
        <f>IF(OR(BA524="",wLatest=""),"",IFERROR(INDEX(wData,455,MATCH(wLatest&amp;CHAR(10)&amp;"Stanine",wHdr,0))+0,""))</f>
        <v/>
      </c>
      <c r="BI524" t="str">
        <f>IF(BA524="","",IF(AND(ISNUMBER(BG524),N(BE524)&gt;=WlMinTests,BG524&lt;=-WlGap),"Below expected for KS2",IF(AND(NOT(ISNUMBER(BD524)),ISNUMBER(BF524),N(BE524)&gt;=WlMinTests,BF524&lt;=WlLowMean),"Low results, no KS2 data","")))</f>
        <v/>
      </c>
      <c r="BJ524" t="str">
        <f>IF(BI524="","",IF(BI524="Below expected for KS2",BG524,100+BF524)+ROW()/1000000)</f>
        <v/>
      </c>
    </row>
    <row r="525">
      <c r="H525" t="str">
        <f>IFERROR(INDEX(tblY7[Class],ROWS(H$10:H525))&amp;"","")</f>
        <v/>
      </c>
      <c r="I525" t="str">
        <f>IF(H525="","",IF(COUNTIF(H$10:H525,H525)=1,COUNTIF(H$10:H$609,"&lt;"&amp;H525)+1,""))</f>
        <v/>
      </c>
      <c r="J525" t="str">
        <f>IFERROR(INDEX(tblY8[Class],ROWS(J$10:J525))&amp;"","")</f>
        <v/>
      </c>
      <c r="K525" t="str">
        <f>IF(J525="","",IF(COUNTIF(J$10:J525,J525)=1,COUNTIF(J$10:J$609,"&lt;"&amp;J525)+1,""))</f>
        <v/>
      </c>
      <c r="L525" t="str">
        <f>IFERROR(INDEX(tblY9[Class],ROWS(L$10:L525))&amp;"","")</f>
        <v/>
      </c>
      <c r="M525" t="str">
        <f>IF(L525="","",IF(COUNTIF(L$10:L525,L525)=1,COUNTIF(L$10:L$609,"&lt;"&amp;L525)+1,""))</f>
        <v/>
      </c>
      <c r="N525" t="str">
        <f>IFERROR(INDEX(tblY10[Class],ROWS(N$10:N525))&amp;"","")</f>
        <v/>
      </c>
      <c r="O525" t="str">
        <f>IF(N525="","",IF(COUNTIF(N$10:N525,N525)=1,COUNTIF(N$10:N$609,"&lt;"&amp;N525)+1,""))</f>
        <v/>
      </c>
      <c r="P525" t="str">
        <f>IFERROR(INDEX(tblY11[Class],ROWS(P$10:P525))&amp;"","")</f>
        <v/>
      </c>
      <c r="Q525" t="str">
        <f>IF(P525="","",IF(COUNTIF(P$10:P525,P525)=1,COUNTIF(P$10:P$609,"&lt;"&amp;P525)+1,""))</f>
        <v/>
      </c>
      <c r="BA525" t="str">
        <f>IFERROR(INDEX(wLast,456)&amp;"","")</f>
        <v/>
      </c>
      <c r="BB525" t="str">
        <f>IF(BA525="","",IFERROR(INDEX(wFirst,456)&amp;"",""))</f>
        <v/>
      </c>
      <c r="BC525" t="str">
        <f>IF(BA525="","",IFERROR(INDEX(wClass,456)&amp;"",""))</f>
        <v/>
      </c>
      <c r="BD525" t="str">
        <f>IF(BA525="","",IFERROR(INDEX(wKsBand,456)+0,""))</f>
        <v/>
      </c>
      <c r="BE525" t="str">
        <f>IF(BA525="","",IFERROR(INDEX(wTests,456)+0,0))</f>
        <v/>
      </c>
      <c r="BF525" t="str">
        <f>IF(BA525="","",IFERROR(INDEX(wMean,456)+0,""))</f>
        <v/>
      </c>
      <c r="BG525" t="str">
        <f>IF(BA525="","",IFERROR(INDEX(wVs,456)+0,""))</f>
        <v/>
      </c>
      <c r="BH525" t="str">
        <f>IF(OR(BA525="",wLatest=""),"",IFERROR(INDEX(wData,456,MATCH(wLatest&amp;CHAR(10)&amp;"Stanine",wHdr,0))+0,""))</f>
        <v/>
      </c>
      <c r="BI525" t="str">
        <f>IF(BA525="","",IF(AND(ISNUMBER(BG525),N(BE525)&gt;=WlMinTests,BG525&lt;=-WlGap),"Below expected for KS2",IF(AND(NOT(ISNUMBER(BD525)),ISNUMBER(BF525),N(BE525)&gt;=WlMinTests,BF525&lt;=WlLowMean),"Low results, no KS2 data","")))</f>
        <v/>
      </c>
      <c r="BJ525" t="str">
        <f>IF(BI525="","",IF(BI525="Below expected for KS2",BG525,100+BF525)+ROW()/1000000)</f>
        <v/>
      </c>
    </row>
    <row r="526">
      <c r="H526" t="str">
        <f>IFERROR(INDEX(tblY7[Class],ROWS(H$10:H526))&amp;"","")</f>
        <v/>
      </c>
      <c r="I526" t="str">
        <f>IF(H526="","",IF(COUNTIF(H$10:H526,H526)=1,COUNTIF(H$10:H$609,"&lt;"&amp;H526)+1,""))</f>
        <v/>
      </c>
      <c r="J526" t="str">
        <f>IFERROR(INDEX(tblY8[Class],ROWS(J$10:J526))&amp;"","")</f>
        <v/>
      </c>
      <c r="K526" t="str">
        <f>IF(J526="","",IF(COUNTIF(J$10:J526,J526)=1,COUNTIF(J$10:J$609,"&lt;"&amp;J526)+1,""))</f>
        <v/>
      </c>
      <c r="L526" t="str">
        <f>IFERROR(INDEX(tblY9[Class],ROWS(L$10:L526))&amp;"","")</f>
        <v/>
      </c>
      <c r="M526" t="str">
        <f>IF(L526="","",IF(COUNTIF(L$10:L526,L526)=1,COUNTIF(L$10:L$609,"&lt;"&amp;L526)+1,""))</f>
        <v/>
      </c>
      <c r="N526" t="str">
        <f>IFERROR(INDEX(tblY10[Class],ROWS(N$10:N526))&amp;"","")</f>
        <v/>
      </c>
      <c r="O526" t="str">
        <f>IF(N526="","",IF(COUNTIF(N$10:N526,N526)=1,COUNTIF(N$10:N$609,"&lt;"&amp;N526)+1,""))</f>
        <v/>
      </c>
      <c r="P526" t="str">
        <f>IFERROR(INDEX(tblY11[Class],ROWS(P$10:P526))&amp;"","")</f>
        <v/>
      </c>
      <c r="Q526" t="str">
        <f>IF(P526="","",IF(COUNTIF(P$10:P526,P526)=1,COUNTIF(P$10:P$609,"&lt;"&amp;P526)+1,""))</f>
        <v/>
      </c>
      <c r="BA526" t="str">
        <f>IFERROR(INDEX(wLast,457)&amp;"","")</f>
        <v/>
      </c>
      <c r="BB526" t="str">
        <f>IF(BA526="","",IFERROR(INDEX(wFirst,457)&amp;"",""))</f>
        <v/>
      </c>
      <c r="BC526" t="str">
        <f>IF(BA526="","",IFERROR(INDEX(wClass,457)&amp;"",""))</f>
        <v/>
      </c>
      <c r="BD526" t="str">
        <f>IF(BA526="","",IFERROR(INDEX(wKsBand,457)+0,""))</f>
        <v/>
      </c>
      <c r="BE526" t="str">
        <f>IF(BA526="","",IFERROR(INDEX(wTests,457)+0,0))</f>
        <v/>
      </c>
      <c r="BF526" t="str">
        <f>IF(BA526="","",IFERROR(INDEX(wMean,457)+0,""))</f>
        <v/>
      </c>
      <c r="BG526" t="str">
        <f>IF(BA526="","",IFERROR(INDEX(wVs,457)+0,""))</f>
        <v/>
      </c>
      <c r="BH526" t="str">
        <f>IF(OR(BA526="",wLatest=""),"",IFERROR(INDEX(wData,457,MATCH(wLatest&amp;CHAR(10)&amp;"Stanine",wHdr,0))+0,""))</f>
        <v/>
      </c>
      <c r="BI526" t="str">
        <f>IF(BA526="","",IF(AND(ISNUMBER(BG526),N(BE526)&gt;=WlMinTests,BG526&lt;=-WlGap),"Below expected for KS2",IF(AND(NOT(ISNUMBER(BD526)),ISNUMBER(BF526),N(BE526)&gt;=WlMinTests,BF526&lt;=WlLowMean),"Low results, no KS2 data","")))</f>
        <v/>
      </c>
      <c r="BJ526" t="str">
        <f>IF(BI526="","",IF(BI526="Below expected for KS2",BG526,100+BF526)+ROW()/1000000)</f>
        <v/>
      </c>
    </row>
    <row r="527">
      <c r="H527" t="str">
        <f>IFERROR(INDEX(tblY7[Class],ROWS(H$10:H527))&amp;"","")</f>
        <v/>
      </c>
      <c r="I527" t="str">
        <f>IF(H527="","",IF(COUNTIF(H$10:H527,H527)=1,COUNTIF(H$10:H$609,"&lt;"&amp;H527)+1,""))</f>
        <v/>
      </c>
      <c r="J527" t="str">
        <f>IFERROR(INDEX(tblY8[Class],ROWS(J$10:J527))&amp;"","")</f>
        <v/>
      </c>
      <c r="K527" t="str">
        <f>IF(J527="","",IF(COUNTIF(J$10:J527,J527)=1,COUNTIF(J$10:J$609,"&lt;"&amp;J527)+1,""))</f>
        <v/>
      </c>
      <c r="L527" t="str">
        <f>IFERROR(INDEX(tblY9[Class],ROWS(L$10:L527))&amp;"","")</f>
        <v/>
      </c>
      <c r="M527" t="str">
        <f>IF(L527="","",IF(COUNTIF(L$10:L527,L527)=1,COUNTIF(L$10:L$609,"&lt;"&amp;L527)+1,""))</f>
        <v/>
      </c>
      <c r="N527" t="str">
        <f>IFERROR(INDEX(tblY10[Class],ROWS(N$10:N527))&amp;"","")</f>
        <v/>
      </c>
      <c r="O527" t="str">
        <f>IF(N527="","",IF(COUNTIF(N$10:N527,N527)=1,COUNTIF(N$10:N$609,"&lt;"&amp;N527)+1,""))</f>
        <v/>
      </c>
      <c r="P527" t="str">
        <f>IFERROR(INDEX(tblY11[Class],ROWS(P$10:P527))&amp;"","")</f>
        <v/>
      </c>
      <c r="Q527" t="str">
        <f>IF(P527="","",IF(COUNTIF(P$10:P527,P527)=1,COUNTIF(P$10:P$609,"&lt;"&amp;P527)+1,""))</f>
        <v/>
      </c>
      <c r="BA527" t="str">
        <f>IFERROR(INDEX(wLast,458)&amp;"","")</f>
        <v/>
      </c>
      <c r="BB527" t="str">
        <f>IF(BA527="","",IFERROR(INDEX(wFirst,458)&amp;"",""))</f>
        <v/>
      </c>
      <c r="BC527" t="str">
        <f>IF(BA527="","",IFERROR(INDEX(wClass,458)&amp;"",""))</f>
        <v/>
      </c>
      <c r="BD527" t="str">
        <f>IF(BA527="","",IFERROR(INDEX(wKsBand,458)+0,""))</f>
        <v/>
      </c>
      <c r="BE527" t="str">
        <f>IF(BA527="","",IFERROR(INDEX(wTests,458)+0,0))</f>
        <v/>
      </c>
      <c r="BF527" t="str">
        <f>IF(BA527="","",IFERROR(INDEX(wMean,458)+0,""))</f>
        <v/>
      </c>
      <c r="BG527" t="str">
        <f>IF(BA527="","",IFERROR(INDEX(wVs,458)+0,""))</f>
        <v/>
      </c>
      <c r="BH527" t="str">
        <f>IF(OR(BA527="",wLatest=""),"",IFERROR(INDEX(wData,458,MATCH(wLatest&amp;CHAR(10)&amp;"Stanine",wHdr,0))+0,""))</f>
        <v/>
      </c>
      <c r="BI527" t="str">
        <f>IF(BA527="","",IF(AND(ISNUMBER(BG527),N(BE527)&gt;=WlMinTests,BG527&lt;=-WlGap),"Below expected for KS2",IF(AND(NOT(ISNUMBER(BD527)),ISNUMBER(BF527),N(BE527)&gt;=WlMinTests,BF527&lt;=WlLowMean),"Low results, no KS2 data","")))</f>
        <v/>
      </c>
      <c r="BJ527" t="str">
        <f>IF(BI527="","",IF(BI527="Below expected for KS2",BG527,100+BF527)+ROW()/1000000)</f>
        <v/>
      </c>
    </row>
    <row r="528">
      <c r="H528" t="str">
        <f>IFERROR(INDEX(tblY7[Class],ROWS(H$10:H528))&amp;"","")</f>
        <v/>
      </c>
      <c r="I528" t="str">
        <f>IF(H528="","",IF(COUNTIF(H$10:H528,H528)=1,COUNTIF(H$10:H$609,"&lt;"&amp;H528)+1,""))</f>
        <v/>
      </c>
      <c r="J528" t="str">
        <f>IFERROR(INDEX(tblY8[Class],ROWS(J$10:J528))&amp;"","")</f>
        <v/>
      </c>
      <c r="K528" t="str">
        <f>IF(J528="","",IF(COUNTIF(J$10:J528,J528)=1,COUNTIF(J$10:J$609,"&lt;"&amp;J528)+1,""))</f>
        <v/>
      </c>
      <c r="L528" t="str">
        <f>IFERROR(INDEX(tblY9[Class],ROWS(L$10:L528))&amp;"","")</f>
        <v/>
      </c>
      <c r="M528" t="str">
        <f>IF(L528="","",IF(COUNTIF(L$10:L528,L528)=1,COUNTIF(L$10:L$609,"&lt;"&amp;L528)+1,""))</f>
        <v/>
      </c>
      <c r="N528" t="str">
        <f>IFERROR(INDEX(tblY10[Class],ROWS(N$10:N528))&amp;"","")</f>
        <v/>
      </c>
      <c r="O528" t="str">
        <f>IF(N528="","",IF(COUNTIF(N$10:N528,N528)=1,COUNTIF(N$10:N$609,"&lt;"&amp;N528)+1,""))</f>
        <v/>
      </c>
      <c r="P528" t="str">
        <f>IFERROR(INDEX(tblY11[Class],ROWS(P$10:P528))&amp;"","")</f>
        <v/>
      </c>
      <c r="Q528" t="str">
        <f>IF(P528="","",IF(COUNTIF(P$10:P528,P528)=1,COUNTIF(P$10:P$609,"&lt;"&amp;P528)+1,""))</f>
        <v/>
      </c>
      <c r="BA528" t="str">
        <f>IFERROR(INDEX(wLast,459)&amp;"","")</f>
        <v/>
      </c>
      <c r="BB528" t="str">
        <f>IF(BA528="","",IFERROR(INDEX(wFirst,459)&amp;"",""))</f>
        <v/>
      </c>
      <c r="BC528" t="str">
        <f>IF(BA528="","",IFERROR(INDEX(wClass,459)&amp;"",""))</f>
        <v/>
      </c>
      <c r="BD528" t="str">
        <f>IF(BA528="","",IFERROR(INDEX(wKsBand,459)+0,""))</f>
        <v/>
      </c>
      <c r="BE528" t="str">
        <f>IF(BA528="","",IFERROR(INDEX(wTests,459)+0,0))</f>
        <v/>
      </c>
      <c r="BF528" t="str">
        <f>IF(BA528="","",IFERROR(INDEX(wMean,459)+0,""))</f>
        <v/>
      </c>
      <c r="BG528" t="str">
        <f>IF(BA528="","",IFERROR(INDEX(wVs,459)+0,""))</f>
        <v/>
      </c>
      <c r="BH528" t="str">
        <f>IF(OR(BA528="",wLatest=""),"",IFERROR(INDEX(wData,459,MATCH(wLatest&amp;CHAR(10)&amp;"Stanine",wHdr,0))+0,""))</f>
        <v/>
      </c>
      <c r="BI528" t="str">
        <f>IF(BA528="","",IF(AND(ISNUMBER(BG528),N(BE528)&gt;=WlMinTests,BG528&lt;=-WlGap),"Below expected for KS2",IF(AND(NOT(ISNUMBER(BD528)),ISNUMBER(BF528),N(BE528)&gt;=WlMinTests,BF528&lt;=WlLowMean),"Low results, no KS2 data","")))</f>
        <v/>
      </c>
      <c r="BJ528" t="str">
        <f>IF(BI528="","",IF(BI528="Below expected for KS2",BG528,100+BF528)+ROW()/1000000)</f>
        <v/>
      </c>
    </row>
    <row r="529">
      <c r="H529" t="str">
        <f>IFERROR(INDEX(tblY7[Class],ROWS(H$10:H529))&amp;"","")</f>
        <v/>
      </c>
      <c r="I529" t="str">
        <f>IF(H529="","",IF(COUNTIF(H$10:H529,H529)=1,COUNTIF(H$10:H$609,"&lt;"&amp;H529)+1,""))</f>
        <v/>
      </c>
      <c r="J529" t="str">
        <f>IFERROR(INDEX(tblY8[Class],ROWS(J$10:J529))&amp;"","")</f>
        <v/>
      </c>
      <c r="K529" t="str">
        <f>IF(J529="","",IF(COUNTIF(J$10:J529,J529)=1,COUNTIF(J$10:J$609,"&lt;"&amp;J529)+1,""))</f>
        <v/>
      </c>
      <c r="L529" t="str">
        <f>IFERROR(INDEX(tblY9[Class],ROWS(L$10:L529))&amp;"","")</f>
        <v/>
      </c>
      <c r="M529" t="str">
        <f>IF(L529="","",IF(COUNTIF(L$10:L529,L529)=1,COUNTIF(L$10:L$609,"&lt;"&amp;L529)+1,""))</f>
        <v/>
      </c>
      <c r="N529" t="str">
        <f>IFERROR(INDEX(tblY10[Class],ROWS(N$10:N529))&amp;"","")</f>
        <v/>
      </c>
      <c r="O529" t="str">
        <f>IF(N529="","",IF(COUNTIF(N$10:N529,N529)=1,COUNTIF(N$10:N$609,"&lt;"&amp;N529)+1,""))</f>
        <v/>
      </c>
      <c r="P529" t="str">
        <f>IFERROR(INDEX(tblY11[Class],ROWS(P$10:P529))&amp;"","")</f>
        <v/>
      </c>
      <c r="Q529" t="str">
        <f>IF(P529="","",IF(COUNTIF(P$10:P529,P529)=1,COUNTIF(P$10:P$609,"&lt;"&amp;P529)+1,""))</f>
        <v/>
      </c>
      <c r="BA529" t="str">
        <f>IFERROR(INDEX(wLast,460)&amp;"","")</f>
        <v/>
      </c>
      <c r="BB529" t="str">
        <f>IF(BA529="","",IFERROR(INDEX(wFirst,460)&amp;"",""))</f>
        <v/>
      </c>
      <c r="BC529" t="str">
        <f>IF(BA529="","",IFERROR(INDEX(wClass,460)&amp;"",""))</f>
        <v/>
      </c>
      <c r="BD529" t="str">
        <f>IF(BA529="","",IFERROR(INDEX(wKsBand,460)+0,""))</f>
        <v/>
      </c>
      <c r="BE529" t="str">
        <f>IF(BA529="","",IFERROR(INDEX(wTests,460)+0,0))</f>
        <v/>
      </c>
      <c r="BF529" t="str">
        <f>IF(BA529="","",IFERROR(INDEX(wMean,460)+0,""))</f>
        <v/>
      </c>
      <c r="BG529" t="str">
        <f>IF(BA529="","",IFERROR(INDEX(wVs,460)+0,""))</f>
        <v/>
      </c>
      <c r="BH529" t="str">
        <f>IF(OR(BA529="",wLatest=""),"",IFERROR(INDEX(wData,460,MATCH(wLatest&amp;CHAR(10)&amp;"Stanine",wHdr,0))+0,""))</f>
        <v/>
      </c>
      <c r="BI529" t="str">
        <f>IF(BA529="","",IF(AND(ISNUMBER(BG529),N(BE529)&gt;=WlMinTests,BG529&lt;=-WlGap),"Below expected for KS2",IF(AND(NOT(ISNUMBER(BD529)),ISNUMBER(BF529),N(BE529)&gt;=WlMinTests,BF529&lt;=WlLowMean),"Low results, no KS2 data","")))</f>
        <v/>
      </c>
      <c r="BJ529" t="str">
        <f>IF(BI529="","",IF(BI529="Below expected for KS2",BG529,100+BF529)+ROW()/1000000)</f>
        <v/>
      </c>
    </row>
    <row r="530">
      <c r="H530" t="str">
        <f>IFERROR(INDEX(tblY7[Class],ROWS(H$10:H530))&amp;"","")</f>
        <v/>
      </c>
      <c r="I530" t="str">
        <f>IF(H530="","",IF(COUNTIF(H$10:H530,H530)=1,COUNTIF(H$10:H$609,"&lt;"&amp;H530)+1,""))</f>
        <v/>
      </c>
      <c r="J530" t="str">
        <f>IFERROR(INDEX(tblY8[Class],ROWS(J$10:J530))&amp;"","")</f>
        <v/>
      </c>
      <c r="K530" t="str">
        <f>IF(J530="","",IF(COUNTIF(J$10:J530,J530)=1,COUNTIF(J$10:J$609,"&lt;"&amp;J530)+1,""))</f>
        <v/>
      </c>
      <c r="L530" t="str">
        <f>IFERROR(INDEX(tblY9[Class],ROWS(L$10:L530))&amp;"","")</f>
        <v/>
      </c>
      <c r="M530" t="str">
        <f>IF(L530="","",IF(COUNTIF(L$10:L530,L530)=1,COUNTIF(L$10:L$609,"&lt;"&amp;L530)+1,""))</f>
        <v/>
      </c>
      <c r="N530" t="str">
        <f>IFERROR(INDEX(tblY10[Class],ROWS(N$10:N530))&amp;"","")</f>
        <v/>
      </c>
      <c r="O530" t="str">
        <f>IF(N530="","",IF(COUNTIF(N$10:N530,N530)=1,COUNTIF(N$10:N$609,"&lt;"&amp;N530)+1,""))</f>
        <v/>
      </c>
      <c r="P530" t="str">
        <f>IFERROR(INDEX(tblY11[Class],ROWS(P$10:P530))&amp;"","")</f>
        <v/>
      </c>
      <c r="Q530" t="str">
        <f>IF(P530="","",IF(COUNTIF(P$10:P530,P530)=1,COUNTIF(P$10:P$609,"&lt;"&amp;P530)+1,""))</f>
        <v/>
      </c>
      <c r="BA530" t="str">
        <f>IFERROR(INDEX(wLast,461)&amp;"","")</f>
        <v/>
      </c>
      <c r="BB530" t="str">
        <f>IF(BA530="","",IFERROR(INDEX(wFirst,461)&amp;"",""))</f>
        <v/>
      </c>
      <c r="BC530" t="str">
        <f>IF(BA530="","",IFERROR(INDEX(wClass,461)&amp;"",""))</f>
        <v/>
      </c>
      <c r="BD530" t="str">
        <f>IF(BA530="","",IFERROR(INDEX(wKsBand,461)+0,""))</f>
        <v/>
      </c>
      <c r="BE530" t="str">
        <f>IF(BA530="","",IFERROR(INDEX(wTests,461)+0,0))</f>
        <v/>
      </c>
      <c r="BF530" t="str">
        <f>IF(BA530="","",IFERROR(INDEX(wMean,461)+0,""))</f>
        <v/>
      </c>
      <c r="BG530" t="str">
        <f>IF(BA530="","",IFERROR(INDEX(wVs,461)+0,""))</f>
        <v/>
      </c>
      <c r="BH530" t="str">
        <f>IF(OR(BA530="",wLatest=""),"",IFERROR(INDEX(wData,461,MATCH(wLatest&amp;CHAR(10)&amp;"Stanine",wHdr,0))+0,""))</f>
        <v/>
      </c>
      <c r="BI530" t="str">
        <f>IF(BA530="","",IF(AND(ISNUMBER(BG530),N(BE530)&gt;=WlMinTests,BG530&lt;=-WlGap),"Below expected for KS2",IF(AND(NOT(ISNUMBER(BD530)),ISNUMBER(BF530),N(BE530)&gt;=WlMinTests,BF530&lt;=WlLowMean),"Low results, no KS2 data","")))</f>
        <v/>
      </c>
      <c r="BJ530" t="str">
        <f>IF(BI530="","",IF(BI530="Below expected for KS2",BG530,100+BF530)+ROW()/1000000)</f>
        <v/>
      </c>
    </row>
    <row r="531">
      <c r="H531" t="str">
        <f>IFERROR(INDEX(tblY7[Class],ROWS(H$10:H531))&amp;"","")</f>
        <v/>
      </c>
      <c r="I531" t="str">
        <f>IF(H531="","",IF(COUNTIF(H$10:H531,H531)=1,COUNTIF(H$10:H$609,"&lt;"&amp;H531)+1,""))</f>
        <v/>
      </c>
      <c r="J531" t="str">
        <f>IFERROR(INDEX(tblY8[Class],ROWS(J$10:J531))&amp;"","")</f>
        <v/>
      </c>
      <c r="K531" t="str">
        <f>IF(J531="","",IF(COUNTIF(J$10:J531,J531)=1,COUNTIF(J$10:J$609,"&lt;"&amp;J531)+1,""))</f>
        <v/>
      </c>
      <c r="L531" t="str">
        <f>IFERROR(INDEX(tblY9[Class],ROWS(L$10:L531))&amp;"","")</f>
        <v/>
      </c>
      <c r="M531" t="str">
        <f>IF(L531="","",IF(COUNTIF(L$10:L531,L531)=1,COUNTIF(L$10:L$609,"&lt;"&amp;L531)+1,""))</f>
        <v/>
      </c>
      <c r="N531" t="str">
        <f>IFERROR(INDEX(tblY10[Class],ROWS(N$10:N531))&amp;"","")</f>
        <v/>
      </c>
      <c r="O531" t="str">
        <f>IF(N531="","",IF(COUNTIF(N$10:N531,N531)=1,COUNTIF(N$10:N$609,"&lt;"&amp;N531)+1,""))</f>
        <v/>
      </c>
      <c r="P531" t="str">
        <f>IFERROR(INDEX(tblY11[Class],ROWS(P$10:P531))&amp;"","")</f>
        <v/>
      </c>
      <c r="Q531" t="str">
        <f>IF(P531="","",IF(COUNTIF(P$10:P531,P531)=1,COUNTIF(P$10:P$609,"&lt;"&amp;P531)+1,""))</f>
        <v/>
      </c>
      <c r="BA531" t="str">
        <f>IFERROR(INDEX(wLast,462)&amp;"","")</f>
        <v/>
      </c>
      <c r="BB531" t="str">
        <f>IF(BA531="","",IFERROR(INDEX(wFirst,462)&amp;"",""))</f>
        <v/>
      </c>
      <c r="BC531" t="str">
        <f>IF(BA531="","",IFERROR(INDEX(wClass,462)&amp;"",""))</f>
        <v/>
      </c>
      <c r="BD531" t="str">
        <f>IF(BA531="","",IFERROR(INDEX(wKsBand,462)+0,""))</f>
        <v/>
      </c>
      <c r="BE531" t="str">
        <f>IF(BA531="","",IFERROR(INDEX(wTests,462)+0,0))</f>
        <v/>
      </c>
      <c r="BF531" t="str">
        <f>IF(BA531="","",IFERROR(INDEX(wMean,462)+0,""))</f>
        <v/>
      </c>
      <c r="BG531" t="str">
        <f>IF(BA531="","",IFERROR(INDEX(wVs,462)+0,""))</f>
        <v/>
      </c>
      <c r="BH531" t="str">
        <f>IF(OR(BA531="",wLatest=""),"",IFERROR(INDEX(wData,462,MATCH(wLatest&amp;CHAR(10)&amp;"Stanine",wHdr,0))+0,""))</f>
        <v/>
      </c>
      <c r="BI531" t="str">
        <f>IF(BA531="","",IF(AND(ISNUMBER(BG531),N(BE531)&gt;=WlMinTests,BG531&lt;=-WlGap),"Below expected for KS2",IF(AND(NOT(ISNUMBER(BD531)),ISNUMBER(BF531),N(BE531)&gt;=WlMinTests,BF531&lt;=WlLowMean),"Low results, no KS2 data","")))</f>
        <v/>
      </c>
      <c r="BJ531" t="str">
        <f>IF(BI531="","",IF(BI531="Below expected for KS2",BG531,100+BF531)+ROW()/1000000)</f>
        <v/>
      </c>
    </row>
    <row r="532">
      <c r="H532" t="str">
        <f>IFERROR(INDEX(tblY7[Class],ROWS(H$10:H532))&amp;"","")</f>
        <v/>
      </c>
      <c r="I532" t="str">
        <f>IF(H532="","",IF(COUNTIF(H$10:H532,H532)=1,COUNTIF(H$10:H$609,"&lt;"&amp;H532)+1,""))</f>
        <v/>
      </c>
      <c r="J532" t="str">
        <f>IFERROR(INDEX(tblY8[Class],ROWS(J$10:J532))&amp;"","")</f>
        <v/>
      </c>
      <c r="K532" t="str">
        <f>IF(J532="","",IF(COUNTIF(J$10:J532,J532)=1,COUNTIF(J$10:J$609,"&lt;"&amp;J532)+1,""))</f>
        <v/>
      </c>
      <c r="L532" t="str">
        <f>IFERROR(INDEX(tblY9[Class],ROWS(L$10:L532))&amp;"","")</f>
        <v/>
      </c>
      <c r="M532" t="str">
        <f>IF(L532="","",IF(COUNTIF(L$10:L532,L532)=1,COUNTIF(L$10:L$609,"&lt;"&amp;L532)+1,""))</f>
        <v/>
      </c>
      <c r="N532" t="str">
        <f>IFERROR(INDEX(tblY10[Class],ROWS(N$10:N532))&amp;"","")</f>
        <v/>
      </c>
      <c r="O532" t="str">
        <f>IF(N532="","",IF(COUNTIF(N$10:N532,N532)=1,COUNTIF(N$10:N$609,"&lt;"&amp;N532)+1,""))</f>
        <v/>
      </c>
      <c r="P532" t="str">
        <f>IFERROR(INDEX(tblY11[Class],ROWS(P$10:P532))&amp;"","")</f>
        <v/>
      </c>
      <c r="Q532" t="str">
        <f>IF(P532="","",IF(COUNTIF(P$10:P532,P532)=1,COUNTIF(P$10:P$609,"&lt;"&amp;P532)+1,""))</f>
        <v/>
      </c>
      <c r="BA532" t="str">
        <f>IFERROR(INDEX(wLast,463)&amp;"","")</f>
        <v/>
      </c>
      <c r="BB532" t="str">
        <f>IF(BA532="","",IFERROR(INDEX(wFirst,463)&amp;"",""))</f>
        <v/>
      </c>
      <c r="BC532" t="str">
        <f>IF(BA532="","",IFERROR(INDEX(wClass,463)&amp;"",""))</f>
        <v/>
      </c>
      <c r="BD532" t="str">
        <f>IF(BA532="","",IFERROR(INDEX(wKsBand,463)+0,""))</f>
        <v/>
      </c>
      <c r="BE532" t="str">
        <f>IF(BA532="","",IFERROR(INDEX(wTests,463)+0,0))</f>
        <v/>
      </c>
      <c r="BF532" t="str">
        <f>IF(BA532="","",IFERROR(INDEX(wMean,463)+0,""))</f>
        <v/>
      </c>
      <c r="BG532" t="str">
        <f>IF(BA532="","",IFERROR(INDEX(wVs,463)+0,""))</f>
        <v/>
      </c>
      <c r="BH532" t="str">
        <f>IF(OR(BA532="",wLatest=""),"",IFERROR(INDEX(wData,463,MATCH(wLatest&amp;CHAR(10)&amp;"Stanine",wHdr,0))+0,""))</f>
        <v/>
      </c>
      <c r="BI532" t="str">
        <f>IF(BA532="","",IF(AND(ISNUMBER(BG532),N(BE532)&gt;=WlMinTests,BG532&lt;=-WlGap),"Below expected for KS2",IF(AND(NOT(ISNUMBER(BD532)),ISNUMBER(BF532),N(BE532)&gt;=WlMinTests,BF532&lt;=WlLowMean),"Low results, no KS2 data","")))</f>
        <v/>
      </c>
      <c r="BJ532" t="str">
        <f>IF(BI532="","",IF(BI532="Below expected for KS2",BG532,100+BF532)+ROW()/1000000)</f>
        <v/>
      </c>
    </row>
    <row r="533">
      <c r="H533" t="str">
        <f>IFERROR(INDEX(tblY7[Class],ROWS(H$10:H533))&amp;"","")</f>
        <v/>
      </c>
      <c r="I533" t="str">
        <f>IF(H533="","",IF(COUNTIF(H$10:H533,H533)=1,COUNTIF(H$10:H$609,"&lt;"&amp;H533)+1,""))</f>
        <v/>
      </c>
      <c r="J533" t="str">
        <f>IFERROR(INDEX(tblY8[Class],ROWS(J$10:J533))&amp;"","")</f>
        <v/>
      </c>
      <c r="K533" t="str">
        <f>IF(J533="","",IF(COUNTIF(J$10:J533,J533)=1,COUNTIF(J$10:J$609,"&lt;"&amp;J533)+1,""))</f>
        <v/>
      </c>
      <c r="L533" t="str">
        <f>IFERROR(INDEX(tblY9[Class],ROWS(L$10:L533))&amp;"","")</f>
        <v/>
      </c>
      <c r="M533" t="str">
        <f>IF(L533="","",IF(COUNTIF(L$10:L533,L533)=1,COUNTIF(L$10:L$609,"&lt;"&amp;L533)+1,""))</f>
        <v/>
      </c>
      <c r="N533" t="str">
        <f>IFERROR(INDEX(tblY10[Class],ROWS(N$10:N533))&amp;"","")</f>
        <v/>
      </c>
      <c r="O533" t="str">
        <f>IF(N533="","",IF(COUNTIF(N$10:N533,N533)=1,COUNTIF(N$10:N$609,"&lt;"&amp;N533)+1,""))</f>
        <v/>
      </c>
      <c r="P533" t="str">
        <f>IFERROR(INDEX(tblY11[Class],ROWS(P$10:P533))&amp;"","")</f>
        <v/>
      </c>
      <c r="Q533" t="str">
        <f>IF(P533="","",IF(COUNTIF(P$10:P533,P533)=1,COUNTIF(P$10:P$609,"&lt;"&amp;P533)+1,""))</f>
        <v/>
      </c>
      <c r="BA533" t="str">
        <f>IFERROR(INDEX(wLast,464)&amp;"","")</f>
        <v/>
      </c>
      <c r="BB533" t="str">
        <f>IF(BA533="","",IFERROR(INDEX(wFirst,464)&amp;"",""))</f>
        <v/>
      </c>
      <c r="BC533" t="str">
        <f>IF(BA533="","",IFERROR(INDEX(wClass,464)&amp;"",""))</f>
        <v/>
      </c>
      <c r="BD533" t="str">
        <f>IF(BA533="","",IFERROR(INDEX(wKsBand,464)+0,""))</f>
        <v/>
      </c>
      <c r="BE533" t="str">
        <f>IF(BA533="","",IFERROR(INDEX(wTests,464)+0,0))</f>
        <v/>
      </c>
      <c r="BF533" t="str">
        <f>IF(BA533="","",IFERROR(INDEX(wMean,464)+0,""))</f>
        <v/>
      </c>
      <c r="BG533" t="str">
        <f>IF(BA533="","",IFERROR(INDEX(wVs,464)+0,""))</f>
        <v/>
      </c>
      <c r="BH533" t="str">
        <f>IF(OR(BA533="",wLatest=""),"",IFERROR(INDEX(wData,464,MATCH(wLatest&amp;CHAR(10)&amp;"Stanine",wHdr,0))+0,""))</f>
        <v/>
      </c>
      <c r="BI533" t="str">
        <f>IF(BA533="","",IF(AND(ISNUMBER(BG533),N(BE533)&gt;=WlMinTests,BG533&lt;=-WlGap),"Below expected for KS2",IF(AND(NOT(ISNUMBER(BD533)),ISNUMBER(BF533),N(BE533)&gt;=WlMinTests,BF533&lt;=WlLowMean),"Low results, no KS2 data","")))</f>
        <v/>
      </c>
      <c r="BJ533" t="str">
        <f>IF(BI533="","",IF(BI533="Below expected for KS2",BG533,100+BF533)+ROW()/1000000)</f>
        <v/>
      </c>
    </row>
    <row r="534">
      <c r="H534" t="str">
        <f>IFERROR(INDEX(tblY7[Class],ROWS(H$10:H534))&amp;"","")</f>
        <v/>
      </c>
      <c r="I534" t="str">
        <f>IF(H534="","",IF(COUNTIF(H$10:H534,H534)=1,COUNTIF(H$10:H$609,"&lt;"&amp;H534)+1,""))</f>
        <v/>
      </c>
      <c r="J534" t="str">
        <f>IFERROR(INDEX(tblY8[Class],ROWS(J$10:J534))&amp;"","")</f>
        <v/>
      </c>
      <c r="K534" t="str">
        <f>IF(J534="","",IF(COUNTIF(J$10:J534,J534)=1,COUNTIF(J$10:J$609,"&lt;"&amp;J534)+1,""))</f>
        <v/>
      </c>
      <c r="L534" t="str">
        <f>IFERROR(INDEX(tblY9[Class],ROWS(L$10:L534))&amp;"","")</f>
        <v/>
      </c>
      <c r="M534" t="str">
        <f>IF(L534="","",IF(COUNTIF(L$10:L534,L534)=1,COUNTIF(L$10:L$609,"&lt;"&amp;L534)+1,""))</f>
        <v/>
      </c>
      <c r="N534" t="str">
        <f>IFERROR(INDEX(tblY10[Class],ROWS(N$10:N534))&amp;"","")</f>
        <v/>
      </c>
      <c r="O534" t="str">
        <f>IF(N534="","",IF(COUNTIF(N$10:N534,N534)=1,COUNTIF(N$10:N$609,"&lt;"&amp;N534)+1,""))</f>
        <v/>
      </c>
      <c r="P534" t="str">
        <f>IFERROR(INDEX(tblY11[Class],ROWS(P$10:P534))&amp;"","")</f>
        <v/>
      </c>
      <c r="Q534" t="str">
        <f>IF(P534="","",IF(COUNTIF(P$10:P534,P534)=1,COUNTIF(P$10:P$609,"&lt;"&amp;P534)+1,""))</f>
        <v/>
      </c>
      <c r="BA534" t="str">
        <f>IFERROR(INDEX(wLast,465)&amp;"","")</f>
        <v/>
      </c>
      <c r="BB534" t="str">
        <f>IF(BA534="","",IFERROR(INDEX(wFirst,465)&amp;"",""))</f>
        <v/>
      </c>
      <c r="BC534" t="str">
        <f>IF(BA534="","",IFERROR(INDEX(wClass,465)&amp;"",""))</f>
        <v/>
      </c>
      <c r="BD534" t="str">
        <f>IF(BA534="","",IFERROR(INDEX(wKsBand,465)+0,""))</f>
        <v/>
      </c>
      <c r="BE534" t="str">
        <f>IF(BA534="","",IFERROR(INDEX(wTests,465)+0,0))</f>
        <v/>
      </c>
      <c r="BF534" t="str">
        <f>IF(BA534="","",IFERROR(INDEX(wMean,465)+0,""))</f>
        <v/>
      </c>
      <c r="BG534" t="str">
        <f>IF(BA534="","",IFERROR(INDEX(wVs,465)+0,""))</f>
        <v/>
      </c>
      <c r="BH534" t="str">
        <f>IF(OR(BA534="",wLatest=""),"",IFERROR(INDEX(wData,465,MATCH(wLatest&amp;CHAR(10)&amp;"Stanine",wHdr,0))+0,""))</f>
        <v/>
      </c>
      <c r="BI534" t="str">
        <f>IF(BA534="","",IF(AND(ISNUMBER(BG534),N(BE534)&gt;=WlMinTests,BG534&lt;=-WlGap),"Below expected for KS2",IF(AND(NOT(ISNUMBER(BD534)),ISNUMBER(BF534),N(BE534)&gt;=WlMinTests,BF534&lt;=WlLowMean),"Low results, no KS2 data","")))</f>
        <v/>
      </c>
      <c r="BJ534" t="str">
        <f>IF(BI534="","",IF(BI534="Below expected for KS2",BG534,100+BF534)+ROW()/1000000)</f>
        <v/>
      </c>
    </row>
    <row r="535">
      <c r="H535" t="str">
        <f>IFERROR(INDEX(tblY7[Class],ROWS(H$10:H535))&amp;"","")</f>
        <v/>
      </c>
      <c r="I535" t="str">
        <f>IF(H535="","",IF(COUNTIF(H$10:H535,H535)=1,COUNTIF(H$10:H$609,"&lt;"&amp;H535)+1,""))</f>
        <v/>
      </c>
      <c r="J535" t="str">
        <f>IFERROR(INDEX(tblY8[Class],ROWS(J$10:J535))&amp;"","")</f>
        <v/>
      </c>
      <c r="K535" t="str">
        <f>IF(J535="","",IF(COUNTIF(J$10:J535,J535)=1,COUNTIF(J$10:J$609,"&lt;"&amp;J535)+1,""))</f>
        <v/>
      </c>
      <c r="L535" t="str">
        <f>IFERROR(INDEX(tblY9[Class],ROWS(L$10:L535))&amp;"","")</f>
        <v/>
      </c>
      <c r="M535" t="str">
        <f>IF(L535="","",IF(COUNTIF(L$10:L535,L535)=1,COUNTIF(L$10:L$609,"&lt;"&amp;L535)+1,""))</f>
        <v/>
      </c>
      <c r="N535" t="str">
        <f>IFERROR(INDEX(tblY10[Class],ROWS(N$10:N535))&amp;"","")</f>
        <v/>
      </c>
      <c r="O535" t="str">
        <f>IF(N535="","",IF(COUNTIF(N$10:N535,N535)=1,COUNTIF(N$10:N$609,"&lt;"&amp;N535)+1,""))</f>
        <v/>
      </c>
      <c r="P535" t="str">
        <f>IFERROR(INDEX(tblY11[Class],ROWS(P$10:P535))&amp;"","")</f>
        <v/>
      </c>
      <c r="Q535" t="str">
        <f>IF(P535="","",IF(COUNTIF(P$10:P535,P535)=1,COUNTIF(P$10:P$609,"&lt;"&amp;P535)+1,""))</f>
        <v/>
      </c>
      <c r="BA535" t="str">
        <f>IFERROR(INDEX(wLast,466)&amp;"","")</f>
        <v/>
      </c>
      <c r="BB535" t="str">
        <f>IF(BA535="","",IFERROR(INDEX(wFirst,466)&amp;"",""))</f>
        <v/>
      </c>
      <c r="BC535" t="str">
        <f>IF(BA535="","",IFERROR(INDEX(wClass,466)&amp;"",""))</f>
        <v/>
      </c>
      <c r="BD535" t="str">
        <f>IF(BA535="","",IFERROR(INDEX(wKsBand,466)+0,""))</f>
        <v/>
      </c>
      <c r="BE535" t="str">
        <f>IF(BA535="","",IFERROR(INDEX(wTests,466)+0,0))</f>
        <v/>
      </c>
      <c r="BF535" t="str">
        <f>IF(BA535="","",IFERROR(INDEX(wMean,466)+0,""))</f>
        <v/>
      </c>
      <c r="BG535" t="str">
        <f>IF(BA535="","",IFERROR(INDEX(wVs,466)+0,""))</f>
        <v/>
      </c>
      <c r="BH535" t="str">
        <f>IF(OR(BA535="",wLatest=""),"",IFERROR(INDEX(wData,466,MATCH(wLatest&amp;CHAR(10)&amp;"Stanine",wHdr,0))+0,""))</f>
        <v/>
      </c>
      <c r="BI535" t="str">
        <f>IF(BA535="","",IF(AND(ISNUMBER(BG535),N(BE535)&gt;=WlMinTests,BG535&lt;=-WlGap),"Below expected for KS2",IF(AND(NOT(ISNUMBER(BD535)),ISNUMBER(BF535),N(BE535)&gt;=WlMinTests,BF535&lt;=WlLowMean),"Low results, no KS2 data","")))</f>
        <v/>
      </c>
      <c r="BJ535" t="str">
        <f>IF(BI535="","",IF(BI535="Below expected for KS2",BG535,100+BF535)+ROW()/1000000)</f>
        <v/>
      </c>
    </row>
    <row r="536">
      <c r="H536" t="str">
        <f>IFERROR(INDEX(tblY7[Class],ROWS(H$10:H536))&amp;"","")</f>
        <v/>
      </c>
      <c r="I536" t="str">
        <f>IF(H536="","",IF(COUNTIF(H$10:H536,H536)=1,COUNTIF(H$10:H$609,"&lt;"&amp;H536)+1,""))</f>
        <v/>
      </c>
      <c r="J536" t="str">
        <f>IFERROR(INDEX(tblY8[Class],ROWS(J$10:J536))&amp;"","")</f>
        <v/>
      </c>
      <c r="K536" t="str">
        <f>IF(J536="","",IF(COUNTIF(J$10:J536,J536)=1,COUNTIF(J$10:J$609,"&lt;"&amp;J536)+1,""))</f>
        <v/>
      </c>
      <c r="L536" t="str">
        <f>IFERROR(INDEX(tblY9[Class],ROWS(L$10:L536))&amp;"","")</f>
        <v/>
      </c>
      <c r="M536" t="str">
        <f>IF(L536="","",IF(COUNTIF(L$10:L536,L536)=1,COUNTIF(L$10:L$609,"&lt;"&amp;L536)+1,""))</f>
        <v/>
      </c>
      <c r="N536" t="str">
        <f>IFERROR(INDEX(tblY10[Class],ROWS(N$10:N536))&amp;"","")</f>
        <v/>
      </c>
      <c r="O536" t="str">
        <f>IF(N536="","",IF(COUNTIF(N$10:N536,N536)=1,COUNTIF(N$10:N$609,"&lt;"&amp;N536)+1,""))</f>
        <v/>
      </c>
      <c r="P536" t="str">
        <f>IFERROR(INDEX(tblY11[Class],ROWS(P$10:P536))&amp;"","")</f>
        <v/>
      </c>
      <c r="Q536" t="str">
        <f>IF(P536="","",IF(COUNTIF(P$10:P536,P536)=1,COUNTIF(P$10:P$609,"&lt;"&amp;P536)+1,""))</f>
        <v/>
      </c>
      <c r="BA536" t="str">
        <f>IFERROR(INDEX(wLast,467)&amp;"","")</f>
        <v/>
      </c>
      <c r="BB536" t="str">
        <f>IF(BA536="","",IFERROR(INDEX(wFirst,467)&amp;"",""))</f>
        <v/>
      </c>
      <c r="BC536" t="str">
        <f>IF(BA536="","",IFERROR(INDEX(wClass,467)&amp;"",""))</f>
        <v/>
      </c>
      <c r="BD536" t="str">
        <f>IF(BA536="","",IFERROR(INDEX(wKsBand,467)+0,""))</f>
        <v/>
      </c>
      <c r="BE536" t="str">
        <f>IF(BA536="","",IFERROR(INDEX(wTests,467)+0,0))</f>
        <v/>
      </c>
      <c r="BF536" t="str">
        <f>IF(BA536="","",IFERROR(INDEX(wMean,467)+0,""))</f>
        <v/>
      </c>
      <c r="BG536" t="str">
        <f>IF(BA536="","",IFERROR(INDEX(wVs,467)+0,""))</f>
        <v/>
      </c>
      <c r="BH536" t="str">
        <f>IF(OR(BA536="",wLatest=""),"",IFERROR(INDEX(wData,467,MATCH(wLatest&amp;CHAR(10)&amp;"Stanine",wHdr,0))+0,""))</f>
        <v/>
      </c>
      <c r="BI536" t="str">
        <f>IF(BA536="","",IF(AND(ISNUMBER(BG536),N(BE536)&gt;=WlMinTests,BG536&lt;=-WlGap),"Below expected for KS2",IF(AND(NOT(ISNUMBER(BD536)),ISNUMBER(BF536),N(BE536)&gt;=WlMinTests,BF536&lt;=WlLowMean),"Low results, no KS2 data","")))</f>
        <v/>
      </c>
      <c r="BJ536" t="str">
        <f>IF(BI536="","",IF(BI536="Below expected for KS2",BG536,100+BF536)+ROW()/1000000)</f>
        <v/>
      </c>
    </row>
    <row r="537">
      <c r="H537" t="str">
        <f>IFERROR(INDEX(tblY7[Class],ROWS(H$10:H537))&amp;"","")</f>
        <v/>
      </c>
      <c r="I537" t="str">
        <f>IF(H537="","",IF(COUNTIF(H$10:H537,H537)=1,COUNTIF(H$10:H$609,"&lt;"&amp;H537)+1,""))</f>
        <v/>
      </c>
      <c r="J537" t="str">
        <f>IFERROR(INDEX(tblY8[Class],ROWS(J$10:J537))&amp;"","")</f>
        <v/>
      </c>
      <c r="K537" t="str">
        <f>IF(J537="","",IF(COUNTIF(J$10:J537,J537)=1,COUNTIF(J$10:J$609,"&lt;"&amp;J537)+1,""))</f>
        <v/>
      </c>
      <c r="L537" t="str">
        <f>IFERROR(INDEX(tblY9[Class],ROWS(L$10:L537))&amp;"","")</f>
        <v/>
      </c>
      <c r="M537" t="str">
        <f>IF(L537="","",IF(COUNTIF(L$10:L537,L537)=1,COUNTIF(L$10:L$609,"&lt;"&amp;L537)+1,""))</f>
        <v/>
      </c>
      <c r="N537" t="str">
        <f>IFERROR(INDEX(tblY10[Class],ROWS(N$10:N537))&amp;"","")</f>
        <v/>
      </c>
      <c r="O537" t="str">
        <f>IF(N537="","",IF(COUNTIF(N$10:N537,N537)=1,COUNTIF(N$10:N$609,"&lt;"&amp;N537)+1,""))</f>
        <v/>
      </c>
      <c r="P537" t="str">
        <f>IFERROR(INDEX(tblY11[Class],ROWS(P$10:P537))&amp;"","")</f>
        <v/>
      </c>
      <c r="Q537" t="str">
        <f>IF(P537="","",IF(COUNTIF(P$10:P537,P537)=1,COUNTIF(P$10:P$609,"&lt;"&amp;P537)+1,""))</f>
        <v/>
      </c>
      <c r="BA537" t="str">
        <f>IFERROR(INDEX(wLast,468)&amp;"","")</f>
        <v/>
      </c>
      <c r="BB537" t="str">
        <f>IF(BA537="","",IFERROR(INDEX(wFirst,468)&amp;"",""))</f>
        <v/>
      </c>
      <c r="BC537" t="str">
        <f>IF(BA537="","",IFERROR(INDEX(wClass,468)&amp;"",""))</f>
        <v/>
      </c>
      <c r="BD537" t="str">
        <f>IF(BA537="","",IFERROR(INDEX(wKsBand,468)+0,""))</f>
        <v/>
      </c>
      <c r="BE537" t="str">
        <f>IF(BA537="","",IFERROR(INDEX(wTests,468)+0,0))</f>
        <v/>
      </c>
      <c r="BF537" t="str">
        <f>IF(BA537="","",IFERROR(INDEX(wMean,468)+0,""))</f>
        <v/>
      </c>
      <c r="BG537" t="str">
        <f>IF(BA537="","",IFERROR(INDEX(wVs,468)+0,""))</f>
        <v/>
      </c>
      <c r="BH537" t="str">
        <f>IF(OR(BA537="",wLatest=""),"",IFERROR(INDEX(wData,468,MATCH(wLatest&amp;CHAR(10)&amp;"Stanine",wHdr,0))+0,""))</f>
        <v/>
      </c>
      <c r="BI537" t="str">
        <f>IF(BA537="","",IF(AND(ISNUMBER(BG537),N(BE537)&gt;=WlMinTests,BG537&lt;=-WlGap),"Below expected for KS2",IF(AND(NOT(ISNUMBER(BD537)),ISNUMBER(BF537),N(BE537)&gt;=WlMinTests,BF537&lt;=WlLowMean),"Low results, no KS2 data","")))</f>
        <v/>
      </c>
      <c r="BJ537" t="str">
        <f>IF(BI537="","",IF(BI537="Below expected for KS2",BG537,100+BF537)+ROW()/1000000)</f>
        <v/>
      </c>
    </row>
    <row r="538">
      <c r="H538" t="str">
        <f>IFERROR(INDEX(tblY7[Class],ROWS(H$10:H538))&amp;"","")</f>
        <v/>
      </c>
      <c r="I538" t="str">
        <f>IF(H538="","",IF(COUNTIF(H$10:H538,H538)=1,COUNTIF(H$10:H$609,"&lt;"&amp;H538)+1,""))</f>
        <v/>
      </c>
      <c r="J538" t="str">
        <f>IFERROR(INDEX(tblY8[Class],ROWS(J$10:J538))&amp;"","")</f>
        <v/>
      </c>
      <c r="K538" t="str">
        <f>IF(J538="","",IF(COUNTIF(J$10:J538,J538)=1,COUNTIF(J$10:J$609,"&lt;"&amp;J538)+1,""))</f>
        <v/>
      </c>
      <c r="L538" t="str">
        <f>IFERROR(INDEX(tblY9[Class],ROWS(L$10:L538))&amp;"","")</f>
        <v/>
      </c>
      <c r="M538" t="str">
        <f>IF(L538="","",IF(COUNTIF(L$10:L538,L538)=1,COUNTIF(L$10:L$609,"&lt;"&amp;L538)+1,""))</f>
        <v/>
      </c>
      <c r="N538" t="str">
        <f>IFERROR(INDEX(tblY10[Class],ROWS(N$10:N538))&amp;"","")</f>
        <v/>
      </c>
      <c r="O538" t="str">
        <f>IF(N538="","",IF(COUNTIF(N$10:N538,N538)=1,COUNTIF(N$10:N$609,"&lt;"&amp;N538)+1,""))</f>
        <v/>
      </c>
      <c r="P538" t="str">
        <f>IFERROR(INDEX(tblY11[Class],ROWS(P$10:P538))&amp;"","")</f>
        <v/>
      </c>
      <c r="Q538" t="str">
        <f>IF(P538="","",IF(COUNTIF(P$10:P538,P538)=1,COUNTIF(P$10:P$609,"&lt;"&amp;P538)+1,""))</f>
        <v/>
      </c>
      <c r="BA538" t="str">
        <f>IFERROR(INDEX(wLast,469)&amp;"","")</f>
        <v/>
      </c>
      <c r="BB538" t="str">
        <f>IF(BA538="","",IFERROR(INDEX(wFirst,469)&amp;"",""))</f>
        <v/>
      </c>
      <c r="BC538" t="str">
        <f>IF(BA538="","",IFERROR(INDEX(wClass,469)&amp;"",""))</f>
        <v/>
      </c>
      <c r="BD538" t="str">
        <f>IF(BA538="","",IFERROR(INDEX(wKsBand,469)+0,""))</f>
        <v/>
      </c>
      <c r="BE538" t="str">
        <f>IF(BA538="","",IFERROR(INDEX(wTests,469)+0,0))</f>
        <v/>
      </c>
      <c r="BF538" t="str">
        <f>IF(BA538="","",IFERROR(INDEX(wMean,469)+0,""))</f>
        <v/>
      </c>
      <c r="BG538" t="str">
        <f>IF(BA538="","",IFERROR(INDEX(wVs,469)+0,""))</f>
        <v/>
      </c>
      <c r="BH538" t="str">
        <f>IF(OR(BA538="",wLatest=""),"",IFERROR(INDEX(wData,469,MATCH(wLatest&amp;CHAR(10)&amp;"Stanine",wHdr,0))+0,""))</f>
        <v/>
      </c>
      <c r="BI538" t="str">
        <f>IF(BA538="","",IF(AND(ISNUMBER(BG538),N(BE538)&gt;=WlMinTests,BG538&lt;=-WlGap),"Below expected for KS2",IF(AND(NOT(ISNUMBER(BD538)),ISNUMBER(BF538),N(BE538)&gt;=WlMinTests,BF538&lt;=WlLowMean),"Low results, no KS2 data","")))</f>
        <v/>
      </c>
      <c r="BJ538" t="str">
        <f>IF(BI538="","",IF(BI538="Below expected for KS2",BG538,100+BF538)+ROW()/1000000)</f>
        <v/>
      </c>
    </row>
    <row r="539">
      <c r="H539" t="str">
        <f>IFERROR(INDEX(tblY7[Class],ROWS(H$10:H539))&amp;"","")</f>
        <v/>
      </c>
      <c r="I539" t="str">
        <f>IF(H539="","",IF(COUNTIF(H$10:H539,H539)=1,COUNTIF(H$10:H$609,"&lt;"&amp;H539)+1,""))</f>
        <v/>
      </c>
      <c r="J539" t="str">
        <f>IFERROR(INDEX(tblY8[Class],ROWS(J$10:J539))&amp;"","")</f>
        <v/>
      </c>
      <c r="K539" t="str">
        <f>IF(J539="","",IF(COUNTIF(J$10:J539,J539)=1,COUNTIF(J$10:J$609,"&lt;"&amp;J539)+1,""))</f>
        <v/>
      </c>
      <c r="L539" t="str">
        <f>IFERROR(INDEX(tblY9[Class],ROWS(L$10:L539))&amp;"","")</f>
        <v/>
      </c>
      <c r="M539" t="str">
        <f>IF(L539="","",IF(COUNTIF(L$10:L539,L539)=1,COUNTIF(L$10:L$609,"&lt;"&amp;L539)+1,""))</f>
        <v/>
      </c>
      <c r="N539" t="str">
        <f>IFERROR(INDEX(tblY10[Class],ROWS(N$10:N539))&amp;"","")</f>
        <v/>
      </c>
      <c r="O539" t="str">
        <f>IF(N539="","",IF(COUNTIF(N$10:N539,N539)=1,COUNTIF(N$10:N$609,"&lt;"&amp;N539)+1,""))</f>
        <v/>
      </c>
      <c r="P539" t="str">
        <f>IFERROR(INDEX(tblY11[Class],ROWS(P$10:P539))&amp;"","")</f>
        <v/>
      </c>
      <c r="Q539" t="str">
        <f>IF(P539="","",IF(COUNTIF(P$10:P539,P539)=1,COUNTIF(P$10:P$609,"&lt;"&amp;P539)+1,""))</f>
        <v/>
      </c>
      <c r="BA539" t="str">
        <f>IFERROR(INDEX(wLast,470)&amp;"","")</f>
        <v/>
      </c>
      <c r="BB539" t="str">
        <f>IF(BA539="","",IFERROR(INDEX(wFirst,470)&amp;"",""))</f>
        <v/>
      </c>
      <c r="BC539" t="str">
        <f>IF(BA539="","",IFERROR(INDEX(wClass,470)&amp;"",""))</f>
        <v/>
      </c>
      <c r="BD539" t="str">
        <f>IF(BA539="","",IFERROR(INDEX(wKsBand,470)+0,""))</f>
        <v/>
      </c>
      <c r="BE539" t="str">
        <f>IF(BA539="","",IFERROR(INDEX(wTests,470)+0,0))</f>
        <v/>
      </c>
      <c r="BF539" t="str">
        <f>IF(BA539="","",IFERROR(INDEX(wMean,470)+0,""))</f>
        <v/>
      </c>
      <c r="BG539" t="str">
        <f>IF(BA539="","",IFERROR(INDEX(wVs,470)+0,""))</f>
        <v/>
      </c>
      <c r="BH539" t="str">
        <f>IF(OR(BA539="",wLatest=""),"",IFERROR(INDEX(wData,470,MATCH(wLatest&amp;CHAR(10)&amp;"Stanine",wHdr,0))+0,""))</f>
        <v/>
      </c>
      <c r="BI539" t="str">
        <f>IF(BA539="","",IF(AND(ISNUMBER(BG539),N(BE539)&gt;=WlMinTests,BG539&lt;=-WlGap),"Below expected for KS2",IF(AND(NOT(ISNUMBER(BD539)),ISNUMBER(BF539),N(BE539)&gt;=WlMinTests,BF539&lt;=WlLowMean),"Low results, no KS2 data","")))</f>
        <v/>
      </c>
      <c r="BJ539" t="str">
        <f>IF(BI539="","",IF(BI539="Below expected for KS2",BG539,100+BF539)+ROW()/1000000)</f>
        <v/>
      </c>
    </row>
    <row r="540">
      <c r="H540" t="str">
        <f>IFERROR(INDEX(tblY7[Class],ROWS(H$10:H540))&amp;"","")</f>
        <v/>
      </c>
      <c r="I540" t="str">
        <f>IF(H540="","",IF(COUNTIF(H$10:H540,H540)=1,COUNTIF(H$10:H$609,"&lt;"&amp;H540)+1,""))</f>
        <v/>
      </c>
      <c r="J540" t="str">
        <f>IFERROR(INDEX(tblY8[Class],ROWS(J$10:J540))&amp;"","")</f>
        <v/>
      </c>
      <c r="K540" t="str">
        <f>IF(J540="","",IF(COUNTIF(J$10:J540,J540)=1,COUNTIF(J$10:J$609,"&lt;"&amp;J540)+1,""))</f>
        <v/>
      </c>
      <c r="L540" t="str">
        <f>IFERROR(INDEX(tblY9[Class],ROWS(L$10:L540))&amp;"","")</f>
        <v/>
      </c>
      <c r="M540" t="str">
        <f>IF(L540="","",IF(COUNTIF(L$10:L540,L540)=1,COUNTIF(L$10:L$609,"&lt;"&amp;L540)+1,""))</f>
        <v/>
      </c>
      <c r="N540" t="str">
        <f>IFERROR(INDEX(tblY10[Class],ROWS(N$10:N540))&amp;"","")</f>
        <v/>
      </c>
      <c r="O540" t="str">
        <f>IF(N540="","",IF(COUNTIF(N$10:N540,N540)=1,COUNTIF(N$10:N$609,"&lt;"&amp;N540)+1,""))</f>
        <v/>
      </c>
      <c r="P540" t="str">
        <f>IFERROR(INDEX(tblY11[Class],ROWS(P$10:P540))&amp;"","")</f>
        <v/>
      </c>
      <c r="Q540" t="str">
        <f>IF(P540="","",IF(COUNTIF(P$10:P540,P540)=1,COUNTIF(P$10:P$609,"&lt;"&amp;P540)+1,""))</f>
        <v/>
      </c>
      <c r="BA540" t="str">
        <f>IFERROR(INDEX(wLast,471)&amp;"","")</f>
        <v/>
      </c>
      <c r="BB540" t="str">
        <f>IF(BA540="","",IFERROR(INDEX(wFirst,471)&amp;"",""))</f>
        <v/>
      </c>
      <c r="BC540" t="str">
        <f>IF(BA540="","",IFERROR(INDEX(wClass,471)&amp;"",""))</f>
        <v/>
      </c>
      <c r="BD540" t="str">
        <f>IF(BA540="","",IFERROR(INDEX(wKsBand,471)+0,""))</f>
        <v/>
      </c>
      <c r="BE540" t="str">
        <f>IF(BA540="","",IFERROR(INDEX(wTests,471)+0,0))</f>
        <v/>
      </c>
      <c r="BF540" t="str">
        <f>IF(BA540="","",IFERROR(INDEX(wMean,471)+0,""))</f>
        <v/>
      </c>
      <c r="BG540" t="str">
        <f>IF(BA540="","",IFERROR(INDEX(wVs,471)+0,""))</f>
        <v/>
      </c>
      <c r="BH540" t="str">
        <f>IF(OR(BA540="",wLatest=""),"",IFERROR(INDEX(wData,471,MATCH(wLatest&amp;CHAR(10)&amp;"Stanine",wHdr,0))+0,""))</f>
        <v/>
      </c>
      <c r="BI540" t="str">
        <f>IF(BA540="","",IF(AND(ISNUMBER(BG540),N(BE540)&gt;=WlMinTests,BG540&lt;=-WlGap),"Below expected for KS2",IF(AND(NOT(ISNUMBER(BD540)),ISNUMBER(BF540),N(BE540)&gt;=WlMinTests,BF540&lt;=WlLowMean),"Low results, no KS2 data","")))</f>
        <v/>
      </c>
      <c r="BJ540" t="str">
        <f>IF(BI540="","",IF(BI540="Below expected for KS2",BG540,100+BF540)+ROW()/1000000)</f>
        <v/>
      </c>
    </row>
    <row r="541">
      <c r="H541" t="str">
        <f>IFERROR(INDEX(tblY7[Class],ROWS(H$10:H541))&amp;"","")</f>
        <v/>
      </c>
      <c r="I541" t="str">
        <f>IF(H541="","",IF(COUNTIF(H$10:H541,H541)=1,COUNTIF(H$10:H$609,"&lt;"&amp;H541)+1,""))</f>
        <v/>
      </c>
      <c r="J541" t="str">
        <f>IFERROR(INDEX(tblY8[Class],ROWS(J$10:J541))&amp;"","")</f>
        <v/>
      </c>
      <c r="K541" t="str">
        <f>IF(J541="","",IF(COUNTIF(J$10:J541,J541)=1,COUNTIF(J$10:J$609,"&lt;"&amp;J541)+1,""))</f>
        <v/>
      </c>
      <c r="L541" t="str">
        <f>IFERROR(INDEX(tblY9[Class],ROWS(L$10:L541))&amp;"","")</f>
        <v/>
      </c>
      <c r="M541" t="str">
        <f>IF(L541="","",IF(COUNTIF(L$10:L541,L541)=1,COUNTIF(L$10:L$609,"&lt;"&amp;L541)+1,""))</f>
        <v/>
      </c>
      <c r="N541" t="str">
        <f>IFERROR(INDEX(tblY10[Class],ROWS(N$10:N541))&amp;"","")</f>
        <v/>
      </c>
      <c r="O541" t="str">
        <f>IF(N541="","",IF(COUNTIF(N$10:N541,N541)=1,COUNTIF(N$10:N$609,"&lt;"&amp;N541)+1,""))</f>
        <v/>
      </c>
      <c r="P541" t="str">
        <f>IFERROR(INDEX(tblY11[Class],ROWS(P$10:P541))&amp;"","")</f>
        <v/>
      </c>
      <c r="Q541" t="str">
        <f>IF(P541="","",IF(COUNTIF(P$10:P541,P541)=1,COUNTIF(P$10:P$609,"&lt;"&amp;P541)+1,""))</f>
        <v/>
      </c>
      <c r="BA541" t="str">
        <f>IFERROR(INDEX(wLast,472)&amp;"","")</f>
        <v/>
      </c>
      <c r="BB541" t="str">
        <f>IF(BA541="","",IFERROR(INDEX(wFirst,472)&amp;"",""))</f>
        <v/>
      </c>
      <c r="BC541" t="str">
        <f>IF(BA541="","",IFERROR(INDEX(wClass,472)&amp;"",""))</f>
        <v/>
      </c>
      <c r="BD541" t="str">
        <f>IF(BA541="","",IFERROR(INDEX(wKsBand,472)+0,""))</f>
        <v/>
      </c>
      <c r="BE541" t="str">
        <f>IF(BA541="","",IFERROR(INDEX(wTests,472)+0,0))</f>
        <v/>
      </c>
      <c r="BF541" t="str">
        <f>IF(BA541="","",IFERROR(INDEX(wMean,472)+0,""))</f>
        <v/>
      </c>
      <c r="BG541" t="str">
        <f>IF(BA541="","",IFERROR(INDEX(wVs,472)+0,""))</f>
        <v/>
      </c>
      <c r="BH541" t="str">
        <f>IF(OR(BA541="",wLatest=""),"",IFERROR(INDEX(wData,472,MATCH(wLatest&amp;CHAR(10)&amp;"Stanine",wHdr,0))+0,""))</f>
        <v/>
      </c>
      <c r="BI541" t="str">
        <f>IF(BA541="","",IF(AND(ISNUMBER(BG541),N(BE541)&gt;=WlMinTests,BG541&lt;=-WlGap),"Below expected for KS2",IF(AND(NOT(ISNUMBER(BD541)),ISNUMBER(BF541),N(BE541)&gt;=WlMinTests,BF541&lt;=WlLowMean),"Low results, no KS2 data","")))</f>
        <v/>
      </c>
      <c r="BJ541" t="str">
        <f>IF(BI541="","",IF(BI541="Below expected for KS2",BG541,100+BF541)+ROW()/1000000)</f>
        <v/>
      </c>
    </row>
    <row r="542">
      <c r="H542" t="str">
        <f>IFERROR(INDEX(tblY7[Class],ROWS(H$10:H542))&amp;"","")</f>
        <v/>
      </c>
      <c r="I542" t="str">
        <f>IF(H542="","",IF(COUNTIF(H$10:H542,H542)=1,COUNTIF(H$10:H$609,"&lt;"&amp;H542)+1,""))</f>
        <v/>
      </c>
      <c r="J542" t="str">
        <f>IFERROR(INDEX(tblY8[Class],ROWS(J$10:J542))&amp;"","")</f>
        <v/>
      </c>
      <c r="K542" t="str">
        <f>IF(J542="","",IF(COUNTIF(J$10:J542,J542)=1,COUNTIF(J$10:J$609,"&lt;"&amp;J542)+1,""))</f>
        <v/>
      </c>
      <c r="L542" t="str">
        <f>IFERROR(INDEX(tblY9[Class],ROWS(L$10:L542))&amp;"","")</f>
        <v/>
      </c>
      <c r="M542" t="str">
        <f>IF(L542="","",IF(COUNTIF(L$10:L542,L542)=1,COUNTIF(L$10:L$609,"&lt;"&amp;L542)+1,""))</f>
        <v/>
      </c>
      <c r="N542" t="str">
        <f>IFERROR(INDEX(tblY10[Class],ROWS(N$10:N542))&amp;"","")</f>
        <v/>
      </c>
      <c r="O542" t="str">
        <f>IF(N542="","",IF(COUNTIF(N$10:N542,N542)=1,COUNTIF(N$10:N$609,"&lt;"&amp;N542)+1,""))</f>
        <v/>
      </c>
      <c r="P542" t="str">
        <f>IFERROR(INDEX(tblY11[Class],ROWS(P$10:P542))&amp;"","")</f>
        <v/>
      </c>
      <c r="Q542" t="str">
        <f>IF(P542="","",IF(COUNTIF(P$10:P542,P542)=1,COUNTIF(P$10:P$609,"&lt;"&amp;P542)+1,""))</f>
        <v/>
      </c>
      <c r="BA542" t="str">
        <f>IFERROR(INDEX(wLast,473)&amp;"","")</f>
        <v/>
      </c>
      <c r="BB542" t="str">
        <f>IF(BA542="","",IFERROR(INDEX(wFirst,473)&amp;"",""))</f>
        <v/>
      </c>
      <c r="BC542" t="str">
        <f>IF(BA542="","",IFERROR(INDEX(wClass,473)&amp;"",""))</f>
        <v/>
      </c>
      <c r="BD542" t="str">
        <f>IF(BA542="","",IFERROR(INDEX(wKsBand,473)+0,""))</f>
        <v/>
      </c>
      <c r="BE542" t="str">
        <f>IF(BA542="","",IFERROR(INDEX(wTests,473)+0,0))</f>
        <v/>
      </c>
      <c r="BF542" t="str">
        <f>IF(BA542="","",IFERROR(INDEX(wMean,473)+0,""))</f>
        <v/>
      </c>
      <c r="BG542" t="str">
        <f>IF(BA542="","",IFERROR(INDEX(wVs,473)+0,""))</f>
        <v/>
      </c>
      <c r="BH542" t="str">
        <f>IF(OR(BA542="",wLatest=""),"",IFERROR(INDEX(wData,473,MATCH(wLatest&amp;CHAR(10)&amp;"Stanine",wHdr,0))+0,""))</f>
        <v/>
      </c>
      <c r="BI542" t="str">
        <f>IF(BA542="","",IF(AND(ISNUMBER(BG542),N(BE542)&gt;=WlMinTests,BG542&lt;=-WlGap),"Below expected for KS2",IF(AND(NOT(ISNUMBER(BD542)),ISNUMBER(BF542),N(BE542)&gt;=WlMinTests,BF542&lt;=WlLowMean),"Low results, no KS2 data","")))</f>
        <v/>
      </c>
      <c r="BJ542" t="str">
        <f>IF(BI542="","",IF(BI542="Below expected for KS2",BG542,100+BF542)+ROW()/1000000)</f>
        <v/>
      </c>
    </row>
    <row r="543">
      <c r="H543" t="str">
        <f>IFERROR(INDEX(tblY7[Class],ROWS(H$10:H543))&amp;"","")</f>
        <v/>
      </c>
      <c r="I543" t="str">
        <f>IF(H543="","",IF(COUNTIF(H$10:H543,H543)=1,COUNTIF(H$10:H$609,"&lt;"&amp;H543)+1,""))</f>
        <v/>
      </c>
      <c r="J543" t="str">
        <f>IFERROR(INDEX(tblY8[Class],ROWS(J$10:J543))&amp;"","")</f>
        <v/>
      </c>
      <c r="K543" t="str">
        <f>IF(J543="","",IF(COUNTIF(J$10:J543,J543)=1,COUNTIF(J$10:J$609,"&lt;"&amp;J543)+1,""))</f>
        <v/>
      </c>
      <c r="L543" t="str">
        <f>IFERROR(INDEX(tblY9[Class],ROWS(L$10:L543))&amp;"","")</f>
        <v/>
      </c>
      <c r="M543" t="str">
        <f>IF(L543="","",IF(COUNTIF(L$10:L543,L543)=1,COUNTIF(L$10:L$609,"&lt;"&amp;L543)+1,""))</f>
        <v/>
      </c>
      <c r="N543" t="str">
        <f>IFERROR(INDEX(tblY10[Class],ROWS(N$10:N543))&amp;"","")</f>
        <v/>
      </c>
      <c r="O543" t="str">
        <f>IF(N543="","",IF(COUNTIF(N$10:N543,N543)=1,COUNTIF(N$10:N$609,"&lt;"&amp;N543)+1,""))</f>
        <v/>
      </c>
      <c r="P543" t="str">
        <f>IFERROR(INDEX(tblY11[Class],ROWS(P$10:P543))&amp;"","")</f>
        <v/>
      </c>
      <c r="Q543" t="str">
        <f>IF(P543="","",IF(COUNTIF(P$10:P543,P543)=1,COUNTIF(P$10:P$609,"&lt;"&amp;P543)+1,""))</f>
        <v/>
      </c>
      <c r="BA543" t="str">
        <f>IFERROR(INDEX(wLast,474)&amp;"","")</f>
        <v/>
      </c>
      <c r="BB543" t="str">
        <f>IF(BA543="","",IFERROR(INDEX(wFirst,474)&amp;"",""))</f>
        <v/>
      </c>
      <c r="BC543" t="str">
        <f>IF(BA543="","",IFERROR(INDEX(wClass,474)&amp;"",""))</f>
        <v/>
      </c>
      <c r="BD543" t="str">
        <f>IF(BA543="","",IFERROR(INDEX(wKsBand,474)+0,""))</f>
        <v/>
      </c>
      <c r="BE543" t="str">
        <f>IF(BA543="","",IFERROR(INDEX(wTests,474)+0,0))</f>
        <v/>
      </c>
      <c r="BF543" t="str">
        <f>IF(BA543="","",IFERROR(INDEX(wMean,474)+0,""))</f>
        <v/>
      </c>
      <c r="BG543" t="str">
        <f>IF(BA543="","",IFERROR(INDEX(wVs,474)+0,""))</f>
        <v/>
      </c>
      <c r="BH543" t="str">
        <f>IF(OR(BA543="",wLatest=""),"",IFERROR(INDEX(wData,474,MATCH(wLatest&amp;CHAR(10)&amp;"Stanine",wHdr,0))+0,""))</f>
        <v/>
      </c>
      <c r="BI543" t="str">
        <f>IF(BA543="","",IF(AND(ISNUMBER(BG543),N(BE543)&gt;=WlMinTests,BG543&lt;=-WlGap),"Below expected for KS2",IF(AND(NOT(ISNUMBER(BD543)),ISNUMBER(BF543),N(BE543)&gt;=WlMinTests,BF543&lt;=WlLowMean),"Low results, no KS2 data","")))</f>
        <v/>
      </c>
      <c r="BJ543" t="str">
        <f>IF(BI543="","",IF(BI543="Below expected for KS2",BG543,100+BF543)+ROW()/1000000)</f>
        <v/>
      </c>
    </row>
    <row r="544">
      <c r="H544" t="str">
        <f>IFERROR(INDEX(tblY7[Class],ROWS(H$10:H544))&amp;"","")</f>
        <v/>
      </c>
      <c r="I544" t="str">
        <f>IF(H544="","",IF(COUNTIF(H$10:H544,H544)=1,COUNTIF(H$10:H$609,"&lt;"&amp;H544)+1,""))</f>
        <v/>
      </c>
      <c r="J544" t="str">
        <f>IFERROR(INDEX(tblY8[Class],ROWS(J$10:J544))&amp;"","")</f>
        <v/>
      </c>
      <c r="K544" t="str">
        <f>IF(J544="","",IF(COUNTIF(J$10:J544,J544)=1,COUNTIF(J$10:J$609,"&lt;"&amp;J544)+1,""))</f>
        <v/>
      </c>
      <c r="L544" t="str">
        <f>IFERROR(INDEX(tblY9[Class],ROWS(L$10:L544))&amp;"","")</f>
        <v/>
      </c>
      <c r="M544" t="str">
        <f>IF(L544="","",IF(COUNTIF(L$10:L544,L544)=1,COUNTIF(L$10:L$609,"&lt;"&amp;L544)+1,""))</f>
        <v/>
      </c>
      <c r="N544" t="str">
        <f>IFERROR(INDEX(tblY10[Class],ROWS(N$10:N544))&amp;"","")</f>
        <v/>
      </c>
      <c r="O544" t="str">
        <f>IF(N544="","",IF(COUNTIF(N$10:N544,N544)=1,COUNTIF(N$10:N$609,"&lt;"&amp;N544)+1,""))</f>
        <v/>
      </c>
      <c r="P544" t="str">
        <f>IFERROR(INDEX(tblY11[Class],ROWS(P$10:P544))&amp;"","")</f>
        <v/>
      </c>
      <c r="Q544" t="str">
        <f>IF(P544="","",IF(COUNTIF(P$10:P544,P544)=1,COUNTIF(P$10:P$609,"&lt;"&amp;P544)+1,""))</f>
        <v/>
      </c>
      <c r="BA544" t="str">
        <f>IFERROR(INDEX(wLast,475)&amp;"","")</f>
        <v/>
      </c>
      <c r="BB544" t="str">
        <f>IF(BA544="","",IFERROR(INDEX(wFirst,475)&amp;"",""))</f>
        <v/>
      </c>
      <c r="BC544" t="str">
        <f>IF(BA544="","",IFERROR(INDEX(wClass,475)&amp;"",""))</f>
        <v/>
      </c>
      <c r="BD544" t="str">
        <f>IF(BA544="","",IFERROR(INDEX(wKsBand,475)+0,""))</f>
        <v/>
      </c>
      <c r="BE544" t="str">
        <f>IF(BA544="","",IFERROR(INDEX(wTests,475)+0,0))</f>
        <v/>
      </c>
      <c r="BF544" t="str">
        <f>IF(BA544="","",IFERROR(INDEX(wMean,475)+0,""))</f>
        <v/>
      </c>
      <c r="BG544" t="str">
        <f>IF(BA544="","",IFERROR(INDEX(wVs,475)+0,""))</f>
        <v/>
      </c>
      <c r="BH544" t="str">
        <f>IF(OR(BA544="",wLatest=""),"",IFERROR(INDEX(wData,475,MATCH(wLatest&amp;CHAR(10)&amp;"Stanine",wHdr,0))+0,""))</f>
        <v/>
      </c>
      <c r="BI544" t="str">
        <f>IF(BA544="","",IF(AND(ISNUMBER(BG544),N(BE544)&gt;=WlMinTests,BG544&lt;=-WlGap),"Below expected for KS2",IF(AND(NOT(ISNUMBER(BD544)),ISNUMBER(BF544),N(BE544)&gt;=WlMinTests,BF544&lt;=WlLowMean),"Low results, no KS2 data","")))</f>
        <v/>
      </c>
      <c r="BJ544" t="str">
        <f>IF(BI544="","",IF(BI544="Below expected for KS2",BG544,100+BF544)+ROW()/1000000)</f>
        <v/>
      </c>
    </row>
    <row r="545">
      <c r="H545" t="str">
        <f>IFERROR(INDEX(tblY7[Class],ROWS(H$10:H545))&amp;"","")</f>
        <v/>
      </c>
      <c r="I545" t="str">
        <f>IF(H545="","",IF(COUNTIF(H$10:H545,H545)=1,COUNTIF(H$10:H$609,"&lt;"&amp;H545)+1,""))</f>
        <v/>
      </c>
      <c r="J545" t="str">
        <f>IFERROR(INDEX(tblY8[Class],ROWS(J$10:J545))&amp;"","")</f>
        <v/>
      </c>
      <c r="K545" t="str">
        <f>IF(J545="","",IF(COUNTIF(J$10:J545,J545)=1,COUNTIF(J$10:J$609,"&lt;"&amp;J545)+1,""))</f>
        <v/>
      </c>
      <c r="L545" t="str">
        <f>IFERROR(INDEX(tblY9[Class],ROWS(L$10:L545))&amp;"","")</f>
        <v/>
      </c>
      <c r="M545" t="str">
        <f>IF(L545="","",IF(COUNTIF(L$10:L545,L545)=1,COUNTIF(L$10:L$609,"&lt;"&amp;L545)+1,""))</f>
        <v/>
      </c>
      <c r="N545" t="str">
        <f>IFERROR(INDEX(tblY10[Class],ROWS(N$10:N545))&amp;"","")</f>
        <v/>
      </c>
      <c r="O545" t="str">
        <f>IF(N545="","",IF(COUNTIF(N$10:N545,N545)=1,COUNTIF(N$10:N$609,"&lt;"&amp;N545)+1,""))</f>
        <v/>
      </c>
      <c r="P545" t="str">
        <f>IFERROR(INDEX(tblY11[Class],ROWS(P$10:P545))&amp;"","")</f>
        <v/>
      </c>
      <c r="Q545" t="str">
        <f>IF(P545="","",IF(COUNTIF(P$10:P545,P545)=1,COUNTIF(P$10:P$609,"&lt;"&amp;P545)+1,""))</f>
        <v/>
      </c>
      <c r="BA545" t="str">
        <f>IFERROR(INDEX(wLast,476)&amp;"","")</f>
        <v/>
      </c>
      <c r="BB545" t="str">
        <f>IF(BA545="","",IFERROR(INDEX(wFirst,476)&amp;"",""))</f>
        <v/>
      </c>
      <c r="BC545" t="str">
        <f>IF(BA545="","",IFERROR(INDEX(wClass,476)&amp;"",""))</f>
        <v/>
      </c>
      <c r="BD545" t="str">
        <f>IF(BA545="","",IFERROR(INDEX(wKsBand,476)+0,""))</f>
        <v/>
      </c>
      <c r="BE545" t="str">
        <f>IF(BA545="","",IFERROR(INDEX(wTests,476)+0,0))</f>
        <v/>
      </c>
      <c r="BF545" t="str">
        <f>IF(BA545="","",IFERROR(INDEX(wMean,476)+0,""))</f>
        <v/>
      </c>
      <c r="BG545" t="str">
        <f>IF(BA545="","",IFERROR(INDEX(wVs,476)+0,""))</f>
        <v/>
      </c>
      <c r="BH545" t="str">
        <f>IF(OR(BA545="",wLatest=""),"",IFERROR(INDEX(wData,476,MATCH(wLatest&amp;CHAR(10)&amp;"Stanine",wHdr,0))+0,""))</f>
        <v/>
      </c>
      <c r="BI545" t="str">
        <f>IF(BA545="","",IF(AND(ISNUMBER(BG545),N(BE545)&gt;=WlMinTests,BG545&lt;=-WlGap),"Below expected for KS2",IF(AND(NOT(ISNUMBER(BD545)),ISNUMBER(BF545),N(BE545)&gt;=WlMinTests,BF545&lt;=WlLowMean),"Low results, no KS2 data","")))</f>
        <v/>
      </c>
      <c r="BJ545" t="str">
        <f>IF(BI545="","",IF(BI545="Below expected for KS2",BG545,100+BF545)+ROW()/1000000)</f>
        <v/>
      </c>
    </row>
    <row r="546">
      <c r="H546" t="str">
        <f>IFERROR(INDEX(tblY7[Class],ROWS(H$10:H546))&amp;"","")</f>
        <v/>
      </c>
      <c r="I546" t="str">
        <f>IF(H546="","",IF(COUNTIF(H$10:H546,H546)=1,COUNTIF(H$10:H$609,"&lt;"&amp;H546)+1,""))</f>
        <v/>
      </c>
      <c r="J546" t="str">
        <f>IFERROR(INDEX(tblY8[Class],ROWS(J$10:J546))&amp;"","")</f>
        <v/>
      </c>
      <c r="K546" t="str">
        <f>IF(J546="","",IF(COUNTIF(J$10:J546,J546)=1,COUNTIF(J$10:J$609,"&lt;"&amp;J546)+1,""))</f>
        <v/>
      </c>
      <c r="L546" t="str">
        <f>IFERROR(INDEX(tblY9[Class],ROWS(L$10:L546))&amp;"","")</f>
        <v/>
      </c>
      <c r="M546" t="str">
        <f>IF(L546="","",IF(COUNTIF(L$10:L546,L546)=1,COUNTIF(L$10:L$609,"&lt;"&amp;L546)+1,""))</f>
        <v/>
      </c>
      <c r="N546" t="str">
        <f>IFERROR(INDEX(tblY10[Class],ROWS(N$10:N546))&amp;"","")</f>
        <v/>
      </c>
      <c r="O546" t="str">
        <f>IF(N546="","",IF(COUNTIF(N$10:N546,N546)=1,COUNTIF(N$10:N$609,"&lt;"&amp;N546)+1,""))</f>
        <v/>
      </c>
      <c r="P546" t="str">
        <f>IFERROR(INDEX(tblY11[Class],ROWS(P$10:P546))&amp;"","")</f>
        <v/>
      </c>
      <c r="Q546" t="str">
        <f>IF(P546="","",IF(COUNTIF(P$10:P546,P546)=1,COUNTIF(P$10:P$609,"&lt;"&amp;P546)+1,""))</f>
        <v/>
      </c>
      <c r="BA546" t="str">
        <f>IFERROR(INDEX(wLast,477)&amp;"","")</f>
        <v/>
      </c>
      <c r="BB546" t="str">
        <f>IF(BA546="","",IFERROR(INDEX(wFirst,477)&amp;"",""))</f>
        <v/>
      </c>
      <c r="BC546" t="str">
        <f>IF(BA546="","",IFERROR(INDEX(wClass,477)&amp;"",""))</f>
        <v/>
      </c>
      <c r="BD546" t="str">
        <f>IF(BA546="","",IFERROR(INDEX(wKsBand,477)+0,""))</f>
        <v/>
      </c>
      <c r="BE546" t="str">
        <f>IF(BA546="","",IFERROR(INDEX(wTests,477)+0,0))</f>
        <v/>
      </c>
      <c r="BF546" t="str">
        <f>IF(BA546="","",IFERROR(INDEX(wMean,477)+0,""))</f>
        <v/>
      </c>
      <c r="BG546" t="str">
        <f>IF(BA546="","",IFERROR(INDEX(wVs,477)+0,""))</f>
        <v/>
      </c>
      <c r="BH546" t="str">
        <f>IF(OR(BA546="",wLatest=""),"",IFERROR(INDEX(wData,477,MATCH(wLatest&amp;CHAR(10)&amp;"Stanine",wHdr,0))+0,""))</f>
        <v/>
      </c>
      <c r="BI546" t="str">
        <f>IF(BA546="","",IF(AND(ISNUMBER(BG546),N(BE546)&gt;=WlMinTests,BG546&lt;=-WlGap),"Below expected for KS2",IF(AND(NOT(ISNUMBER(BD546)),ISNUMBER(BF546),N(BE546)&gt;=WlMinTests,BF546&lt;=WlLowMean),"Low results, no KS2 data","")))</f>
        <v/>
      </c>
      <c r="BJ546" t="str">
        <f>IF(BI546="","",IF(BI546="Below expected for KS2",BG546,100+BF546)+ROW()/1000000)</f>
        <v/>
      </c>
    </row>
    <row r="547">
      <c r="H547" t="str">
        <f>IFERROR(INDEX(tblY7[Class],ROWS(H$10:H547))&amp;"","")</f>
        <v/>
      </c>
      <c r="I547" t="str">
        <f>IF(H547="","",IF(COUNTIF(H$10:H547,H547)=1,COUNTIF(H$10:H$609,"&lt;"&amp;H547)+1,""))</f>
        <v/>
      </c>
      <c r="J547" t="str">
        <f>IFERROR(INDEX(tblY8[Class],ROWS(J$10:J547))&amp;"","")</f>
        <v/>
      </c>
      <c r="K547" t="str">
        <f>IF(J547="","",IF(COUNTIF(J$10:J547,J547)=1,COUNTIF(J$10:J$609,"&lt;"&amp;J547)+1,""))</f>
        <v/>
      </c>
      <c r="L547" t="str">
        <f>IFERROR(INDEX(tblY9[Class],ROWS(L$10:L547))&amp;"","")</f>
        <v/>
      </c>
      <c r="M547" t="str">
        <f>IF(L547="","",IF(COUNTIF(L$10:L547,L547)=1,COUNTIF(L$10:L$609,"&lt;"&amp;L547)+1,""))</f>
        <v/>
      </c>
      <c r="N547" t="str">
        <f>IFERROR(INDEX(tblY10[Class],ROWS(N$10:N547))&amp;"","")</f>
        <v/>
      </c>
      <c r="O547" t="str">
        <f>IF(N547="","",IF(COUNTIF(N$10:N547,N547)=1,COUNTIF(N$10:N$609,"&lt;"&amp;N547)+1,""))</f>
        <v/>
      </c>
      <c r="P547" t="str">
        <f>IFERROR(INDEX(tblY11[Class],ROWS(P$10:P547))&amp;"","")</f>
        <v/>
      </c>
      <c r="Q547" t="str">
        <f>IF(P547="","",IF(COUNTIF(P$10:P547,P547)=1,COUNTIF(P$10:P$609,"&lt;"&amp;P547)+1,""))</f>
        <v/>
      </c>
      <c r="BA547" t="str">
        <f>IFERROR(INDEX(wLast,478)&amp;"","")</f>
        <v/>
      </c>
      <c r="BB547" t="str">
        <f>IF(BA547="","",IFERROR(INDEX(wFirst,478)&amp;"",""))</f>
        <v/>
      </c>
      <c r="BC547" t="str">
        <f>IF(BA547="","",IFERROR(INDEX(wClass,478)&amp;"",""))</f>
        <v/>
      </c>
      <c r="BD547" t="str">
        <f>IF(BA547="","",IFERROR(INDEX(wKsBand,478)+0,""))</f>
        <v/>
      </c>
      <c r="BE547" t="str">
        <f>IF(BA547="","",IFERROR(INDEX(wTests,478)+0,0))</f>
        <v/>
      </c>
      <c r="BF547" t="str">
        <f>IF(BA547="","",IFERROR(INDEX(wMean,478)+0,""))</f>
        <v/>
      </c>
      <c r="BG547" t="str">
        <f>IF(BA547="","",IFERROR(INDEX(wVs,478)+0,""))</f>
        <v/>
      </c>
      <c r="BH547" t="str">
        <f>IF(OR(BA547="",wLatest=""),"",IFERROR(INDEX(wData,478,MATCH(wLatest&amp;CHAR(10)&amp;"Stanine",wHdr,0))+0,""))</f>
        <v/>
      </c>
      <c r="BI547" t="str">
        <f>IF(BA547="","",IF(AND(ISNUMBER(BG547),N(BE547)&gt;=WlMinTests,BG547&lt;=-WlGap),"Below expected for KS2",IF(AND(NOT(ISNUMBER(BD547)),ISNUMBER(BF547),N(BE547)&gt;=WlMinTests,BF547&lt;=WlLowMean),"Low results, no KS2 data","")))</f>
        <v/>
      </c>
      <c r="BJ547" t="str">
        <f>IF(BI547="","",IF(BI547="Below expected for KS2",BG547,100+BF547)+ROW()/1000000)</f>
        <v/>
      </c>
    </row>
    <row r="548">
      <c r="H548" t="str">
        <f>IFERROR(INDEX(tblY7[Class],ROWS(H$10:H548))&amp;"","")</f>
        <v/>
      </c>
      <c r="I548" t="str">
        <f>IF(H548="","",IF(COUNTIF(H$10:H548,H548)=1,COUNTIF(H$10:H$609,"&lt;"&amp;H548)+1,""))</f>
        <v/>
      </c>
      <c r="J548" t="str">
        <f>IFERROR(INDEX(tblY8[Class],ROWS(J$10:J548))&amp;"","")</f>
        <v/>
      </c>
      <c r="K548" t="str">
        <f>IF(J548="","",IF(COUNTIF(J$10:J548,J548)=1,COUNTIF(J$10:J$609,"&lt;"&amp;J548)+1,""))</f>
        <v/>
      </c>
      <c r="L548" t="str">
        <f>IFERROR(INDEX(tblY9[Class],ROWS(L$10:L548))&amp;"","")</f>
        <v/>
      </c>
      <c r="M548" t="str">
        <f>IF(L548="","",IF(COUNTIF(L$10:L548,L548)=1,COUNTIF(L$10:L$609,"&lt;"&amp;L548)+1,""))</f>
        <v/>
      </c>
      <c r="N548" t="str">
        <f>IFERROR(INDEX(tblY10[Class],ROWS(N$10:N548))&amp;"","")</f>
        <v/>
      </c>
      <c r="O548" t="str">
        <f>IF(N548="","",IF(COUNTIF(N$10:N548,N548)=1,COUNTIF(N$10:N$609,"&lt;"&amp;N548)+1,""))</f>
        <v/>
      </c>
      <c r="P548" t="str">
        <f>IFERROR(INDEX(tblY11[Class],ROWS(P$10:P548))&amp;"","")</f>
        <v/>
      </c>
      <c r="Q548" t="str">
        <f>IF(P548="","",IF(COUNTIF(P$10:P548,P548)=1,COUNTIF(P$10:P$609,"&lt;"&amp;P548)+1,""))</f>
        <v/>
      </c>
      <c r="BA548" t="str">
        <f>IFERROR(INDEX(wLast,479)&amp;"","")</f>
        <v/>
      </c>
      <c r="BB548" t="str">
        <f>IF(BA548="","",IFERROR(INDEX(wFirst,479)&amp;"",""))</f>
        <v/>
      </c>
      <c r="BC548" t="str">
        <f>IF(BA548="","",IFERROR(INDEX(wClass,479)&amp;"",""))</f>
        <v/>
      </c>
      <c r="BD548" t="str">
        <f>IF(BA548="","",IFERROR(INDEX(wKsBand,479)+0,""))</f>
        <v/>
      </c>
      <c r="BE548" t="str">
        <f>IF(BA548="","",IFERROR(INDEX(wTests,479)+0,0))</f>
        <v/>
      </c>
      <c r="BF548" t="str">
        <f>IF(BA548="","",IFERROR(INDEX(wMean,479)+0,""))</f>
        <v/>
      </c>
      <c r="BG548" t="str">
        <f>IF(BA548="","",IFERROR(INDEX(wVs,479)+0,""))</f>
        <v/>
      </c>
      <c r="BH548" t="str">
        <f>IF(OR(BA548="",wLatest=""),"",IFERROR(INDEX(wData,479,MATCH(wLatest&amp;CHAR(10)&amp;"Stanine",wHdr,0))+0,""))</f>
        <v/>
      </c>
      <c r="BI548" t="str">
        <f>IF(BA548="","",IF(AND(ISNUMBER(BG548),N(BE548)&gt;=WlMinTests,BG548&lt;=-WlGap),"Below expected for KS2",IF(AND(NOT(ISNUMBER(BD548)),ISNUMBER(BF548),N(BE548)&gt;=WlMinTests,BF548&lt;=WlLowMean),"Low results, no KS2 data","")))</f>
        <v/>
      </c>
      <c r="BJ548" t="str">
        <f>IF(BI548="","",IF(BI548="Below expected for KS2",BG548,100+BF548)+ROW()/1000000)</f>
        <v/>
      </c>
    </row>
    <row r="549">
      <c r="H549" t="str">
        <f>IFERROR(INDEX(tblY7[Class],ROWS(H$10:H549))&amp;"","")</f>
        <v/>
      </c>
      <c r="I549" t="str">
        <f>IF(H549="","",IF(COUNTIF(H$10:H549,H549)=1,COUNTIF(H$10:H$609,"&lt;"&amp;H549)+1,""))</f>
        <v/>
      </c>
      <c r="J549" t="str">
        <f>IFERROR(INDEX(tblY8[Class],ROWS(J$10:J549))&amp;"","")</f>
        <v/>
      </c>
      <c r="K549" t="str">
        <f>IF(J549="","",IF(COUNTIF(J$10:J549,J549)=1,COUNTIF(J$10:J$609,"&lt;"&amp;J549)+1,""))</f>
        <v/>
      </c>
      <c r="L549" t="str">
        <f>IFERROR(INDEX(tblY9[Class],ROWS(L$10:L549))&amp;"","")</f>
        <v/>
      </c>
      <c r="M549" t="str">
        <f>IF(L549="","",IF(COUNTIF(L$10:L549,L549)=1,COUNTIF(L$10:L$609,"&lt;"&amp;L549)+1,""))</f>
        <v/>
      </c>
      <c r="N549" t="str">
        <f>IFERROR(INDEX(tblY10[Class],ROWS(N$10:N549))&amp;"","")</f>
        <v/>
      </c>
      <c r="O549" t="str">
        <f>IF(N549="","",IF(COUNTIF(N$10:N549,N549)=1,COUNTIF(N$10:N$609,"&lt;"&amp;N549)+1,""))</f>
        <v/>
      </c>
      <c r="P549" t="str">
        <f>IFERROR(INDEX(tblY11[Class],ROWS(P$10:P549))&amp;"","")</f>
        <v/>
      </c>
      <c r="Q549" t="str">
        <f>IF(P549="","",IF(COUNTIF(P$10:P549,P549)=1,COUNTIF(P$10:P$609,"&lt;"&amp;P549)+1,""))</f>
        <v/>
      </c>
      <c r="BA549" t="str">
        <f>IFERROR(INDEX(wLast,480)&amp;"","")</f>
        <v/>
      </c>
      <c r="BB549" t="str">
        <f>IF(BA549="","",IFERROR(INDEX(wFirst,480)&amp;"",""))</f>
        <v/>
      </c>
      <c r="BC549" t="str">
        <f>IF(BA549="","",IFERROR(INDEX(wClass,480)&amp;"",""))</f>
        <v/>
      </c>
      <c r="BD549" t="str">
        <f>IF(BA549="","",IFERROR(INDEX(wKsBand,480)+0,""))</f>
        <v/>
      </c>
      <c r="BE549" t="str">
        <f>IF(BA549="","",IFERROR(INDEX(wTests,480)+0,0))</f>
        <v/>
      </c>
      <c r="BF549" t="str">
        <f>IF(BA549="","",IFERROR(INDEX(wMean,480)+0,""))</f>
        <v/>
      </c>
      <c r="BG549" t="str">
        <f>IF(BA549="","",IFERROR(INDEX(wVs,480)+0,""))</f>
        <v/>
      </c>
      <c r="BH549" t="str">
        <f>IF(OR(BA549="",wLatest=""),"",IFERROR(INDEX(wData,480,MATCH(wLatest&amp;CHAR(10)&amp;"Stanine",wHdr,0))+0,""))</f>
        <v/>
      </c>
      <c r="BI549" t="str">
        <f>IF(BA549="","",IF(AND(ISNUMBER(BG549),N(BE549)&gt;=WlMinTests,BG549&lt;=-WlGap),"Below expected for KS2",IF(AND(NOT(ISNUMBER(BD549)),ISNUMBER(BF549),N(BE549)&gt;=WlMinTests,BF549&lt;=WlLowMean),"Low results, no KS2 data","")))</f>
        <v/>
      </c>
      <c r="BJ549" t="str">
        <f>IF(BI549="","",IF(BI549="Below expected for KS2",BG549,100+BF549)+ROW()/1000000)</f>
        <v/>
      </c>
    </row>
    <row r="550">
      <c r="H550" t="str">
        <f>IFERROR(INDEX(tblY7[Class],ROWS(H$10:H550))&amp;"","")</f>
        <v/>
      </c>
      <c r="I550" t="str">
        <f>IF(H550="","",IF(COUNTIF(H$10:H550,H550)=1,COUNTIF(H$10:H$609,"&lt;"&amp;H550)+1,""))</f>
        <v/>
      </c>
      <c r="J550" t="str">
        <f>IFERROR(INDEX(tblY8[Class],ROWS(J$10:J550))&amp;"","")</f>
        <v/>
      </c>
      <c r="K550" t="str">
        <f>IF(J550="","",IF(COUNTIF(J$10:J550,J550)=1,COUNTIF(J$10:J$609,"&lt;"&amp;J550)+1,""))</f>
        <v/>
      </c>
      <c r="L550" t="str">
        <f>IFERROR(INDEX(tblY9[Class],ROWS(L$10:L550))&amp;"","")</f>
        <v/>
      </c>
      <c r="M550" t="str">
        <f>IF(L550="","",IF(COUNTIF(L$10:L550,L550)=1,COUNTIF(L$10:L$609,"&lt;"&amp;L550)+1,""))</f>
        <v/>
      </c>
      <c r="N550" t="str">
        <f>IFERROR(INDEX(tblY10[Class],ROWS(N$10:N550))&amp;"","")</f>
        <v/>
      </c>
      <c r="O550" t="str">
        <f>IF(N550="","",IF(COUNTIF(N$10:N550,N550)=1,COUNTIF(N$10:N$609,"&lt;"&amp;N550)+1,""))</f>
        <v/>
      </c>
      <c r="P550" t="str">
        <f>IFERROR(INDEX(tblY11[Class],ROWS(P$10:P550))&amp;"","")</f>
        <v/>
      </c>
      <c r="Q550" t="str">
        <f>IF(P550="","",IF(COUNTIF(P$10:P550,P550)=1,COUNTIF(P$10:P$609,"&lt;"&amp;P550)+1,""))</f>
        <v/>
      </c>
      <c r="BA550" t="str">
        <f>IFERROR(INDEX(wLast,481)&amp;"","")</f>
        <v/>
      </c>
      <c r="BB550" t="str">
        <f>IF(BA550="","",IFERROR(INDEX(wFirst,481)&amp;"",""))</f>
        <v/>
      </c>
      <c r="BC550" t="str">
        <f>IF(BA550="","",IFERROR(INDEX(wClass,481)&amp;"",""))</f>
        <v/>
      </c>
      <c r="BD550" t="str">
        <f>IF(BA550="","",IFERROR(INDEX(wKsBand,481)+0,""))</f>
        <v/>
      </c>
      <c r="BE550" t="str">
        <f>IF(BA550="","",IFERROR(INDEX(wTests,481)+0,0))</f>
        <v/>
      </c>
      <c r="BF550" t="str">
        <f>IF(BA550="","",IFERROR(INDEX(wMean,481)+0,""))</f>
        <v/>
      </c>
      <c r="BG550" t="str">
        <f>IF(BA550="","",IFERROR(INDEX(wVs,481)+0,""))</f>
        <v/>
      </c>
      <c r="BH550" t="str">
        <f>IF(OR(BA550="",wLatest=""),"",IFERROR(INDEX(wData,481,MATCH(wLatest&amp;CHAR(10)&amp;"Stanine",wHdr,0))+0,""))</f>
        <v/>
      </c>
      <c r="BI550" t="str">
        <f>IF(BA550="","",IF(AND(ISNUMBER(BG550),N(BE550)&gt;=WlMinTests,BG550&lt;=-WlGap),"Below expected for KS2",IF(AND(NOT(ISNUMBER(BD550)),ISNUMBER(BF550),N(BE550)&gt;=WlMinTests,BF550&lt;=WlLowMean),"Low results, no KS2 data","")))</f>
        <v/>
      </c>
      <c r="BJ550" t="str">
        <f>IF(BI550="","",IF(BI550="Below expected for KS2",BG550,100+BF550)+ROW()/1000000)</f>
        <v/>
      </c>
    </row>
    <row r="551">
      <c r="H551" t="str">
        <f>IFERROR(INDEX(tblY7[Class],ROWS(H$10:H551))&amp;"","")</f>
        <v/>
      </c>
      <c r="I551" t="str">
        <f>IF(H551="","",IF(COUNTIF(H$10:H551,H551)=1,COUNTIF(H$10:H$609,"&lt;"&amp;H551)+1,""))</f>
        <v/>
      </c>
      <c r="J551" t="str">
        <f>IFERROR(INDEX(tblY8[Class],ROWS(J$10:J551))&amp;"","")</f>
        <v/>
      </c>
      <c r="K551" t="str">
        <f>IF(J551="","",IF(COUNTIF(J$10:J551,J551)=1,COUNTIF(J$10:J$609,"&lt;"&amp;J551)+1,""))</f>
        <v/>
      </c>
      <c r="L551" t="str">
        <f>IFERROR(INDEX(tblY9[Class],ROWS(L$10:L551))&amp;"","")</f>
        <v/>
      </c>
      <c r="M551" t="str">
        <f>IF(L551="","",IF(COUNTIF(L$10:L551,L551)=1,COUNTIF(L$10:L$609,"&lt;"&amp;L551)+1,""))</f>
        <v/>
      </c>
      <c r="N551" t="str">
        <f>IFERROR(INDEX(tblY10[Class],ROWS(N$10:N551))&amp;"","")</f>
        <v/>
      </c>
      <c r="O551" t="str">
        <f>IF(N551="","",IF(COUNTIF(N$10:N551,N551)=1,COUNTIF(N$10:N$609,"&lt;"&amp;N551)+1,""))</f>
        <v/>
      </c>
      <c r="P551" t="str">
        <f>IFERROR(INDEX(tblY11[Class],ROWS(P$10:P551))&amp;"","")</f>
        <v/>
      </c>
      <c r="Q551" t="str">
        <f>IF(P551="","",IF(COUNTIF(P$10:P551,P551)=1,COUNTIF(P$10:P$609,"&lt;"&amp;P551)+1,""))</f>
        <v/>
      </c>
      <c r="BA551" t="str">
        <f>IFERROR(INDEX(wLast,482)&amp;"","")</f>
        <v/>
      </c>
      <c r="BB551" t="str">
        <f>IF(BA551="","",IFERROR(INDEX(wFirst,482)&amp;"",""))</f>
        <v/>
      </c>
      <c r="BC551" t="str">
        <f>IF(BA551="","",IFERROR(INDEX(wClass,482)&amp;"",""))</f>
        <v/>
      </c>
      <c r="BD551" t="str">
        <f>IF(BA551="","",IFERROR(INDEX(wKsBand,482)+0,""))</f>
        <v/>
      </c>
      <c r="BE551" t="str">
        <f>IF(BA551="","",IFERROR(INDEX(wTests,482)+0,0))</f>
        <v/>
      </c>
      <c r="BF551" t="str">
        <f>IF(BA551="","",IFERROR(INDEX(wMean,482)+0,""))</f>
        <v/>
      </c>
      <c r="BG551" t="str">
        <f>IF(BA551="","",IFERROR(INDEX(wVs,482)+0,""))</f>
        <v/>
      </c>
      <c r="BH551" t="str">
        <f>IF(OR(BA551="",wLatest=""),"",IFERROR(INDEX(wData,482,MATCH(wLatest&amp;CHAR(10)&amp;"Stanine",wHdr,0))+0,""))</f>
        <v/>
      </c>
      <c r="BI551" t="str">
        <f>IF(BA551="","",IF(AND(ISNUMBER(BG551),N(BE551)&gt;=WlMinTests,BG551&lt;=-WlGap),"Below expected for KS2",IF(AND(NOT(ISNUMBER(BD551)),ISNUMBER(BF551),N(BE551)&gt;=WlMinTests,BF551&lt;=WlLowMean),"Low results, no KS2 data","")))</f>
        <v/>
      </c>
      <c r="BJ551" t="str">
        <f>IF(BI551="","",IF(BI551="Below expected for KS2",BG551,100+BF551)+ROW()/1000000)</f>
        <v/>
      </c>
    </row>
    <row r="552">
      <c r="H552" t="str">
        <f>IFERROR(INDEX(tblY7[Class],ROWS(H$10:H552))&amp;"","")</f>
        <v/>
      </c>
      <c r="I552" t="str">
        <f>IF(H552="","",IF(COUNTIF(H$10:H552,H552)=1,COUNTIF(H$10:H$609,"&lt;"&amp;H552)+1,""))</f>
        <v/>
      </c>
      <c r="J552" t="str">
        <f>IFERROR(INDEX(tblY8[Class],ROWS(J$10:J552))&amp;"","")</f>
        <v/>
      </c>
      <c r="K552" t="str">
        <f>IF(J552="","",IF(COUNTIF(J$10:J552,J552)=1,COUNTIF(J$10:J$609,"&lt;"&amp;J552)+1,""))</f>
        <v/>
      </c>
      <c r="L552" t="str">
        <f>IFERROR(INDEX(tblY9[Class],ROWS(L$10:L552))&amp;"","")</f>
        <v/>
      </c>
      <c r="M552" t="str">
        <f>IF(L552="","",IF(COUNTIF(L$10:L552,L552)=1,COUNTIF(L$10:L$609,"&lt;"&amp;L552)+1,""))</f>
        <v/>
      </c>
      <c r="N552" t="str">
        <f>IFERROR(INDEX(tblY10[Class],ROWS(N$10:N552))&amp;"","")</f>
        <v/>
      </c>
      <c r="O552" t="str">
        <f>IF(N552="","",IF(COUNTIF(N$10:N552,N552)=1,COUNTIF(N$10:N$609,"&lt;"&amp;N552)+1,""))</f>
        <v/>
      </c>
      <c r="P552" t="str">
        <f>IFERROR(INDEX(tblY11[Class],ROWS(P$10:P552))&amp;"","")</f>
        <v/>
      </c>
      <c r="Q552" t="str">
        <f>IF(P552="","",IF(COUNTIF(P$10:P552,P552)=1,COUNTIF(P$10:P$609,"&lt;"&amp;P552)+1,""))</f>
        <v/>
      </c>
      <c r="BA552" t="str">
        <f>IFERROR(INDEX(wLast,483)&amp;"","")</f>
        <v/>
      </c>
      <c r="BB552" t="str">
        <f>IF(BA552="","",IFERROR(INDEX(wFirst,483)&amp;"",""))</f>
        <v/>
      </c>
      <c r="BC552" t="str">
        <f>IF(BA552="","",IFERROR(INDEX(wClass,483)&amp;"",""))</f>
        <v/>
      </c>
      <c r="BD552" t="str">
        <f>IF(BA552="","",IFERROR(INDEX(wKsBand,483)+0,""))</f>
        <v/>
      </c>
      <c r="BE552" t="str">
        <f>IF(BA552="","",IFERROR(INDEX(wTests,483)+0,0))</f>
        <v/>
      </c>
      <c r="BF552" t="str">
        <f>IF(BA552="","",IFERROR(INDEX(wMean,483)+0,""))</f>
        <v/>
      </c>
      <c r="BG552" t="str">
        <f>IF(BA552="","",IFERROR(INDEX(wVs,483)+0,""))</f>
        <v/>
      </c>
      <c r="BH552" t="str">
        <f>IF(OR(BA552="",wLatest=""),"",IFERROR(INDEX(wData,483,MATCH(wLatest&amp;CHAR(10)&amp;"Stanine",wHdr,0))+0,""))</f>
        <v/>
      </c>
      <c r="BI552" t="str">
        <f>IF(BA552="","",IF(AND(ISNUMBER(BG552),N(BE552)&gt;=WlMinTests,BG552&lt;=-WlGap),"Below expected for KS2",IF(AND(NOT(ISNUMBER(BD552)),ISNUMBER(BF552),N(BE552)&gt;=WlMinTests,BF552&lt;=WlLowMean),"Low results, no KS2 data","")))</f>
        <v/>
      </c>
      <c r="BJ552" t="str">
        <f>IF(BI552="","",IF(BI552="Below expected for KS2",BG552,100+BF552)+ROW()/1000000)</f>
        <v/>
      </c>
    </row>
    <row r="553">
      <c r="H553" t="str">
        <f>IFERROR(INDEX(tblY7[Class],ROWS(H$10:H553))&amp;"","")</f>
        <v/>
      </c>
      <c r="I553" t="str">
        <f>IF(H553="","",IF(COUNTIF(H$10:H553,H553)=1,COUNTIF(H$10:H$609,"&lt;"&amp;H553)+1,""))</f>
        <v/>
      </c>
      <c r="J553" t="str">
        <f>IFERROR(INDEX(tblY8[Class],ROWS(J$10:J553))&amp;"","")</f>
        <v/>
      </c>
      <c r="K553" t="str">
        <f>IF(J553="","",IF(COUNTIF(J$10:J553,J553)=1,COUNTIF(J$10:J$609,"&lt;"&amp;J553)+1,""))</f>
        <v/>
      </c>
      <c r="L553" t="str">
        <f>IFERROR(INDEX(tblY9[Class],ROWS(L$10:L553))&amp;"","")</f>
        <v/>
      </c>
      <c r="M553" t="str">
        <f>IF(L553="","",IF(COUNTIF(L$10:L553,L553)=1,COUNTIF(L$10:L$609,"&lt;"&amp;L553)+1,""))</f>
        <v/>
      </c>
      <c r="N553" t="str">
        <f>IFERROR(INDEX(tblY10[Class],ROWS(N$10:N553))&amp;"","")</f>
        <v/>
      </c>
      <c r="O553" t="str">
        <f>IF(N553="","",IF(COUNTIF(N$10:N553,N553)=1,COUNTIF(N$10:N$609,"&lt;"&amp;N553)+1,""))</f>
        <v/>
      </c>
      <c r="P553" t="str">
        <f>IFERROR(INDEX(tblY11[Class],ROWS(P$10:P553))&amp;"","")</f>
        <v/>
      </c>
      <c r="Q553" t="str">
        <f>IF(P553="","",IF(COUNTIF(P$10:P553,P553)=1,COUNTIF(P$10:P$609,"&lt;"&amp;P553)+1,""))</f>
        <v/>
      </c>
      <c r="BA553" t="str">
        <f>IFERROR(INDEX(wLast,484)&amp;"","")</f>
        <v/>
      </c>
      <c r="BB553" t="str">
        <f>IF(BA553="","",IFERROR(INDEX(wFirst,484)&amp;"",""))</f>
        <v/>
      </c>
      <c r="BC553" t="str">
        <f>IF(BA553="","",IFERROR(INDEX(wClass,484)&amp;"",""))</f>
        <v/>
      </c>
      <c r="BD553" t="str">
        <f>IF(BA553="","",IFERROR(INDEX(wKsBand,484)+0,""))</f>
        <v/>
      </c>
      <c r="BE553" t="str">
        <f>IF(BA553="","",IFERROR(INDEX(wTests,484)+0,0))</f>
        <v/>
      </c>
      <c r="BF553" t="str">
        <f>IF(BA553="","",IFERROR(INDEX(wMean,484)+0,""))</f>
        <v/>
      </c>
      <c r="BG553" t="str">
        <f>IF(BA553="","",IFERROR(INDEX(wVs,484)+0,""))</f>
        <v/>
      </c>
      <c r="BH553" t="str">
        <f>IF(OR(BA553="",wLatest=""),"",IFERROR(INDEX(wData,484,MATCH(wLatest&amp;CHAR(10)&amp;"Stanine",wHdr,0))+0,""))</f>
        <v/>
      </c>
      <c r="BI553" t="str">
        <f>IF(BA553="","",IF(AND(ISNUMBER(BG553),N(BE553)&gt;=WlMinTests,BG553&lt;=-WlGap),"Below expected for KS2",IF(AND(NOT(ISNUMBER(BD553)),ISNUMBER(BF553),N(BE553)&gt;=WlMinTests,BF553&lt;=WlLowMean),"Low results, no KS2 data","")))</f>
        <v/>
      </c>
      <c r="BJ553" t="str">
        <f>IF(BI553="","",IF(BI553="Below expected for KS2",BG553,100+BF553)+ROW()/1000000)</f>
        <v/>
      </c>
    </row>
    <row r="554">
      <c r="H554" t="str">
        <f>IFERROR(INDEX(tblY7[Class],ROWS(H$10:H554))&amp;"","")</f>
        <v/>
      </c>
      <c r="I554" t="str">
        <f>IF(H554="","",IF(COUNTIF(H$10:H554,H554)=1,COUNTIF(H$10:H$609,"&lt;"&amp;H554)+1,""))</f>
        <v/>
      </c>
      <c r="J554" t="str">
        <f>IFERROR(INDEX(tblY8[Class],ROWS(J$10:J554))&amp;"","")</f>
        <v/>
      </c>
      <c r="K554" t="str">
        <f>IF(J554="","",IF(COUNTIF(J$10:J554,J554)=1,COUNTIF(J$10:J$609,"&lt;"&amp;J554)+1,""))</f>
        <v/>
      </c>
      <c r="L554" t="str">
        <f>IFERROR(INDEX(tblY9[Class],ROWS(L$10:L554))&amp;"","")</f>
        <v/>
      </c>
      <c r="M554" t="str">
        <f>IF(L554="","",IF(COUNTIF(L$10:L554,L554)=1,COUNTIF(L$10:L$609,"&lt;"&amp;L554)+1,""))</f>
        <v/>
      </c>
      <c r="N554" t="str">
        <f>IFERROR(INDEX(tblY10[Class],ROWS(N$10:N554))&amp;"","")</f>
        <v/>
      </c>
      <c r="O554" t="str">
        <f>IF(N554="","",IF(COUNTIF(N$10:N554,N554)=1,COUNTIF(N$10:N$609,"&lt;"&amp;N554)+1,""))</f>
        <v/>
      </c>
      <c r="P554" t="str">
        <f>IFERROR(INDEX(tblY11[Class],ROWS(P$10:P554))&amp;"","")</f>
        <v/>
      </c>
      <c r="Q554" t="str">
        <f>IF(P554="","",IF(COUNTIF(P$10:P554,P554)=1,COUNTIF(P$10:P$609,"&lt;"&amp;P554)+1,""))</f>
        <v/>
      </c>
      <c r="BA554" t="str">
        <f>IFERROR(INDEX(wLast,485)&amp;"","")</f>
        <v/>
      </c>
      <c r="BB554" t="str">
        <f>IF(BA554="","",IFERROR(INDEX(wFirst,485)&amp;"",""))</f>
        <v/>
      </c>
      <c r="BC554" t="str">
        <f>IF(BA554="","",IFERROR(INDEX(wClass,485)&amp;"",""))</f>
        <v/>
      </c>
      <c r="BD554" t="str">
        <f>IF(BA554="","",IFERROR(INDEX(wKsBand,485)+0,""))</f>
        <v/>
      </c>
      <c r="BE554" t="str">
        <f>IF(BA554="","",IFERROR(INDEX(wTests,485)+0,0))</f>
        <v/>
      </c>
      <c r="BF554" t="str">
        <f>IF(BA554="","",IFERROR(INDEX(wMean,485)+0,""))</f>
        <v/>
      </c>
      <c r="BG554" t="str">
        <f>IF(BA554="","",IFERROR(INDEX(wVs,485)+0,""))</f>
        <v/>
      </c>
      <c r="BH554" t="str">
        <f>IF(OR(BA554="",wLatest=""),"",IFERROR(INDEX(wData,485,MATCH(wLatest&amp;CHAR(10)&amp;"Stanine",wHdr,0))+0,""))</f>
        <v/>
      </c>
      <c r="BI554" t="str">
        <f>IF(BA554="","",IF(AND(ISNUMBER(BG554),N(BE554)&gt;=WlMinTests,BG554&lt;=-WlGap),"Below expected for KS2",IF(AND(NOT(ISNUMBER(BD554)),ISNUMBER(BF554),N(BE554)&gt;=WlMinTests,BF554&lt;=WlLowMean),"Low results, no KS2 data","")))</f>
        <v/>
      </c>
      <c r="BJ554" t="str">
        <f>IF(BI554="","",IF(BI554="Below expected for KS2",BG554,100+BF554)+ROW()/1000000)</f>
        <v/>
      </c>
    </row>
    <row r="555">
      <c r="H555" t="str">
        <f>IFERROR(INDEX(tblY7[Class],ROWS(H$10:H555))&amp;"","")</f>
        <v/>
      </c>
      <c r="I555" t="str">
        <f>IF(H555="","",IF(COUNTIF(H$10:H555,H555)=1,COUNTIF(H$10:H$609,"&lt;"&amp;H555)+1,""))</f>
        <v/>
      </c>
      <c r="J555" t="str">
        <f>IFERROR(INDEX(tblY8[Class],ROWS(J$10:J555))&amp;"","")</f>
        <v/>
      </c>
      <c r="K555" t="str">
        <f>IF(J555="","",IF(COUNTIF(J$10:J555,J555)=1,COUNTIF(J$10:J$609,"&lt;"&amp;J555)+1,""))</f>
        <v/>
      </c>
      <c r="L555" t="str">
        <f>IFERROR(INDEX(tblY9[Class],ROWS(L$10:L555))&amp;"","")</f>
        <v/>
      </c>
      <c r="M555" t="str">
        <f>IF(L555="","",IF(COUNTIF(L$10:L555,L555)=1,COUNTIF(L$10:L$609,"&lt;"&amp;L555)+1,""))</f>
        <v/>
      </c>
      <c r="N555" t="str">
        <f>IFERROR(INDEX(tblY10[Class],ROWS(N$10:N555))&amp;"","")</f>
        <v/>
      </c>
      <c r="O555" t="str">
        <f>IF(N555="","",IF(COUNTIF(N$10:N555,N555)=1,COUNTIF(N$10:N$609,"&lt;"&amp;N555)+1,""))</f>
        <v/>
      </c>
      <c r="P555" t="str">
        <f>IFERROR(INDEX(tblY11[Class],ROWS(P$10:P555))&amp;"","")</f>
        <v/>
      </c>
      <c r="Q555" t="str">
        <f>IF(P555="","",IF(COUNTIF(P$10:P555,P555)=1,COUNTIF(P$10:P$609,"&lt;"&amp;P555)+1,""))</f>
        <v/>
      </c>
      <c r="BA555" t="str">
        <f>IFERROR(INDEX(wLast,486)&amp;"","")</f>
        <v/>
      </c>
      <c r="BB555" t="str">
        <f>IF(BA555="","",IFERROR(INDEX(wFirst,486)&amp;"",""))</f>
        <v/>
      </c>
      <c r="BC555" t="str">
        <f>IF(BA555="","",IFERROR(INDEX(wClass,486)&amp;"",""))</f>
        <v/>
      </c>
      <c r="BD555" t="str">
        <f>IF(BA555="","",IFERROR(INDEX(wKsBand,486)+0,""))</f>
        <v/>
      </c>
      <c r="BE555" t="str">
        <f>IF(BA555="","",IFERROR(INDEX(wTests,486)+0,0))</f>
        <v/>
      </c>
      <c r="BF555" t="str">
        <f>IF(BA555="","",IFERROR(INDEX(wMean,486)+0,""))</f>
        <v/>
      </c>
      <c r="BG555" t="str">
        <f>IF(BA555="","",IFERROR(INDEX(wVs,486)+0,""))</f>
        <v/>
      </c>
      <c r="BH555" t="str">
        <f>IF(OR(BA555="",wLatest=""),"",IFERROR(INDEX(wData,486,MATCH(wLatest&amp;CHAR(10)&amp;"Stanine",wHdr,0))+0,""))</f>
        <v/>
      </c>
      <c r="BI555" t="str">
        <f>IF(BA555="","",IF(AND(ISNUMBER(BG555),N(BE555)&gt;=WlMinTests,BG555&lt;=-WlGap),"Below expected for KS2",IF(AND(NOT(ISNUMBER(BD555)),ISNUMBER(BF555),N(BE555)&gt;=WlMinTests,BF555&lt;=WlLowMean),"Low results, no KS2 data","")))</f>
        <v/>
      </c>
      <c r="BJ555" t="str">
        <f>IF(BI555="","",IF(BI555="Below expected for KS2",BG555,100+BF555)+ROW()/1000000)</f>
        <v/>
      </c>
    </row>
    <row r="556">
      <c r="H556" t="str">
        <f>IFERROR(INDEX(tblY7[Class],ROWS(H$10:H556))&amp;"","")</f>
        <v/>
      </c>
      <c r="I556" t="str">
        <f>IF(H556="","",IF(COUNTIF(H$10:H556,H556)=1,COUNTIF(H$10:H$609,"&lt;"&amp;H556)+1,""))</f>
        <v/>
      </c>
      <c r="J556" t="str">
        <f>IFERROR(INDEX(tblY8[Class],ROWS(J$10:J556))&amp;"","")</f>
        <v/>
      </c>
      <c r="K556" t="str">
        <f>IF(J556="","",IF(COUNTIF(J$10:J556,J556)=1,COUNTIF(J$10:J$609,"&lt;"&amp;J556)+1,""))</f>
        <v/>
      </c>
      <c r="L556" t="str">
        <f>IFERROR(INDEX(tblY9[Class],ROWS(L$10:L556))&amp;"","")</f>
        <v/>
      </c>
      <c r="M556" t="str">
        <f>IF(L556="","",IF(COUNTIF(L$10:L556,L556)=1,COUNTIF(L$10:L$609,"&lt;"&amp;L556)+1,""))</f>
        <v/>
      </c>
      <c r="N556" t="str">
        <f>IFERROR(INDEX(tblY10[Class],ROWS(N$10:N556))&amp;"","")</f>
        <v/>
      </c>
      <c r="O556" t="str">
        <f>IF(N556="","",IF(COUNTIF(N$10:N556,N556)=1,COUNTIF(N$10:N$609,"&lt;"&amp;N556)+1,""))</f>
        <v/>
      </c>
      <c r="P556" t="str">
        <f>IFERROR(INDEX(tblY11[Class],ROWS(P$10:P556))&amp;"","")</f>
        <v/>
      </c>
      <c r="Q556" t="str">
        <f>IF(P556="","",IF(COUNTIF(P$10:P556,P556)=1,COUNTIF(P$10:P$609,"&lt;"&amp;P556)+1,""))</f>
        <v/>
      </c>
      <c r="BA556" t="str">
        <f>IFERROR(INDEX(wLast,487)&amp;"","")</f>
        <v/>
      </c>
      <c r="BB556" t="str">
        <f>IF(BA556="","",IFERROR(INDEX(wFirst,487)&amp;"",""))</f>
        <v/>
      </c>
      <c r="BC556" t="str">
        <f>IF(BA556="","",IFERROR(INDEX(wClass,487)&amp;"",""))</f>
        <v/>
      </c>
      <c r="BD556" t="str">
        <f>IF(BA556="","",IFERROR(INDEX(wKsBand,487)+0,""))</f>
        <v/>
      </c>
      <c r="BE556" t="str">
        <f>IF(BA556="","",IFERROR(INDEX(wTests,487)+0,0))</f>
        <v/>
      </c>
      <c r="BF556" t="str">
        <f>IF(BA556="","",IFERROR(INDEX(wMean,487)+0,""))</f>
        <v/>
      </c>
      <c r="BG556" t="str">
        <f>IF(BA556="","",IFERROR(INDEX(wVs,487)+0,""))</f>
        <v/>
      </c>
      <c r="BH556" t="str">
        <f>IF(OR(BA556="",wLatest=""),"",IFERROR(INDEX(wData,487,MATCH(wLatest&amp;CHAR(10)&amp;"Stanine",wHdr,0))+0,""))</f>
        <v/>
      </c>
      <c r="BI556" t="str">
        <f>IF(BA556="","",IF(AND(ISNUMBER(BG556),N(BE556)&gt;=WlMinTests,BG556&lt;=-WlGap),"Below expected for KS2",IF(AND(NOT(ISNUMBER(BD556)),ISNUMBER(BF556),N(BE556)&gt;=WlMinTests,BF556&lt;=WlLowMean),"Low results, no KS2 data","")))</f>
        <v/>
      </c>
      <c r="BJ556" t="str">
        <f>IF(BI556="","",IF(BI556="Below expected for KS2",BG556,100+BF556)+ROW()/1000000)</f>
        <v/>
      </c>
    </row>
    <row r="557">
      <c r="H557" t="str">
        <f>IFERROR(INDEX(tblY7[Class],ROWS(H$10:H557))&amp;"","")</f>
        <v/>
      </c>
      <c r="I557" t="str">
        <f>IF(H557="","",IF(COUNTIF(H$10:H557,H557)=1,COUNTIF(H$10:H$609,"&lt;"&amp;H557)+1,""))</f>
        <v/>
      </c>
      <c r="J557" t="str">
        <f>IFERROR(INDEX(tblY8[Class],ROWS(J$10:J557))&amp;"","")</f>
        <v/>
      </c>
      <c r="K557" t="str">
        <f>IF(J557="","",IF(COUNTIF(J$10:J557,J557)=1,COUNTIF(J$10:J$609,"&lt;"&amp;J557)+1,""))</f>
        <v/>
      </c>
      <c r="L557" t="str">
        <f>IFERROR(INDEX(tblY9[Class],ROWS(L$10:L557))&amp;"","")</f>
        <v/>
      </c>
      <c r="M557" t="str">
        <f>IF(L557="","",IF(COUNTIF(L$10:L557,L557)=1,COUNTIF(L$10:L$609,"&lt;"&amp;L557)+1,""))</f>
        <v/>
      </c>
      <c r="N557" t="str">
        <f>IFERROR(INDEX(tblY10[Class],ROWS(N$10:N557))&amp;"","")</f>
        <v/>
      </c>
      <c r="O557" t="str">
        <f>IF(N557="","",IF(COUNTIF(N$10:N557,N557)=1,COUNTIF(N$10:N$609,"&lt;"&amp;N557)+1,""))</f>
        <v/>
      </c>
      <c r="P557" t="str">
        <f>IFERROR(INDEX(tblY11[Class],ROWS(P$10:P557))&amp;"","")</f>
        <v/>
      </c>
      <c r="Q557" t="str">
        <f>IF(P557="","",IF(COUNTIF(P$10:P557,P557)=1,COUNTIF(P$10:P$609,"&lt;"&amp;P557)+1,""))</f>
        <v/>
      </c>
      <c r="BA557" t="str">
        <f>IFERROR(INDEX(wLast,488)&amp;"","")</f>
        <v/>
      </c>
      <c r="BB557" t="str">
        <f>IF(BA557="","",IFERROR(INDEX(wFirst,488)&amp;"",""))</f>
        <v/>
      </c>
      <c r="BC557" t="str">
        <f>IF(BA557="","",IFERROR(INDEX(wClass,488)&amp;"",""))</f>
        <v/>
      </c>
      <c r="BD557" t="str">
        <f>IF(BA557="","",IFERROR(INDEX(wKsBand,488)+0,""))</f>
        <v/>
      </c>
      <c r="BE557" t="str">
        <f>IF(BA557="","",IFERROR(INDEX(wTests,488)+0,0))</f>
        <v/>
      </c>
      <c r="BF557" t="str">
        <f>IF(BA557="","",IFERROR(INDEX(wMean,488)+0,""))</f>
        <v/>
      </c>
      <c r="BG557" t="str">
        <f>IF(BA557="","",IFERROR(INDEX(wVs,488)+0,""))</f>
        <v/>
      </c>
      <c r="BH557" t="str">
        <f>IF(OR(BA557="",wLatest=""),"",IFERROR(INDEX(wData,488,MATCH(wLatest&amp;CHAR(10)&amp;"Stanine",wHdr,0))+0,""))</f>
        <v/>
      </c>
      <c r="BI557" t="str">
        <f>IF(BA557="","",IF(AND(ISNUMBER(BG557),N(BE557)&gt;=WlMinTests,BG557&lt;=-WlGap),"Below expected for KS2",IF(AND(NOT(ISNUMBER(BD557)),ISNUMBER(BF557),N(BE557)&gt;=WlMinTests,BF557&lt;=WlLowMean),"Low results, no KS2 data","")))</f>
        <v/>
      </c>
      <c r="BJ557" t="str">
        <f>IF(BI557="","",IF(BI557="Below expected for KS2",BG557,100+BF557)+ROW()/1000000)</f>
        <v/>
      </c>
    </row>
    <row r="558">
      <c r="H558" t="str">
        <f>IFERROR(INDEX(tblY7[Class],ROWS(H$10:H558))&amp;"","")</f>
        <v/>
      </c>
      <c r="I558" t="str">
        <f>IF(H558="","",IF(COUNTIF(H$10:H558,H558)=1,COUNTIF(H$10:H$609,"&lt;"&amp;H558)+1,""))</f>
        <v/>
      </c>
      <c r="J558" t="str">
        <f>IFERROR(INDEX(tblY8[Class],ROWS(J$10:J558))&amp;"","")</f>
        <v/>
      </c>
      <c r="K558" t="str">
        <f>IF(J558="","",IF(COUNTIF(J$10:J558,J558)=1,COUNTIF(J$10:J$609,"&lt;"&amp;J558)+1,""))</f>
        <v/>
      </c>
      <c r="L558" t="str">
        <f>IFERROR(INDEX(tblY9[Class],ROWS(L$10:L558))&amp;"","")</f>
        <v/>
      </c>
      <c r="M558" t="str">
        <f>IF(L558="","",IF(COUNTIF(L$10:L558,L558)=1,COUNTIF(L$10:L$609,"&lt;"&amp;L558)+1,""))</f>
        <v/>
      </c>
      <c r="N558" t="str">
        <f>IFERROR(INDEX(tblY10[Class],ROWS(N$10:N558))&amp;"","")</f>
        <v/>
      </c>
      <c r="O558" t="str">
        <f>IF(N558="","",IF(COUNTIF(N$10:N558,N558)=1,COUNTIF(N$10:N$609,"&lt;"&amp;N558)+1,""))</f>
        <v/>
      </c>
      <c r="P558" t="str">
        <f>IFERROR(INDEX(tblY11[Class],ROWS(P$10:P558))&amp;"","")</f>
        <v/>
      </c>
      <c r="Q558" t="str">
        <f>IF(P558="","",IF(COUNTIF(P$10:P558,P558)=1,COUNTIF(P$10:P$609,"&lt;"&amp;P558)+1,""))</f>
        <v/>
      </c>
      <c r="BA558" t="str">
        <f>IFERROR(INDEX(wLast,489)&amp;"","")</f>
        <v/>
      </c>
      <c r="BB558" t="str">
        <f>IF(BA558="","",IFERROR(INDEX(wFirst,489)&amp;"",""))</f>
        <v/>
      </c>
      <c r="BC558" t="str">
        <f>IF(BA558="","",IFERROR(INDEX(wClass,489)&amp;"",""))</f>
        <v/>
      </c>
      <c r="BD558" t="str">
        <f>IF(BA558="","",IFERROR(INDEX(wKsBand,489)+0,""))</f>
        <v/>
      </c>
      <c r="BE558" t="str">
        <f>IF(BA558="","",IFERROR(INDEX(wTests,489)+0,0))</f>
        <v/>
      </c>
      <c r="BF558" t="str">
        <f>IF(BA558="","",IFERROR(INDEX(wMean,489)+0,""))</f>
        <v/>
      </c>
      <c r="BG558" t="str">
        <f>IF(BA558="","",IFERROR(INDEX(wVs,489)+0,""))</f>
        <v/>
      </c>
      <c r="BH558" t="str">
        <f>IF(OR(BA558="",wLatest=""),"",IFERROR(INDEX(wData,489,MATCH(wLatest&amp;CHAR(10)&amp;"Stanine",wHdr,0))+0,""))</f>
        <v/>
      </c>
      <c r="BI558" t="str">
        <f>IF(BA558="","",IF(AND(ISNUMBER(BG558),N(BE558)&gt;=WlMinTests,BG558&lt;=-WlGap),"Below expected for KS2",IF(AND(NOT(ISNUMBER(BD558)),ISNUMBER(BF558),N(BE558)&gt;=WlMinTests,BF558&lt;=WlLowMean),"Low results, no KS2 data","")))</f>
        <v/>
      </c>
      <c r="BJ558" t="str">
        <f>IF(BI558="","",IF(BI558="Below expected for KS2",BG558,100+BF558)+ROW()/1000000)</f>
        <v/>
      </c>
    </row>
    <row r="559">
      <c r="H559" t="str">
        <f>IFERROR(INDEX(tblY7[Class],ROWS(H$10:H559))&amp;"","")</f>
        <v/>
      </c>
      <c r="I559" t="str">
        <f>IF(H559="","",IF(COUNTIF(H$10:H559,H559)=1,COUNTIF(H$10:H$609,"&lt;"&amp;H559)+1,""))</f>
        <v/>
      </c>
      <c r="J559" t="str">
        <f>IFERROR(INDEX(tblY8[Class],ROWS(J$10:J559))&amp;"","")</f>
        <v/>
      </c>
      <c r="K559" t="str">
        <f>IF(J559="","",IF(COUNTIF(J$10:J559,J559)=1,COUNTIF(J$10:J$609,"&lt;"&amp;J559)+1,""))</f>
        <v/>
      </c>
      <c r="L559" t="str">
        <f>IFERROR(INDEX(tblY9[Class],ROWS(L$10:L559))&amp;"","")</f>
        <v/>
      </c>
      <c r="M559" t="str">
        <f>IF(L559="","",IF(COUNTIF(L$10:L559,L559)=1,COUNTIF(L$10:L$609,"&lt;"&amp;L559)+1,""))</f>
        <v/>
      </c>
      <c r="N559" t="str">
        <f>IFERROR(INDEX(tblY10[Class],ROWS(N$10:N559))&amp;"","")</f>
        <v/>
      </c>
      <c r="O559" t="str">
        <f>IF(N559="","",IF(COUNTIF(N$10:N559,N559)=1,COUNTIF(N$10:N$609,"&lt;"&amp;N559)+1,""))</f>
        <v/>
      </c>
      <c r="P559" t="str">
        <f>IFERROR(INDEX(tblY11[Class],ROWS(P$10:P559))&amp;"","")</f>
        <v/>
      </c>
      <c r="Q559" t="str">
        <f>IF(P559="","",IF(COUNTIF(P$10:P559,P559)=1,COUNTIF(P$10:P$609,"&lt;"&amp;P559)+1,""))</f>
        <v/>
      </c>
      <c r="BA559" t="str">
        <f>IFERROR(INDEX(wLast,490)&amp;"","")</f>
        <v/>
      </c>
      <c r="BB559" t="str">
        <f>IF(BA559="","",IFERROR(INDEX(wFirst,490)&amp;"",""))</f>
        <v/>
      </c>
      <c r="BC559" t="str">
        <f>IF(BA559="","",IFERROR(INDEX(wClass,490)&amp;"",""))</f>
        <v/>
      </c>
      <c r="BD559" t="str">
        <f>IF(BA559="","",IFERROR(INDEX(wKsBand,490)+0,""))</f>
        <v/>
      </c>
      <c r="BE559" t="str">
        <f>IF(BA559="","",IFERROR(INDEX(wTests,490)+0,0))</f>
        <v/>
      </c>
      <c r="BF559" t="str">
        <f>IF(BA559="","",IFERROR(INDEX(wMean,490)+0,""))</f>
        <v/>
      </c>
      <c r="BG559" t="str">
        <f>IF(BA559="","",IFERROR(INDEX(wVs,490)+0,""))</f>
        <v/>
      </c>
      <c r="BH559" t="str">
        <f>IF(OR(BA559="",wLatest=""),"",IFERROR(INDEX(wData,490,MATCH(wLatest&amp;CHAR(10)&amp;"Stanine",wHdr,0))+0,""))</f>
        <v/>
      </c>
      <c r="BI559" t="str">
        <f>IF(BA559="","",IF(AND(ISNUMBER(BG559),N(BE559)&gt;=WlMinTests,BG559&lt;=-WlGap),"Below expected for KS2",IF(AND(NOT(ISNUMBER(BD559)),ISNUMBER(BF559),N(BE559)&gt;=WlMinTests,BF559&lt;=WlLowMean),"Low results, no KS2 data","")))</f>
        <v/>
      </c>
      <c r="BJ559" t="str">
        <f>IF(BI559="","",IF(BI559="Below expected for KS2",BG559,100+BF559)+ROW()/1000000)</f>
        <v/>
      </c>
    </row>
    <row r="560">
      <c r="H560" t="str">
        <f>IFERROR(INDEX(tblY7[Class],ROWS(H$10:H560))&amp;"","")</f>
        <v/>
      </c>
      <c r="I560" t="str">
        <f>IF(H560="","",IF(COUNTIF(H$10:H560,H560)=1,COUNTIF(H$10:H$609,"&lt;"&amp;H560)+1,""))</f>
        <v/>
      </c>
      <c r="J560" t="str">
        <f>IFERROR(INDEX(tblY8[Class],ROWS(J$10:J560))&amp;"","")</f>
        <v/>
      </c>
      <c r="K560" t="str">
        <f>IF(J560="","",IF(COUNTIF(J$10:J560,J560)=1,COUNTIF(J$10:J$609,"&lt;"&amp;J560)+1,""))</f>
        <v/>
      </c>
      <c r="L560" t="str">
        <f>IFERROR(INDEX(tblY9[Class],ROWS(L$10:L560))&amp;"","")</f>
        <v/>
      </c>
      <c r="M560" t="str">
        <f>IF(L560="","",IF(COUNTIF(L$10:L560,L560)=1,COUNTIF(L$10:L$609,"&lt;"&amp;L560)+1,""))</f>
        <v/>
      </c>
      <c r="N560" t="str">
        <f>IFERROR(INDEX(tblY10[Class],ROWS(N$10:N560))&amp;"","")</f>
        <v/>
      </c>
      <c r="O560" t="str">
        <f>IF(N560="","",IF(COUNTIF(N$10:N560,N560)=1,COUNTIF(N$10:N$609,"&lt;"&amp;N560)+1,""))</f>
        <v/>
      </c>
      <c r="P560" t="str">
        <f>IFERROR(INDEX(tblY11[Class],ROWS(P$10:P560))&amp;"","")</f>
        <v/>
      </c>
      <c r="Q560" t="str">
        <f>IF(P560="","",IF(COUNTIF(P$10:P560,P560)=1,COUNTIF(P$10:P$609,"&lt;"&amp;P560)+1,""))</f>
        <v/>
      </c>
      <c r="BA560" t="str">
        <f>IFERROR(INDEX(wLast,491)&amp;"","")</f>
        <v/>
      </c>
      <c r="BB560" t="str">
        <f>IF(BA560="","",IFERROR(INDEX(wFirst,491)&amp;"",""))</f>
        <v/>
      </c>
      <c r="BC560" t="str">
        <f>IF(BA560="","",IFERROR(INDEX(wClass,491)&amp;"",""))</f>
        <v/>
      </c>
      <c r="BD560" t="str">
        <f>IF(BA560="","",IFERROR(INDEX(wKsBand,491)+0,""))</f>
        <v/>
      </c>
      <c r="BE560" t="str">
        <f>IF(BA560="","",IFERROR(INDEX(wTests,491)+0,0))</f>
        <v/>
      </c>
      <c r="BF560" t="str">
        <f>IF(BA560="","",IFERROR(INDEX(wMean,491)+0,""))</f>
        <v/>
      </c>
      <c r="BG560" t="str">
        <f>IF(BA560="","",IFERROR(INDEX(wVs,491)+0,""))</f>
        <v/>
      </c>
      <c r="BH560" t="str">
        <f>IF(OR(BA560="",wLatest=""),"",IFERROR(INDEX(wData,491,MATCH(wLatest&amp;CHAR(10)&amp;"Stanine",wHdr,0))+0,""))</f>
        <v/>
      </c>
      <c r="BI560" t="str">
        <f>IF(BA560="","",IF(AND(ISNUMBER(BG560),N(BE560)&gt;=WlMinTests,BG560&lt;=-WlGap),"Below expected for KS2",IF(AND(NOT(ISNUMBER(BD560)),ISNUMBER(BF560),N(BE560)&gt;=WlMinTests,BF560&lt;=WlLowMean),"Low results, no KS2 data","")))</f>
        <v/>
      </c>
      <c r="BJ560" t="str">
        <f>IF(BI560="","",IF(BI560="Below expected for KS2",BG560,100+BF560)+ROW()/1000000)</f>
        <v/>
      </c>
    </row>
    <row r="561">
      <c r="H561" t="str">
        <f>IFERROR(INDEX(tblY7[Class],ROWS(H$10:H561))&amp;"","")</f>
        <v/>
      </c>
      <c r="I561" t="str">
        <f>IF(H561="","",IF(COUNTIF(H$10:H561,H561)=1,COUNTIF(H$10:H$609,"&lt;"&amp;H561)+1,""))</f>
        <v/>
      </c>
      <c r="J561" t="str">
        <f>IFERROR(INDEX(tblY8[Class],ROWS(J$10:J561))&amp;"","")</f>
        <v/>
      </c>
      <c r="K561" t="str">
        <f>IF(J561="","",IF(COUNTIF(J$10:J561,J561)=1,COUNTIF(J$10:J$609,"&lt;"&amp;J561)+1,""))</f>
        <v/>
      </c>
      <c r="L561" t="str">
        <f>IFERROR(INDEX(tblY9[Class],ROWS(L$10:L561))&amp;"","")</f>
        <v/>
      </c>
      <c r="M561" t="str">
        <f>IF(L561="","",IF(COUNTIF(L$10:L561,L561)=1,COUNTIF(L$10:L$609,"&lt;"&amp;L561)+1,""))</f>
        <v/>
      </c>
      <c r="N561" t="str">
        <f>IFERROR(INDEX(tblY10[Class],ROWS(N$10:N561))&amp;"","")</f>
        <v/>
      </c>
      <c r="O561" t="str">
        <f>IF(N561="","",IF(COUNTIF(N$10:N561,N561)=1,COUNTIF(N$10:N$609,"&lt;"&amp;N561)+1,""))</f>
        <v/>
      </c>
      <c r="P561" t="str">
        <f>IFERROR(INDEX(tblY11[Class],ROWS(P$10:P561))&amp;"","")</f>
        <v/>
      </c>
      <c r="Q561" t="str">
        <f>IF(P561="","",IF(COUNTIF(P$10:P561,P561)=1,COUNTIF(P$10:P$609,"&lt;"&amp;P561)+1,""))</f>
        <v/>
      </c>
      <c r="BA561" t="str">
        <f>IFERROR(INDEX(wLast,492)&amp;"","")</f>
        <v/>
      </c>
      <c r="BB561" t="str">
        <f>IF(BA561="","",IFERROR(INDEX(wFirst,492)&amp;"",""))</f>
        <v/>
      </c>
      <c r="BC561" t="str">
        <f>IF(BA561="","",IFERROR(INDEX(wClass,492)&amp;"",""))</f>
        <v/>
      </c>
      <c r="BD561" t="str">
        <f>IF(BA561="","",IFERROR(INDEX(wKsBand,492)+0,""))</f>
        <v/>
      </c>
      <c r="BE561" t="str">
        <f>IF(BA561="","",IFERROR(INDEX(wTests,492)+0,0))</f>
        <v/>
      </c>
      <c r="BF561" t="str">
        <f>IF(BA561="","",IFERROR(INDEX(wMean,492)+0,""))</f>
        <v/>
      </c>
      <c r="BG561" t="str">
        <f>IF(BA561="","",IFERROR(INDEX(wVs,492)+0,""))</f>
        <v/>
      </c>
      <c r="BH561" t="str">
        <f>IF(OR(BA561="",wLatest=""),"",IFERROR(INDEX(wData,492,MATCH(wLatest&amp;CHAR(10)&amp;"Stanine",wHdr,0))+0,""))</f>
        <v/>
      </c>
      <c r="BI561" t="str">
        <f>IF(BA561="","",IF(AND(ISNUMBER(BG561),N(BE561)&gt;=WlMinTests,BG561&lt;=-WlGap),"Below expected for KS2",IF(AND(NOT(ISNUMBER(BD561)),ISNUMBER(BF561),N(BE561)&gt;=WlMinTests,BF561&lt;=WlLowMean),"Low results, no KS2 data","")))</f>
        <v/>
      </c>
      <c r="BJ561" t="str">
        <f>IF(BI561="","",IF(BI561="Below expected for KS2",BG561,100+BF561)+ROW()/1000000)</f>
        <v/>
      </c>
    </row>
    <row r="562">
      <c r="H562" t="str">
        <f>IFERROR(INDEX(tblY7[Class],ROWS(H$10:H562))&amp;"","")</f>
        <v/>
      </c>
      <c r="I562" t="str">
        <f>IF(H562="","",IF(COUNTIF(H$10:H562,H562)=1,COUNTIF(H$10:H$609,"&lt;"&amp;H562)+1,""))</f>
        <v/>
      </c>
      <c r="J562" t="str">
        <f>IFERROR(INDEX(tblY8[Class],ROWS(J$10:J562))&amp;"","")</f>
        <v/>
      </c>
      <c r="K562" t="str">
        <f>IF(J562="","",IF(COUNTIF(J$10:J562,J562)=1,COUNTIF(J$10:J$609,"&lt;"&amp;J562)+1,""))</f>
        <v/>
      </c>
      <c r="L562" t="str">
        <f>IFERROR(INDEX(tblY9[Class],ROWS(L$10:L562))&amp;"","")</f>
        <v/>
      </c>
      <c r="M562" t="str">
        <f>IF(L562="","",IF(COUNTIF(L$10:L562,L562)=1,COUNTIF(L$10:L$609,"&lt;"&amp;L562)+1,""))</f>
        <v/>
      </c>
      <c r="N562" t="str">
        <f>IFERROR(INDEX(tblY10[Class],ROWS(N$10:N562))&amp;"","")</f>
        <v/>
      </c>
      <c r="O562" t="str">
        <f>IF(N562="","",IF(COUNTIF(N$10:N562,N562)=1,COUNTIF(N$10:N$609,"&lt;"&amp;N562)+1,""))</f>
        <v/>
      </c>
      <c r="P562" t="str">
        <f>IFERROR(INDEX(tblY11[Class],ROWS(P$10:P562))&amp;"","")</f>
        <v/>
      </c>
      <c r="Q562" t="str">
        <f>IF(P562="","",IF(COUNTIF(P$10:P562,P562)=1,COUNTIF(P$10:P$609,"&lt;"&amp;P562)+1,""))</f>
        <v/>
      </c>
      <c r="BA562" t="str">
        <f>IFERROR(INDEX(wLast,493)&amp;"","")</f>
        <v/>
      </c>
      <c r="BB562" t="str">
        <f>IF(BA562="","",IFERROR(INDEX(wFirst,493)&amp;"",""))</f>
        <v/>
      </c>
      <c r="BC562" t="str">
        <f>IF(BA562="","",IFERROR(INDEX(wClass,493)&amp;"",""))</f>
        <v/>
      </c>
      <c r="BD562" t="str">
        <f>IF(BA562="","",IFERROR(INDEX(wKsBand,493)+0,""))</f>
        <v/>
      </c>
      <c r="BE562" t="str">
        <f>IF(BA562="","",IFERROR(INDEX(wTests,493)+0,0))</f>
        <v/>
      </c>
      <c r="BF562" t="str">
        <f>IF(BA562="","",IFERROR(INDEX(wMean,493)+0,""))</f>
        <v/>
      </c>
      <c r="BG562" t="str">
        <f>IF(BA562="","",IFERROR(INDEX(wVs,493)+0,""))</f>
        <v/>
      </c>
      <c r="BH562" t="str">
        <f>IF(OR(BA562="",wLatest=""),"",IFERROR(INDEX(wData,493,MATCH(wLatest&amp;CHAR(10)&amp;"Stanine",wHdr,0))+0,""))</f>
        <v/>
      </c>
      <c r="BI562" t="str">
        <f>IF(BA562="","",IF(AND(ISNUMBER(BG562),N(BE562)&gt;=WlMinTests,BG562&lt;=-WlGap),"Below expected for KS2",IF(AND(NOT(ISNUMBER(BD562)),ISNUMBER(BF562),N(BE562)&gt;=WlMinTests,BF562&lt;=WlLowMean),"Low results, no KS2 data","")))</f>
        <v/>
      </c>
      <c r="BJ562" t="str">
        <f>IF(BI562="","",IF(BI562="Below expected for KS2",BG562,100+BF562)+ROW()/1000000)</f>
        <v/>
      </c>
    </row>
    <row r="563">
      <c r="H563" t="str">
        <f>IFERROR(INDEX(tblY7[Class],ROWS(H$10:H563))&amp;"","")</f>
        <v/>
      </c>
      <c r="I563" t="str">
        <f>IF(H563="","",IF(COUNTIF(H$10:H563,H563)=1,COUNTIF(H$10:H$609,"&lt;"&amp;H563)+1,""))</f>
        <v/>
      </c>
      <c r="J563" t="str">
        <f>IFERROR(INDEX(tblY8[Class],ROWS(J$10:J563))&amp;"","")</f>
        <v/>
      </c>
      <c r="K563" t="str">
        <f>IF(J563="","",IF(COUNTIF(J$10:J563,J563)=1,COUNTIF(J$10:J$609,"&lt;"&amp;J563)+1,""))</f>
        <v/>
      </c>
      <c r="L563" t="str">
        <f>IFERROR(INDEX(tblY9[Class],ROWS(L$10:L563))&amp;"","")</f>
        <v/>
      </c>
      <c r="M563" t="str">
        <f>IF(L563="","",IF(COUNTIF(L$10:L563,L563)=1,COUNTIF(L$10:L$609,"&lt;"&amp;L563)+1,""))</f>
        <v/>
      </c>
      <c r="N563" t="str">
        <f>IFERROR(INDEX(tblY10[Class],ROWS(N$10:N563))&amp;"","")</f>
        <v/>
      </c>
      <c r="O563" t="str">
        <f>IF(N563="","",IF(COUNTIF(N$10:N563,N563)=1,COUNTIF(N$10:N$609,"&lt;"&amp;N563)+1,""))</f>
        <v/>
      </c>
      <c r="P563" t="str">
        <f>IFERROR(INDEX(tblY11[Class],ROWS(P$10:P563))&amp;"","")</f>
        <v/>
      </c>
      <c r="Q563" t="str">
        <f>IF(P563="","",IF(COUNTIF(P$10:P563,P563)=1,COUNTIF(P$10:P$609,"&lt;"&amp;P563)+1,""))</f>
        <v/>
      </c>
      <c r="BA563" t="str">
        <f>IFERROR(INDEX(wLast,494)&amp;"","")</f>
        <v/>
      </c>
      <c r="BB563" t="str">
        <f>IF(BA563="","",IFERROR(INDEX(wFirst,494)&amp;"",""))</f>
        <v/>
      </c>
      <c r="BC563" t="str">
        <f>IF(BA563="","",IFERROR(INDEX(wClass,494)&amp;"",""))</f>
        <v/>
      </c>
      <c r="BD563" t="str">
        <f>IF(BA563="","",IFERROR(INDEX(wKsBand,494)+0,""))</f>
        <v/>
      </c>
      <c r="BE563" t="str">
        <f>IF(BA563="","",IFERROR(INDEX(wTests,494)+0,0))</f>
        <v/>
      </c>
      <c r="BF563" t="str">
        <f>IF(BA563="","",IFERROR(INDEX(wMean,494)+0,""))</f>
        <v/>
      </c>
      <c r="BG563" t="str">
        <f>IF(BA563="","",IFERROR(INDEX(wVs,494)+0,""))</f>
        <v/>
      </c>
      <c r="BH563" t="str">
        <f>IF(OR(BA563="",wLatest=""),"",IFERROR(INDEX(wData,494,MATCH(wLatest&amp;CHAR(10)&amp;"Stanine",wHdr,0))+0,""))</f>
        <v/>
      </c>
      <c r="BI563" t="str">
        <f>IF(BA563="","",IF(AND(ISNUMBER(BG563),N(BE563)&gt;=WlMinTests,BG563&lt;=-WlGap),"Below expected for KS2",IF(AND(NOT(ISNUMBER(BD563)),ISNUMBER(BF563),N(BE563)&gt;=WlMinTests,BF563&lt;=WlLowMean),"Low results, no KS2 data","")))</f>
        <v/>
      </c>
      <c r="BJ563" t="str">
        <f>IF(BI563="","",IF(BI563="Below expected for KS2",BG563,100+BF563)+ROW()/1000000)</f>
        <v/>
      </c>
    </row>
    <row r="564">
      <c r="H564" t="str">
        <f>IFERROR(INDEX(tblY7[Class],ROWS(H$10:H564))&amp;"","")</f>
        <v/>
      </c>
      <c r="I564" t="str">
        <f>IF(H564="","",IF(COUNTIF(H$10:H564,H564)=1,COUNTIF(H$10:H$609,"&lt;"&amp;H564)+1,""))</f>
        <v/>
      </c>
      <c r="J564" t="str">
        <f>IFERROR(INDEX(tblY8[Class],ROWS(J$10:J564))&amp;"","")</f>
        <v/>
      </c>
      <c r="K564" t="str">
        <f>IF(J564="","",IF(COUNTIF(J$10:J564,J564)=1,COUNTIF(J$10:J$609,"&lt;"&amp;J564)+1,""))</f>
        <v/>
      </c>
      <c r="L564" t="str">
        <f>IFERROR(INDEX(tblY9[Class],ROWS(L$10:L564))&amp;"","")</f>
        <v/>
      </c>
      <c r="M564" t="str">
        <f>IF(L564="","",IF(COUNTIF(L$10:L564,L564)=1,COUNTIF(L$10:L$609,"&lt;"&amp;L564)+1,""))</f>
        <v/>
      </c>
      <c r="N564" t="str">
        <f>IFERROR(INDEX(tblY10[Class],ROWS(N$10:N564))&amp;"","")</f>
        <v/>
      </c>
      <c r="O564" t="str">
        <f>IF(N564="","",IF(COUNTIF(N$10:N564,N564)=1,COUNTIF(N$10:N$609,"&lt;"&amp;N564)+1,""))</f>
        <v/>
      </c>
      <c r="P564" t="str">
        <f>IFERROR(INDEX(tblY11[Class],ROWS(P$10:P564))&amp;"","")</f>
        <v/>
      </c>
      <c r="Q564" t="str">
        <f>IF(P564="","",IF(COUNTIF(P$10:P564,P564)=1,COUNTIF(P$10:P$609,"&lt;"&amp;P564)+1,""))</f>
        <v/>
      </c>
      <c r="BA564" t="str">
        <f>IFERROR(INDEX(wLast,495)&amp;"","")</f>
        <v/>
      </c>
      <c r="BB564" t="str">
        <f>IF(BA564="","",IFERROR(INDEX(wFirst,495)&amp;"",""))</f>
        <v/>
      </c>
      <c r="BC564" t="str">
        <f>IF(BA564="","",IFERROR(INDEX(wClass,495)&amp;"",""))</f>
        <v/>
      </c>
      <c r="BD564" t="str">
        <f>IF(BA564="","",IFERROR(INDEX(wKsBand,495)+0,""))</f>
        <v/>
      </c>
      <c r="BE564" t="str">
        <f>IF(BA564="","",IFERROR(INDEX(wTests,495)+0,0))</f>
        <v/>
      </c>
      <c r="BF564" t="str">
        <f>IF(BA564="","",IFERROR(INDEX(wMean,495)+0,""))</f>
        <v/>
      </c>
      <c r="BG564" t="str">
        <f>IF(BA564="","",IFERROR(INDEX(wVs,495)+0,""))</f>
        <v/>
      </c>
      <c r="BH564" t="str">
        <f>IF(OR(BA564="",wLatest=""),"",IFERROR(INDEX(wData,495,MATCH(wLatest&amp;CHAR(10)&amp;"Stanine",wHdr,0))+0,""))</f>
        <v/>
      </c>
      <c r="BI564" t="str">
        <f>IF(BA564="","",IF(AND(ISNUMBER(BG564),N(BE564)&gt;=WlMinTests,BG564&lt;=-WlGap),"Below expected for KS2",IF(AND(NOT(ISNUMBER(BD564)),ISNUMBER(BF564),N(BE564)&gt;=WlMinTests,BF564&lt;=WlLowMean),"Low results, no KS2 data","")))</f>
        <v/>
      </c>
      <c r="BJ564" t="str">
        <f>IF(BI564="","",IF(BI564="Below expected for KS2",BG564,100+BF564)+ROW()/1000000)</f>
        <v/>
      </c>
    </row>
    <row r="565">
      <c r="H565" t="str">
        <f>IFERROR(INDEX(tblY7[Class],ROWS(H$10:H565))&amp;"","")</f>
        <v/>
      </c>
      <c r="I565" t="str">
        <f>IF(H565="","",IF(COUNTIF(H$10:H565,H565)=1,COUNTIF(H$10:H$609,"&lt;"&amp;H565)+1,""))</f>
        <v/>
      </c>
      <c r="J565" t="str">
        <f>IFERROR(INDEX(tblY8[Class],ROWS(J$10:J565))&amp;"","")</f>
        <v/>
      </c>
      <c r="K565" t="str">
        <f>IF(J565="","",IF(COUNTIF(J$10:J565,J565)=1,COUNTIF(J$10:J$609,"&lt;"&amp;J565)+1,""))</f>
        <v/>
      </c>
      <c r="L565" t="str">
        <f>IFERROR(INDEX(tblY9[Class],ROWS(L$10:L565))&amp;"","")</f>
        <v/>
      </c>
      <c r="M565" t="str">
        <f>IF(L565="","",IF(COUNTIF(L$10:L565,L565)=1,COUNTIF(L$10:L$609,"&lt;"&amp;L565)+1,""))</f>
        <v/>
      </c>
      <c r="N565" t="str">
        <f>IFERROR(INDEX(tblY10[Class],ROWS(N$10:N565))&amp;"","")</f>
        <v/>
      </c>
      <c r="O565" t="str">
        <f>IF(N565="","",IF(COUNTIF(N$10:N565,N565)=1,COUNTIF(N$10:N$609,"&lt;"&amp;N565)+1,""))</f>
        <v/>
      </c>
      <c r="P565" t="str">
        <f>IFERROR(INDEX(tblY11[Class],ROWS(P$10:P565))&amp;"","")</f>
        <v/>
      </c>
      <c r="Q565" t="str">
        <f>IF(P565="","",IF(COUNTIF(P$10:P565,P565)=1,COUNTIF(P$10:P$609,"&lt;"&amp;P565)+1,""))</f>
        <v/>
      </c>
      <c r="BA565" t="str">
        <f>IFERROR(INDEX(wLast,496)&amp;"","")</f>
        <v/>
      </c>
      <c r="BB565" t="str">
        <f>IF(BA565="","",IFERROR(INDEX(wFirst,496)&amp;"",""))</f>
        <v/>
      </c>
      <c r="BC565" t="str">
        <f>IF(BA565="","",IFERROR(INDEX(wClass,496)&amp;"",""))</f>
        <v/>
      </c>
      <c r="BD565" t="str">
        <f>IF(BA565="","",IFERROR(INDEX(wKsBand,496)+0,""))</f>
        <v/>
      </c>
      <c r="BE565" t="str">
        <f>IF(BA565="","",IFERROR(INDEX(wTests,496)+0,0))</f>
        <v/>
      </c>
      <c r="BF565" t="str">
        <f>IF(BA565="","",IFERROR(INDEX(wMean,496)+0,""))</f>
        <v/>
      </c>
      <c r="BG565" t="str">
        <f>IF(BA565="","",IFERROR(INDEX(wVs,496)+0,""))</f>
        <v/>
      </c>
      <c r="BH565" t="str">
        <f>IF(OR(BA565="",wLatest=""),"",IFERROR(INDEX(wData,496,MATCH(wLatest&amp;CHAR(10)&amp;"Stanine",wHdr,0))+0,""))</f>
        <v/>
      </c>
      <c r="BI565" t="str">
        <f>IF(BA565="","",IF(AND(ISNUMBER(BG565),N(BE565)&gt;=WlMinTests,BG565&lt;=-WlGap),"Below expected for KS2",IF(AND(NOT(ISNUMBER(BD565)),ISNUMBER(BF565),N(BE565)&gt;=WlMinTests,BF565&lt;=WlLowMean),"Low results, no KS2 data","")))</f>
        <v/>
      </c>
      <c r="BJ565" t="str">
        <f>IF(BI565="","",IF(BI565="Below expected for KS2",BG565,100+BF565)+ROW()/1000000)</f>
        <v/>
      </c>
    </row>
    <row r="566">
      <c r="H566" t="str">
        <f>IFERROR(INDEX(tblY7[Class],ROWS(H$10:H566))&amp;"","")</f>
        <v/>
      </c>
      <c r="I566" t="str">
        <f>IF(H566="","",IF(COUNTIF(H$10:H566,H566)=1,COUNTIF(H$10:H$609,"&lt;"&amp;H566)+1,""))</f>
        <v/>
      </c>
      <c r="J566" t="str">
        <f>IFERROR(INDEX(tblY8[Class],ROWS(J$10:J566))&amp;"","")</f>
        <v/>
      </c>
      <c r="K566" t="str">
        <f>IF(J566="","",IF(COUNTIF(J$10:J566,J566)=1,COUNTIF(J$10:J$609,"&lt;"&amp;J566)+1,""))</f>
        <v/>
      </c>
      <c r="L566" t="str">
        <f>IFERROR(INDEX(tblY9[Class],ROWS(L$10:L566))&amp;"","")</f>
        <v/>
      </c>
      <c r="M566" t="str">
        <f>IF(L566="","",IF(COUNTIF(L$10:L566,L566)=1,COUNTIF(L$10:L$609,"&lt;"&amp;L566)+1,""))</f>
        <v/>
      </c>
      <c r="N566" t="str">
        <f>IFERROR(INDEX(tblY10[Class],ROWS(N$10:N566))&amp;"","")</f>
        <v/>
      </c>
      <c r="O566" t="str">
        <f>IF(N566="","",IF(COUNTIF(N$10:N566,N566)=1,COUNTIF(N$10:N$609,"&lt;"&amp;N566)+1,""))</f>
        <v/>
      </c>
      <c r="P566" t="str">
        <f>IFERROR(INDEX(tblY11[Class],ROWS(P$10:P566))&amp;"","")</f>
        <v/>
      </c>
      <c r="Q566" t="str">
        <f>IF(P566="","",IF(COUNTIF(P$10:P566,P566)=1,COUNTIF(P$10:P$609,"&lt;"&amp;P566)+1,""))</f>
        <v/>
      </c>
      <c r="BA566" t="str">
        <f>IFERROR(INDEX(wLast,497)&amp;"","")</f>
        <v/>
      </c>
      <c r="BB566" t="str">
        <f>IF(BA566="","",IFERROR(INDEX(wFirst,497)&amp;"",""))</f>
        <v/>
      </c>
      <c r="BC566" t="str">
        <f>IF(BA566="","",IFERROR(INDEX(wClass,497)&amp;"",""))</f>
        <v/>
      </c>
      <c r="BD566" t="str">
        <f>IF(BA566="","",IFERROR(INDEX(wKsBand,497)+0,""))</f>
        <v/>
      </c>
      <c r="BE566" t="str">
        <f>IF(BA566="","",IFERROR(INDEX(wTests,497)+0,0))</f>
        <v/>
      </c>
      <c r="BF566" t="str">
        <f>IF(BA566="","",IFERROR(INDEX(wMean,497)+0,""))</f>
        <v/>
      </c>
      <c r="BG566" t="str">
        <f>IF(BA566="","",IFERROR(INDEX(wVs,497)+0,""))</f>
        <v/>
      </c>
      <c r="BH566" t="str">
        <f>IF(OR(BA566="",wLatest=""),"",IFERROR(INDEX(wData,497,MATCH(wLatest&amp;CHAR(10)&amp;"Stanine",wHdr,0))+0,""))</f>
        <v/>
      </c>
      <c r="BI566" t="str">
        <f>IF(BA566="","",IF(AND(ISNUMBER(BG566),N(BE566)&gt;=WlMinTests,BG566&lt;=-WlGap),"Below expected for KS2",IF(AND(NOT(ISNUMBER(BD566)),ISNUMBER(BF566),N(BE566)&gt;=WlMinTests,BF566&lt;=WlLowMean),"Low results, no KS2 data","")))</f>
        <v/>
      </c>
      <c r="BJ566" t="str">
        <f>IF(BI566="","",IF(BI566="Below expected for KS2",BG566,100+BF566)+ROW()/1000000)</f>
        <v/>
      </c>
    </row>
    <row r="567">
      <c r="H567" t="str">
        <f>IFERROR(INDEX(tblY7[Class],ROWS(H$10:H567))&amp;"","")</f>
        <v/>
      </c>
      <c r="I567" t="str">
        <f>IF(H567="","",IF(COUNTIF(H$10:H567,H567)=1,COUNTIF(H$10:H$609,"&lt;"&amp;H567)+1,""))</f>
        <v/>
      </c>
      <c r="J567" t="str">
        <f>IFERROR(INDEX(tblY8[Class],ROWS(J$10:J567))&amp;"","")</f>
        <v/>
      </c>
      <c r="K567" t="str">
        <f>IF(J567="","",IF(COUNTIF(J$10:J567,J567)=1,COUNTIF(J$10:J$609,"&lt;"&amp;J567)+1,""))</f>
        <v/>
      </c>
      <c r="L567" t="str">
        <f>IFERROR(INDEX(tblY9[Class],ROWS(L$10:L567))&amp;"","")</f>
        <v/>
      </c>
      <c r="M567" t="str">
        <f>IF(L567="","",IF(COUNTIF(L$10:L567,L567)=1,COUNTIF(L$10:L$609,"&lt;"&amp;L567)+1,""))</f>
        <v/>
      </c>
      <c r="N567" t="str">
        <f>IFERROR(INDEX(tblY10[Class],ROWS(N$10:N567))&amp;"","")</f>
        <v/>
      </c>
      <c r="O567" t="str">
        <f>IF(N567="","",IF(COUNTIF(N$10:N567,N567)=1,COUNTIF(N$10:N$609,"&lt;"&amp;N567)+1,""))</f>
        <v/>
      </c>
      <c r="P567" t="str">
        <f>IFERROR(INDEX(tblY11[Class],ROWS(P$10:P567))&amp;"","")</f>
        <v/>
      </c>
      <c r="Q567" t="str">
        <f>IF(P567="","",IF(COUNTIF(P$10:P567,P567)=1,COUNTIF(P$10:P$609,"&lt;"&amp;P567)+1,""))</f>
        <v/>
      </c>
      <c r="BA567" t="str">
        <f>IFERROR(INDEX(wLast,498)&amp;"","")</f>
        <v/>
      </c>
      <c r="BB567" t="str">
        <f>IF(BA567="","",IFERROR(INDEX(wFirst,498)&amp;"",""))</f>
        <v/>
      </c>
      <c r="BC567" t="str">
        <f>IF(BA567="","",IFERROR(INDEX(wClass,498)&amp;"",""))</f>
        <v/>
      </c>
      <c r="BD567" t="str">
        <f>IF(BA567="","",IFERROR(INDEX(wKsBand,498)+0,""))</f>
        <v/>
      </c>
      <c r="BE567" t="str">
        <f>IF(BA567="","",IFERROR(INDEX(wTests,498)+0,0))</f>
        <v/>
      </c>
      <c r="BF567" t="str">
        <f>IF(BA567="","",IFERROR(INDEX(wMean,498)+0,""))</f>
        <v/>
      </c>
      <c r="BG567" t="str">
        <f>IF(BA567="","",IFERROR(INDEX(wVs,498)+0,""))</f>
        <v/>
      </c>
      <c r="BH567" t="str">
        <f>IF(OR(BA567="",wLatest=""),"",IFERROR(INDEX(wData,498,MATCH(wLatest&amp;CHAR(10)&amp;"Stanine",wHdr,0))+0,""))</f>
        <v/>
      </c>
      <c r="BI567" t="str">
        <f>IF(BA567="","",IF(AND(ISNUMBER(BG567),N(BE567)&gt;=WlMinTests,BG567&lt;=-WlGap),"Below expected for KS2",IF(AND(NOT(ISNUMBER(BD567)),ISNUMBER(BF567),N(BE567)&gt;=WlMinTests,BF567&lt;=WlLowMean),"Low results, no KS2 data","")))</f>
        <v/>
      </c>
      <c r="BJ567" t="str">
        <f>IF(BI567="","",IF(BI567="Below expected for KS2",BG567,100+BF567)+ROW()/1000000)</f>
        <v/>
      </c>
    </row>
    <row r="568">
      <c r="H568" t="str">
        <f>IFERROR(INDEX(tblY7[Class],ROWS(H$10:H568))&amp;"","")</f>
        <v/>
      </c>
      <c r="I568" t="str">
        <f>IF(H568="","",IF(COUNTIF(H$10:H568,H568)=1,COUNTIF(H$10:H$609,"&lt;"&amp;H568)+1,""))</f>
        <v/>
      </c>
      <c r="J568" t="str">
        <f>IFERROR(INDEX(tblY8[Class],ROWS(J$10:J568))&amp;"","")</f>
        <v/>
      </c>
      <c r="K568" t="str">
        <f>IF(J568="","",IF(COUNTIF(J$10:J568,J568)=1,COUNTIF(J$10:J$609,"&lt;"&amp;J568)+1,""))</f>
        <v/>
      </c>
      <c r="L568" t="str">
        <f>IFERROR(INDEX(tblY9[Class],ROWS(L$10:L568))&amp;"","")</f>
        <v/>
      </c>
      <c r="M568" t="str">
        <f>IF(L568="","",IF(COUNTIF(L$10:L568,L568)=1,COUNTIF(L$10:L$609,"&lt;"&amp;L568)+1,""))</f>
        <v/>
      </c>
      <c r="N568" t="str">
        <f>IFERROR(INDEX(tblY10[Class],ROWS(N$10:N568))&amp;"","")</f>
        <v/>
      </c>
      <c r="O568" t="str">
        <f>IF(N568="","",IF(COUNTIF(N$10:N568,N568)=1,COUNTIF(N$10:N$609,"&lt;"&amp;N568)+1,""))</f>
        <v/>
      </c>
      <c r="P568" t="str">
        <f>IFERROR(INDEX(tblY11[Class],ROWS(P$10:P568))&amp;"","")</f>
        <v/>
      </c>
      <c r="Q568" t="str">
        <f>IF(P568="","",IF(COUNTIF(P$10:P568,P568)=1,COUNTIF(P$10:P$609,"&lt;"&amp;P568)+1,""))</f>
        <v/>
      </c>
      <c r="BA568" t="str">
        <f>IFERROR(INDEX(wLast,499)&amp;"","")</f>
        <v/>
      </c>
      <c r="BB568" t="str">
        <f>IF(BA568="","",IFERROR(INDEX(wFirst,499)&amp;"",""))</f>
        <v/>
      </c>
      <c r="BC568" t="str">
        <f>IF(BA568="","",IFERROR(INDEX(wClass,499)&amp;"",""))</f>
        <v/>
      </c>
      <c r="BD568" t="str">
        <f>IF(BA568="","",IFERROR(INDEX(wKsBand,499)+0,""))</f>
        <v/>
      </c>
      <c r="BE568" t="str">
        <f>IF(BA568="","",IFERROR(INDEX(wTests,499)+0,0))</f>
        <v/>
      </c>
      <c r="BF568" t="str">
        <f>IF(BA568="","",IFERROR(INDEX(wMean,499)+0,""))</f>
        <v/>
      </c>
      <c r="BG568" t="str">
        <f>IF(BA568="","",IFERROR(INDEX(wVs,499)+0,""))</f>
        <v/>
      </c>
      <c r="BH568" t="str">
        <f>IF(OR(BA568="",wLatest=""),"",IFERROR(INDEX(wData,499,MATCH(wLatest&amp;CHAR(10)&amp;"Stanine",wHdr,0))+0,""))</f>
        <v/>
      </c>
      <c r="BI568" t="str">
        <f>IF(BA568="","",IF(AND(ISNUMBER(BG568),N(BE568)&gt;=WlMinTests,BG568&lt;=-WlGap),"Below expected for KS2",IF(AND(NOT(ISNUMBER(BD568)),ISNUMBER(BF568),N(BE568)&gt;=WlMinTests,BF568&lt;=WlLowMean),"Low results, no KS2 data","")))</f>
        <v/>
      </c>
      <c r="BJ568" t="str">
        <f>IF(BI568="","",IF(BI568="Below expected for KS2",BG568,100+BF568)+ROW()/1000000)</f>
        <v/>
      </c>
    </row>
    <row r="569">
      <c r="H569" t="str">
        <f>IFERROR(INDEX(tblY7[Class],ROWS(H$10:H569))&amp;"","")</f>
        <v/>
      </c>
      <c r="I569" t="str">
        <f>IF(H569="","",IF(COUNTIF(H$10:H569,H569)=1,COUNTIF(H$10:H$609,"&lt;"&amp;H569)+1,""))</f>
        <v/>
      </c>
      <c r="J569" t="str">
        <f>IFERROR(INDEX(tblY8[Class],ROWS(J$10:J569))&amp;"","")</f>
        <v/>
      </c>
      <c r="K569" t="str">
        <f>IF(J569="","",IF(COUNTIF(J$10:J569,J569)=1,COUNTIF(J$10:J$609,"&lt;"&amp;J569)+1,""))</f>
        <v/>
      </c>
      <c r="L569" t="str">
        <f>IFERROR(INDEX(tblY9[Class],ROWS(L$10:L569))&amp;"","")</f>
        <v/>
      </c>
      <c r="M569" t="str">
        <f>IF(L569="","",IF(COUNTIF(L$10:L569,L569)=1,COUNTIF(L$10:L$609,"&lt;"&amp;L569)+1,""))</f>
        <v/>
      </c>
      <c r="N569" t="str">
        <f>IFERROR(INDEX(tblY10[Class],ROWS(N$10:N569))&amp;"","")</f>
        <v/>
      </c>
      <c r="O569" t="str">
        <f>IF(N569="","",IF(COUNTIF(N$10:N569,N569)=1,COUNTIF(N$10:N$609,"&lt;"&amp;N569)+1,""))</f>
        <v/>
      </c>
      <c r="P569" t="str">
        <f>IFERROR(INDEX(tblY11[Class],ROWS(P$10:P569))&amp;"","")</f>
        <v/>
      </c>
      <c r="Q569" t="str">
        <f>IF(P569="","",IF(COUNTIF(P$10:P569,P569)=1,COUNTIF(P$10:P$609,"&lt;"&amp;P569)+1,""))</f>
        <v/>
      </c>
      <c r="BA569" t="str">
        <f>IFERROR(INDEX(wLast,500)&amp;"","")</f>
        <v/>
      </c>
      <c r="BB569" t="str">
        <f>IF(BA569="","",IFERROR(INDEX(wFirst,500)&amp;"",""))</f>
        <v/>
      </c>
      <c r="BC569" t="str">
        <f>IF(BA569="","",IFERROR(INDEX(wClass,500)&amp;"",""))</f>
        <v/>
      </c>
      <c r="BD569" t="str">
        <f>IF(BA569="","",IFERROR(INDEX(wKsBand,500)+0,""))</f>
        <v/>
      </c>
      <c r="BE569" t="str">
        <f>IF(BA569="","",IFERROR(INDEX(wTests,500)+0,0))</f>
        <v/>
      </c>
      <c r="BF569" t="str">
        <f>IF(BA569="","",IFERROR(INDEX(wMean,500)+0,""))</f>
        <v/>
      </c>
      <c r="BG569" t="str">
        <f>IF(BA569="","",IFERROR(INDEX(wVs,500)+0,""))</f>
        <v/>
      </c>
      <c r="BH569" t="str">
        <f>IF(OR(BA569="",wLatest=""),"",IFERROR(INDEX(wData,500,MATCH(wLatest&amp;CHAR(10)&amp;"Stanine",wHdr,0))+0,""))</f>
        <v/>
      </c>
      <c r="BI569" t="str">
        <f>IF(BA569="","",IF(AND(ISNUMBER(BG569),N(BE569)&gt;=WlMinTests,BG569&lt;=-WlGap),"Below expected for KS2",IF(AND(NOT(ISNUMBER(BD569)),ISNUMBER(BF569),N(BE569)&gt;=WlMinTests,BF569&lt;=WlLowMean),"Low results, no KS2 data","")))</f>
        <v/>
      </c>
      <c r="BJ569" t="str">
        <f>IF(BI569="","",IF(BI569="Below expected for KS2",BG569,100+BF569)+ROW()/1000000)</f>
        <v/>
      </c>
    </row>
    <row r="570">
      <c r="H570" t="str">
        <f>IFERROR(INDEX(tblY7[Class],ROWS(H$10:H570))&amp;"","")</f>
        <v/>
      </c>
      <c r="I570" t="str">
        <f>IF(H570="","",IF(COUNTIF(H$10:H570,H570)=1,COUNTIF(H$10:H$609,"&lt;"&amp;H570)+1,""))</f>
        <v/>
      </c>
      <c r="J570" t="str">
        <f>IFERROR(INDEX(tblY8[Class],ROWS(J$10:J570))&amp;"","")</f>
        <v/>
      </c>
      <c r="K570" t="str">
        <f>IF(J570="","",IF(COUNTIF(J$10:J570,J570)=1,COUNTIF(J$10:J$609,"&lt;"&amp;J570)+1,""))</f>
        <v/>
      </c>
      <c r="L570" t="str">
        <f>IFERROR(INDEX(tblY9[Class],ROWS(L$10:L570))&amp;"","")</f>
        <v/>
      </c>
      <c r="M570" t="str">
        <f>IF(L570="","",IF(COUNTIF(L$10:L570,L570)=1,COUNTIF(L$10:L$609,"&lt;"&amp;L570)+1,""))</f>
        <v/>
      </c>
      <c r="N570" t="str">
        <f>IFERROR(INDEX(tblY10[Class],ROWS(N$10:N570))&amp;"","")</f>
        <v/>
      </c>
      <c r="O570" t="str">
        <f>IF(N570="","",IF(COUNTIF(N$10:N570,N570)=1,COUNTIF(N$10:N$609,"&lt;"&amp;N570)+1,""))</f>
        <v/>
      </c>
      <c r="P570" t="str">
        <f>IFERROR(INDEX(tblY11[Class],ROWS(P$10:P570))&amp;"","")</f>
        <v/>
      </c>
      <c r="Q570" t="str">
        <f>IF(P570="","",IF(COUNTIF(P$10:P570,P570)=1,COUNTIF(P$10:P$609,"&lt;"&amp;P570)+1,""))</f>
        <v/>
      </c>
      <c r="BA570" t="str">
        <f>IFERROR(INDEX(wLast,501)&amp;"","")</f>
        <v/>
      </c>
      <c r="BB570" t="str">
        <f>IF(BA570="","",IFERROR(INDEX(wFirst,501)&amp;"",""))</f>
        <v/>
      </c>
      <c r="BC570" t="str">
        <f>IF(BA570="","",IFERROR(INDEX(wClass,501)&amp;"",""))</f>
        <v/>
      </c>
      <c r="BD570" t="str">
        <f>IF(BA570="","",IFERROR(INDEX(wKsBand,501)+0,""))</f>
        <v/>
      </c>
      <c r="BE570" t="str">
        <f>IF(BA570="","",IFERROR(INDEX(wTests,501)+0,0))</f>
        <v/>
      </c>
      <c r="BF570" t="str">
        <f>IF(BA570="","",IFERROR(INDEX(wMean,501)+0,""))</f>
        <v/>
      </c>
      <c r="BG570" t="str">
        <f>IF(BA570="","",IFERROR(INDEX(wVs,501)+0,""))</f>
        <v/>
      </c>
      <c r="BH570" t="str">
        <f>IF(OR(BA570="",wLatest=""),"",IFERROR(INDEX(wData,501,MATCH(wLatest&amp;CHAR(10)&amp;"Stanine",wHdr,0))+0,""))</f>
        <v/>
      </c>
      <c r="BI570" t="str">
        <f>IF(BA570="","",IF(AND(ISNUMBER(BG570),N(BE570)&gt;=WlMinTests,BG570&lt;=-WlGap),"Below expected for KS2",IF(AND(NOT(ISNUMBER(BD570)),ISNUMBER(BF570),N(BE570)&gt;=WlMinTests,BF570&lt;=WlLowMean),"Low results, no KS2 data","")))</f>
        <v/>
      </c>
      <c r="BJ570" t="str">
        <f>IF(BI570="","",IF(BI570="Below expected for KS2",BG570,100+BF570)+ROW()/1000000)</f>
        <v/>
      </c>
    </row>
    <row r="571">
      <c r="H571" t="str">
        <f>IFERROR(INDEX(tblY7[Class],ROWS(H$10:H571))&amp;"","")</f>
        <v/>
      </c>
      <c r="I571" t="str">
        <f>IF(H571="","",IF(COUNTIF(H$10:H571,H571)=1,COUNTIF(H$10:H$609,"&lt;"&amp;H571)+1,""))</f>
        <v/>
      </c>
      <c r="J571" t="str">
        <f>IFERROR(INDEX(tblY8[Class],ROWS(J$10:J571))&amp;"","")</f>
        <v/>
      </c>
      <c r="K571" t="str">
        <f>IF(J571="","",IF(COUNTIF(J$10:J571,J571)=1,COUNTIF(J$10:J$609,"&lt;"&amp;J571)+1,""))</f>
        <v/>
      </c>
      <c r="L571" t="str">
        <f>IFERROR(INDEX(tblY9[Class],ROWS(L$10:L571))&amp;"","")</f>
        <v/>
      </c>
      <c r="M571" t="str">
        <f>IF(L571="","",IF(COUNTIF(L$10:L571,L571)=1,COUNTIF(L$10:L$609,"&lt;"&amp;L571)+1,""))</f>
        <v/>
      </c>
      <c r="N571" t="str">
        <f>IFERROR(INDEX(tblY10[Class],ROWS(N$10:N571))&amp;"","")</f>
        <v/>
      </c>
      <c r="O571" t="str">
        <f>IF(N571="","",IF(COUNTIF(N$10:N571,N571)=1,COUNTIF(N$10:N$609,"&lt;"&amp;N571)+1,""))</f>
        <v/>
      </c>
      <c r="P571" t="str">
        <f>IFERROR(INDEX(tblY11[Class],ROWS(P$10:P571))&amp;"","")</f>
        <v/>
      </c>
      <c r="Q571" t="str">
        <f>IF(P571="","",IF(COUNTIF(P$10:P571,P571)=1,COUNTIF(P$10:P$609,"&lt;"&amp;P571)+1,""))</f>
        <v/>
      </c>
      <c r="BA571" t="str">
        <f>IFERROR(INDEX(wLast,502)&amp;"","")</f>
        <v/>
      </c>
      <c r="BB571" t="str">
        <f>IF(BA571="","",IFERROR(INDEX(wFirst,502)&amp;"",""))</f>
        <v/>
      </c>
      <c r="BC571" t="str">
        <f>IF(BA571="","",IFERROR(INDEX(wClass,502)&amp;"",""))</f>
        <v/>
      </c>
      <c r="BD571" t="str">
        <f>IF(BA571="","",IFERROR(INDEX(wKsBand,502)+0,""))</f>
        <v/>
      </c>
      <c r="BE571" t="str">
        <f>IF(BA571="","",IFERROR(INDEX(wTests,502)+0,0))</f>
        <v/>
      </c>
      <c r="BF571" t="str">
        <f>IF(BA571="","",IFERROR(INDEX(wMean,502)+0,""))</f>
        <v/>
      </c>
      <c r="BG571" t="str">
        <f>IF(BA571="","",IFERROR(INDEX(wVs,502)+0,""))</f>
        <v/>
      </c>
      <c r="BH571" t="str">
        <f>IF(OR(BA571="",wLatest=""),"",IFERROR(INDEX(wData,502,MATCH(wLatest&amp;CHAR(10)&amp;"Stanine",wHdr,0))+0,""))</f>
        <v/>
      </c>
      <c r="BI571" t="str">
        <f>IF(BA571="","",IF(AND(ISNUMBER(BG571),N(BE571)&gt;=WlMinTests,BG571&lt;=-WlGap),"Below expected for KS2",IF(AND(NOT(ISNUMBER(BD571)),ISNUMBER(BF571),N(BE571)&gt;=WlMinTests,BF571&lt;=WlLowMean),"Low results, no KS2 data","")))</f>
        <v/>
      </c>
      <c r="BJ571" t="str">
        <f>IF(BI571="","",IF(BI571="Below expected for KS2",BG571,100+BF571)+ROW()/1000000)</f>
        <v/>
      </c>
    </row>
    <row r="572">
      <c r="H572" t="str">
        <f>IFERROR(INDEX(tblY7[Class],ROWS(H$10:H572))&amp;"","")</f>
        <v/>
      </c>
      <c r="I572" t="str">
        <f>IF(H572="","",IF(COUNTIF(H$10:H572,H572)=1,COUNTIF(H$10:H$609,"&lt;"&amp;H572)+1,""))</f>
        <v/>
      </c>
      <c r="J572" t="str">
        <f>IFERROR(INDEX(tblY8[Class],ROWS(J$10:J572))&amp;"","")</f>
        <v/>
      </c>
      <c r="K572" t="str">
        <f>IF(J572="","",IF(COUNTIF(J$10:J572,J572)=1,COUNTIF(J$10:J$609,"&lt;"&amp;J572)+1,""))</f>
        <v/>
      </c>
      <c r="L572" t="str">
        <f>IFERROR(INDEX(tblY9[Class],ROWS(L$10:L572))&amp;"","")</f>
        <v/>
      </c>
      <c r="M572" t="str">
        <f>IF(L572="","",IF(COUNTIF(L$10:L572,L572)=1,COUNTIF(L$10:L$609,"&lt;"&amp;L572)+1,""))</f>
        <v/>
      </c>
      <c r="N572" t="str">
        <f>IFERROR(INDEX(tblY10[Class],ROWS(N$10:N572))&amp;"","")</f>
        <v/>
      </c>
      <c r="O572" t="str">
        <f>IF(N572="","",IF(COUNTIF(N$10:N572,N572)=1,COUNTIF(N$10:N$609,"&lt;"&amp;N572)+1,""))</f>
        <v/>
      </c>
      <c r="P572" t="str">
        <f>IFERROR(INDEX(tblY11[Class],ROWS(P$10:P572))&amp;"","")</f>
        <v/>
      </c>
      <c r="Q572" t="str">
        <f>IF(P572="","",IF(COUNTIF(P$10:P572,P572)=1,COUNTIF(P$10:P$609,"&lt;"&amp;P572)+1,""))</f>
        <v/>
      </c>
      <c r="BA572" t="str">
        <f>IFERROR(INDEX(wLast,503)&amp;"","")</f>
        <v/>
      </c>
      <c r="BB572" t="str">
        <f>IF(BA572="","",IFERROR(INDEX(wFirst,503)&amp;"",""))</f>
        <v/>
      </c>
      <c r="BC572" t="str">
        <f>IF(BA572="","",IFERROR(INDEX(wClass,503)&amp;"",""))</f>
        <v/>
      </c>
      <c r="BD572" t="str">
        <f>IF(BA572="","",IFERROR(INDEX(wKsBand,503)+0,""))</f>
        <v/>
      </c>
      <c r="BE572" t="str">
        <f>IF(BA572="","",IFERROR(INDEX(wTests,503)+0,0))</f>
        <v/>
      </c>
      <c r="BF572" t="str">
        <f>IF(BA572="","",IFERROR(INDEX(wMean,503)+0,""))</f>
        <v/>
      </c>
      <c r="BG572" t="str">
        <f>IF(BA572="","",IFERROR(INDEX(wVs,503)+0,""))</f>
        <v/>
      </c>
      <c r="BH572" t="str">
        <f>IF(OR(BA572="",wLatest=""),"",IFERROR(INDEX(wData,503,MATCH(wLatest&amp;CHAR(10)&amp;"Stanine",wHdr,0))+0,""))</f>
        <v/>
      </c>
      <c r="BI572" t="str">
        <f>IF(BA572="","",IF(AND(ISNUMBER(BG572),N(BE572)&gt;=WlMinTests,BG572&lt;=-WlGap),"Below expected for KS2",IF(AND(NOT(ISNUMBER(BD572)),ISNUMBER(BF572),N(BE572)&gt;=WlMinTests,BF572&lt;=WlLowMean),"Low results, no KS2 data","")))</f>
        <v/>
      </c>
      <c r="BJ572" t="str">
        <f>IF(BI572="","",IF(BI572="Below expected for KS2",BG572,100+BF572)+ROW()/1000000)</f>
        <v/>
      </c>
    </row>
    <row r="573">
      <c r="H573" t="str">
        <f>IFERROR(INDEX(tblY7[Class],ROWS(H$10:H573))&amp;"","")</f>
        <v/>
      </c>
      <c r="I573" t="str">
        <f>IF(H573="","",IF(COUNTIF(H$10:H573,H573)=1,COUNTIF(H$10:H$609,"&lt;"&amp;H573)+1,""))</f>
        <v/>
      </c>
      <c r="J573" t="str">
        <f>IFERROR(INDEX(tblY8[Class],ROWS(J$10:J573))&amp;"","")</f>
        <v/>
      </c>
      <c r="K573" t="str">
        <f>IF(J573="","",IF(COUNTIF(J$10:J573,J573)=1,COUNTIF(J$10:J$609,"&lt;"&amp;J573)+1,""))</f>
        <v/>
      </c>
      <c r="L573" t="str">
        <f>IFERROR(INDEX(tblY9[Class],ROWS(L$10:L573))&amp;"","")</f>
        <v/>
      </c>
      <c r="M573" t="str">
        <f>IF(L573="","",IF(COUNTIF(L$10:L573,L573)=1,COUNTIF(L$10:L$609,"&lt;"&amp;L573)+1,""))</f>
        <v/>
      </c>
      <c r="N573" t="str">
        <f>IFERROR(INDEX(tblY10[Class],ROWS(N$10:N573))&amp;"","")</f>
        <v/>
      </c>
      <c r="O573" t="str">
        <f>IF(N573="","",IF(COUNTIF(N$10:N573,N573)=1,COUNTIF(N$10:N$609,"&lt;"&amp;N573)+1,""))</f>
        <v/>
      </c>
      <c r="P573" t="str">
        <f>IFERROR(INDEX(tblY11[Class],ROWS(P$10:P573))&amp;"","")</f>
        <v/>
      </c>
      <c r="Q573" t="str">
        <f>IF(P573="","",IF(COUNTIF(P$10:P573,P573)=1,COUNTIF(P$10:P$609,"&lt;"&amp;P573)+1,""))</f>
        <v/>
      </c>
      <c r="BA573" t="str">
        <f>IFERROR(INDEX(wLast,504)&amp;"","")</f>
        <v/>
      </c>
      <c r="BB573" t="str">
        <f>IF(BA573="","",IFERROR(INDEX(wFirst,504)&amp;"",""))</f>
        <v/>
      </c>
      <c r="BC573" t="str">
        <f>IF(BA573="","",IFERROR(INDEX(wClass,504)&amp;"",""))</f>
        <v/>
      </c>
      <c r="BD573" t="str">
        <f>IF(BA573="","",IFERROR(INDEX(wKsBand,504)+0,""))</f>
        <v/>
      </c>
      <c r="BE573" t="str">
        <f>IF(BA573="","",IFERROR(INDEX(wTests,504)+0,0))</f>
        <v/>
      </c>
      <c r="BF573" t="str">
        <f>IF(BA573="","",IFERROR(INDEX(wMean,504)+0,""))</f>
        <v/>
      </c>
      <c r="BG573" t="str">
        <f>IF(BA573="","",IFERROR(INDEX(wVs,504)+0,""))</f>
        <v/>
      </c>
      <c r="BH573" t="str">
        <f>IF(OR(BA573="",wLatest=""),"",IFERROR(INDEX(wData,504,MATCH(wLatest&amp;CHAR(10)&amp;"Stanine",wHdr,0))+0,""))</f>
        <v/>
      </c>
      <c r="BI573" t="str">
        <f>IF(BA573="","",IF(AND(ISNUMBER(BG573),N(BE573)&gt;=WlMinTests,BG573&lt;=-WlGap),"Below expected for KS2",IF(AND(NOT(ISNUMBER(BD573)),ISNUMBER(BF573),N(BE573)&gt;=WlMinTests,BF573&lt;=WlLowMean),"Low results, no KS2 data","")))</f>
        <v/>
      </c>
      <c r="BJ573" t="str">
        <f>IF(BI573="","",IF(BI573="Below expected for KS2",BG573,100+BF573)+ROW()/1000000)</f>
        <v/>
      </c>
    </row>
    <row r="574">
      <c r="H574" t="str">
        <f>IFERROR(INDEX(tblY7[Class],ROWS(H$10:H574))&amp;"","")</f>
        <v/>
      </c>
      <c r="I574" t="str">
        <f>IF(H574="","",IF(COUNTIF(H$10:H574,H574)=1,COUNTIF(H$10:H$609,"&lt;"&amp;H574)+1,""))</f>
        <v/>
      </c>
      <c r="J574" t="str">
        <f>IFERROR(INDEX(tblY8[Class],ROWS(J$10:J574))&amp;"","")</f>
        <v/>
      </c>
      <c r="K574" t="str">
        <f>IF(J574="","",IF(COUNTIF(J$10:J574,J574)=1,COUNTIF(J$10:J$609,"&lt;"&amp;J574)+1,""))</f>
        <v/>
      </c>
      <c r="L574" t="str">
        <f>IFERROR(INDEX(tblY9[Class],ROWS(L$10:L574))&amp;"","")</f>
        <v/>
      </c>
      <c r="M574" t="str">
        <f>IF(L574="","",IF(COUNTIF(L$10:L574,L574)=1,COUNTIF(L$10:L$609,"&lt;"&amp;L574)+1,""))</f>
        <v/>
      </c>
      <c r="N574" t="str">
        <f>IFERROR(INDEX(tblY10[Class],ROWS(N$10:N574))&amp;"","")</f>
        <v/>
      </c>
      <c r="O574" t="str">
        <f>IF(N574="","",IF(COUNTIF(N$10:N574,N574)=1,COUNTIF(N$10:N$609,"&lt;"&amp;N574)+1,""))</f>
        <v/>
      </c>
      <c r="P574" t="str">
        <f>IFERROR(INDEX(tblY11[Class],ROWS(P$10:P574))&amp;"","")</f>
        <v/>
      </c>
      <c r="Q574" t="str">
        <f>IF(P574="","",IF(COUNTIF(P$10:P574,P574)=1,COUNTIF(P$10:P$609,"&lt;"&amp;P574)+1,""))</f>
        <v/>
      </c>
      <c r="BA574" t="str">
        <f>IFERROR(INDEX(wLast,505)&amp;"","")</f>
        <v/>
      </c>
      <c r="BB574" t="str">
        <f>IF(BA574="","",IFERROR(INDEX(wFirst,505)&amp;"",""))</f>
        <v/>
      </c>
      <c r="BC574" t="str">
        <f>IF(BA574="","",IFERROR(INDEX(wClass,505)&amp;"",""))</f>
        <v/>
      </c>
      <c r="BD574" t="str">
        <f>IF(BA574="","",IFERROR(INDEX(wKsBand,505)+0,""))</f>
        <v/>
      </c>
      <c r="BE574" t="str">
        <f>IF(BA574="","",IFERROR(INDEX(wTests,505)+0,0))</f>
        <v/>
      </c>
      <c r="BF574" t="str">
        <f>IF(BA574="","",IFERROR(INDEX(wMean,505)+0,""))</f>
        <v/>
      </c>
      <c r="BG574" t="str">
        <f>IF(BA574="","",IFERROR(INDEX(wVs,505)+0,""))</f>
        <v/>
      </c>
      <c r="BH574" t="str">
        <f>IF(OR(BA574="",wLatest=""),"",IFERROR(INDEX(wData,505,MATCH(wLatest&amp;CHAR(10)&amp;"Stanine",wHdr,0))+0,""))</f>
        <v/>
      </c>
      <c r="BI574" t="str">
        <f>IF(BA574="","",IF(AND(ISNUMBER(BG574),N(BE574)&gt;=WlMinTests,BG574&lt;=-WlGap),"Below expected for KS2",IF(AND(NOT(ISNUMBER(BD574)),ISNUMBER(BF574),N(BE574)&gt;=WlMinTests,BF574&lt;=WlLowMean),"Low results, no KS2 data","")))</f>
        <v/>
      </c>
      <c r="BJ574" t="str">
        <f>IF(BI574="","",IF(BI574="Below expected for KS2",BG574,100+BF574)+ROW()/1000000)</f>
        <v/>
      </c>
    </row>
    <row r="575">
      <c r="H575" t="str">
        <f>IFERROR(INDEX(tblY7[Class],ROWS(H$10:H575))&amp;"","")</f>
        <v/>
      </c>
      <c r="I575" t="str">
        <f>IF(H575="","",IF(COUNTIF(H$10:H575,H575)=1,COUNTIF(H$10:H$609,"&lt;"&amp;H575)+1,""))</f>
        <v/>
      </c>
      <c r="J575" t="str">
        <f>IFERROR(INDEX(tblY8[Class],ROWS(J$10:J575))&amp;"","")</f>
        <v/>
      </c>
      <c r="K575" t="str">
        <f>IF(J575="","",IF(COUNTIF(J$10:J575,J575)=1,COUNTIF(J$10:J$609,"&lt;"&amp;J575)+1,""))</f>
        <v/>
      </c>
      <c r="L575" t="str">
        <f>IFERROR(INDEX(tblY9[Class],ROWS(L$10:L575))&amp;"","")</f>
        <v/>
      </c>
      <c r="M575" t="str">
        <f>IF(L575="","",IF(COUNTIF(L$10:L575,L575)=1,COUNTIF(L$10:L$609,"&lt;"&amp;L575)+1,""))</f>
        <v/>
      </c>
      <c r="N575" t="str">
        <f>IFERROR(INDEX(tblY10[Class],ROWS(N$10:N575))&amp;"","")</f>
        <v/>
      </c>
      <c r="O575" t="str">
        <f>IF(N575="","",IF(COUNTIF(N$10:N575,N575)=1,COUNTIF(N$10:N$609,"&lt;"&amp;N575)+1,""))</f>
        <v/>
      </c>
      <c r="P575" t="str">
        <f>IFERROR(INDEX(tblY11[Class],ROWS(P$10:P575))&amp;"","")</f>
        <v/>
      </c>
      <c r="Q575" t="str">
        <f>IF(P575="","",IF(COUNTIF(P$10:P575,P575)=1,COUNTIF(P$10:P$609,"&lt;"&amp;P575)+1,""))</f>
        <v/>
      </c>
      <c r="BA575" t="str">
        <f>IFERROR(INDEX(wLast,506)&amp;"","")</f>
        <v/>
      </c>
      <c r="BB575" t="str">
        <f>IF(BA575="","",IFERROR(INDEX(wFirst,506)&amp;"",""))</f>
        <v/>
      </c>
      <c r="BC575" t="str">
        <f>IF(BA575="","",IFERROR(INDEX(wClass,506)&amp;"",""))</f>
        <v/>
      </c>
      <c r="BD575" t="str">
        <f>IF(BA575="","",IFERROR(INDEX(wKsBand,506)+0,""))</f>
        <v/>
      </c>
      <c r="BE575" t="str">
        <f>IF(BA575="","",IFERROR(INDEX(wTests,506)+0,0))</f>
        <v/>
      </c>
      <c r="BF575" t="str">
        <f>IF(BA575="","",IFERROR(INDEX(wMean,506)+0,""))</f>
        <v/>
      </c>
      <c r="BG575" t="str">
        <f>IF(BA575="","",IFERROR(INDEX(wVs,506)+0,""))</f>
        <v/>
      </c>
      <c r="BH575" t="str">
        <f>IF(OR(BA575="",wLatest=""),"",IFERROR(INDEX(wData,506,MATCH(wLatest&amp;CHAR(10)&amp;"Stanine",wHdr,0))+0,""))</f>
        <v/>
      </c>
      <c r="BI575" t="str">
        <f>IF(BA575="","",IF(AND(ISNUMBER(BG575),N(BE575)&gt;=WlMinTests,BG575&lt;=-WlGap),"Below expected for KS2",IF(AND(NOT(ISNUMBER(BD575)),ISNUMBER(BF575),N(BE575)&gt;=WlMinTests,BF575&lt;=WlLowMean),"Low results, no KS2 data","")))</f>
        <v/>
      </c>
      <c r="BJ575" t="str">
        <f>IF(BI575="","",IF(BI575="Below expected for KS2",BG575,100+BF575)+ROW()/1000000)</f>
        <v/>
      </c>
    </row>
    <row r="576">
      <c r="H576" t="str">
        <f>IFERROR(INDEX(tblY7[Class],ROWS(H$10:H576))&amp;"","")</f>
        <v/>
      </c>
      <c r="I576" t="str">
        <f>IF(H576="","",IF(COUNTIF(H$10:H576,H576)=1,COUNTIF(H$10:H$609,"&lt;"&amp;H576)+1,""))</f>
        <v/>
      </c>
      <c r="J576" t="str">
        <f>IFERROR(INDEX(tblY8[Class],ROWS(J$10:J576))&amp;"","")</f>
        <v/>
      </c>
      <c r="K576" t="str">
        <f>IF(J576="","",IF(COUNTIF(J$10:J576,J576)=1,COUNTIF(J$10:J$609,"&lt;"&amp;J576)+1,""))</f>
        <v/>
      </c>
      <c r="L576" t="str">
        <f>IFERROR(INDEX(tblY9[Class],ROWS(L$10:L576))&amp;"","")</f>
        <v/>
      </c>
      <c r="M576" t="str">
        <f>IF(L576="","",IF(COUNTIF(L$10:L576,L576)=1,COUNTIF(L$10:L$609,"&lt;"&amp;L576)+1,""))</f>
        <v/>
      </c>
      <c r="N576" t="str">
        <f>IFERROR(INDEX(tblY10[Class],ROWS(N$10:N576))&amp;"","")</f>
        <v/>
      </c>
      <c r="O576" t="str">
        <f>IF(N576="","",IF(COUNTIF(N$10:N576,N576)=1,COUNTIF(N$10:N$609,"&lt;"&amp;N576)+1,""))</f>
        <v/>
      </c>
      <c r="P576" t="str">
        <f>IFERROR(INDEX(tblY11[Class],ROWS(P$10:P576))&amp;"","")</f>
        <v/>
      </c>
      <c r="Q576" t="str">
        <f>IF(P576="","",IF(COUNTIF(P$10:P576,P576)=1,COUNTIF(P$10:P$609,"&lt;"&amp;P576)+1,""))</f>
        <v/>
      </c>
      <c r="BA576" t="str">
        <f>IFERROR(INDEX(wLast,507)&amp;"","")</f>
        <v/>
      </c>
      <c r="BB576" t="str">
        <f>IF(BA576="","",IFERROR(INDEX(wFirst,507)&amp;"",""))</f>
        <v/>
      </c>
      <c r="BC576" t="str">
        <f>IF(BA576="","",IFERROR(INDEX(wClass,507)&amp;"",""))</f>
        <v/>
      </c>
      <c r="BD576" t="str">
        <f>IF(BA576="","",IFERROR(INDEX(wKsBand,507)+0,""))</f>
        <v/>
      </c>
      <c r="BE576" t="str">
        <f>IF(BA576="","",IFERROR(INDEX(wTests,507)+0,0))</f>
        <v/>
      </c>
      <c r="BF576" t="str">
        <f>IF(BA576="","",IFERROR(INDEX(wMean,507)+0,""))</f>
        <v/>
      </c>
      <c r="BG576" t="str">
        <f>IF(BA576="","",IFERROR(INDEX(wVs,507)+0,""))</f>
        <v/>
      </c>
      <c r="BH576" t="str">
        <f>IF(OR(BA576="",wLatest=""),"",IFERROR(INDEX(wData,507,MATCH(wLatest&amp;CHAR(10)&amp;"Stanine",wHdr,0))+0,""))</f>
        <v/>
      </c>
      <c r="BI576" t="str">
        <f>IF(BA576="","",IF(AND(ISNUMBER(BG576),N(BE576)&gt;=WlMinTests,BG576&lt;=-WlGap),"Below expected for KS2",IF(AND(NOT(ISNUMBER(BD576)),ISNUMBER(BF576),N(BE576)&gt;=WlMinTests,BF576&lt;=WlLowMean),"Low results, no KS2 data","")))</f>
        <v/>
      </c>
      <c r="BJ576" t="str">
        <f>IF(BI576="","",IF(BI576="Below expected for KS2",BG576,100+BF576)+ROW()/1000000)</f>
        <v/>
      </c>
    </row>
    <row r="577">
      <c r="H577" t="str">
        <f>IFERROR(INDEX(tblY7[Class],ROWS(H$10:H577))&amp;"","")</f>
        <v/>
      </c>
      <c r="I577" t="str">
        <f>IF(H577="","",IF(COUNTIF(H$10:H577,H577)=1,COUNTIF(H$10:H$609,"&lt;"&amp;H577)+1,""))</f>
        <v/>
      </c>
      <c r="J577" t="str">
        <f>IFERROR(INDEX(tblY8[Class],ROWS(J$10:J577))&amp;"","")</f>
        <v/>
      </c>
      <c r="K577" t="str">
        <f>IF(J577="","",IF(COUNTIF(J$10:J577,J577)=1,COUNTIF(J$10:J$609,"&lt;"&amp;J577)+1,""))</f>
        <v/>
      </c>
      <c r="L577" t="str">
        <f>IFERROR(INDEX(tblY9[Class],ROWS(L$10:L577))&amp;"","")</f>
        <v/>
      </c>
      <c r="M577" t="str">
        <f>IF(L577="","",IF(COUNTIF(L$10:L577,L577)=1,COUNTIF(L$10:L$609,"&lt;"&amp;L577)+1,""))</f>
        <v/>
      </c>
      <c r="N577" t="str">
        <f>IFERROR(INDEX(tblY10[Class],ROWS(N$10:N577))&amp;"","")</f>
        <v/>
      </c>
      <c r="O577" t="str">
        <f>IF(N577="","",IF(COUNTIF(N$10:N577,N577)=1,COUNTIF(N$10:N$609,"&lt;"&amp;N577)+1,""))</f>
        <v/>
      </c>
      <c r="P577" t="str">
        <f>IFERROR(INDEX(tblY11[Class],ROWS(P$10:P577))&amp;"","")</f>
        <v/>
      </c>
      <c r="Q577" t="str">
        <f>IF(P577="","",IF(COUNTIF(P$10:P577,P577)=1,COUNTIF(P$10:P$609,"&lt;"&amp;P577)+1,""))</f>
        <v/>
      </c>
      <c r="BA577" t="str">
        <f>IFERROR(INDEX(wLast,508)&amp;"","")</f>
        <v/>
      </c>
      <c r="BB577" t="str">
        <f>IF(BA577="","",IFERROR(INDEX(wFirst,508)&amp;"",""))</f>
        <v/>
      </c>
      <c r="BC577" t="str">
        <f>IF(BA577="","",IFERROR(INDEX(wClass,508)&amp;"",""))</f>
        <v/>
      </c>
      <c r="BD577" t="str">
        <f>IF(BA577="","",IFERROR(INDEX(wKsBand,508)+0,""))</f>
        <v/>
      </c>
      <c r="BE577" t="str">
        <f>IF(BA577="","",IFERROR(INDEX(wTests,508)+0,0))</f>
        <v/>
      </c>
      <c r="BF577" t="str">
        <f>IF(BA577="","",IFERROR(INDEX(wMean,508)+0,""))</f>
        <v/>
      </c>
      <c r="BG577" t="str">
        <f>IF(BA577="","",IFERROR(INDEX(wVs,508)+0,""))</f>
        <v/>
      </c>
      <c r="BH577" t="str">
        <f>IF(OR(BA577="",wLatest=""),"",IFERROR(INDEX(wData,508,MATCH(wLatest&amp;CHAR(10)&amp;"Stanine",wHdr,0))+0,""))</f>
        <v/>
      </c>
      <c r="BI577" t="str">
        <f>IF(BA577="","",IF(AND(ISNUMBER(BG577),N(BE577)&gt;=WlMinTests,BG577&lt;=-WlGap),"Below expected for KS2",IF(AND(NOT(ISNUMBER(BD577)),ISNUMBER(BF577),N(BE577)&gt;=WlMinTests,BF577&lt;=WlLowMean),"Low results, no KS2 data","")))</f>
        <v/>
      </c>
      <c r="BJ577" t="str">
        <f>IF(BI577="","",IF(BI577="Below expected for KS2",BG577,100+BF577)+ROW()/1000000)</f>
        <v/>
      </c>
    </row>
    <row r="578">
      <c r="H578" t="str">
        <f>IFERROR(INDEX(tblY7[Class],ROWS(H$10:H578))&amp;"","")</f>
        <v/>
      </c>
      <c r="I578" t="str">
        <f>IF(H578="","",IF(COUNTIF(H$10:H578,H578)=1,COUNTIF(H$10:H$609,"&lt;"&amp;H578)+1,""))</f>
        <v/>
      </c>
      <c r="J578" t="str">
        <f>IFERROR(INDEX(tblY8[Class],ROWS(J$10:J578))&amp;"","")</f>
        <v/>
      </c>
      <c r="K578" t="str">
        <f>IF(J578="","",IF(COUNTIF(J$10:J578,J578)=1,COUNTIF(J$10:J$609,"&lt;"&amp;J578)+1,""))</f>
        <v/>
      </c>
      <c r="L578" t="str">
        <f>IFERROR(INDEX(tblY9[Class],ROWS(L$10:L578))&amp;"","")</f>
        <v/>
      </c>
      <c r="M578" t="str">
        <f>IF(L578="","",IF(COUNTIF(L$10:L578,L578)=1,COUNTIF(L$10:L$609,"&lt;"&amp;L578)+1,""))</f>
        <v/>
      </c>
      <c r="N578" t="str">
        <f>IFERROR(INDEX(tblY10[Class],ROWS(N$10:N578))&amp;"","")</f>
        <v/>
      </c>
      <c r="O578" t="str">
        <f>IF(N578="","",IF(COUNTIF(N$10:N578,N578)=1,COUNTIF(N$10:N$609,"&lt;"&amp;N578)+1,""))</f>
        <v/>
      </c>
      <c r="P578" t="str">
        <f>IFERROR(INDEX(tblY11[Class],ROWS(P$10:P578))&amp;"","")</f>
        <v/>
      </c>
      <c r="Q578" t="str">
        <f>IF(P578="","",IF(COUNTIF(P$10:P578,P578)=1,COUNTIF(P$10:P$609,"&lt;"&amp;P578)+1,""))</f>
        <v/>
      </c>
      <c r="BA578" t="str">
        <f>IFERROR(INDEX(wLast,509)&amp;"","")</f>
        <v/>
      </c>
      <c r="BB578" t="str">
        <f>IF(BA578="","",IFERROR(INDEX(wFirst,509)&amp;"",""))</f>
        <v/>
      </c>
      <c r="BC578" t="str">
        <f>IF(BA578="","",IFERROR(INDEX(wClass,509)&amp;"",""))</f>
        <v/>
      </c>
      <c r="BD578" t="str">
        <f>IF(BA578="","",IFERROR(INDEX(wKsBand,509)+0,""))</f>
        <v/>
      </c>
      <c r="BE578" t="str">
        <f>IF(BA578="","",IFERROR(INDEX(wTests,509)+0,0))</f>
        <v/>
      </c>
      <c r="BF578" t="str">
        <f>IF(BA578="","",IFERROR(INDEX(wMean,509)+0,""))</f>
        <v/>
      </c>
      <c r="BG578" t="str">
        <f>IF(BA578="","",IFERROR(INDEX(wVs,509)+0,""))</f>
        <v/>
      </c>
      <c r="BH578" t="str">
        <f>IF(OR(BA578="",wLatest=""),"",IFERROR(INDEX(wData,509,MATCH(wLatest&amp;CHAR(10)&amp;"Stanine",wHdr,0))+0,""))</f>
        <v/>
      </c>
      <c r="BI578" t="str">
        <f>IF(BA578="","",IF(AND(ISNUMBER(BG578),N(BE578)&gt;=WlMinTests,BG578&lt;=-WlGap),"Below expected for KS2",IF(AND(NOT(ISNUMBER(BD578)),ISNUMBER(BF578),N(BE578)&gt;=WlMinTests,BF578&lt;=WlLowMean),"Low results, no KS2 data","")))</f>
        <v/>
      </c>
      <c r="BJ578" t="str">
        <f>IF(BI578="","",IF(BI578="Below expected for KS2",BG578,100+BF578)+ROW()/1000000)</f>
        <v/>
      </c>
    </row>
    <row r="579">
      <c r="H579" t="str">
        <f>IFERROR(INDEX(tblY7[Class],ROWS(H$10:H579))&amp;"","")</f>
        <v/>
      </c>
      <c r="I579" t="str">
        <f>IF(H579="","",IF(COUNTIF(H$10:H579,H579)=1,COUNTIF(H$10:H$609,"&lt;"&amp;H579)+1,""))</f>
        <v/>
      </c>
      <c r="J579" t="str">
        <f>IFERROR(INDEX(tblY8[Class],ROWS(J$10:J579))&amp;"","")</f>
        <v/>
      </c>
      <c r="K579" t="str">
        <f>IF(J579="","",IF(COUNTIF(J$10:J579,J579)=1,COUNTIF(J$10:J$609,"&lt;"&amp;J579)+1,""))</f>
        <v/>
      </c>
      <c r="L579" t="str">
        <f>IFERROR(INDEX(tblY9[Class],ROWS(L$10:L579))&amp;"","")</f>
        <v/>
      </c>
      <c r="M579" t="str">
        <f>IF(L579="","",IF(COUNTIF(L$10:L579,L579)=1,COUNTIF(L$10:L$609,"&lt;"&amp;L579)+1,""))</f>
        <v/>
      </c>
      <c r="N579" t="str">
        <f>IFERROR(INDEX(tblY10[Class],ROWS(N$10:N579))&amp;"","")</f>
        <v/>
      </c>
      <c r="O579" t="str">
        <f>IF(N579="","",IF(COUNTIF(N$10:N579,N579)=1,COUNTIF(N$10:N$609,"&lt;"&amp;N579)+1,""))</f>
        <v/>
      </c>
      <c r="P579" t="str">
        <f>IFERROR(INDEX(tblY11[Class],ROWS(P$10:P579))&amp;"","")</f>
        <v/>
      </c>
      <c r="Q579" t="str">
        <f>IF(P579="","",IF(COUNTIF(P$10:P579,P579)=1,COUNTIF(P$10:P$609,"&lt;"&amp;P579)+1,""))</f>
        <v/>
      </c>
      <c r="BA579" t="str">
        <f>IFERROR(INDEX(wLast,510)&amp;"","")</f>
        <v/>
      </c>
      <c r="BB579" t="str">
        <f>IF(BA579="","",IFERROR(INDEX(wFirst,510)&amp;"",""))</f>
        <v/>
      </c>
      <c r="BC579" t="str">
        <f>IF(BA579="","",IFERROR(INDEX(wClass,510)&amp;"",""))</f>
        <v/>
      </c>
      <c r="BD579" t="str">
        <f>IF(BA579="","",IFERROR(INDEX(wKsBand,510)+0,""))</f>
        <v/>
      </c>
      <c r="BE579" t="str">
        <f>IF(BA579="","",IFERROR(INDEX(wTests,510)+0,0))</f>
        <v/>
      </c>
      <c r="BF579" t="str">
        <f>IF(BA579="","",IFERROR(INDEX(wMean,510)+0,""))</f>
        <v/>
      </c>
      <c r="BG579" t="str">
        <f>IF(BA579="","",IFERROR(INDEX(wVs,510)+0,""))</f>
        <v/>
      </c>
      <c r="BH579" t="str">
        <f>IF(OR(BA579="",wLatest=""),"",IFERROR(INDEX(wData,510,MATCH(wLatest&amp;CHAR(10)&amp;"Stanine",wHdr,0))+0,""))</f>
        <v/>
      </c>
      <c r="BI579" t="str">
        <f>IF(BA579="","",IF(AND(ISNUMBER(BG579),N(BE579)&gt;=WlMinTests,BG579&lt;=-WlGap),"Below expected for KS2",IF(AND(NOT(ISNUMBER(BD579)),ISNUMBER(BF579),N(BE579)&gt;=WlMinTests,BF579&lt;=WlLowMean),"Low results, no KS2 data","")))</f>
        <v/>
      </c>
      <c r="BJ579" t="str">
        <f>IF(BI579="","",IF(BI579="Below expected for KS2",BG579,100+BF579)+ROW()/1000000)</f>
        <v/>
      </c>
    </row>
    <row r="580">
      <c r="H580" t="str">
        <f>IFERROR(INDEX(tblY7[Class],ROWS(H$10:H580))&amp;"","")</f>
        <v/>
      </c>
      <c r="I580" t="str">
        <f>IF(H580="","",IF(COUNTIF(H$10:H580,H580)=1,COUNTIF(H$10:H$609,"&lt;"&amp;H580)+1,""))</f>
        <v/>
      </c>
      <c r="J580" t="str">
        <f>IFERROR(INDEX(tblY8[Class],ROWS(J$10:J580))&amp;"","")</f>
        <v/>
      </c>
      <c r="K580" t="str">
        <f>IF(J580="","",IF(COUNTIF(J$10:J580,J580)=1,COUNTIF(J$10:J$609,"&lt;"&amp;J580)+1,""))</f>
        <v/>
      </c>
      <c r="L580" t="str">
        <f>IFERROR(INDEX(tblY9[Class],ROWS(L$10:L580))&amp;"","")</f>
        <v/>
      </c>
      <c r="M580" t="str">
        <f>IF(L580="","",IF(COUNTIF(L$10:L580,L580)=1,COUNTIF(L$10:L$609,"&lt;"&amp;L580)+1,""))</f>
        <v/>
      </c>
      <c r="N580" t="str">
        <f>IFERROR(INDEX(tblY10[Class],ROWS(N$10:N580))&amp;"","")</f>
        <v/>
      </c>
      <c r="O580" t="str">
        <f>IF(N580="","",IF(COUNTIF(N$10:N580,N580)=1,COUNTIF(N$10:N$609,"&lt;"&amp;N580)+1,""))</f>
        <v/>
      </c>
      <c r="P580" t="str">
        <f>IFERROR(INDEX(tblY11[Class],ROWS(P$10:P580))&amp;"","")</f>
        <v/>
      </c>
      <c r="Q580" t="str">
        <f>IF(P580="","",IF(COUNTIF(P$10:P580,P580)=1,COUNTIF(P$10:P$609,"&lt;"&amp;P580)+1,""))</f>
        <v/>
      </c>
      <c r="BA580" t="str">
        <f>IFERROR(INDEX(wLast,511)&amp;"","")</f>
        <v/>
      </c>
      <c r="BB580" t="str">
        <f>IF(BA580="","",IFERROR(INDEX(wFirst,511)&amp;"",""))</f>
        <v/>
      </c>
      <c r="BC580" t="str">
        <f>IF(BA580="","",IFERROR(INDEX(wClass,511)&amp;"",""))</f>
        <v/>
      </c>
      <c r="BD580" t="str">
        <f>IF(BA580="","",IFERROR(INDEX(wKsBand,511)+0,""))</f>
        <v/>
      </c>
      <c r="BE580" t="str">
        <f>IF(BA580="","",IFERROR(INDEX(wTests,511)+0,0))</f>
        <v/>
      </c>
      <c r="BF580" t="str">
        <f>IF(BA580="","",IFERROR(INDEX(wMean,511)+0,""))</f>
        <v/>
      </c>
      <c r="BG580" t="str">
        <f>IF(BA580="","",IFERROR(INDEX(wVs,511)+0,""))</f>
        <v/>
      </c>
      <c r="BH580" t="str">
        <f>IF(OR(BA580="",wLatest=""),"",IFERROR(INDEX(wData,511,MATCH(wLatest&amp;CHAR(10)&amp;"Stanine",wHdr,0))+0,""))</f>
        <v/>
      </c>
      <c r="BI580" t="str">
        <f>IF(BA580="","",IF(AND(ISNUMBER(BG580),N(BE580)&gt;=WlMinTests,BG580&lt;=-WlGap),"Below expected for KS2",IF(AND(NOT(ISNUMBER(BD580)),ISNUMBER(BF580),N(BE580)&gt;=WlMinTests,BF580&lt;=WlLowMean),"Low results, no KS2 data","")))</f>
        <v/>
      </c>
      <c r="BJ580" t="str">
        <f>IF(BI580="","",IF(BI580="Below expected for KS2",BG580,100+BF580)+ROW()/1000000)</f>
        <v/>
      </c>
    </row>
    <row r="581">
      <c r="H581" t="str">
        <f>IFERROR(INDEX(tblY7[Class],ROWS(H$10:H581))&amp;"","")</f>
        <v/>
      </c>
      <c r="I581" t="str">
        <f>IF(H581="","",IF(COUNTIF(H$10:H581,H581)=1,COUNTIF(H$10:H$609,"&lt;"&amp;H581)+1,""))</f>
        <v/>
      </c>
      <c r="J581" t="str">
        <f>IFERROR(INDEX(tblY8[Class],ROWS(J$10:J581))&amp;"","")</f>
        <v/>
      </c>
      <c r="K581" t="str">
        <f>IF(J581="","",IF(COUNTIF(J$10:J581,J581)=1,COUNTIF(J$10:J$609,"&lt;"&amp;J581)+1,""))</f>
        <v/>
      </c>
      <c r="L581" t="str">
        <f>IFERROR(INDEX(tblY9[Class],ROWS(L$10:L581))&amp;"","")</f>
        <v/>
      </c>
      <c r="M581" t="str">
        <f>IF(L581="","",IF(COUNTIF(L$10:L581,L581)=1,COUNTIF(L$10:L$609,"&lt;"&amp;L581)+1,""))</f>
        <v/>
      </c>
      <c r="N581" t="str">
        <f>IFERROR(INDEX(tblY10[Class],ROWS(N$10:N581))&amp;"","")</f>
        <v/>
      </c>
      <c r="O581" t="str">
        <f>IF(N581="","",IF(COUNTIF(N$10:N581,N581)=1,COUNTIF(N$10:N$609,"&lt;"&amp;N581)+1,""))</f>
        <v/>
      </c>
      <c r="P581" t="str">
        <f>IFERROR(INDEX(tblY11[Class],ROWS(P$10:P581))&amp;"","")</f>
        <v/>
      </c>
      <c r="Q581" t="str">
        <f>IF(P581="","",IF(COUNTIF(P$10:P581,P581)=1,COUNTIF(P$10:P$609,"&lt;"&amp;P581)+1,""))</f>
        <v/>
      </c>
      <c r="BA581" t="str">
        <f>IFERROR(INDEX(wLast,512)&amp;"","")</f>
        <v/>
      </c>
      <c r="BB581" t="str">
        <f>IF(BA581="","",IFERROR(INDEX(wFirst,512)&amp;"",""))</f>
        <v/>
      </c>
      <c r="BC581" t="str">
        <f>IF(BA581="","",IFERROR(INDEX(wClass,512)&amp;"",""))</f>
        <v/>
      </c>
      <c r="BD581" t="str">
        <f>IF(BA581="","",IFERROR(INDEX(wKsBand,512)+0,""))</f>
        <v/>
      </c>
      <c r="BE581" t="str">
        <f>IF(BA581="","",IFERROR(INDEX(wTests,512)+0,0))</f>
        <v/>
      </c>
      <c r="BF581" t="str">
        <f>IF(BA581="","",IFERROR(INDEX(wMean,512)+0,""))</f>
        <v/>
      </c>
      <c r="BG581" t="str">
        <f>IF(BA581="","",IFERROR(INDEX(wVs,512)+0,""))</f>
        <v/>
      </c>
      <c r="BH581" t="str">
        <f>IF(OR(BA581="",wLatest=""),"",IFERROR(INDEX(wData,512,MATCH(wLatest&amp;CHAR(10)&amp;"Stanine",wHdr,0))+0,""))</f>
        <v/>
      </c>
      <c r="BI581" t="str">
        <f>IF(BA581="","",IF(AND(ISNUMBER(BG581),N(BE581)&gt;=WlMinTests,BG581&lt;=-WlGap),"Below expected for KS2",IF(AND(NOT(ISNUMBER(BD581)),ISNUMBER(BF581),N(BE581)&gt;=WlMinTests,BF581&lt;=WlLowMean),"Low results, no KS2 data","")))</f>
        <v/>
      </c>
      <c r="BJ581" t="str">
        <f>IF(BI581="","",IF(BI581="Below expected for KS2",BG581,100+BF581)+ROW()/1000000)</f>
        <v/>
      </c>
    </row>
    <row r="582">
      <c r="H582" t="str">
        <f>IFERROR(INDEX(tblY7[Class],ROWS(H$10:H582))&amp;"","")</f>
        <v/>
      </c>
      <c r="I582" t="str">
        <f>IF(H582="","",IF(COUNTIF(H$10:H582,H582)=1,COUNTIF(H$10:H$609,"&lt;"&amp;H582)+1,""))</f>
        <v/>
      </c>
      <c r="J582" t="str">
        <f>IFERROR(INDEX(tblY8[Class],ROWS(J$10:J582))&amp;"","")</f>
        <v/>
      </c>
      <c r="K582" t="str">
        <f>IF(J582="","",IF(COUNTIF(J$10:J582,J582)=1,COUNTIF(J$10:J$609,"&lt;"&amp;J582)+1,""))</f>
        <v/>
      </c>
      <c r="L582" t="str">
        <f>IFERROR(INDEX(tblY9[Class],ROWS(L$10:L582))&amp;"","")</f>
        <v/>
      </c>
      <c r="M582" t="str">
        <f>IF(L582="","",IF(COUNTIF(L$10:L582,L582)=1,COUNTIF(L$10:L$609,"&lt;"&amp;L582)+1,""))</f>
        <v/>
      </c>
      <c r="N582" t="str">
        <f>IFERROR(INDEX(tblY10[Class],ROWS(N$10:N582))&amp;"","")</f>
        <v/>
      </c>
      <c r="O582" t="str">
        <f>IF(N582="","",IF(COUNTIF(N$10:N582,N582)=1,COUNTIF(N$10:N$609,"&lt;"&amp;N582)+1,""))</f>
        <v/>
      </c>
      <c r="P582" t="str">
        <f>IFERROR(INDEX(tblY11[Class],ROWS(P$10:P582))&amp;"","")</f>
        <v/>
      </c>
      <c r="Q582" t="str">
        <f>IF(P582="","",IF(COUNTIF(P$10:P582,P582)=1,COUNTIF(P$10:P$609,"&lt;"&amp;P582)+1,""))</f>
        <v/>
      </c>
      <c r="BA582" t="str">
        <f>IFERROR(INDEX(wLast,513)&amp;"","")</f>
        <v/>
      </c>
      <c r="BB582" t="str">
        <f>IF(BA582="","",IFERROR(INDEX(wFirst,513)&amp;"",""))</f>
        <v/>
      </c>
      <c r="BC582" t="str">
        <f>IF(BA582="","",IFERROR(INDEX(wClass,513)&amp;"",""))</f>
        <v/>
      </c>
      <c r="BD582" t="str">
        <f>IF(BA582="","",IFERROR(INDEX(wKsBand,513)+0,""))</f>
        <v/>
      </c>
      <c r="BE582" t="str">
        <f>IF(BA582="","",IFERROR(INDEX(wTests,513)+0,0))</f>
        <v/>
      </c>
      <c r="BF582" t="str">
        <f>IF(BA582="","",IFERROR(INDEX(wMean,513)+0,""))</f>
        <v/>
      </c>
      <c r="BG582" t="str">
        <f>IF(BA582="","",IFERROR(INDEX(wVs,513)+0,""))</f>
        <v/>
      </c>
      <c r="BH582" t="str">
        <f>IF(OR(BA582="",wLatest=""),"",IFERROR(INDEX(wData,513,MATCH(wLatest&amp;CHAR(10)&amp;"Stanine",wHdr,0))+0,""))</f>
        <v/>
      </c>
      <c r="BI582" t="str">
        <f>IF(BA582="","",IF(AND(ISNUMBER(BG582),N(BE582)&gt;=WlMinTests,BG582&lt;=-WlGap),"Below expected for KS2",IF(AND(NOT(ISNUMBER(BD582)),ISNUMBER(BF582),N(BE582)&gt;=WlMinTests,BF582&lt;=WlLowMean),"Low results, no KS2 data","")))</f>
        <v/>
      </c>
      <c r="BJ582" t="str">
        <f>IF(BI582="","",IF(BI582="Below expected for KS2",BG582,100+BF582)+ROW()/1000000)</f>
        <v/>
      </c>
    </row>
    <row r="583">
      <c r="H583" t="str">
        <f>IFERROR(INDEX(tblY7[Class],ROWS(H$10:H583))&amp;"","")</f>
        <v/>
      </c>
      <c r="I583" t="str">
        <f>IF(H583="","",IF(COUNTIF(H$10:H583,H583)=1,COUNTIF(H$10:H$609,"&lt;"&amp;H583)+1,""))</f>
        <v/>
      </c>
      <c r="J583" t="str">
        <f>IFERROR(INDEX(tblY8[Class],ROWS(J$10:J583))&amp;"","")</f>
        <v/>
      </c>
      <c r="K583" t="str">
        <f>IF(J583="","",IF(COUNTIF(J$10:J583,J583)=1,COUNTIF(J$10:J$609,"&lt;"&amp;J583)+1,""))</f>
        <v/>
      </c>
      <c r="L583" t="str">
        <f>IFERROR(INDEX(tblY9[Class],ROWS(L$10:L583))&amp;"","")</f>
        <v/>
      </c>
      <c r="M583" t="str">
        <f>IF(L583="","",IF(COUNTIF(L$10:L583,L583)=1,COUNTIF(L$10:L$609,"&lt;"&amp;L583)+1,""))</f>
        <v/>
      </c>
      <c r="N583" t="str">
        <f>IFERROR(INDEX(tblY10[Class],ROWS(N$10:N583))&amp;"","")</f>
        <v/>
      </c>
      <c r="O583" t="str">
        <f>IF(N583="","",IF(COUNTIF(N$10:N583,N583)=1,COUNTIF(N$10:N$609,"&lt;"&amp;N583)+1,""))</f>
        <v/>
      </c>
      <c r="P583" t="str">
        <f>IFERROR(INDEX(tblY11[Class],ROWS(P$10:P583))&amp;"","")</f>
        <v/>
      </c>
      <c r="Q583" t="str">
        <f>IF(P583="","",IF(COUNTIF(P$10:P583,P583)=1,COUNTIF(P$10:P$609,"&lt;"&amp;P583)+1,""))</f>
        <v/>
      </c>
      <c r="BA583" t="str">
        <f>IFERROR(INDEX(wLast,514)&amp;"","")</f>
        <v/>
      </c>
      <c r="BB583" t="str">
        <f>IF(BA583="","",IFERROR(INDEX(wFirst,514)&amp;"",""))</f>
        <v/>
      </c>
      <c r="BC583" t="str">
        <f>IF(BA583="","",IFERROR(INDEX(wClass,514)&amp;"",""))</f>
        <v/>
      </c>
      <c r="BD583" t="str">
        <f>IF(BA583="","",IFERROR(INDEX(wKsBand,514)+0,""))</f>
        <v/>
      </c>
      <c r="BE583" t="str">
        <f>IF(BA583="","",IFERROR(INDEX(wTests,514)+0,0))</f>
        <v/>
      </c>
      <c r="BF583" t="str">
        <f>IF(BA583="","",IFERROR(INDEX(wMean,514)+0,""))</f>
        <v/>
      </c>
      <c r="BG583" t="str">
        <f>IF(BA583="","",IFERROR(INDEX(wVs,514)+0,""))</f>
        <v/>
      </c>
      <c r="BH583" t="str">
        <f>IF(OR(BA583="",wLatest=""),"",IFERROR(INDEX(wData,514,MATCH(wLatest&amp;CHAR(10)&amp;"Stanine",wHdr,0))+0,""))</f>
        <v/>
      </c>
      <c r="BI583" t="str">
        <f>IF(BA583="","",IF(AND(ISNUMBER(BG583),N(BE583)&gt;=WlMinTests,BG583&lt;=-WlGap),"Below expected for KS2",IF(AND(NOT(ISNUMBER(BD583)),ISNUMBER(BF583),N(BE583)&gt;=WlMinTests,BF583&lt;=WlLowMean),"Low results, no KS2 data","")))</f>
        <v/>
      </c>
      <c r="BJ583" t="str">
        <f>IF(BI583="","",IF(BI583="Below expected for KS2",BG583,100+BF583)+ROW()/1000000)</f>
        <v/>
      </c>
    </row>
    <row r="584">
      <c r="H584" t="str">
        <f>IFERROR(INDEX(tblY7[Class],ROWS(H$10:H584))&amp;"","")</f>
        <v/>
      </c>
      <c r="I584" t="str">
        <f>IF(H584="","",IF(COUNTIF(H$10:H584,H584)=1,COUNTIF(H$10:H$609,"&lt;"&amp;H584)+1,""))</f>
        <v/>
      </c>
      <c r="J584" t="str">
        <f>IFERROR(INDEX(tblY8[Class],ROWS(J$10:J584))&amp;"","")</f>
        <v/>
      </c>
      <c r="K584" t="str">
        <f>IF(J584="","",IF(COUNTIF(J$10:J584,J584)=1,COUNTIF(J$10:J$609,"&lt;"&amp;J584)+1,""))</f>
        <v/>
      </c>
      <c r="L584" t="str">
        <f>IFERROR(INDEX(tblY9[Class],ROWS(L$10:L584))&amp;"","")</f>
        <v/>
      </c>
      <c r="M584" t="str">
        <f>IF(L584="","",IF(COUNTIF(L$10:L584,L584)=1,COUNTIF(L$10:L$609,"&lt;"&amp;L584)+1,""))</f>
        <v/>
      </c>
      <c r="N584" t="str">
        <f>IFERROR(INDEX(tblY10[Class],ROWS(N$10:N584))&amp;"","")</f>
        <v/>
      </c>
      <c r="O584" t="str">
        <f>IF(N584="","",IF(COUNTIF(N$10:N584,N584)=1,COUNTIF(N$10:N$609,"&lt;"&amp;N584)+1,""))</f>
        <v/>
      </c>
      <c r="P584" t="str">
        <f>IFERROR(INDEX(tblY11[Class],ROWS(P$10:P584))&amp;"","")</f>
        <v/>
      </c>
      <c r="Q584" t="str">
        <f>IF(P584="","",IF(COUNTIF(P$10:P584,P584)=1,COUNTIF(P$10:P$609,"&lt;"&amp;P584)+1,""))</f>
        <v/>
      </c>
      <c r="BA584" t="str">
        <f>IFERROR(INDEX(wLast,515)&amp;"","")</f>
        <v/>
      </c>
      <c r="BB584" t="str">
        <f>IF(BA584="","",IFERROR(INDEX(wFirst,515)&amp;"",""))</f>
        <v/>
      </c>
      <c r="BC584" t="str">
        <f>IF(BA584="","",IFERROR(INDEX(wClass,515)&amp;"",""))</f>
        <v/>
      </c>
      <c r="BD584" t="str">
        <f>IF(BA584="","",IFERROR(INDEX(wKsBand,515)+0,""))</f>
        <v/>
      </c>
      <c r="BE584" t="str">
        <f>IF(BA584="","",IFERROR(INDEX(wTests,515)+0,0))</f>
        <v/>
      </c>
      <c r="BF584" t="str">
        <f>IF(BA584="","",IFERROR(INDEX(wMean,515)+0,""))</f>
        <v/>
      </c>
      <c r="BG584" t="str">
        <f>IF(BA584="","",IFERROR(INDEX(wVs,515)+0,""))</f>
        <v/>
      </c>
      <c r="BH584" t="str">
        <f>IF(OR(BA584="",wLatest=""),"",IFERROR(INDEX(wData,515,MATCH(wLatest&amp;CHAR(10)&amp;"Stanine",wHdr,0))+0,""))</f>
        <v/>
      </c>
      <c r="BI584" t="str">
        <f>IF(BA584="","",IF(AND(ISNUMBER(BG584),N(BE584)&gt;=WlMinTests,BG584&lt;=-WlGap),"Below expected for KS2",IF(AND(NOT(ISNUMBER(BD584)),ISNUMBER(BF584),N(BE584)&gt;=WlMinTests,BF584&lt;=WlLowMean),"Low results, no KS2 data","")))</f>
        <v/>
      </c>
      <c r="BJ584" t="str">
        <f>IF(BI584="","",IF(BI584="Below expected for KS2",BG584,100+BF584)+ROW()/1000000)</f>
        <v/>
      </c>
    </row>
    <row r="585">
      <c r="H585" t="str">
        <f>IFERROR(INDEX(tblY7[Class],ROWS(H$10:H585))&amp;"","")</f>
        <v/>
      </c>
      <c r="I585" t="str">
        <f>IF(H585="","",IF(COUNTIF(H$10:H585,H585)=1,COUNTIF(H$10:H$609,"&lt;"&amp;H585)+1,""))</f>
        <v/>
      </c>
      <c r="J585" t="str">
        <f>IFERROR(INDEX(tblY8[Class],ROWS(J$10:J585))&amp;"","")</f>
        <v/>
      </c>
      <c r="K585" t="str">
        <f>IF(J585="","",IF(COUNTIF(J$10:J585,J585)=1,COUNTIF(J$10:J$609,"&lt;"&amp;J585)+1,""))</f>
        <v/>
      </c>
      <c r="L585" t="str">
        <f>IFERROR(INDEX(tblY9[Class],ROWS(L$10:L585))&amp;"","")</f>
        <v/>
      </c>
      <c r="M585" t="str">
        <f>IF(L585="","",IF(COUNTIF(L$10:L585,L585)=1,COUNTIF(L$10:L$609,"&lt;"&amp;L585)+1,""))</f>
        <v/>
      </c>
      <c r="N585" t="str">
        <f>IFERROR(INDEX(tblY10[Class],ROWS(N$10:N585))&amp;"","")</f>
        <v/>
      </c>
      <c r="O585" t="str">
        <f>IF(N585="","",IF(COUNTIF(N$10:N585,N585)=1,COUNTIF(N$10:N$609,"&lt;"&amp;N585)+1,""))</f>
        <v/>
      </c>
      <c r="P585" t="str">
        <f>IFERROR(INDEX(tblY11[Class],ROWS(P$10:P585))&amp;"","")</f>
        <v/>
      </c>
      <c r="Q585" t="str">
        <f>IF(P585="","",IF(COUNTIF(P$10:P585,P585)=1,COUNTIF(P$10:P$609,"&lt;"&amp;P585)+1,""))</f>
        <v/>
      </c>
      <c r="BA585" t="str">
        <f>IFERROR(INDEX(wLast,516)&amp;"","")</f>
        <v/>
      </c>
      <c r="BB585" t="str">
        <f>IF(BA585="","",IFERROR(INDEX(wFirst,516)&amp;"",""))</f>
        <v/>
      </c>
      <c r="BC585" t="str">
        <f>IF(BA585="","",IFERROR(INDEX(wClass,516)&amp;"",""))</f>
        <v/>
      </c>
      <c r="BD585" t="str">
        <f>IF(BA585="","",IFERROR(INDEX(wKsBand,516)+0,""))</f>
        <v/>
      </c>
      <c r="BE585" t="str">
        <f>IF(BA585="","",IFERROR(INDEX(wTests,516)+0,0))</f>
        <v/>
      </c>
      <c r="BF585" t="str">
        <f>IF(BA585="","",IFERROR(INDEX(wMean,516)+0,""))</f>
        <v/>
      </c>
      <c r="BG585" t="str">
        <f>IF(BA585="","",IFERROR(INDEX(wVs,516)+0,""))</f>
        <v/>
      </c>
      <c r="BH585" t="str">
        <f>IF(OR(BA585="",wLatest=""),"",IFERROR(INDEX(wData,516,MATCH(wLatest&amp;CHAR(10)&amp;"Stanine",wHdr,0))+0,""))</f>
        <v/>
      </c>
      <c r="BI585" t="str">
        <f>IF(BA585="","",IF(AND(ISNUMBER(BG585),N(BE585)&gt;=WlMinTests,BG585&lt;=-WlGap),"Below expected for KS2",IF(AND(NOT(ISNUMBER(BD585)),ISNUMBER(BF585),N(BE585)&gt;=WlMinTests,BF585&lt;=WlLowMean),"Low results, no KS2 data","")))</f>
        <v/>
      </c>
      <c r="BJ585" t="str">
        <f>IF(BI585="","",IF(BI585="Below expected for KS2",BG585,100+BF585)+ROW()/1000000)</f>
        <v/>
      </c>
    </row>
    <row r="586">
      <c r="H586" t="str">
        <f>IFERROR(INDEX(tblY7[Class],ROWS(H$10:H586))&amp;"","")</f>
        <v/>
      </c>
      <c r="I586" t="str">
        <f>IF(H586="","",IF(COUNTIF(H$10:H586,H586)=1,COUNTIF(H$10:H$609,"&lt;"&amp;H586)+1,""))</f>
        <v/>
      </c>
      <c r="J586" t="str">
        <f>IFERROR(INDEX(tblY8[Class],ROWS(J$10:J586))&amp;"","")</f>
        <v/>
      </c>
      <c r="K586" t="str">
        <f>IF(J586="","",IF(COUNTIF(J$10:J586,J586)=1,COUNTIF(J$10:J$609,"&lt;"&amp;J586)+1,""))</f>
        <v/>
      </c>
      <c r="L586" t="str">
        <f>IFERROR(INDEX(tblY9[Class],ROWS(L$10:L586))&amp;"","")</f>
        <v/>
      </c>
      <c r="M586" t="str">
        <f>IF(L586="","",IF(COUNTIF(L$10:L586,L586)=1,COUNTIF(L$10:L$609,"&lt;"&amp;L586)+1,""))</f>
        <v/>
      </c>
      <c r="N586" t="str">
        <f>IFERROR(INDEX(tblY10[Class],ROWS(N$10:N586))&amp;"","")</f>
        <v/>
      </c>
      <c r="O586" t="str">
        <f>IF(N586="","",IF(COUNTIF(N$10:N586,N586)=1,COUNTIF(N$10:N$609,"&lt;"&amp;N586)+1,""))</f>
        <v/>
      </c>
      <c r="P586" t="str">
        <f>IFERROR(INDEX(tblY11[Class],ROWS(P$10:P586))&amp;"","")</f>
        <v/>
      </c>
      <c r="Q586" t="str">
        <f>IF(P586="","",IF(COUNTIF(P$10:P586,P586)=1,COUNTIF(P$10:P$609,"&lt;"&amp;P586)+1,""))</f>
        <v/>
      </c>
      <c r="BA586" t="str">
        <f>IFERROR(INDEX(wLast,517)&amp;"","")</f>
        <v/>
      </c>
      <c r="BB586" t="str">
        <f>IF(BA586="","",IFERROR(INDEX(wFirst,517)&amp;"",""))</f>
        <v/>
      </c>
      <c r="BC586" t="str">
        <f>IF(BA586="","",IFERROR(INDEX(wClass,517)&amp;"",""))</f>
        <v/>
      </c>
      <c r="BD586" t="str">
        <f>IF(BA586="","",IFERROR(INDEX(wKsBand,517)+0,""))</f>
        <v/>
      </c>
      <c r="BE586" t="str">
        <f>IF(BA586="","",IFERROR(INDEX(wTests,517)+0,0))</f>
        <v/>
      </c>
      <c r="BF586" t="str">
        <f>IF(BA586="","",IFERROR(INDEX(wMean,517)+0,""))</f>
        <v/>
      </c>
      <c r="BG586" t="str">
        <f>IF(BA586="","",IFERROR(INDEX(wVs,517)+0,""))</f>
        <v/>
      </c>
      <c r="BH586" t="str">
        <f>IF(OR(BA586="",wLatest=""),"",IFERROR(INDEX(wData,517,MATCH(wLatest&amp;CHAR(10)&amp;"Stanine",wHdr,0))+0,""))</f>
        <v/>
      </c>
      <c r="BI586" t="str">
        <f>IF(BA586="","",IF(AND(ISNUMBER(BG586),N(BE586)&gt;=WlMinTests,BG586&lt;=-WlGap),"Below expected for KS2",IF(AND(NOT(ISNUMBER(BD586)),ISNUMBER(BF586),N(BE586)&gt;=WlMinTests,BF586&lt;=WlLowMean),"Low results, no KS2 data","")))</f>
        <v/>
      </c>
      <c r="BJ586" t="str">
        <f>IF(BI586="","",IF(BI586="Below expected for KS2",BG586,100+BF586)+ROW()/1000000)</f>
        <v/>
      </c>
    </row>
    <row r="587">
      <c r="H587" t="str">
        <f>IFERROR(INDEX(tblY7[Class],ROWS(H$10:H587))&amp;"","")</f>
        <v/>
      </c>
      <c r="I587" t="str">
        <f>IF(H587="","",IF(COUNTIF(H$10:H587,H587)=1,COUNTIF(H$10:H$609,"&lt;"&amp;H587)+1,""))</f>
        <v/>
      </c>
      <c r="J587" t="str">
        <f>IFERROR(INDEX(tblY8[Class],ROWS(J$10:J587))&amp;"","")</f>
        <v/>
      </c>
      <c r="K587" t="str">
        <f>IF(J587="","",IF(COUNTIF(J$10:J587,J587)=1,COUNTIF(J$10:J$609,"&lt;"&amp;J587)+1,""))</f>
        <v/>
      </c>
      <c r="L587" t="str">
        <f>IFERROR(INDEX(tblY9[Class],ROWS(L$10:L587))&amp;"","")</f>
        <v/>
      </c>
      <c r="M587" t="str">
        <f>IF(L587="","",IF(COUNTIF(L$10:L587,L587)=1,COUNTIF(L$10:L$609,"&lt;"&amp;L587)+1,""))</f>
        <v/>
      </c>
      <c r="N587" t="str">
        <f>IFERROR(INDEX(tblY10[Class],ROWS(N$10:N587))&amp;"","")</f>
        <v/>
      </c>
      <c r="O587" t="str">
        <f>IF(N587="","",IF(COUNTIF(N$10:N587,N587)=1,COUNTIF(N$10:N$609,"&lt;"&amp;N587)+1,""))</f>
        <v/>
      </c>
      <c r="P587" t="str">
        <f>IFERROR(INDEX(tblY11[Class],ROWS(P$10:P587))&amp;"","")</f>
        <v/>
      </c>
      <c r="Q587" t="str">
        <f>IF(P587="","",IF(COUNTIF(P$10:P587,P587)=1,COUNTIF(P$10:P$609,"&lt;"&amp;P587)+1,""))</f>
        <v/>
      </c>
      <c r="BA587" t="str">
        <f>IFERROR(INDEX(wLast,518)&amp;"","")</f>
        <v/>
      </c>
      <c r="BB587" t="str">
        <f>IF(BA587="","",IFERROR(INDEX(wFirst,518)&amp;"",""))</f>
        <v/>
      </c>
      <c r="BC587" t="str">
        <f>IF(BA587="","",IFERROR(INDEX(wClass,518)&amp;"",""))</f>
        <v/>
      </c>
      <c r="BD587" t="str">
        <f>IF(BA587="","",IFERROR(INDEX(wKsBand,518)+0,""))</f>
        <v/>
      </c>
      <c r="BE587" t="str">
        <f>IF(BA587="","",IFERROR(INDEX(wTests,518)+0,0))</f>
        <v/>
      </c>
      <c r="BF587" t="str">
        <f>IF(BA587="","",IFERROR(INDEX(wMean,518)+0,""))</f>
        <v/>
      </c>
      <c r="BG587" t="str">
        <f>IF(BA587="","",IFERROR(INDEX(wVs,518)+0,""))</f>
        <v/>
      </c>
      <c r="BH587" t="str">
        <f>IF(OR(BA587="",wLatest=""),"",IFERROR(INDEX(wData,518,MATCH(wLatest&amp;CHAR(10)&amp;"Stanine",wHdr,0))+0,""))</f>
        <v/>
      </c>
      <c r="BI587" t="str">
        <f>IF(BA587="","",IF(AND(ISNUMBER(BG587),N(BE587)&gt;=WlMinTests,BG587&lt;=-WlGap),"Below expected for KS2",IF(AND(NOT(ISNUMBER(BD587)),ISNUMBER(BF587),N(BE587)&gt;=WlMinTests,BF587&lt;=WlLowMean),"Low results, no KS2 data","")))</f>
        <v/>
      </c>
      <c r="BJ587" t="str">
        <f>IF(BI587="","",IF(BI587="Below expected for KS2",BG587,100+BF587)+ROW()/1000000)</f>
        <v/>
      </c>
    </row>
    <row r="588">
      <c r="H588" t="str">
        <f>IFERROR(INDEX(tblY7[Class],ROWS(H$10:H588))&amp;"","")</f>
        <v/>
      </c>
      <c r="I588" t="str">
        <f>IF(H588="","",IF(COUNTIF(H$10:H588,H588)=1,COUNTIF(H$10:H$609,"&lt;"&amp;H588)+1,""))</f>
        <v/>
      </c>
      <c r="J588" t="str">
        <f>IFERROR(INDEX(tblY8[Class],ROWS(J$10:J588))&amp;"","")</f>
        <v/>
      </c>
      <c r="K588" t="str">
        <f>IF(J588="","",IF(COUNTIF(J$10:J588,J588)=1,COUNTIF(J$10:J$609,"&lt;"&amp;J588)+1,""))</f>
        <v/>
      </c>
      <c r="L588" t="str">
        <f>IFERROR(INDEX(tblY9[Class],ROWS(L$10:L588))&amp;"","")</f>
        <v/>
      </c>
      <c r="M588" t="str">
        <f>IF(L588="","",IF(COUNTIF(L$10:L588,L588)=1,COUNTIF(L$10:L$609,"&lt;"&amp;L588)+1,""))</f>
        <v/>
      </c>
      <c r="N588" t="str">
        <f>IFERROR(INDEX(tblY10[Class],ROWS(N$10:N588))&amp;"","")</f>
        <v/>
      </c>
      <c r="O588" t="str">
        <f>IF(N588="","",IF(COUNTIF(N$10:N588,N588)=1,COUNTIF(N$10:N$609,"&lt;"&amp;N588)+1,""))</f>
        <v/>
      </c>
      <c r="P588" t="str">
        <f>IFERROR(INDEX(tblY11[Class],ROWS(P$10:P588))&amp;"","")</f>
        <v/>
      </c>
      <c r="Q588" t="str">
        <f>IF(P588="","",IF(COUNTIF(P$10:P588,P588)=1,COUNTIF(P$10:P$609,"&lt;"&amp;P588)+1,""))</f>
        <v/>
      </c>
      <c r="BA588" t="str">
        <f>IFERROR(INDEX(wLast,519)&amp;"","")</f>
        <v/>
      </c>
      <c r="BB588" t="str">
        <f>IF(BA588="","",IFERROR(INDEX(wFirst,519)&amp;"",""))</f>
        <v/>
      </c>
      <c r="BC588" t="str">
        <f>IF(BA588="","",IFERROR(INDEX(wClass,519)&amp;"",""))</f>
        <v/>
      </c>
      <c r="BD588" t="str">
        <f>IF(BA588="","",IFERROR(INDEX(wKsBand,519)+0,""))</f>
        <v/>
      </c>
      <c r="BE588" t="str">
        <f>IF(BA588="","",IFERROR(INDEX(wTests,519)+0,0))</f>
        <v/>
      </c>
      <c r="BF588" t="str">
        <f>IF(BA588="","",IFERROR(INDEX(wMean,519)+0,""))</f>
        <v/>
      </c>
      <c r="BG588" t="str">
        <f>IF(BA588="","",IFERROR(INDEX(wVs,519)+0,""))</f>
        <v/>
      </c>
      <c r="BH588" t="str">
        <f>IF(OR(BA588="",wLatest=""),"",IFERROR(INDEX(wData,519,MATCH(wLatest&amp;CHAR(10)&amp;"Stanine",wHdr,0))+0,""))</f>
        <v/>
      </c>
      <c r="BI588" t="str">
        <f>IF(BA588="","",IF(AND(ISNUMBER(BG588),N(BE588)&gt;=WlMinTests,BG588&lt;=-WlGap),"Below expected for KS2",IF(AND(NOT(ISNUMBER(BD588)),ISNUMBER(BF588),N(BE588)&gt;=WlMinTests,BF588&lt;=WlLowMean),"Low results, no KS2 data","")))</f>
        <v/>
      </c>
      <c r="BJ588" t="str">
        <f>IF(BI588="","",IF(BI588="Below expected for KS2",BG588,100+BF588)+ROW()/1000000)</f>
        <v/>
      </c>
    </row>
    <row r="589">
      <c r="H589" t="str">
        <f>IFERROR(INDEX(tblY7[Class],ROWS(H$10:H589))&amp;"","")</f>
        <v/>
      </c>
      <c r="I589" t="str">
        <f>IF(H589="","",IF(COUNTIF(H$10:H589,H589)=1,COUNTIF(H$10:H$609,"&lt;"&amp;H589)+1,""))</f>
        <v/>
      </c>
      <c r="J589" t="str">
        <f>IFERROR(INDEX(tblY8[Class],ROWS(J$10:J589))&amp;"","")</f>
        <v/>
      </c>
      <c r="K589" t="str">
        <f>IF(J589="","",IF(COUNTIF(J$10:J589,J589)=1,COUNTIF(J$10:J$609,"&lt;"&amp;J589)+1,""))</f>
        <v/>
      </c>
      <c r="L589" t="str">
        <f>IFERROR(INDEX(tblY9[Class],ROWS(L$10:L589))&amp;"","")</f>
        <v/>
      </c>
      <c r="M589" t="str">
        <f>IF(L589="","",IF(COUNTIF(L$10:L589,L589)=1,COUNTIF(L$10:L$609,"&lt;"&amp;L589)+1,""))</f>
        <v/>
      </c>
      <c r="N589" t="str">
        <f>IFERROR(INDEX(tblY10[Class],ROWS(N$10:N589))&amp;"","")</f>
        <v/>
      </c>
      <c r="O589" t="str">
        <f>IF(N589="","",IF(COUNTIF(N$10:N589,N589)=1,COUNTIF(N$10:N$609,"&lt;"&amp;N589)+1,""))</f>
        <v/>
      </c>
      <c r="P589" t="str">
        <f>IFERROR(INDEX(tblY11[Class],ROWS(P$10:P589))&amp;"","")</f>
        <v/>
      </c>
      <c r="Q589" t="str">
        <f>IF(P589="","",IF(COUNTIF(P$10:P589,P589)=1,COUNTIF(P$10:P$609,"&lt;"&amp;P589)+1,""))</f>
        <v/>
      </c>
      <c r="BA589" t="str">
        <f>IFERROR(INDEX(wLast,520)&amp;"","")</f>
        <v/>
      </c>
      <c r="BB589" t="str">
        <f>IF(BA589="","",IFERROR(INDEX(wFirst,520)&amp;"",""))</f>
        <v/>
      </c>
      <c r="BC589" t="str">
        <f>IF(BA589="","",IFERROR(INDEX(wClass,520)&amp;"",""))</f>
        <v/>
      </c>
      <c r="BD589" t="str">
        <f>IF(BA589="","",IFERROR(INDEX(wKsBand,520)+0,""))</f>
        <v/>
      </c>
      <c r="BE589" t="str">
        <f>IF(BA589="","",IFERROR(INDEX(wTests,520)+0,0))</f>
        <v/>
      </c>
      <c r="BF589" t="str">
        <f>IF(BA589="","",IFERROR(INDEX(wMean,520)+0,""))</f>
        <v/>
      </c>
      <c r="BG589" t="str">
        <f>IF(BA589="","",IFERROR(INDEX(wVs,520)+0,""))</f>
        <v/>
      </c>
      <c r="BH589" t="str">
        <f>IF(OR(BA589="",wLatest=""),"",IFERROR(INDEX(wData,520,MATCH(wLatest&amp;CHAR(10)&amp;"Stanine",wHdr,0))+0,""))</f>
        <v/>
      </c>
      <c r="BI589" t="str">
        <f>IF(BA589="","",IF(AND(ISNUMBER(BG589),N(BE589)&gt;=WlMinTests,BG589&lt;=-WlGap),"Below expected for KS2",IF(AND(NOT(ISNUMBER(BD589)),ISNUMBER(BF589),N(BE589)&gt;=WlMinTests,BF589&lt;=WlLowMean),"Low results, no KS2 data","")))</f>
        <v/>
      </c>
      <c r="BJ589" t="str">
        <f>IF(BI589="","",IF(BI589="Below expected for KS2",BG589,100+BF589)+ROW()/1000000)</f>
        <v/>
      </c>
    </row>
    <row r="590">
      <c r="H590" t="str">
        <f>IFERROR(INDEX(tblY7[Class],ROWS(H$10:H590))&amp;"","")</f>
        <v/>
      </c>
      <c r="I590" t="str">
        <f>IF(H590="","",IF(COUNTIF(H$10:H590,H590)=1,COUNTIF(H$10:H$609,"&lt;"&amp;H590)+1,""))</f>
        <v/>
      </c>
      <c r="J590" t="str">
        <f>IFERROR(INDEX(tblY8[Class],ROWS(J$10:J590))&amp;"","")</f>
        <v/>
      </c>
      <c r="K590" t="str">
        <f>IF(J590="","",IF(COUNTIF(J$10:J590,J590)=1,COUNTIF(J$10:J$609,"&lt;"&amp;J590)+1,""))</f>
        <v/>
      </c>
      <c r="L590" t="str">
        <f>IFERROR(INDEX(tblY9[Class],ROWS(L$10:L590))&amp;"","")</f>
        <v/>
      </c>
      <c r="M590" t="str">
        <f>IF(L590="","",IF(COUNTIF(L$10:L590,L590)=1,COUNTIF(L$10:L$609,"&lt;"&amp;L590)+1,""))</f>
        <v/>
      </c>
      <c r="N590" t="str">
        <f>IFERROR(INDEX(tblY10[Class],ROWS(N$10:N590))&amp;"","")</f>
        <v/>
      </c>
      <c r="O590" t="str">
        <f>IF(N590="","",IF(COUNTIF(N$10:N590,N590)=1,COUNTIF(N$10:N$609,"&lt;"&amp;N590)+1,""))</f>
        <v/>
      </c>
      <c r="P590" t="str">
        <f>IFERROR(INDEX(tblY11[Class],ROWS(P$10:P590))&amp;"","")</f>
        <v/>
      </c>
      <c r="Q590" t="str">
        <f>IF(P590="","",IF(COUNTIF(P$10:P590,P590)=1,COUNTIF(P$10:P$609,"&lt;"&amp;P590)+1,""))</f>
        <v/>
      </c>
      <c r="BA590" t="str">
        <f>IFERROR(INDEX(wLast,521)&amp;"","")</f>
        <v/>
      </c>
      <c r="BB590" t="str">
        <f>IF(BA590="","",IFERROR(INDEX(wFirst,521)&amp;"",""))</f>
        <v/>
      </c>
      <c r="BC590" t="str">
        <f>IF(BA590="","",IFERROR(INDEX(wClass,521)&amp;"",""))</f>
        <v/>
      </c>
      <c r="BD590" t="str">
        <f>IF(BA590="","",IFERROR(INDEX(wKsBand,521)+0,""))</f>
        <v/>
      </c>
      <c r="BE590" t="str">
        <f>IF(BA590="","",IFERROR(INDEX(wTests,521)+0,0))</f>
        <v/>
      </c>
      <c r="BF590" t="str">
        <f>IF(BA590="","",IFERROR(INDEX(wMean,521)+0,""))</f>
        <v/>
      </c>
      <c r="BG590" t="str">
        <f>IF(BA590="","",IFERROR(INDEX(wVs,521)+0,""))</f>
        <v/>
      </c>
      <c r="BH590" t="str">
        <f>IF(OR(BA590="",wLatest=""),"",IFERROR(INDEX(wData,521,MATCH(wLatest&amp;CHAR(10)&amp;"Stanine",wHdr,0))+0,""))</f>
        <v/>
      </c>
      <c r="BI590" t="str">
        <f>IF(BA590="","",IF(AND(ISNUMBER(BG590),N(BE590)&gt;=WlMinTests,BG590&lt;=-WlGap),"Below expected for KS2",IF(AND(NOT(ISNUMBER(BD590)),ISNUMBER(BF590),N(BE590)&gt;=WlMinTests,BF590&lt;=WlLowMean),"Low results, no KS2 data","")))</f>
        <v/>
      </c>
      <c r="BJ590" t="str">
        <f>IF(BI590="","",IF(BI590="Below expected for KS2",BG590,100+BF590)+ROW()/1000000)</f>
        <v/>
      </c>
    </row>
    <row r="591">
      <c r="H591" t="str">
        <f>IFERROR(INDEX(tblY7[Class],ROWS(H$10:H591))&amp;"","")</f>
        <v/>
      </c>
      <c r="I591" t="str">
        <f>IF(H591="","",IF(COUNTIF(H$10:H591,H591)=1,COUNTIF(H$10:H$609,"&lt;"&amp;H591)+1,""))</f>
        <v/>
      </c>
      <c r="J591" t="str">
        <f>IFERROR(INDEX(tblY8[Class],ROWS(J$10:J591))&amp;"","")</f>
        <v/>
      </c>
      <c r="K591" t="str">
        <f>IF(J591="","",IF(COUNTIF(J$10:J591,J591)=1,COUNTIF(J$10:J$609,"&lt;"&amp;J591)+1,""))</f>
        <v/>
      </c>
      <c r="L591" t="str">
        <f>IFERROR(INDEX(tblY9[Class],ROWS(L$10:L591))&amp;"","")</f>
        <v/>
      </c>
      <c r="M591" t="str">
        <f>IF(L591="","",IF(COUNTIF(L$10:L591,L591)=1,COUNTIF(L$10:L$609,"&lt;"&amp;L591)+1,""))</f>
        <v/>
      </c>
      <c r="N591" t="str">
        <f>IFERROR(INDEX(tblY10[Class],ROWS(N$10:N591))&amp;"","")</f>
        <v/>
      </c>
      <c r="O591" t="str">
        <f>IF(N591="","",IF(COUNTIF(N$10:N591,N591)=1,COUNTIF(N$10:N$609,"&lt;"&amp;N591)+1,""))</f>
        <v/>
      </c>
      <c r="P591" t="str">
        <f>IFERROR(INDEX(tblY11[Class],ROWS(P$10:P591))&amp;"","")</f>
        <v/>
      </c>
      <c r="Q591" t="str">
        <f>IF(P591="","",IF(COUNTIF(P$10:P591,P591)=1,COUNTIF(P$10:P$609,"&lt;"&amp;P591)+1,""))</f>
        <v/>
      </c>
      <c r="BA591" t="str">
        <f>IFERROR(INDEX(wLast,522)&amp;"","")</f>
        <v/>
      </c>
      <c r="BB591" t="str">
        <f>IF(BA591="","",IFERROR(INDEX(wFirst,522)&amp;"",""))</f>
        <v/>
      </c>
      <c r="BC591" t="str">
        <f>IF(BA591="","",IFERROR(INDEX(wClass,522)&amp;"",""))</f>
        <v/>
      </c>
      <c r="BD591" t="str">
        <f>IF(BA591="","",IFERROR(INDEX(wKsBand,522)+0,""))</f>
        <v/>
      </c>
      <c r="BE591" t="str">
        <f>IF(BA591="","",IFERROR(INDEX(wTests,522)+0,0))</f>
        <v/>
      </c>
      <c r="BF591" t="str">
        <f>IF(BA591="","",IFERROR(INDEX(wMean,522)+0,""))</f>
        <v/>
      </c>
      <c r="BG591" t="str">
        <f>IF(BA591="","",IFERROR(INDEX(wVs,522)+0,""))</f>
        <v/>
      </c>
      <c r="BH591" t="str">
        <f>IF(OR(BA591="",wLatest=""),"",IFERROR(INDEX(wData,522,MATCH(wLatest&amp;CHAR(10)&amp;"Stanine",wHdr,0))+0,""))</f>
        <v/>
      </c>
      <c r="BI591" t="str">
        <f>IF(BA591="","",IF(AND(ISNUMBER(BG591),N(BE591)&gt;=WlMinTests,BG591&lt;=-WlGap),"Below expected for KS2",IF(AND(NOT(ISNUMBER(BD591)),ISNUMBER(BF591),N(BE591)&gt;=WlMinTests,BF591&lt;=WlLowMean),"Low results, no KS2 data","")))</f>
        <v/>
      </c>
      <c r="BJ591" t="str">
        <f>IF(BI591="","",IF(BI591="Below expected for KS2",BG591,100+BF591)+ROW()/1000000)</f>
        <v/>
      </c>
    </row>
    <row r="592">
      <c r="H592" t="str">
        <f>IFERROR(INDEX(tblY7[Class],ROWS(H$10:H592))&amp;"","")</f>
        <v/>
      </c>
      <c r="I592" t="str">
        <f>IF(H592="","",IF(COUNTIF(H$10:H592,H592)=1,COUNTIF(H$10:H$609,"&lt;"&amp;H592)+1,""))</f>
        <v/>
      </c>
      <c r="J592" t="str">
        <f>IFERROR(INDEX(tblY8[Class],ROWS(J$10:J592))&amp;"","")</f>
        <v/>
      </c>
      <c r="K592" t="str">
        <f>IF(J592="","",IF(COUNTIF(J$10:J592,J592)=1,COUNTIF(J$10:J$609,"&lt;"&amp;J592)+1,""))</f>
        <v/>
      </c>
      <c r="L592" t="str">
        <f>IFERROR(INDEX(tblY9[Class],ROWS(L$10:L592))&amp;"","")</f>
        <v/>
      </c>
      <c r="M592" t="str">
        <f>IF(L592="","",IF(COUNTIF(L$10:L592,L592)=1,COUNTIF(L$10:L$609,"&lt;"&amp;L592)+1,""))</f>
        <v/>
      </c>
      <c r="N592" t="str">
        <f>IFERROR(INDEX(tblY10[Class],ROWS(N$10:N592))&amp;"","")</f>
        <v/>
      </c>
      <c r="O592" t="str">
        <f>IF(N592="","",IF(COUNTIF(N$10:N592,N592)=1,COUNTIF(N$10:N$609,"&lt;"&amp;N592)+1,""))</f>
        <v/>
      </c>
      <c r="P592" t="str">
        <f>IFERROR(INDEX(tblY11[Class],ROWS(P$10:P592))&amp;"","")</f>
        <v/>
      </c>
      <c r="Q592" t="str">
        <f>IF(P592="","",IF(COUNTIF(P$10:P592,P592)=1,COUNTIF(P$10:P$609,"&lt;"&amp;P592)+1,""))</f>
        <v/>
      </c>
      <c r="BA592" t="str">
        <f>IFERROR(INDEX(wLast,523)&amp;"","")</f>
        <v/>
      </c>
      <c r="BB592" t="str">
        <f>IF(BA592="","",IFERROR(INDEX(wFirst,523)&amp;"",""))</f>
        <v/>
      </c>
      <c r="BC592" t="str">
        <f>IF(BA592="","",IFERROR(INDEX(wClass,523)&amp;"",""))</f>
        <v/>
      </c>
      <c r="BD592" t="str">
        <f>IF(BA592="","",IFERROR(INDEX(wKsBand,523)+0,""))</f>
        <v/>
      </c>
      <c r="BE592" t="str">
        <f>IF(BA592="","",IFERROR(INDEX(wTests,523)+0,0))</f>
        <v/>
      </c>
      <c r="BF592" t="str">
        <f>IF(BA592="","",IFERROR(INDEX(wMean,523)+0,""))</f>
        <v/>
      </c>
      <c r="BG592" t="str">
        <f>IF(BA592="","",IFERROR(INDEX(wVs,523)+0,""))</f>
        <v/>
      </c>
      <c r="BH592" t="str">
        <f>IF(OR(BA592="",wLatest=""),"",IFERROR(INDEX(wData,523,MATCH(wLatest&amp;CHAR(10)&amp;"Stanine",wHdr,0))+0,""))</f>
        <v/>
      </c>
      <c r="BI592" t="str">
        <f>IF(BA592="","",IF(AND(ISNUMBER(BG592),N(BE592)&gt;=WlMinTests,BG592&lt;=-WlGap),"Below expected for KS2",IF(AND(NOT(ISNUMBER(BD592)),ISNUMBER(BF592),N(BE592)&gt;=WlMinTests,BF592&lt;=WlLowMean),"Low results, no KS2 data","")))</f>
        <v/>
      </c>
      <c r="BJ592" t="str">
        <f>IF(BI592="","",IF(BI592="Below expected for KS2",BG592,100+BF592)+ROW()/1000000)</f>
        <v/>
      </c>
    </row>
    <row r="593">
      <c r="H593" t="str">
        <f>IFERROR(INDEX(tblY7[Class],ROWS(H$10:H593))&amp;"","")</f>
        <v/>
      </c>
      <c r="I593" t="str">
        <f>IF(H593="","",IF(COUNTIF(H$10:H593,H593)=1,COUNTIF(H$10:H$609,"&lt;"&amp;H593)+1,""))</f>
        <v/>
      </c>
      <c r="J593" t="str">
        <f>IFERROR(INDEX(tblY8[Class],ROWS(J$10:J593))&amp;"","")</f>
        <v/>
      </c>
      <c r="K593" t="str">
        <f>IF(J593="","",IF(COUNTIF(J$10:J593,J593)=1,COUNTIF(J$10:J$609,"&lt;"&amp;J593)+1,""))</f>
        <v/>
      </c>
      <c r="L593" t="str">
        <f>IFERROR(INDEX(tblY9[Class],ROWS(L$10:L593))&amp;"","")</f>
        <v/>
      </c>
      <c r="M593" t="str">
        <f>IF(L593="","",IF(COUNTIF(L$10:L593,L593)=1,COUNTIF(L$10:L$609,"&lt;"&amp;L593)+1,""))</f>
        <v/>
      </c>
      <c r="N593" t="str">
        <f>IFERROR(INDEX(tblY10[Class],ROWS(N$10:N593))&amp;"","")</f>
        <v/>
      </c>
      <c r="O593" t="str">
        <f>IF(N593="","",IF(COUNTIF(N$10:N593,N593)=1,COUNTIF(N$10:N$609,"&lt;"&amp;N593)+1,""))</f>
        <v/>
      </c>
      <c r="P593" t="str">
        <f>IFERROR(INDEX(tblY11[Class],ROWS(P$10:P593))&amp;"","")</f>
        <v/>
      </c>
      <c r="Q593" t="str">
        <f>IF(P593="","",IF(COUNTIF(P$10:P593,P593)=1,COUNTIF(P$10:P$609,"&lt;"&amp;P593)+1,""))</f>
        <v/>
      </c>
      <c r="BA593" t="str">
        <f>IFERROR(INDEX(wLast,524)&amp;"","")</f>
        <v/>
      </c>
      <c r="BB593" t="str">
        <f>IF(BA593="","",IFERROR(INDEX(wFirst,524)&amp;"",""))</f>
        <v/>
      </c>
      <c r="BC593" t="str">
        <f>IF(BA593="","",IFERROR(INDEX(wClass,524)&amp;"",""))</f>
        <v/>
      </c>
      <c r="BD593" t="str">
        <f>IF(BA593="","",IFERROR(INDEX(wKsBand,524)+0,""))</f>
        <v/>
      </c>
      <c r="BE593" t="str">
        <f>IF(BA593="","",IFERROR(INDEX(wTests,524)+0,0))</f>
        <v/>
      </c>
      <c r="BF593" t="str">
        <f>IF(BA593="","",IFERROR(INDEX(wMean,524)+0,""))</f>
        <v/>
      </c>
      <c r="BG593" t="str">
        <f>IF(BA593="","",IFERROR(INDEX(wVs,524)+0,""))</f>
        <v/>
      </c>
      <c r="BH593" t="str">
        <f>IF(OR(BA593="",wLatest=""),"",IFERROR(INDEX(wData,524,MATCH(wLatest&amp;CHAR(10)&amp;"Stanine",wHdr,0))+0,""))</f>
        <v/>
      </c>
      <c r="BI593" t="str">
        <f>IF(BA593="","",IF(AND(ISNUMBER(BG593),N(BE593)&gt;=WlMinTests,BG593&lt;=-WlGap),"Below expected for KS2",IF(AND(NOT(ISNUMBER(BD593)),ISNUMBER(BF593),N(BE593)&gt;=WlMinTests,BF593&lt;=WlLowMean),"Low results, no KS2 data","")))</f>
        <v/>
      </c>
      <c r="BJ593" t="str">
        <f>IF(BI593="","",IF(BI593="Below expected for KS2",BG593,100+BF593)+ROW()/1000000)</f>
        <v/>
      </c>
    </row>
    <row r="594">
      <c r="H594" t="str">
        <f>IFERROR(INDEX(tblY7[Class],ROWS(H$10:H594))&amp;"","")</f>
        <v/>
      </c>
      <c r="I594" t="str">
        <f>IF(H594="","",IF(COUNTIF(H$10:H594,H594)=1,COUNTIF(H$10:H$609,"&lt;"&amp;H594)+1,""))</f>
        <v/>
      </c>
      <c r="J594" t="str">
        <f>IFERROR(INDEX(tblY8[Class],ROWS(J$10:J594))&amp;"","")</f>
        <v/>
      </c>
      <c r="K594" t="str">
        <f>IF(J594="","",IF(COUNTIF(J$10:J594,J594)=1,COUNTIF(J$10:J$609,"&lt;"&amp;J594)+1,""))</f>
        <v/>
      </c>
      <c r="L594" t="str">
        <f>IFERROR(INDEX(tblY9[Class],ROWS(L$10:L594))&amp;"","")</f>
        <v/>
      </c>
      <c r="M594" t="str">
        <f>IF(L594="","",IF(COUNTIF(L$10:L594,L594)=1,COUNTIF(L$10:L$609,"&lt;"&amp;L594)+1,""))</f>
        <v/>
      </c>
      <c r="N594" t="str">
        <f>IFERROR(INDEX(tblY10[Class],ROWS(N$10:N594))&amp;"","")</f>
        <v/>
      </c>
      <c r="O594" t="str">
        <f>IF(N594="","",IF(COUNTIF(N$10:N594,N594)=1,COUNTIF(N$10:N$609,"&lt;"&amp;N594)+1,""))</f>
        <v/>
      </c>
      <c r="P594" t="str">
        <f>IFERROR(INDEX(tblY11[Class],ROWS(P$10:P594))&amp;"","")</f>
        <v/>
      </c>
      <c r="Q594" t="str">
        <f>IF(P594="","",IF(COUNTIF(P$10:P594,P594)=1,COUNTIF(P$10:P$609,"&lt;"&amp;P594)+1,""))</f>
        <v/>
      </c>
      <c r="BA594" t="str">
        <f>IFERROR(INDEX(wLast,525)&amp;"","")</f>
        <v/>
      </c>
      <c r="BB594" t="str">
        <f>IF(BA594="","",IFERROR(INDEX(wFirst,525)&amp;"",""))</f>
        <v/>
      </c>
      <c r="BC594" t="str">
        <f>IF(BA594="","",IFERROR(INDEX(wClass,525)&amp;"",""))</f>
        <v/>
      </c>
      <c r="BD594" t="str">
        <f>IF(BA594="","",IFERROR(INDEX(wKsBand,525)+0,""))</f>
        <v/>
      </c>
      <c r="BE594" t="str">
        <f>IF(BA594="","",IFERROR(INDEX(wTests,525)+0,0))</f>
        <v/>
      </c>
      <c r="BF594" t="str">
        <f>IF(BA594="","",IFERROR(INDEX(wMean,525)+0,""))</f>
        <v/>
      </c>
      <c r="BG594" t="str">
        <f>IF(BA594="","",IFERROR(INDEX(wVs,525)+0,""))</f>
        <v/>
      </c>
      <c r="BH594" t="str">
        <f>IF(OR(BA594="",wLatest=""),"",IFERROR(INDEX(wData,525,MATCH(wLatest&amp;CHAR(10)&amp;"Stanine",wHdr,0))+0,""))</f>
        <v/>
      </c>
      <c r="BI594" t="str">
        <f>IF(BA594="","",IF(AND(ISNUMBER(BG594),N(BE594)&gt;=WlMinTests,BG594&lt;=-WlGap),"Below expected for KS2",IF(AND(NOT(ISNUMBER(BD594)),ISNUMBER(BF594),N(BE594)&gt;=WlMinTests,BF594&lt;=WlLowMean),"Low results, no KS2 data","")))</f>
        <v/>
      </c>
      <c r="BJ594" t="str">
        <f>IF(BI594="","",IF(BI594="Below expected for KS2",BG594,100+BF594)+ROW()/1000000)</f>
        <v/>
      </c>
    </row>
    <row r="595">
      <c r="H595" t="str">
        <f>IFERROR(INDEX(tblY7[Class],ROWS(H$10:H595))&amp;"","")</f>
        <v/>
      </c>
      <c r="I595" t="str">
        <f>IF(H595="","",IF(COUNTIF(H$10:H595,H595)=1,COUNTIF(H$10:H$609,"&lt;"&amp;H595)+1,""))</f>
        <v/>
      </c>
      <c r="J595" t="str">
        <f>IFERROR(INDEX(tblY8[Class],ROWS(J$10:J595))&amp;"","")</f>
        <v/>
      </c>
      <c r="K595" t="str">
        <f>IF(J595="","",IF(COUNTIF(J$10:J595,J595)=1,COUNTIF(J$10:J$609,"&lt;"&amp;J595)+1,""))</f>
        <v/>
      </c>
      <c r="L595" t="str">
        <f>IFERROR(INDEX(tblY9[Class],ROWS(L$10:L595))&amp;"","")</f>
        <v/>
      </c>
      <c r="M595" t="str">
        <f>IF(L595="","",IF(COUNTIF(L$10:L595,L595)=1,COUNTIF(L$10:L$609,"&lt;"&amp;L595)+1,""))</f>
        <v/>
      </c>
      <c r="N595" t="str">
        <f>IFERROR(INDEX(tblY10[Class],ROWS(N$10:N595))&amp;"","")</f>
        <v/>
      </c>
      <c r="O595" t="str">
        <f>IF(N595="","",IF(COUNTIF(N$10:N595,N595)=1,COUNTIF(N$10:N$609,"&lt;"&amp;N595)+1,""))</f>
        <v/>
      </c>
      <c r="P595" t="str">
        <f>IFERROR(INDEX(tblY11[Class],ROWS(P$10:P595))&amp;"","")</f>
        <v/>
      </c>
      <c r="Q595" t="str">
        <f>IF(P595="","",IF(COUNTIF(P$10:P595,P595)=1,COUNTIF(P$10:P$609,"&lt;"&amp;P595)+1,""))</f>
        <v/>
      </c>
      <c r="BA595" t="str">
        <f>IFERROR(INDEX(wLast,526)&amp;"","")</f>
        <v/>
      </c>
      <c r="BB595" t="str">
        <f>IF(BA595="","",IFERROR(INDEX(wFirst,526)&amp;"",""))</f>
        <v/>
      </c>
      <c r="BC595" t="str">
        <f>IF(BA595="","",IFERROR(INDEX(wClass,526)&amp;"",""))</f>
        <v/>
      </c>
      <c r="BD595" t="str">
        <f>IF(BA595="","",IFERROR(INDEX(wKsBand,526)+0,""))</f>
        <v/>
      </c>
      <c r="BE595" t="str">
        <f>IF(BA595="","",IFERROR(INDEX(wTests,526)+0,0))</f>
        <v/>
      </c>
      <c r="BF595" t="str">
        <f>IF(BA595="","",IFERROR(INDEX(wMean,526)+0,""))</f>
        <v/>
      </c>
      <c r="BG595" t="str">
        <f>IF(BA595="","",IFERROR(INDEX(wVs,526)+0,""))</f>
        <v/>
      </c>
      <c r="BH595" t="str">
        <f>IF(OR(BA595="",wLatest=""),"",IFERROR(INDEX(wData,526,MATCH(wLatest&amp;CHAR(10)&amp;"Stanine",wHdr,0))+0,""))</f>
        <v/>
      </c>
      <c r="BI595" t="str">
        <f>IF(BA595="","",IF(AND(ISNUMBER(BG595),N(BE595)&gt;=WlMinTests,BG595&lt;=-WlGap),"Below expected for KS2",IF(AND(NOT(ISNUMBER(BD595)),ISNUMBER(BF595),N(BE595)&gt;=WlMinTests,BF595&lt;=WlLowMean),"Low results, no KS2 data","")))</f>
        <v/>
      </c>
      <c r="BJ595" t="str">
        <f>IF(BI595="","",IF(BI595="Below expected for KS2",BG595,100+BF595)+ROW()/1000000)</f>
        <v/>
      </c>
    </row>
    <row r="596">
      <c r="H596" t="str">
        <f>IFERROR(INDEX(tblY7[Class],ROWS(H$10:H596))&amp;"","")</f>
        <v/>
      </c>
      <c r="I596" t="str">
        <f>IF(H596="","",IF(COUNTIF(H$10:H596,H596)=1,COUNTIF(H$10:H$609,"&lt;"&amp;H596)+1,""))</f>
        <v/>
      </c>
      <c r="J596" t="str">
        <f>IFERROR(INDEX(tblY8[Class],ROWS(J$10:J596))&amp;"","")</f>
        <v/>
      </c>
      <c r="K596" t="str">
        <f>IF(J596="","",IF(COUNTIF(J$10:J596,J596)=1,COUNTIF(J$10:J$609,"&lt;"&amp;J596)+1,""))</f>
        <v/>
      </c>
      <c r="L596" t="str">
        <f>IFERROR(INDEX(tblY9[Class],ROWS(L$10:L596))&amp;"","")</f>
        <v/>
      </c>
      <c r="M596" t="str">
        <f>IF(L596="","",IF(COUNTIF(L$10:L596,L596)=1,COUNTIF(L$10:L$609,"&lt;"&amp;L596)+1,""))</f>
        <v/>
      </c>
      <c r="N596" t="str">
        <f>IFERROR(INDEX(tblY10[Class],ROWS(N$10:N596))&amp;"","")</f>
        <v/>
      </c>
      <c r="O596" t="str">
        <f>IF(N596="","",IF(COUNTIF(N$10:N596,N596)=1,COUNTIF(N$10:N$609,"&lt;"&amp;N596)+1,""))</f>
        <v/>
      </c>
      <c r="P596" t="str">
        <f>IFERROR(INDEX(tblY11[Class],ROWS(P$10:P596))&amp;"","")</f>
        <v/>
      </c>
      <c r="Q596" t="str">
        <f>IF(P596="","",IF(COUNTIF(P$10:P596,P596)=1,COUNTIF(P$10:P$609,"&lt;"&amp;P596)+1,""))</f>
        <v/>
      </c>
      <c r="BA596" t="str">
        <f>IFERROR(INDEX(wLast,527)&amp;"","")</f>
        <v/>
      </c>
      <c r="BB596" t="str">
        <f>IF(BA596="","",IFERROR(INDEX(wFirst,527)&amp;"",""))</f>
        <v/>
      </c>
      <c r="BC596" t="str">
        <f>IF(BA596="","",IFERROR(INDEX(wClass,527)&amp;"",""))</f>
        <v/>
      </c>
      <c r="BD596" t="str">
        <f>IF(BA596="","",IFERROR(INDEX(wKsBand,527)+0,""))</f>
        <v/>
      </c>
      <c r="BE596" t="str">
        <f>IF(BA596="","",IFERROR(INDEX(wTests,527)+0,0))</f>
        <v/>
      </c>
      <c r="BF596" t="str">
        <f>IF(BA596="","",IFERROR(INDEX(wMean,527)+0,""))</f>
        <v/>
      </c>
      <c r="BG596" t="str">
        <f>IF(BA596="","",IFERROR(INDEX(wVs,527)+0,""))</f>
        <v/>
      </c>
      <c r="BH596" t="str">
        <f>IF(OR(BA596="",wLatest=""),"",IFERROR(INDEX(wData,527,MATCH(wLatest&amp;CHAR(10)&amp;"Stanine",wHdr,0))+0,""))</f>
        <v/>
      </c>
      <c r="BI596" t="str">
        <f>IF(BA596="","",IF(AND(ISNUMBER(BG596),N(BE596)&gt;=WlMinTests,BG596&lt;=-WlGap),"Below expected for KS2",IF(AND(NOT(ISNUMBER(BD596)),ISNUMBER(BF596),N(BE596)&gt;=WlMinTests,BF596&lt;=WlLowMean),"Low results, no KS2 data","")))</f>
        <v/>
      </c>
      <c r="BJ596" t="str">
        <f>IF(BI596="","",IF(BI596="Below expected for KS2",BG596,100+BF596)+ROW()/1000000)</f>
        <v/>
      </c>
    </row>
    <row r="597">
      <c r="H597" t="str">
        <f>IFERROR(INDEX(tblY7[Class],ROWS(H$10:H597))&amp;"","")</f>
        <v/>
      </c>
      <c r="I597" t="str">
        <f>IF(H597="","",IF(COUNTIF(H$10:H597,H597)=1,COUNTIF(H$10:H$609,"&lt;"&amp;H597)+1,""))</f>
        <v/>
      </c>
      <c r="J597" t="str">
        <f>IFERROR(INDEX(tblY8[Class],ROWS(J$10:J597))&amp;"","")</f>
        <v/>
      </c>
      <c r="K597" t="str">
        <f>IF(J597="","",IF(COUNTIF(J$10:J597,J597)=1,COUNTIF(J$10:J$609,"&lt;"&amp;J597)+1,""))</f>
        <v/>
      </c>
      <c r="L597" t="str">
        <f>IFERROR(INDEX(tblY9[Class],ROWS(L$10:L597))&amp;"","")</f>
        <v/>
      </c>
      <c r="M597" t="str">
        <f>IF(L597="","",IF(COUNTIF(L$10:L597,L597)=1,COUNTIF(L$10:L$609,"&lt;"&amp;L597)+1,""))</f>
        <v/>
      </c>
      <c r="N597" t="str">
        <f>IFERROR(INDEX(tblY10[Class],ROWS(N$10:N597))&amp;"","")</f>
        <v/>
      </c>
      <c r="O597" t="str">
        <f>IF(N597="","",IF(COUNTIF(N$10:N597,N597)=1,COUNTIF(N$10:N$609,"&lt;"&amp;N597)+1,""))</f>
        <v/>
      </c>
      <c r="P597" t="str">
        <f>IFERROR(INDEX(tblY11[Class],ROWS(P$10:P597))&amp;"","")</f>
        <v/>
      </c>
      <c r="Q597" t="str">
        <f>IF(P597="","",IF(COUNTIF(P$10:P597,P597)=1,COUNTIF(P$10:P$609,"&lt;"&amp;P597)+1,""))</f>
        <v/>
      </c>
      <c r="BA597" t="str">
        <f>IFERROR(INDEX(wLast,528)&amp;"","")</f>
        <v/>
      </c>
      <c r="BB597" t="str">
        <f>IF(BA597="","",IFERROR(INDEX(wFirst,528)&amp;"",""))</f>
        <v/>
      </c>
      <c r="BC597" t="str">
        <f>IF(BA597="","",IFERROR(INDEX(wClass,528)&amp;"",""))</f>
        <v/>
      </c>
      <c r="BD597" t="str">
        <f>IF(BA597="","",IFERROR(INDEX(wKsBand,528)+0,""))</f>
        <v/>
      </c>
      <c r="BE597" t="str">
        <f>IF(BA597="","",IFERROR(INDEX(wTests,528)+0,0))</f>
        <v/>
      </c>
      <c r="BF597" t="str">
        <f>IF(BA597="","",IFERROR(INDEX(wMean,528)+0,""))</f>
        <v/>
      </c>
      <c r="BG597" t="str">
        <f>IF(BA597="","",IFERROR(INDEX(wVs,528)+0,""))</f>
        <v/>
      </c>
      <c r="BH597" t="str">
        <f>IF(OR(BA597="",wLatest=""),"",IFERROR(INDEX(wData,528,MATCH(wLatest&amp;CHAR(10)&amp;"Stanine",wHdr,0))+0,""))</f>
        <v/>
      </c>
      <c r="BI597" t="str">
        <f>IF(BA597="","",IF(AND(ISNUMBER(BG597),N(BE597)&gt;=WlMinTests,BG597&lt;=-WlGap),"Below expected for KS2",IF(AND(NOT(ISNUMBER(BD597)),ISNUMBER(BF597),N(BE597)&gt;=WlMinTests,BF597&lt;=WlLowMean),"Low results, no KS2 data","")))</f>
        <v/>
      </c>
      <c r="BJ597" t="str">
        <f>IF(BI597="","",IF(BI597="Below expected for KS2",BG597,100+BF597)+ROW()/1000000)</f>
        <v/>
      </c>
    </row>
    <row r="598">
      <c r="H598" t="str">
        <f>IFERROR(INDEX(tblY7[Class],ROWS(H$10:H598))&amp;"","")</f>
        <v/>
      </c>
      <c r="I598" t="str">
        <f>IF(H598="","",IF(COUNTIF(H$10:H598,H598)=1,COUNTIF(H$10:H$609,"&lt;"&amp;H598)+1,""))</f>
        <v/>
      </c>
      <c r="J598" t="str">
        <f>IFERROR(INDEX(tblY8[Class],ROWS(J$10:J598))&amp;"","")</f>
        <v/>
      </c>
      <c r="K598" t="str">
        <f>IF(J598="","",IF(COUNTIF(J$10:J598,J598)=1,COUNTIF(J$10:J$609,"&lt;"&amp;J598)+1,""))</f>
        <v/>
      </c>
      <c r="L598" t="str">
        <f>IFERROR(INDEX(tblY9[Class],ROWS(L$10:L598))&amp;"","")</f>
        <v/>
      </c>
      <c r="M598" t="str">
        <f>IF(L598="","",IF(COUNTIF(L$10:L598,L598)=1,COUNTIF(L$10:L$609,"&lt;"&amp;L598)+1,""))</f>
        <v/>
      </c>
      <c r="N598" t="str">
        <f>IFERROR(INDEX(tblY10[Class],ROWS(N$10:N598))&amp;"","")</f>
        <v/>
      </c>
      <c r="O598" t="str">
        <f>IF(N598="","",IF(COUNTIF(N$10:N598,N598)=1,COUNTIF(N$10:N$609,"&lt;"&amp;N598)+1,""))</f>
        <v/>
      </c>
      <c r="P598" t="str">
        <f>IFERROR(INDEX(tblY11[Class],ROWS(P$10:P598))&amp;"","")</f>
        <v/>
      </c>
      <c r="Q598" t="str">
        <f>IF(P598="","",IF(COUNTIF(P$10:P598,P598)=1,COUNTIF(P$10:P$609,"&lt;"&amp;P598)+1,""))</f>
        <v/>
      </c>
      <c r="BA598" t="str">
        <f>IFERROR(INDEX(wLast,529)&amp;"","")</f>
        <v/>
      </c>
      <c r="BB598" t="str">
        <f>IF(BA598="","",IFERROR(INDEX(wFirst,529)&amp;"",""))</f>
        <v/>
      </c>
      <c r="BC598" t="str">
        <f>IF(BA598="","",IFERROR(INDEX(wClass,529)&amp;"",""))</f>
        <v/>
      </c>
      <c r="BD598" t="str">
        <f>IF(BA598="","",IFERROR(INDEX(wKsBand,529)+0,""))</f>
        <v/>
      </c>
      <c r="BE598" t="str">
        <f>IF(BA598="","",IFERROR(INDEX(wTests,529)+0,0))</f>
        <v/>
      </c>
      <c r="BF598" t="str">
        <f>IF(BA598="","",IFERROR(INDEX(wMean,529)+0,""))</f>
        <v/>
      </c>
      <c r="BG598" t="str">
        <f>IF(BA598="","",IFERROR(INDEX(wVs,529)+0,""))</f>
        <v/>
      </c>
      <c r="BH598" t="str">
        <f>IF(OR(BA598="",wLatest=""),"",IFERROR(INDEX(wData,529,MATCH(wLatest&amp;CHAR(10)&amp;"Stanine",wHdr,0))+0,""))</f>
        <v/>
      </c>
      <c r="BI598" t="str">
        <f>IF(BA598="","",IF(AND(ISNUMBER(BG598),N(BE598)&gt;=WlMinTests,BG598&lt;=-WlGap),"Below expected for KS2",IF(AND(NOT(ISNUMBER(BD598)),ISNUMBER(BF598),N(BE598)&gt;=WlMinTests,BF598&lt;=WlLowMean),"Low results, no KS2 data","")))</f>
        <v/>
      </c>
      <c r="BJ598" t="str">
        <f>IF(BI598="","",IF(BI598="Below expected for KS2",BG598,100+BF598)+ROW()/1000000)</f>
        <v/>
      </c>
    </row>
    <row r="599">
      <c r="H599" t="str">
        <f>IFERROR(INDEX(tblY7[Class],ROWS(H$10:H599))&amp;"","")</f>
        <v/>
      </c>
      <c r="I599" t="str">
        <f>IF(H599="","",IF(COUNTIF(H$10:H599,H599)=1,COUNTIF(H$10:H$609,"&lt;"&amp;H599)+1,""))</f>
        <v/>
      </c>
      <c r="J599" t="str">
        <f>IFERROR(INDEX(tblY8[Class],ROWS(J$10:J599))&amp;"","")</f>
        <v/>
      </c>
      <c r="K599" t="str">
        <f>IF(J599="","",IF(COUNTIF(J$10:J599,J599)=1,COUNTIF(J$10:J$609,"&lt;"&amp;J599)+1,""))</f>
        <v/>
      </c>
      <c r="L599" t="str">
        <f>IFERROR(INDEX(tblY9[Class],ROWS(L$10:L599))&amp;"","")</f>
        <v/>
      </c>
      <c r="M599" t="str">
        <f>IF(L599="","",IF(COUNTIF(L$10:L599,L599)=1,COUNTIF(L$10:L$609,"&lt;"&amp;L599)+1,""))</f>
        <v/>
      </c>
      <c r="N599" t="str">
        <f>IFERROR(INDEX(tblY10[Class],ROWS(N$10:N599))&amp;"","")</f>
        <v/>
      </c>
      <c r="O599" t="str">
        <f>IF(N599="","",IF(COUNTIF(N$10:N599,N599)=1,COUNTIF(N$10:N$609,"&lt;"&amp;N599)+1,""))</f>
        <v/>
      </c>
      <c r="P599" t="str">
        <f>IFERROR(INDEX(tblY11[Class],ROWS(P$10:P599))&amp;"","")</f>
        <v/>
      </c>
      <c r="Q599" t="str">
        <f>IF(P599="","",IF(COUNTIF(P$10:P599,P599)=1,COUNTIF(P$10:P$609,"&lt;"&amp;P599)+1,""))</f>
        <v/>
      </c>
      <c r="BA599" t="str">
        <f>IFERROR(INDEX(wLast,530)&amp;"","")</f>
        <v/>
      </c>
      <c r="BB599" t="str">
        <f>IF(BA599="","",IFERROR(INDEX(wFirst,530)&amp;"",""))</f>
        <v/>
      </c>
      <c r="BC599" t="str">
        <f>IF(BA599="","",IFERROR(INDEX(wClass,530)&amp;"",""))</f>
        <v/>
      </c>
      <c r="BD599" t="str">
        <f>IF(BA599="","",IFERROR(INDEX(wKsBand,530)+0,""))</f>
        <v/>
      </c>
      <c r="BE599" t="str">
        <f>IF(BA599="","",IFERROR(INDEX(wTests,530)+0,0))</f>
        <v/>
      </c>
      <c r="BF599" t="str">
        <f>IF(BA599="","",IFERROR(INDEX(wMean,530)+0,""))</f>
        <v/>
      </c>
      <c r="BG599" t="str">
        <f>IF(BA599="","",IFERROR(INDEX(wVs,530)+0,""))</f>
        <v/>
      </c>
      <c r="BH599" t="str">
        <f>IF(OR(BA599="",wLatest=""),"",IFERROR(INDEX(wData,530,MATCH(wLatest&amp;CHAR(10)&amp;"Stanine",wHdr,0))+0,""))</f>
        <v/>
      </c>
      <c r="BI599" t="str">
        <f>IF(BA599="","",IF(AND(ISNUMBER(BG599),N(BE599)&gt;=WlMinTests,BG599&lt;=-WlGap),"Below expected for KS2",IF(AND(NOT(ISNUMBER(BD599)),ISNUMBER(BF599),N(BE599)&gt;=WlMinTests,BF599&lt;=WlLowMean),"Low results, no KS2 data","")))</f>
        <v/>
      </c>
      <c r="BJ599" t="str">
        <f>IF(BI599="","",IF(BI599="Below expected for KS2",BG599,100+BF599)+ROW()/1000000)</f>
        <v/>
      </c>
    </row>
    <row r="600">
      <c r="H600" t="str">
        <f>IFERROR(INDEX(tblY7[Class],ROWS(H$10:H600))&amp;"","")</f>
        <v/>
      </c>
      <c r="I600" t="str">
        <f>IF(H600="","",IF(COUNTIF(H$10:H600,H600)=1,COUNTIF(H$10:H$609,"&lt;"&amp;H600)+1,""))</f>
        <v/>
      </c>
      <c r="J600" t="str">
        <f>IFERROR(INDEX(tblY8[Class],ROWS(J$10:J600))&amp;"","")</f>
        <v/>
      </c>
      <c r="K600" t="str">
        <f>IF(J600="","",IF(COUNTIF(J$10:J600,J600)=1,COUNTIF(J$10:J$609,"&lt;"&amp;J600)+1,""))</f>
        <v/>
      </c>
      <c r="L600" t="str">
        <f>IFERROR(INDEX(tblY9[Class],ROWS(L$10:L600))&amp;"","")</f>
        <v/>
      </c>
      <c r="M600" t="str">
        <f>IF(L600="","",IF(COUNTIF(L$10:L600,L600)=1,COUNTIF(L$10:L$609,"&lt;"&amp;L600)+1,""))</f>
        <v/>
      </c>
      <c r="N600" t="str">
        <f>IFERROR(INDEX(tblY10[Class],ROWS(N$10:N600))&amp;"","")</f>
        <v/>
      </c>
      <c r="O600" t="str">
        <f>IF(N600="","",IF(COUNTIF(N$10:N600,N600)=1,COUNTIF(N$10:N$609,"&lt;"&amp;N600)+1,""))</f>
        <v/>
      </c>
      <c r="P600" t="str">
        <f>IFERROR(INDEX(tblY11[Class],ROWS(P$10:P600))&amp;"","")</f>
        <v/>
      </c>
      <c r="Q600" t="str">
        <f>IF(P600="","",IF(COUNTIF(P$10:P600,P600)=1,COUNTIF(P$10:P$609,"&lt;"&amp;P600)+1,""))</f>
        <v/>
      </c>
      <c r="BA600" t="str">
        <f>IFERROR(INDEX(wLast,531)&amp;"","")</f>
        <v/>
      </c>
      <c r="BB600" t="str">
        <f>IF(BA600="","",IFERROR(INDEX(wFirst,531)&amp;"",""))</f>
        <v/>
      </c>
      <c r="BC600" t="str">
        <f>IF(BA600="","",IFERROR(INDEX(wClass,531)&amp;"",""))</f>
        <v/>
      </c>
      <c r="BD600" t="str">
        <f>IF(BA600="","",IFERROR(INDEX(wKsBand,531)+0,""))</f>
        <v/>
      </c>
      <c r="BE600" t="str">
        <f>IF(BA600="","",IFERROR(INDEX(wTests,531)+0,0))</f>
        <v/>
      </c>
      <c r="BF600" t="str">
        <f>IF(BA600="","",IFERROR(INDEX(wMean,531)+0,""))</f>
        <v/>
      </c>
      <c r="BG600" t="str">
        <f>IF(BA600="","",IFERROR(INDEX(wVs,531)+0,""))</f>
        <v/>
      </c>
      <c r="BH600" t="str">
        <f>IF(OR(BA600="",wLatest=""),"",IFERROR(INDEX(wData,531,MATCH(wLatest&amp;CHAR(10)&amp;"Stanine",wHdr,0))+0,""))</f>
        <v/>
      </c>
      <c r="BI600" t="str">
        <f>IF(BA600="","",IF(AND(ISNUMBER(BG600),N(BE600)&gt;=WlMinTests,BG600&lt;=-WlGap),"Below expected for KS2",IF(AND(NOT(ISNUMBER(BD600)),ISNUMBER(BF600),N(BE600)&gt;=WlMinTests,BF600&lt;=WlLowMean),"Low results, no KS2 data","")))</f>
        <v/>
      </c>
      <c r="BJ600" t="str">
        <f>IF(BI600="","",IF(BI600="Below expected for KS2",BG600,100+BF600)+ROW()/1000000)</f>
        <v/>
      </c>
    </row>
    <row r="601">
      <c r="H601" t="str">
        <f>IFERROR(INDEX(tblY7[Class],ROWS(H$10:H601))&amp;"","")</f>
        <v/>
      </c>
      <c r="I601" t="str">
        <f>IF(H601="","",IF(COUNTIF(H$10:H601,H601)=1,COUNTIF(H$10:H$609,"&lt;"&amp;H601)+1,""))</f>
        <v/>
      </c>
      <c r="J601" t="str">
        <f>IFERROR(INDEX(tblY8[Class],ROWS(J$10:J601))&amp;"","")</f>
        <v/>
      </c>
      <c r="K601" t="str">
        <f>IF(J601="","",IF(COUNTIF(J$10:J601,J601)=1,COUNTIF(J$10:J$609,"&lt;"&amp;J601)+1,""))</f>
        <v/>
      </c>
      <c r="L601" t="str">
        <f>IFERROR(INDEX(tblY9[Class],ROWS(L$10:L601))&amp;"","")</f>
        <v/>
      </c>
      <c r="M601" t="str">
        <f>IF(L601="","",IF(COUNTIF(L$10:L601,L601)=1,COUNTIF(L$10:L$609,"&lt;"&amp;L601)+1,""))</f>
        <v/>
      </c>
      <c r="N601" t="str">
        <f>IFERROR(INDEX(tblY10[Class],ROWS(N$10:N601))&amp;"","")</f>
        <v/>
      </c>
      <c r="O601" t="str">
        <f>IF(N601="","",IF(COUNTIF(N$10:N601,N601)=1,COUNTIF(N$10:N$609,"&lt;"&amp;N601)+1,""))</f>
        <v/>
      </c>
      <c r="P601" t="str">
        <f>IFERROR(INDEX(tblY11[Class],ROWS(P$10:P601))&amp;"","")</f>
        <v/>
      </c>
      <c r="Q601" t="str">
        <f>IF(P601="","",IF(COUNTIF(P$10:P601,P601)=1,COUNTIF(P$10:P$609,"&lt;"&amp;P601)+1,""))</f>
        <v/>
      </c>
      <c r="BA601" t="str">
        <f>IFERROR(INDEX(wLast,532)&amp;"","")</f>
        <v/>
      </c>
      <c r="BB601" t="str">
        <f>IF(BA601="","",IFERROR(INDEX(wFirst,532)&amp;"",""))</f>
        <v/>
      </c>
      <c r="BC601" t="str">
        <f>IF(BA601="","",IFERROR(INDEX(wClass,532)&amp;"",""))</f>
        <v/>
      </c>
      <c r="BD601" t="str">
        <f>IF(BA601="","",IFERROR(INDEX(wKsBand,532)+0,""))</f>
        <v/>
      </c>
      <c r="BE601" t="str">
        <f>IF(BA601="","",IFERROR(INDEX(wTests,532)+0,0))</f>
        <v/>
      </c>
      <c r="BF601" t="str">
        <f>IF(BA601="","",IFERROR(INDEX(wMean,532)+0,""))</f>
        <v/>
      </c>
      <c r="BG601" t="str">
        <f>IF(BA601="","",IFERROR(INDEX(wVs,532)+0,""))</f>
        <v/>
      </c>
      <c r="BH601" t="str">
        <f>IF(OR(BA601="",wLatest=""),"",IFERROR(INDEX(wData,532,MATCH(wLatest&amp;CHAR(10)&amp;"Stanine",wHdr,0))+0,""))</f>
        <v/>
      </c>
      <c r="BI601" t="str">
        <f>IF(BA601="","",IF(AND(ISNUMBER(BG601),N(BE601)&gt;=WlMinTests,BG601&lt;=-WlGap),"Below expected for KS2",IF(AND(NOT(ISNUMBER(BD601)),ISNUMBER(BF601),N(BE601)&gt;=WlMinTests,BF601&lt;=WlLowMean),"Low results, no KS2 data","")))</f>
        <v/>
      </c>
      <c r="BJ601" t="str">
        <f>IF(BI601="","",IF(BI601="Below expected for KS2",BG601,100+BF601)+ROW()/1000000)</f>
        <v/>
      </c>
    </row>
    <row r="602">
      <c r="H602" t="str">
        <f>IFERROR(INDEX(tblY7[Class],ROWS(H$10:H602))&amp;"","")</f>
        <v/>
      </c>
      <c r="I602" t="str">
        <f>IF(H602="","",IF(COUNTIF(H$10:H602,H602)=1,COUNTIF(H$10:H$609,"&lt;"&amp;H602)+1,""))</f>
        <v/>
      </c>
      <c r="J602" t="str">
        <f>IFERROR(INDEX(tblY8[Class],ROWS(J$10:J602))&amp;"","")</f>
        <v/>
      </c>
      <c r="K602" t="str">
        <f>IF(J602="","",IF(COUNTIF(J$10:J602,J602)=1,COUNTIF(J$10:J$609,"&lt;"&amp;J602)+1,""))</f>
        <v/>
      </c>
      <c r="L602" t="str">
        <f>IFERROR(INDEX(tblY9[Class],ROWS(L$10:L602))&amp;"","")</f>
        <v/>
      </c>
      <c r="M602" t="str">
        <f>IF(L602="","",IF(COUNTIF(L$10:L602,L602)=1,COUNTIF(L$10:L$609,"&lt;"&amp;L602)+1,""))</f>
        <v/>
      </c>
      <c r="N602" t="str">
        <f>IFERROR(INDEX(tblY10[Class],ROWS(N$10:N602))&amp;"","")</f>
        <v/>
      </c>
      <c r="O602" t="str">
        <f>IF(N602="","",IF(COUNTIF(N$10:N602,N602)=1,COUNTIF(N$10:N$609,"&lt;"&amp;N602)+1,""))</f>
        <v/>
      </c>
      <c r="P602" t="str">
        <f>IFERROR(INDEX(tblY11[Class],ROWS(P$10:P602))&amp;"","")</f>
        <v/>
      </c>
      <c r="Q602" t="str">
        <f>IF(P602="","",IF(COUNTIF(P$10:P602,P602)=1,COUNTIF(P$10:P$609,"&lt;"&amp;P602)+1,""))</f>
        <v/>
      </c>
      <c r="BA602" t="str">
        <f>IFERROR(INDEX(wLast,533)&amp;"","")</f>
        <v/>
      </c>
      <c r="BB602" t="str">
        <f>IF(BA602="","",IFERROR(INDEX(wFirst,533)&amp;"",""))</f>
        <v/>
      </c>
      <c r="BC602" t="str">
        <f>IF(BA602="","",IFERROR(INDEX(wClass,533)&amp;"",""))</f>
        <v/>
      </c>
      <c r="BD602" t="str">
        <f>IF(BA602="","",IFERROR(INDEX(wKsBand,533)+0,""))</f>
        <v/>
      </c>
      <c r="BE602" t="str">
        <f>IF(BA602="","",IFERROR(INDEX(wTests,533)+0,0))</f>
        <v/>
      </c>
      <c r="BF602" t="str">
        <f>IF(BA602="","",IFERROR(INDEX(wMean,533)+0,""))</f>
        <v/>
      </c>
      <c r="BG602" t="str">
        <f>IF(BA602="","",IFERROR(INDEX(wVs,533)+0,""))</f>
        <v/>
      </c>
      <c r="BH602" t="str">
        <f>IF(OR(BA602="",wLatest=""),"",IFERROR(INDEX(wData,533,MATCH(wLatest&amp;CHAR(10)&amp;"Stanine",wHdr,0))+0,""))</f>
        <v/>
      </c>
      <c r="BI602" t="str">
        <f>IF(BA602="","",IF(AND(ISNUMBER(BG602),N(BE602)&gt;=WlMinTests,BG602&lt;=-WlGap),"Below expected for KS2",IF(AND(NOT(ISNUMBER(BD602)),ISNUMBER(BF602),N(BE602)&gt;=WlMinTests,BF602&lt;=WlLowMean),"Low results, no KS2 data","")))</f>
        <v/>
      </c>
      <c r="BJ602" t="str">
        <f>IF(BI602="","",IF(BI602="Below expected for KS2",BG602,100+BF602)+ROW()/1000000)</f>
        <v/>
      </c>
    </row>
    <row r="603">
      <c r="H603" t="str">
        <f>IFERROR(INDEX(tblY7[Class],ROWS(H$10:H603))&amp;"","")</f>
        <v/>
      </c>
      <c r="I603" t="str">
        <f>IF(H603="","",IF(COUNTIF(H$10:H603,H603)=1,COUNTIF(H$10:H$609,"&lt;"&amp;H603)+1,""))</f>
        <v/>
      </c>
      <c r="J603" t="str">
        <f>IFERROR(INDEX(tblY8[Class],ROWS(J$10:J603))&amp;"","")</f>
        <v/>
      </c>
      <c r="K603" t="str">
        <f>IF(J603="","",IF(COUNTIF(J$10:J603,J603)=1,COUNTIF(J$10:J$609,"&lt;"&amp;J603)+1,""))</f>
        <v/>
      </c>
      <c r="L603" t="str">
        <f>IFERROR(INDEX(tblY9[Class],ROWS(L$10:L603))&amp;"","")</f>
        <v/>
      </c>
      <c r="M603" t="str">
        <f>IF(L603="","",IF(COUNTIF(L$10:L603,L603)=1,COUNTIF(L$10:L$609,"&lt;"&amp;L603)+1,""))</f>
        <v/>
      </c>
      <c r="N603" t="str">
        <f>IFERROR(INDEX(tblY10[Class],ROWS(N$10:N603))&amp;"","")</f>
        <v/>
      </c>
      <c r="O603" t="str">
        <f>IF(N603="","",IF(COUNTIF(N$10:N603,N603)=1,COUNTIF(N$10:N$609,"&lt;"&amp;N603)+1,""))</f>
        <v/>
      </c>
      <c r="P603" t="str">
        <f>IFERROR(INDEX(tblY11[Class],ROWS(P$10:P603))&amp;"","")</f>
        <v/>
      </c>
      <c r="Q603" t="str">
        <f>IF(P603="","",IF(COUNTIF(P$10:P603,P603)=1,COUNTIF(P$10:P$609,"&lt;"&amp;P603)+1,""))</f>
        <v/>
      </c>
      <c r="BA603" t="str">
        <f>IFERROR(INDEX(wLast,534)&amp;"","")</f>
        <v/>
      </c>
      <c r="BB603" t="str">
        <f>IF(BA603="","",IFERROR(INDEX(wFirst,534)&amp;"",""))</f>
        <v/>
      </c>
      <c r="BC603" t="str">
        <f>IF(BA603="","",IFERROR(INDEX(wClass,534)&amp;"",""))</f>
        <v/>
      </c>
      <c r="BD603" t="str">
        <f>IF(BA603="","",IFERROR(INDEX(wKsBand,534)+0,""))</f>
        <v/>
      </c>
      <c r="BE603" t="str">
        <f>IF(BA603="","",IFERROR(INDEX(wTests,534)+0,0))</f>
        <v/>
      </c>
      <c r="BF603" t="str">
        <f>IF(BA603="","",IFERROR(INDEX(wMean,534)+0,""))</f>
        <v/>
      </c>
      <c r="BG603" t="str">
        <f>IF(BA603="","",IFERROR(INDEX(wVs,534)+0,""))</f>
        <v/>
      </c>
      <c r="BH603" t="str">
        <f>IF(OR(BA603="",wLatest=""),"",IFERROR(INDEX(wData,534,MATCH(wLatest&amp;CHAR(10)&amp;"Stanine",wHdr,0))+0,""))</f>
        <v/>
      </c>
      <c r="BI603" t="str">
        <f>IF(BA603="","",IF(AND(ISNUMBER(BG603),N(BE603)&gt;=WlMinTests,BG603&lt;=-WlGap),"Below expected for KS2",IF(AND(NOT(ISNUMBER(BD603)),ISNUMBER(BF603),N(BE603)&gt;=WlMinTests,BF603&lt;=WlLowMean),"Low results, no KS2 data","")))</f>
        <v/>
      </c>
      <c r="BJ603" t="str">
        <f>IF(BI603="","",IF(BI603="Below expected for KS2",BG603,100+BF603)+ROW()/1000000)</f>
        <v/>
      </c>
    </row>
    <row r="604">
      <c r="H604" t="str">
        <f>IFERROR(INDEX(tblY7[Class],ROWS(H$10:H604))&amp;"","")</f>
        <v/>
      </c>
      <c r="I604" t="str">
        <f>IF(H604="","",IF(COUNTIF(H$10:H604,H604)=1,COUNTIF(H$10:H$609,"&lt;"&amp;H604)+1,""))</f>
        <v/>
      </c>
      <c r="J604" t="str">
        <f>IFERROR(INDEX(tblY8[Class],ROWS(J$10:J604))&amp;"","")</f>
        <v/>
      </c>
      <c r="K604" t="str">
        <f>IF(J604="","",IF(COUNTIF(J$10:J604,J604)=1,COUNTIF(J$10:J$609,"&lt;"&amp;J604)+1,""))</f>
        <v/>
      </c>
      <c r="L604" t="str">
        <f>IFERROR(INDEX(tblY9[Class],ROWS(L$10:L604))&amp;"","")</f>
        <v/>
      </c>
      <c r="M604" t="str">
        <f>IF(L604="","",IF(COUNTIF(L$10:L604,L604)=1,COUNTIF(L$10:L$609,"&lt;"&amp;L604)+1,""))</f>
        <v/>
      </c>
      <c r="N604" t="str">
        <f>IFERROR(INDEX(tblY10[Class],ROWS(N$10:N604))&amp;"","")</f>
        <v/>
      </c>
      <c r="O604" t="str">
        <f>IF(N604="","",IF(COUNTIF(N$10:N604,N604)=1,COUNTIF(N$10:N$609,"&lt;"&amp;N604)+1,""))</f>
        <v/>
      </c>
      <c r="P604" t="str">
        <f>IFERROR(INDEX(tblY11[Class],ROWS(P$10:P604))&amp;"","")</f>
        <v/>
      </c>
      <c r="Q604" t="str">
        <f>IF(P604="","",IF(COUNTIF(P$10:P604,P604)=1,COUNTIF(P$10:P$609,"&lt;"&amp;P604)+1,""))</f>
        <v/>
      </c>
      <c r="BA604" t="str">
        <f>IFERROR(INDEX(wLast,535)&amp;"","")</f>
        <v/>
      </c>
      <c r="BB604" t="str">
        <f>IF(BA604="","",IFERROR(INDEX(wFirst,535)&amp;"",""))</f>
        <v/>
      </c>
      <c r="BC604" t="str">
        <f>IF(BA604="","",IFERROR(INDEX(wClass,535)&amp;"",""))</f>
        <v/>
      </c>
      <c r="BD604" t="str">
        <f>IF(BA604="","",IFERROR(INDEX(wKsBand,535)+0,""))</f>
        <v/>
      </c>
      <c r="BE604" t="str">
        <f>IF(BA604="","",IFERROR(INDEX(wTests,535)+0,0))</f>
        <v/>
      </c>
      <c r="BF604" t="str">
        <f>IF(BA604="","",IFERROR(INDEX(wMean,535)+0,""))</f>
        <v/>
      </c>
      <c r="BG604" t="str">
        <f>IF(BA604="","",IFERROR(INDEX(wVs,535)+0,""))</f>
        <v/>
      </c>
      <c r="BH604" t="str">
        <f>IF(OR(BA604="",wLatest=""),"",IFERROR(INDEX(wData,535,MATCH(wLatest&amp;CHAR(10)&amp;"Stanine",wHdr,0))+0,""))</f>
        <v/>
      </c>
      <c r="BI604" t="str">
        <f>IF(BA604="","",IF(AND(ISNUMBER(BG604),N(BE604)&gt;=WlMinTests,BG604&lt;=-WlGap),"Below expected for KS2",IF(AND(NOT(ISNUMBER(BD604)),ISNUMBER(BF604),N(BE604)&gt;=WlMinTests,BF604&lt;=WlLowMean),"Low results, no KS2 data","")))</f>
        <v/>
      </c>
      <c r="BJ604" t="str">
        <f>IF(BI604="","",IF(BI604="Below expected for KS2",BG604,100+BF604)+ROW()/1000000)</f>
        <v/>
      </c>
    </row>
    <row r="605">
      <c r="H605" t="str">
        <f>IFERROR(INDEX(tblY7[Class],ROWS(H$10:H605))&amp;"","")</f>
        <v/>
      </c>
      <c r="I605" t="str">
        <f>IF(H605="","",IF(COUNTIF(H$10:H605,H605)=1,COUNTIF(H$10:H$609,"&lt;"&amp;H605)+1,""))</f>
        <v/>
      </c>
      <c r="J605" t="str">
        <f>IFERROR(INDEX(tblY8[Class],ROWS(J$10:J605))&amp;"","")</f>
        <v/>
      </c>
      <c r="K605" t="str">
        <f>IF(J605="","",IF(COUNTIF(J$10:J605,J605)=1,COUNTIF(J$10:J$609,"&lt;"&amp;J605)+1,""))</f>
        <v/>
      </c>
      <c r="L605" t="str">
        <f>IFERROR(INDEX(tblY9[Class],ROWS(L$10:L605))&amp;"","")</f>
        <v/>
      </c>
      <c r="M605" t="str">
        <f>IF(L605="","",IF(COUNTIF(L$10:L605,L605)=1,COUNTIF(L$10:L$609,"&lt;"&amp;L605)+1,""))</f>
        <v/>
      </c>
      <c r="N605" t="str">
        <f>IFERROR(INDEX(tblY10[Class],ROWS(N$10:N605))&amp;"","")</f>
        <v/>
      </c>
      <c r="O605" t="str">
        <f>IF(N605="","",IF(COUNTIF(N$10:N605,N605)=1,COUNTIF(N$10:N$609,"&lt;"&amp;N605)+1,""))</f>
        <v/>
      </c>
      <c r="P605" t="str">
        <f>IFERROR(INDEX(tblY11[Class],ROWS(P$10:P605))&amp;"","")</f>
        <v/>
      </c>
      <c r="Q605" t="str">
        <f>IF(P605="","",IF(COUNTIF(P$10:P605,P605)=1,COUNTIF(P$10:P$609,"&lt;"&amp;P605)+1,""))</f>
        <v/>
      </c>
      <c r="BA605" t="str">
        <f>IFERROR(INDEX(wLast,536)&amp;"","")</f>
        <v/>
      </c>
      <c r="BB605" t="str">
        <f>IF(BA605="","",IFERROR(INDEX(wFirst,536)&amp;"",""))</f>
        <v/>
      </c>
      <c r="BC605" t="str">
        <f>IF(BA605="","",IFERROR(INDEX(wClass,536)&amp;"",""))</f>
        <v/>
      </c>
      <c r="BD605" t="str">
        <f>IF(BA605="","",IFERROR(INDEX(wKsBand,536)+0,""))</f>
        <v/>
      </c>
      <c r="BE605" t="str">
        <f>IF(BA605="","",IFERROR(INDEX(wTests,536)+0,0))</f>
        <v/>
      </c>
      <c r="BF605" t="str">
        <f>IF(BA605="","",IFERROR(INDEX(wMean,536)+0,""))</f>
        <v/>
      </c>
      <c r="BG605" t="str">
        <f>IF(BA605="","",IFERROR(INDEX(wVs,536)+0,""))</f>
        <v/>
      </c>
      <c r="BH605" t="str">
        <f>IF(OR(BA605="",wLatest=""),"",IFERROR(INDEX(wData,536,MATCH(wLatest&amp;CHAR(10)&amp;"Stanine",wHdr,0))+0,""))</f>
        <v/>
      </c>
      <c r="BI605" t="str">
        <f>IF(BA605="","",IF(AND(ISNUMBER(BG605),N(BE605)&gt;=WlMinTests,BG605&lt;=-WlGap),"Below expected for KS2",IF(AND(NOT(ISNUMBER(BD605)),ISNUMBER(BF605),N(BE605)&gt;=WlMinTests,BF605&lt;=WlLowMean),"Low results, no KS2 data","")))</f>
        <v/>
      </c>
      <c r="BJ605" t="str">
        <f>IF(BI605="","",IF(BI605="Below expected for KS2",BG605,100+BF605)+ROW()/1000000)</f>
        <v/>
      </c>
    </row>
    <row r="606">
      <c r="H606" t="str">
        <f>IFERROR(INDEX(tblY7[Class],ROWS(H$10:H606))&amp;"","")</f>
        <v/>
      </c>
      <c r="I606" t="str">
        <f>IF(H606="","",IF(COUNTIF(H$10:H606,H606)=1,COUNTIF(H$10:H$609,"&lt;"&amp;H606)+1,""))</f>
        <v/>
      </c>
      <c r="J606" t="str">
        <f>IFERROR(INDEX(tblY8[Class],ROWS(J$10:J606))&amp;"","")</f>
        <v/>
      </c>
      <c r="K606" t="str">
        <f>IF(J606="","",IF(COUNTIF(J$10:J606,J606)=1,COUNTIF(J$10:J$609,"&lt;"&amp;J606)+1,""))</f>
        <v/>
      </c>
      <c r="L606" t="str">
        <f>IFERROR(INDEX(tblY9[Class],ROWS(L$10:L606))&amp;"","")</f>
        <v/>
      </c>
      <c r="M606" t="str">
        <f>IF(L606="","",IF(COUNTIF(L$10:L606,L606)=1,COUNTIF(L$10:L$609,"&lt;"&amp;L606)+1,""))</f>
        <v/>
      </c>
      <c r="N606" t="str">
        <f>IFERROR(INDEX(tblY10[Class],ROWS(N$10:N606))&amp;"","")</f>
        <v/>
      </c>
      <c r="O606" t="str">
        <f>IF(N606="","",IF(COUNTIF(N$10:N606,N606)=1,COUNTIF(N$10:N$609,"&lt;"&amp;N606)+1,""))</f>
        <v/>
      </c>
      <c r="P606" t="str">
        <f>IFERROR(INDEX(tblY11[Class],ROWS(P$10:P606))&amp;"","")</f>
        <v/>
      </c>
      <c r="Q606" t="str">
        <f>IF(P606="","",IF(COUNTIF(P$10:P606,P606)=1,COUNTIF(P$10:P$609,"&lt;"&amp;P606)+1,""))</f>
        <v/>
      </c>
      <c r="BA606" t="str">
        <f>IFERROR(INDEX(wLast,537)&amp;"","")</f>
        <v/>
      </c>
      <c r="BB606" t="str">
        <f>IF(BA606="","",IFERROR(INDEX(wFirst,537)&amp;"",""))</f>
        <v/>
      </c>
      <c r="BC606" t="str">
        <f>IF(BA606="","",IFERROR(INDEX(wClass,537)&amp;"",""))</f>
        <v/>
      </c>
      <c r="BD606" t="str">
        <f>IF(BA606="","",IFERROR(INDEX(wKsBand,537)+0,""))</f>
        <v/>
      </c>
      <c r="BE606" t="str">
        <f>IF(BA606="","",IFERROR(INDEX(wTests,537)+0,0))</f>
        <v/>
      </c>
      <c r="BF606" t="str">
        <f>IF(BA606="","",IFERROR(INDEX(wMean,537)+0,""))</f>
        <v/>
      </c>
      <c r="BG606" t="str">
        <f>IF(BA606="","",IFERROR(INDEX(wVs,537)+0,""))</f>
        <v/>
      </c>
      <c r="BH606" t="str">
        <f>IF(OR(BA606="",wLatest=""),"",IFERROR(INDEX(wData,537,MATCH(wLatest&amp;CHAR(10)&amp;"Stanine",wHdr,0))+0,""))</f>
        <v/>
      </c>
      <c r="BI606" t="str">
        <f>IF(BA606="","",IF(AND(ISNUMBER(BG606),N(BE606)&gt;=WlMinTests,BG606&lt;=-WlGap),"Below expected for KS2",IF(AND(NOT(ISNUMBER(BD606)),ISNUMBER(BF606),N(BE606)&gt;=WlMinTests,BF606&lt;=WlLowMean),"Low results, no KS2 data","")))</f>
        <v/>
      </c>
      <c r="BJ606" t="str">
        <f>IF(BI606="","",IF(BI606="Below expected for KS2",BG606,100+BF606)+ROW()/1000000)</f>
        <v/>
      </c>
    </row>
    <row r="607">
      <c r="H607" t="str">
        <f>IFERROR(INDEX(tblY7[Class],ROWS(H$10:H607))&amp;"","")</f>
        <v/>
      </c>
      <c r="I607" t="str">
        <f>IF(H607="","",IF(COUNTIF(H$10:H607,H607)=1,COUNTIF(H$10:H$609,"&lt;"&amp;H607)+1,""))</f>
        <v/>
      </c>
      <c r="J607" t="str">
        <f>IFERROR(INDEX(tblY8[Class],ROWS(J$10:J607))&amp;"","")</f>
        <v/>
      </c>
      <c r="K607" t="str">
        <f>IF(J607="","",IF(COUNTIF(J$10:J607,J607)=1,COUNTIF(J$10:J$609,"&lt;"&amp;J607)+1,""))</f>
        <v/>
      </c>
      <c r="L607" t="str">
        <f>IFERROR(INDEX(tblY9[Class],ROWS(L$10:L607))&amp;"","")</f>
        <v/>
      </c>
      <c r="M607" t="str">
        <f>IF(L607="","",IF(COUNTIF(L$10:L607,L607)=1,COUNTIF(L$10:L$609,"&lt;"&amp;L607)+1,""))</f>
        <v/>
      </c>
      <c r="N607" t="str">
        <f>IFERROR(INDEX(tblY10[Class],ROWS(N$10:N607))&amp;"","")</f>
        <v/>
      </c>
      <c r="O607" t="str">
        <f>IF(N607="","",IF(COUNTIF(N$10:N607,N607)=1,COUNTIF(N$10:N$609,"&lt;"&amp;N607)+1,""))</f>
        <v/>
      </c>
      <c r="P607" t="str">
        <f>IFERROR(INDEX(tblY11[Class],ROWS(P$10:P607))&amp;"","")</f>
        <v/>
      </c>
      <c r="Q607" t="str">
        <f>IF(P607="","",IF(COUNTIF(P$10:P607,P607)=1,COUNTIF(P$10:P$609,"&lt;"&amp;P607)+1,""))</f>
        <v/>
      </c>
      <c r="BA607" t="str">
        <f>IFERROR(INDEX(wLast,538)&amp;"","")</f>
        <v/>
      </c>
      <c r="BB607" t="str">
        <f>IF(BA607="","",IFERROR(INDEX(wFirst,538)&amp;"",""))</f>
        <v/>
      </c>
      <c r="BC607" t="str">
        <f>IF(BA607="","",IFERROR(INDEX(wClass,538)&amp;"",""))</f>
        <v/>
      </c>
      <c r="BD607" t="str">
        <f>IF(BA607="","",IFERROR(INDEX(wKsBand,538)+0,""))</f>
        <v/>
      </c>
      <c r="BE607" t="str">
        <f>IF(BA607="","",IFERROR(INDEX(wTests,538)+0,0))</f>
        <v/>
      </c>
      <c r="BF607" t="str">
        <f>IF(BA607="","",IFERROR(INDEX(wMean,538)+0,""))</f>
        <v/>
      </c>
      <c r="BG607" t="str">
        <f>IF(BA607="","",IFERROR(INDEX(wVs,538)+0,""))</f>
        <v/>
      </c>
      <c r="BH607" t="str">
        <f>IF(OR(BA607="",wLatest=""),"",IFERROR(INDEX(wData,538,MATCH(wLatest&amp;CHAR(10)&amp;"Stanine",wHdr,0))+0,""))</f>
        <v/>
      </c>
      <c r="BI607" t="str">
        <f>IF(BA607="","",IF(AND(ISNUMBER(BG607),N(BE607)&gt;=WlMinTests,BG607&lt;=-WlGap),"Below expected for KS2",IF(AND(NOT(ISNUMBER(BD607)),ISNUMBER(BF607),N(BE607)&gt;=WlMinTests,BF607&lt;=WlLowMean),"Low results, no KS2 data","")))</f>
        <v/>
      </c>
      <c r="BJ607" t="str">
        <f>IF(BI607="","",IF(BI607="Below expected for KS2",BG607,100+BF607)+ROW()/1000000)</f>
        <v/>
      </c>
    </row>
    <row r="608">
      <c r="H608" t="str">
        <f>IFERROR(INDEX(tblY7[Class],ROWS(H$10:H608))&amp;"","")</f>
        <v/>
      </c>
      <c r="I608" t="str">
        <f>IF(H608="","",IF(COUNTIF(H$10:H608,H608)=1,COUNTIF(H$10:H$609,"&lt;"&amp;H608)+1,""))</f>
        <v/>
      </c>
      <c r="J608" t="str">
        <f>IFERROR(INDEX(tblY8[Class],ROWS(J$10:J608))&amp;"","")</f>
        <v/>
      </c>
      <c r="K608" t="str">
        <f>IF(J608="","",IF(COUNTIF(J$10:J608,J608)=1,COUNTIF(J$10:J$609,"&lt;"&amp;J608)+1,""))</f>
        <v/>
      </c>
      <c r="L608" t="str">
        <f>IFERROR(INDEX(tblY9[Class],ROWS(L$10:L608))&amp;"","")</f>
        <v/>
      </c>
      <c r="M608" t="str">
        <f>IF(L608="","",IF(COUNTIF(L$10:L608,L608)=1,COUNTIF(L$10:L$609,"&lt;"&amp;L608)+1,""))</f>
        <v/>
      </c>
      <c r="N608" t="str">
        <f>IFERROR(INDEX(tblY10[Class],ROWS(N$10:N608))&amp;"","")</f>
        <v/>
      </c>
      <c r="O608" t="str">
        <f>IF(N608="","",IF(COUNTIF(N$10:N608,N608)=1,COUNTIF(N$10:N$609,"&lt;"&amp;N608)+1,""))</f>
        <v/>
      </c>
      <c r="P608" t="str">
        <f>IFERROR(INDEX(tblY11[Class],ROWS(P$10:P608))&amp;"","")</f>
        <v/>
      </c>
      <c r="Q608" t="str">
        <f>IF(P608="","",IF(COUNTIF(P$10:P608,P608)=1,COUNTIF(P$10:P$609,"&lt;"&amp;P608)+1,""))</f>
        <v/>
      </c>
      <c r="BA608" t="str">
        <f>IFERROR(INDEX(wLast,539)&amp;"","")</f>
        <v/>
      </c>
      <c r="BB608" t="str">
        <f>IF(BA608="","",IFERROR(INDEX(wFirst,539)&amp;"",""))</f>
        <v/>
      </c>
      <c r="BC608" t="str">
        <f>IF(BA608="","",IFERROR(INDEX(wClass,539)&amp;"",""))</f>
        <v/>
      </c>
      <c r="BD608" t="str">
        <f>IF(BA608="","",IFERROR(INDEX(wKsBand,539)+0,""))</f>
        <v/>
      </c>
      <c r="BE608" t="str">
        <f>IF(BA608="","",IFERROR(INDEX(wTests,539)+0,0))</f>
        <v/>
      </c>
      <c r="BF608" t="str">
        <f>IF(BA608="","",IFERROR(INDEX(wMean,539)+0,""))</f>
        <v/>
      </c>
      <c r="BG608" t="str">
        <f>IF(BA608="","",IFERROR(INDEX(wVs,539)+0,""))</f>
        <v/>
      </c>
      <c r="BH608" t="str">
        <f>IF(OR(BA608="",wLatest=""),"",IFERROR(INDEX(wData,539,MATCH(wLatest&amp;CHAR(10)&amp;"Stanine",wHdr,0))+0,""))</f>
        <v/>
      </c>
      <c r="BI608" t="str">
        <f>IF(BA608="","",IF(AND(ISNUMBER(BG608),N(BE608)&gt;=WlMinTests,BG608&lt;=-WlGap),"Below expected for KS2",IF(AND(NOT(ISNUMBER(BD608)),ISNUMBER(BF608),N(BE608)&gt;=WlMinTests,BF608&lt;=WlLowMean),"Low results, no KS2 data","")))</f>
        <v/>
      </c>
      <c r="BJ608" t="str">
        <f>IF(BI608="","",IF(BI608="Below expected for KS2",BG608,100+BF608)+ROW()/1000000)</f>
        <v/>
      </c>
    </row>
    <row r="609">
      <c r="H609" t="str">
        <f>IFERROR(INDEX(tblY7[Class],ROWS(H$10:H609))&amp;"","")</f>
        <v/>
      </c>
      <c r="I609" t="str">
        <f>IF(H609="","",IF(COUNTIF(H$10:H609,H609)=1,COUNTIF(H$10:H$609,"&lt;"&amp;H609)+1,""))</f>
        <v/>
      </c>
      <c r="J609" t="str">
        <f>IFERROR(INDEX(tblY8[Class],ROWS(J$10:J609))&amp;"","")</f>
        <v/>
      </c>
      <c r="K609" t="str">
        <f>IF(J609="","",IF(COUNTIF(J$10:J609,J609)=1,COUNTIF(J$10:J$609,"&lt;"&amp;J609)+1,""))</f>
        <v/>
      </c>
      <c r="L609" t="str">
        <f>IFERROR(INDEX(tblY9[Class],ROWS(L$10:L609))&amp;"","")</f>
        <v/>
      </c>
      <c r="M609" t="str">
        <f>IF(L609="","",IF(COUNTIF(L$10:L609,L609)=1,COUNTIF(L$10:L$609,"&lt;"&amp;L609)+1,""))</f>
        <v/>
      </c>
      <c r="N609" t="str">
        <f>IFERROR(INDEX(tblY10[Class],ROWS(N$10:N609))&amp;"","")</f>
        <v/>
      </c>
      <c r="O609" t="str">
        <f>IF(N609="","",IF(COUNTIF(N$10:N609,N609)=1,COUNTIF(N$10:N$609,"&lt;"&amp;N609)+1,""))</f>
        <v/>
      </c>
      <c r="P609" t="str">
        <f>IFERROR(INDEX(tblY11[Class],ROWS(P$10:P609))&amp;"","")</f>
        <v/>
      </c>
      <c r="Q609" t="str">
        <f>IF(P609="","",IF(COUNTIF(P$10:P609,P609)=1,COUNTIF(P$10:P$609,"&lt;"&amp;P609)+1,""))</f>
        <v/>
      </c>
      <c r="BA609" t="str">
        <f>IFERROR(INDEX(wLast,540)&amp;"","")</f>
        <v/>
      </c>
      <c r="BB609" t="str">
        <f>IF(BA609="","",IFERROR(INDEX(wFirst,540)&amp;"",""))</f>
        <v/>
      </c>
      <c r="BC609" t="str">
        <f>IF(BA609="","",IFERROR(INDEX(wClass,540)&amp;"",""))</f>
        <v/>
      </c>
      <c r="BD609" t="str">
        <f>IF(BA609="","",IFERROR(INDEX(wKsBand,540)+0,""))</f>
        <v/>
      </c>
      <c r="BE609" t="str">
        <f>IF(BA609="","",IFERROR(INDEX(wTests,540)+0,0))</f>
        <v/>
      </c>
      <c r="BF609" t="str">
        <f>IF(BA609="","",IFERROR(INDEX(wMean,540)+0,""))</f>
        <v/>
      </c>
      <c r="BG609" t="str">
        <f>IF(BA609="","",IFERROR(INDEX(wVs,540)+0,""))</f>
        <v/>
      </c>
      <c r="BH609" t="str">
        <f>IF(OR(BA609="",wLatest=""),"",IFERROR(INDEX(wData,540,MATCH(wLatest&amp;CHAR(10)&amp;"Stanine",wHdr,0))+0,""))</f>
        <v/>
      </c>
      <c r="BI609" t="str">
        <f>IF(BA609="","",IF(AND(ISNUMBER(BG609),N(BE609)&gt;=WlMinTests,BG609&lt;=-WlGap),"Below expected for KS2",IF(AND(NOT(ISNUMBER(BD609)),ISNUMBER(BF609),N(BE609)&gt;=WlMinTests,BF609&lt;=WlLowMean),"Low results, no KS2 data","")))</f>
        <v/>
      </c>
      <c r="BJ609" t="str">
        <f>IF(BI609="","",IF(BI609="Below expected for KS2",BG609,100+BF609)+ROW()/1000000)</f>
        <v/>
      </c>
    </row>
    <row r="610">
      <c r="BA610" t="str">
        <f>IFERROR(INDEX(wLast,541)&amp;"","")</f>
        <v/>
      </c>
      <c r="BB610" t="str">
        <f>IF(BA610="","",IFERROR(INDEX(wFirst,541)&amp;"",""))</f>
        <v/>
      </c>
      <c r="BC610" t="str">
        <f>IF(BA610="","",IFERROR(INDEX(wClass,541)&amp;"",""))</f>
        <v/>
      </c>
      <c r="BD610" t="str">
        <f>IF(BA610="","",IFERROR(INDEX(wKsBand,541)+0,""))</f>
        <v/>
      </c>
      <c r="BE610" t="str">
        <f>IF(BA610="","",IFERROR(INDEX(wTests,541)+0,0))</f>
        <v/>
      </c>
      <c r="BF610" t="str">
        <f>IF(BA610="","",IFERROR(INDEX(wMean,541)+0,""))</f>
        <v/>
      </c>
      <c r="BG610" t="str">
        <f>IF(BA610="","",IFERROR(INDEX(wVs,541)+0,""))</f>
        <v/>
      </c>
      <c r="BH610" t="str">
        <f>IF(OR(BA610="",wLatest=""),"",IFERROR(INDEX(wData,541,MATCH(wLatest&amp;CHAR(10)&amp;"Stanine",wHdr,0))+0,""))</f>
        <v/>
      </c>
      <c r="BI610" t="str">
        <f>IF(BA610="","",IF(AND(ISNUMBER(BG610),N(BE610)&gt;=WlMinTests,BG610&lt;=-WlGap),"Below expected for KS2",IF(AND(NOT(ISNUMBER(BD610)),ISNUMBER(BF610),N(BE610)&gt;=WlMinTests,BF610&lt;=WlLowMean),"Low results, no KS2 data","")))</f>
        <v/>
      </c>
      <c r="BJ610" t="str">
        <f>IF(BI610="","",IF(BI610="Below expected for KS2",BG610,100+BF610)+ROW()/1000000)</f>
        <v/>
      </c>
    </row>
    <row r="611">
      <c r="BA611" t="str">
        <f>IFERROR(INDEX(wLast,542)&amp;"","")</f>
        <v/>
      </c>
      <c r="BB611" t="str">
        <f>IF(BA611="","",IFERROR(INDEX(wFirst,542)&amp;"",""))</f>
        <v/>
      </c>
      <c r="BC611" t="str">
        <f>IF(BA611="","",IFERROR(INDEX(wClass,542)&amp;"",""))</f>
        <v/>
      </c>
      <c r="BD611" t="str">
        <f>IF(BA611="","",IFERROR(INDEX(wKsBand,542)+0,""))</f>
        <v/>
      </c>
      <c r="BE611" t="str">
        <f>IF(BA611="","",IFERROR(INDEX(wTests,542)+0,0))</f>
        <v/>
      </c>
      <c r="BF611" t="str">
        <f>IF(BA611="","",IFERROR(INDEX(wMean,542)+0,""))</f>
        <v/>
      </c>
      <c r="BG611" t="str">
        <f>IF(BA611="","",IFERROR(INDEX(wVs,542)+0,""))</f>
        <v/>
      </c>
      <c r="BH611" t="str">
        <f>IF(OR(BA611="",wLatest=""),"",IFERROR(INDEX(wData,542,MATCH(wLatest&amp;CHAR(10)&amp;"Stanine",wHdr,0))+0,""))</f>
        <v/>
      </c>
      <c r="BI611" t="str">
        <f>IF(BA611="","",IF(AND(ISNUMBER(BG611),N(BE611)&gt;=WlMinTests,BG611&lt;=-WlGap),"Below expected for KS2",IF(AND(NOT(ISNUMBER(BD611)),ISNUMBER(BF611),N(BE611)&gt;=WlMinTests,BF611&lt;=WlLowMean),"Low results, no KS2 data","")))</f>
        <v/>
      </c>
      <c r="BJ611" t="str">
        <f>IF(BI611="","",IF(BI611="Below expected for KS2",BG611,100+BF611)+ROW()/1000000)</f>
        <v/>
      </c>
    </row>
    <row r="612">
      <c r="BA612" t="str">
        <f>IFERROR(INDEX(wLast,543)&amp;"","")</f>
        <v/>
      </c>
      <c r="BB612" t="str">
        <f>IF(BA612="","",IFERROR(INDEX(wFirst,543)&amp;"",""))</f>
        <v/>
      </c>
      <c r="BC612" t="str">
        <f>IF(BA612="","",IFERROR(INDEX(wClass,543)&amp;"",""))</f>
        <v/>
      </c>
      <c r="BD612" t="str">
        <f>IF(BA612="","",IFERROR(INDEX(wKsBand,543)+0,""))</f>
        <v/>
      </c>
      <c r="BE612" t="str">
        <f>IF(BA612="","",IFERROR(INDEX(wTests,543)+0,0))</f>
        <v/>
      </c>
      <c r="BF612" t="str">
        <f>IF(BA612="","",IFERROR(INDEX(wMean,543)+0,""))</f>
        <v/>
      </c>
      <c r="BG612" t="str">
        <f>IF(BA612="","",IFERROR(INDEX(wVs,543)+0,""))</f>
        <v/>
      </c>
      <c r="BH612" t="str">
        <f>IF(OR(BA612="",wLatest=""),"",IFERROR(INDEX(wData,543,MATCH(wLatest&amp;CHAR(10)&amp;"Stanine",wHdr,0))+0,""))</f>
        <v/>
      </c>
      <c r="BI612" t="str">
        <f>IF(BA612="","",IF(AND(ISNUMBER(BG612),N(BE612)&gt;=WlMinTests,BG612&lt;=-WlGap),"Below expected for KS2",IF(AND(NOT(ISNUMBER(BD612)),ISNUMBER(BF612),N(BE612)&gt;=WlMinTests,BF612&lt;=WlLowMean),"Low results, no KS2 data","")))</f>
        <v/>
      </c>
      <c r="BJ612" t="str">
        <f>IF(BI612="","",IF(BI612="Below expected for KS2",BG612,100+BF612)+ROW()/1000000)</f>
        <v/>
      </c>
    </row>
    <row r="613">
      <c r="BA613" t="str">
        <f>IFERROR(INDEX(wLast,544)&amp;"","")</f>
        <v/>
      </c>
      <c r="BB613" t="str">
        <f>IF(BA613="","",IFERROR(INDEX(wFirst,544)&amp;"",""))</f>
        <v/>
      </c>
      <c r="BC613" t="str">
        <f>IF(BA613="","",IFERROR(INDEX(wClass,544)&amp;"",""))</f>
        <v/>
      </c>
      <c r="BD613" t="str">
        <f>IF(BA613="","",IFERROR(INDEX(wKsBand,544)+0,""))</f>
        <v/>
      </c>
      <c r="BE613" t="str">
        <f>IF(BA613="","",IFERROR(INDEX(wTests,544)+0,0))</f>
        <v/>
      </c>
      <c r="BF613" t="str">
        <f>IF(BA613="","",IFERROR(INDEX(wMean,544)+0,""))</f>
        <v/>
      </c>
      <c r="BG613" t="str">
        <f>IF(BA613="","",IFERROR(INDEX(wVs,544)+0,""))</f>
        <v/>
      </c>
      <c r="BH613" t="str">
        <f>IF(OR(BA613="",wLatest=""),"",IFERROR(INDEX(wData,544,MATCH(wLatest&amp;CHAR(10)&amp;"Stanine",wHdr,0))+0,""))</f>
        <v/>
      </c>
      <c r="BI613" t="str">
        <f>IF(BA613="","",IF(AND(ISNUMBER(BG613),N(BE613)&gt;=WlMinTests,BG613&lt;=-WlGap),"Below expected for KS2",IF(AND(NOT(ISNUMBER(BD613)),ISNUMBER(BF613),N(BE613)&gt;=WlMinTests,BF613&lt;=WlLowMean),"Low results, no KS2 data","")))</f>
        <v/>
      </c>
      <c r="BJ613" t="str">
        <f>IF(BI613="","",IF(BI613="Below expected for KS2",BG613,100+BF613)+ROW()/1000000)</f>
        <v/>
      </c>
    </row>
    <row r="614">
      <c r="BA614" t="str">
        <f>IFERROR(INDEX(wLast,545)&amp;"","")</f>
        <v/>
      </c>
      <c r="BB614" t="str">
        <f>IF(BA614="","",IFERROR(INDEX(wFirst,545)&amp;"",""))</f>
        <v/>
      </c>
      <c r="BC614" t="str">
        <f>IF(BA614="","",IFERROR(INDEX(wClass,545)&amp;"",""))</f>
        <v/>
      </c>
      <c r="BD614" t="str">
        <f>IF(BA614="","",IFERROR(INDEX(wKsBand,545)+0,""))</f>
        <v/>
      </c>
      <c r="BE614" t="str">
        <f>IF(BA614="","",IFERROR(INDEX(wTests,545)+0,0))</f>
        <v/>
      </c>
      <c r="BF614" t="str">
        <f>IF(BA614="","",IFERROR(INDEX(wMean,545)+0,""))</f>
        <v/>
      </c>
      <c r="BG614" t="str">
        <f>IF(BA614="","",IFERROR(INDEX(wVs,545)+0,""))</f>
        <v/>
      </c>
      <c r="BH614" t="str">
        <f>IF(OR(BA614="",wLatest=""),"",IFERROR(INDEX(wData,545,MATCH(wLatest&amp;CHAR(10)&amp;"Stanine",wHdr,0))+0,""))</f>
        <v/>
      </c>
      <c r="BI614" t="str">
        <f>IF(BA614="","",IF(AND(ISNUMBER(BG614),N(BE614)&gt;=WlMinTests,BG614&lt;=-WlGap),"Below expected for KS2",IF(AND(NOT(ISNUMBER(BD614)),ISNUMBER(BF614),N(BE614)&gt;=WlMinTests,BF614&lt;=WlLowMean),"Low results, no KS2 data","")))</f>
        <v/>
      </c>
      <c r="BJ614" t="str">
        <f>IF(BI614="","",IF(BI614="Below expected for KS2",BG614,100+BF614)+ROW()/1000000)</f>
        <v/>
      </c>
    </row>
    <row r="615">
      <c r="BA615" t="str">
        <f>IFERROR(INDEX(wLast,546)&amp;"","")</f>
        <v/>
      </c>
      <c r="BB615" t="str">
        <f>IF(BA615="","",IFERROR(INDEX(wFirst,546)&amp;"",""))</f>
        <v/>
      </c>
      <c r="BC615" t="str">
        <f>IF(BA615="","",IFERROR(INDEX(wClass,546)&amp;"",""))</f>
        <v/>
      </c>
      <c r="BD615" t="str">
        <f>IF(BA615="","",IFERROR(INDEX(wKsBand,546)+0,""))</f>
        <v/>
      </c>
      <c r="BE615" t="str">
        <f>IF(BA615="","",IFERROR(INDEX(wTests,546)+0,0))</f>
        <v/>
      </c>
      <c r="BF615" t="str">
        <f>IF(BA615="","",IFERROR(INDEX(wMean,546)+0,""))</f>
        <v/>
      </c>
      <c r="BG615" t="str">
        <f>IF(BA615="","",IFERROR(INDEX(wVs,546)+0,""))</f>
        <v/>
      </c>
      <c r="BH615" t="str">
        <f>IF(OR(BA615="",wLatest=""),"",IFERROR(INDEX(wData,546,MATCH(wLatest&amp;CHAR(10)&amp;"Stanine",wHdr,0))+0,""))</f>
        <v/>
      </c>
      <c r="BI615" t="str">
        <f>IF(BA615="","",IF(AND(ISNUMBER(BG615),N(BE615)&gt;=WlMinTests,BG615&lt;=-WlGap),"Below expected for KS2",IF(AND(NOT(ISNUMBER(BD615)),ISNUMBER(BF615),N(BE615)&gt;=WlMinTests,BF615&lt;=WlLowMean),"Low results, no KS2 data","")))</f>
        <v/>
      </c>
      <c r="BJ615" t="str">
        <f>IF(BI615="","",IF(BI615="Below expected for KS2",BG615,100+BF615)+ROW()/1000000)</f>
        <v/>
      </c>
    </row>
    <row r="616">
      <c r="BA616" t="str">
        <f>IFERROR(INDEX(wLast,547)&amp;"","")</f>
        <v/>
      </c>
      <c r="BB616" t="str">
        <f>IF(BA616="","",IFERROR(INDEX(wFirst,547)&amp;"",""))</f>
        <v/>
      </c>
      <c r="BC616" t="str">
        <f>IF(BA616="","",IFERROR(INDEX(wClass,547)&amp;"",""))</f>
        <v/>
      </c>
      <c r="BD616" t="str">
        <f>IF(BA616="","",IFERROR(INDEX(wKsBand,547)+0,""))</f>
        <v/>
      </c>
      <c r="BE616" t="str">
        <f>IF(BA616="","",IFERROR(INDEX(wTests,547)+0,0))</f>
        <v/>
      </c>
      <c r="BF616" t="str">
        <f>IF(BA616="","",IFERROR(INDEX(wMean,547)+0,""))</f>
        <v/>
      </c>
      <c r="BG616" t="str">
        <f>IF(BA616="","",IFERROR(INDEX(wVs,547)+0,""))</f>
        <v/>
      </c>
      <c r="BH616" t="str">
        <f>IF(OR(BA616="",wLatest=""),"",IFERROR(INDEX(wData,547,MATCH(wLatest&amp;CHAR(10)&amp;"Stanine",wHdr,0))+0,""))</f>
        <v/>
      </c>
      <c r="BI616" t="str">
        <f>IF(BA616="","",IF(AND(ISNUMBER(BG616),N(BE616)&gt;=WlMinTests,BG616&lt;=-WlGap),"Below expected for KS2",IF(AND(NOT(ISNUMBER(BD616)),ISNUMBER(BF616),N(BE616)&gt;=WlMinTests,BF616&lt;=WlLowMean),"Low results, no KS2 data","")))</f>
        <v/>
      </c>
      <c r="BJ616" t="str">
        <f>IF(BI616="","",IF(BI616="Below expected for KS2",BG616,100+BF616)+ROW()/1000000)</f>
        <v/>
      </c>
    </row>
    <row r="617">
      <c r="BA617" t="str">
        <f>IFERROR(INDEX(wLast,548)&amp;"","")</f>
        <v/>
      </c>
      <c r="BB617" t="str">
        <f>IF(BA617="","",IFERROR(INDEX(wFirst,548)&amp;"",""))</f>
        <v/>
      </c>
      <c r="BC617" t="str">
        <f>IF(BA617="","",IFERROR(INDEX(wClass,548)&amp;"",""))</f>
        <v/>
      </c>
      <c r="BD617" t="str">
        <f>IF(BA617="","",IFERROR(INDEX(wKsBand,548)+0,""))</f>
        <v/>
      </c>
      <c r="BE617" t="str">
        <f>IF(BA617="","",IFERROR(INDEX(wTests,548)+0,0))</f>
        <v/>
      </c>
      <c r="BF617" t="str">
        <f>IF(BA617="","",IFERROR(INDEX(wMean,548)+0,""))</f>
        <v/>
      </c>
      <c r="BG617" t="str">
        <f>IF(BA617="","",IFERROR(INDEX(wVs,548)+0,""))</f>
        <v/>
      </c>
      <c r="BH617" t="str">
        <f>IF(OR(BA617="",wLatest=""),"",IFERROR(INDEX(wData,548,MATCH(wLatest&amp;CHAR(10)&amp;"Stanine",wHdr,0))+0,""))</f>
        <v/>
      </c>
      <c r="BI617" t="str">
        <f>IF(BA617="","",IF(AND(ISNUMBER(BG617),N(BE617)&gt;=WlMinTests,BG617&lt;=-WlGap),"Below expected for KS2",IF(AND(NOT(ISNUMBER(BD617)),ISNUMBER(BF617),N(BE617)&gt;=WlMinTests,BF617&lt;=WlLowMean),"Low results, no KS2 data","")))</f>
        <v/>
      </c>
      <c r="BJ617" t="str">
        <f>IF(BI617="","",IF(BI617="Below expected for KS2",BG617,100+BF617)+ROW()/1000000)</f>
        <v/>
      </c>
    </row>
    <row r="618">
      <c r="BA618" t="str">
        <f>IFERROR(INDEX(wLast,549)&amp;"","")</f>
        <v/>
      </c>
      <c r="BB618" t="str">
        <f>IF(BA618="","",IFERROR(INDEX(wFirst,549)&amp;"",""))</f>
        <v/>
      </c>
      <c r="BC618" t="str">
        <f>IF(BA618="","",IFERROR(INDEX(wClass,549)&amp;"",""))</f>
        <v/>
      </c>
      <c r="BD618" t="str">
        <f>IF(BA618="","",IFERROR(INDEX(wKsBand,549)+0,""))</f>
        <v/>
      </c>
      <c r="BE618" t="str">
        <f>IF(BA618="","",IFERROR(INDEX(wTests,549)+0,0))</f>
        <v/>
      </c>
      <c r="BF618" t="str">
        <f>IF(BA618="","",IFERROR(INDEX(wMean,549)+0,""))</f>
        <v/>
      </c>
      <c r="BG618" t="str">
        <f>IF(BA618="","",IFERROR(INDEX(wVs,549)+0,""))</f>
        <v/>
      </c>
      <c r="BH618" t="str">
        <f>IF(OR(BA618="",wLatest=""),"",IFERROR(INDEX(wData,549,MATCH(wLatest&amp;CHAR(10)&amp;"Stanine",wHdr,0))+0,""))</f>
        <v/>
      </c>
      <c r="BI618" t="str">
        <f>IF(BA618="","",IF(AND(ISNUMBER(BG618),N(BE618)&gt;=WlMinTests,BG618&lt;=-WlGap),"Below expected for KS2",IF(AND(NOT(ISNUMBER(BD618)),ISNUMBER(BF618),N(BE618)&gt;=WlMinTests,BF618&lt;=WlLowMean),"Low results, no KS2 data","")))</f>
        <v/>
      </c>
      <c r="BJ618" t="str">
        <f>IF(BI618="","",IF(BI618="Below expected for KS2",BG618,100+BF618)+ROW()/1000000)</f>
        <v/>
      </c>
    </row>
    <row r="619">
      <c r="BA619" t="str">
        <f>IFERROR(INDEX(wLast,550)&amp;"","")</f>
        <v/>
      </c>
      <c r="BB619" t="str">
        <f>IF(BA619="","",IFERROR(INDEX(wFirst,550)&amp;"",""))</f>
        <v/>
      </c>
      <c r="BC619" t="str">
        <f>IF(BA619="","",IFERROR(INDEX(wClass,550)&amp;"",""))</f>
        <v/>
      </c>
      <c r="BD619" t="str">
        <f>IF(BA619="","",IFERROR(INDEX(wKsBand,550)+0,""))</f>
        <v/>
      </c>
      <c r="BE619" t="str">
        <f>IF(BA619="","",IFERROR(INDEX(wTests,550)+0,0))</f>
        <v/>
      </c>
      <c r="BF619" t="str">
        <f>IF(BA619="","",IFERROR(INDEX(wMean,550)+0,""))</f>
        <v/>
      </c>
      <c r="BG619" t="str">
        <f>IF(BA619="","",IFERROR(INDEX(wVs,550)+0,""))</f>
        <v/>
      </c>
      <c r="BH619" t="str">
        <f>IF(OR(BA619="",wLatest=""),"",IFERROR(INDEX(wData,550,MATCH(wLatest&amp;CHAR(10)&amp;"Stanine",wHdr,0))+0,""))</f>
        <v/>
      </c>
      <c r="BI619" t="str">
        <f>IF(BA619="","",IF(AND(ISNUMBER(BG619),N(BE619)&gt;=WlMinTests,BG619&lt;=-WlGap),"Below expected for KS2",IF(AND(NOT(ISNUMBER(BD619)),ISNUMBER(BF619),N(BE619)&gt;=WlMinTests,BF619&lt;=WlLowMean),"Low results, no KS2 data","")))</f>
        <v/>
      </c>
      <c r="BJ619" t="str">
        <f>IF(BI619="","",IF(BI619="Below expected for KS2",BG619,100+BF619)+ROW()/1000000)</f>
        <v/>
      </c>
    </row>
    <row r="620">
      <c r="BA620" t="str">
        <f>IFERROR(INDEX(wLast,551)&amp;"","")</f>
        <v/>
      </c>
      <c r="BB620" t="str">
        <f>IF(BA620="","",IFERROR(INDEX(wFirst,551)&amp;"",""))</f>
        <v/>
      </c>
      <c r="BC620" t="str">
        <f>IF(BA620="","",IFERROR(INDEX(wClass,551)&amp;"",""))</f>
        <v/>
      </c>
      <c r="BD620" t="str">
        <f>IF(BA620="","",IFERROR(INDEX(wKsBand,551)+0,""))</f>
        <v/>
      </c>
      <c r="BE620" t="str">
        <f>IF(BA620="","",IFERROR(INDEX(wTests,551)+0,0))</f>
        <v/>
      </c>
      <c r="BF620" t="str">
        <f>IF(BA620="","",IFERROR(INDEX(wMean,551)+0,""))</f>
        <v/>
      </c>
      <c r="BG620" t="str">
        <f>IF(BA620="","",IFERROR(INDEX(wVs,551)+0,""))</f>
        <v/>
      </c>
      <c r="BH620" t="str">
        <f>IF(OR(BA620="",wLatest=""),"",IFERROR(INDEX(wData,551,MATCH(wLatest&amp;CHAR(10)&amp;"Stanine",wHdr,0))+0,""))</f>
        <v/>
      </c>
      <c r="BI620" t="str">
        <f>IF(BA620="","",IF(AND(ISNUMBER(BG620),N(BE620)&gt;=WlMinTests,BG620&lt;=-WlGap),"Below expected for KS2",IF(AND(NOT(ISNUMBER(BD620)),ISNUMBER(BF620),N(BE620)&gt;=WlMinTests,BF620&lt;=WlLowMean),"Low results, no KS2 data","")))</f>
        <v/>
      </c>
      <c r="BJ620" t="str">
        <f>IF(BI620="","",IF(BI620="Below expected for KS2",BG620,100+BF620)+ROW()/1000000)</f>
        <v/>
      </c>
    </row>
    <row r="621">
      <c r="BA621" t="str">
        <f>IFERROR(INDEX(wLast,552)&amp;"","")</f>
        <v/>
      </c>
      <c r="BB621" t="str">
        <f>IF(BA621="","",IFERROR(INDEX(wFirst,552)&amp;"",""))</f>
        <v/>
      </c>
      <c r="BC621" t="str">
        <f>IF(BA621="","",IFERROR(INDEX(wClass,552)&amp;"",""))</f>
        <v/>
      </c>
      <c r="BD621" t="str">
        <f>IF(BA621="","",IFERROR(INDEX(wKsBand,552)+0,""))</f>
        <v/>
      </c>
      <c r="BE621" t="str">
        <f>IF(BA621="","",IFERROR(INDEX(wTests,552)+0,0))</f>
        <v/>
      </c>
      <c r="BF621" t="str">
        <f>IF(BA621="","",IFERROR(INDEX(wMean,552)+0,""))</f>
        <v/>
      </c>
      <c r="BG621" t="str">
        <f>IF(BA621="","",IFERROR(INDEX(wVs,552)+0,""))</f>
        <v/>
      </c>
      <c r="BH621" t="str">
        <f>IF(OR(BA621="",wLatest=""),"",IFERROR(INDEX(wData,552,MATCH(wLatest&amp;CHAR(10)&amp;"Stanine",wHdr,0))+0,""))</f>
        <v/>
      </c>
      <c r="BI621" t="str">
        <f>IF(BA621="","",IF(AND(ISNUMBER(BG621),N(BE621)&gt;=WlMinTests,BG621&lt;=-WlGap),"Below expected for KS2",IF(AND(NOT(ISNUMBER(BD621)),ISNUMBER(BF621),N(BE621)&gt;=WlMinTests,BF621&lt;=WlLowMean),"Low results, no KS2 data","")))</f>
        <v/>
      </c>
      <c r="BJ621" t="str">
        <f>IF(BI621="","",IF(BI621="Below expected for KS2",BG621,100+BF621)+ROW()/1000000)</f>
        <v/>
      </c>
    </row>
    <row r="622">
      <c r="BA622" t="str">
        <f>IFERROR(INDEX(wLast,553)&amp;"","")</f>
        <v/>
      </c>
      <c r="BB622" t="str">
        <f>IF(BA622="","",IFERROR(INDEX(wFirst,553)&amp;"",""))</f>
        <v/>
      </c>
      <c r="BC622" t="str">
        <f>IF(BA622="","",IFERROR(INDEX(wClass,553)&amp;"",""))</f>
        <v/>
      </c>
      <c r="BD622" t="str">
        <f>IF(BA622="","",IFERROR(INDEX(wKsBand,553)+0,""))</f>
        <v/>
      </c>
      <c r="BE622" t="str">
        <f>IF(BA622="","",IFERROR(INDEX(wTests,553)+0,0))</f>
        <v/>
      </c>
      <c r="BF622" t="str">
        <f>IF(BA622="","",IFERROR(INDEX(wMean,553)+0,""))</f>
        <v/>
      </c>
      <c r="BG622" t="str">
        <f>IF(BA622="","",IFERROR(INDEX(wVs,553)+0,""))</f>
        <v/>
      </c>
      <c r="BH622" t="str">
        <f>IF(OR(BA622="",wLatest=""),"",IFERROR(INDEX(wData,553,MATCH(wLatest&amp;CHAR(10)&amp;"Stanine",wHdr,0))+0,""))</f>
        <v/>
      </c>
      <c r="BI622" t="str">
        <f>IF(BA622="","",IF(AND(ISNUMBER(BG622),N(BE622)&gt;=WlMinTests,BG622&lt;=-WlGap),"Below expected for KS2",IF(AND(NOT(ISNUMBER(BD622)),ISNUMBER(BF622),N(BE622)&gt;=WlMinTests,BF622&lt;=WlLowMean),"Low results, no KS2 data","")))</f>
        <v/>
      </c>
      <c r="BJ622" t="str">
        <f>IF(BI622="","",IF(BI622="Below expected for KS2",BG622,100+BF622)+ROW()/1000000)</f>
        <v/>
      </c>
    </row>
    <row r="623">
      <c r="BA623" t="str">
        <f>IFERROR(INDEX(wLast,554)&amp;"","")</f>
        <v/>
      </c>
      <c r="BB623" t="str">
        <f>IF(BA623="","",IFERROR(INDEX(wFirst,554)&amp;"",""))</f>
        <v/>
      </c>
      <c r="BC623" t="str">
        <f>IF(BA623="","",IFERROR(INDEX(wClass,554)&amp;"",""))</f>
        <v/>
      </c>
      <c r="BD623" t="str">
        <f>IF(BA623="","",IFERROR(INDEX(wKsBand,554)+0,""))</f>
        <v/>
      </c>
      <c r="BE623" t="str">
        <f>IF(BA623="","",IFERROR(INDEX(wTests,554)+0,0))</f>
        <v/>
      </c>
      <c r="BF623" t="str">
        <f>IF(BA623="","",IFERROR(INDEX(wMean,554)+0,""))</f>
        <v/>
      </c>
      <c r="BG623" t="str">
        <f>IF(BA623="","",IFERROR(INDEX(wVs,554)+0,""))</f>
        <v/>
      </c>
      <c r="BH623" t="str">
        <f>IF(OR(BA623="",wLatest=""),"",IFERROR(INDEX(wData,554,MATCH(wLatest&amp;CHAR(10)&amp;"Stanine",wHdr,0))+0,""))</f>
        <v/>
      </c>
      <c r="BI623" t="str">
        <f>IF(BA623="","",IF(AND(ISNUMBER(BG623),N(BE623)&gt;=WlMinTests,BG623&lt;=-WlGap),"Below expected for KS2",IF(AND(NOT(ISNUMBER(BD623)),ISNUMBER(BF623),N(BE623)&gt;=WlMinTests,BF623&lt;=WlLowMean),"Low results, no KS2 data","")))</f>
        <v/>
      </c>
      <c r="BJ623" t="str">
        <f>IF(BI623="","",IF(BI623="Below expected for KS2",BG623,100+BF623)+ROW()/1000000)</f>
        <v/>
      </c>
    </row>
    <row r="624">
      <c r="BA624" t="str">
        <f>IFERROR(INDEX(wLast,555)&amp;"","")</f>
        <v/>
      </c>
      <c r="BB624" t="str">
        <f>IF(BA624="","",IFERROR(INDEX(wFirst,555)&amp;"",""))</f>
        <v/>
      </c>
      <c r="BC624" t="str">
        <f>IF(BA624="","",IFERROR(INDEX(wClass,555)&amp;"",""))</f>
        <v/>
      </c>
      <c r="BD624" t="str">
        <f>IF(BA624="","",IFERROR(INDEX(wKsBand,555)+0,""))</f>
        <v/>
      </c>
      <c r="BE624" t="str">
        <f>IF(BA624="","",IFERROR(INDEX(wTests,555)+0,0))</f>
        <v/>
      </c>
      <c r="BF624" t="str">
        <f>IF(BA624="","",IFERROR(INDEX(wMean,555)+0,""))</f>
        <v/>
      </c>
      <c r="BG624" t="str">
        <f>IF(BA624="","",IFERROR(INDEX(wVs,555)+0,""))</f>
        <v/>
      </c>
      <c r="BH624" t="str">
        <f>IF(OR(BA624="",wLatest=""),"",IFERROR(INDEX(wData,555,MATCH(wLatest&amp;CHAR(10)&amp;"Stanine",wHdr,0))+0,""))</f>
        <v/>
      </c>
      <c r="BI624" t="str">
        <f>IF(BA624="","",IF(AND(ISNUMBER(BG624),N(BE624)&gt;=WlMinTests,BG624&lt;=-WlGap),"Below expected for KS2",IF(AND(NOT(ISNUMBER(BD624)),ISNUMBER(BF624),N(BE624)&gt;=WlMinTests,BF624&lt;=WlLowMean),"Low results, no KS2 data","")))</f>
        <v/>
      </c>
      <c r="BJ624" t="str">
        <f>IF(BI624="","",IF(BI624="Below expected for KS2",BG624,100+BF624)+ROW()/1000000)</f>
        <v/>
      </c>
    </row>
    <row r="625">
      <c r="BA625" t="str">
        <f>IFERROR(INDEX(wLast,556)&amp;"","")</f>
        <v/>
      </c>
      <c r="BB625" t="str">
        <f>IF(BA625="","",IFERROR(INDEX(wFirst,556)&amp;"",""))</f>
        <v/>
      </c>
      <c r="BC625" t="str">
        <f>IF(BA625="","",IFERROR(INDEX(wClass,556)&amp;"",""))</f>
        <v/>
      </c>
      <c r="BD625" t="str">
        <f>IF(BA625="","",IFERROR(INDEX(wKsBand,556)+0,""))</f>
        <v/>
      </c>
      <c r="BE625" t="str">
        <f>IF(BA625="","",IFERROR(INDEX(wTests,556)+0,0))</f>
        <v/>
      </c>
      <c r="BF625" t="str">
        <f>IF(BA625="","",IFERROR(INDEX(wMean,556)+0,""))</f>
        <v/>
      </c>
      <c r="BG625" t="str">
        <f>IF(BA625="","",IFERROR(INDEX(wVs,556)+0,""))</f>
        <v/>
      </c>
      <c r="BH625" t="str">
        <f>IF(OR(BA625="",wLatest=""),"",IFERROR(INDEX(wData,556,MATCH(wLatest&amp;CHAR(10)&amp;"Stanine",wHdr,0))+0,""))</f>
        <v/>
      </c>
      <c r="BI625" t="str">
        <f>IF(BA625="","",IF(AND(ISNUMBER(BG625),N(BE625)&gt;=WlMinTests,BG625&lt;=-WlGap),"Below expected for KS2",IF(AND(NOT(ISNUMBER(BD625)),ISNUMBER(BF625),N(BE625)&gt;=WlMinTests,BF625&lt;=WlLowMean),"Low results, no KS2 data","")))</f>
        <v/>
      </c>
      <c r="BJ625" t="str">
        <f>IF(BI625="","",IF(BI625="Below expected for KS2",BG625,100+BF625)+ROW()/1000000)</f>
        <v/>
      </c>
    </row>
    <row r="626">
      <c r="BA626" t="str">
        <f>IFERROR(INDEX(wLast,557)&amp;"","")</f>
        <v/>
      </c>
      <c r="BB626" t="str">
        <f>IF(BA626="","",IFERROR(INDEX(wFirst,557)&amp;"",""))</f>
        <v/>
      </c>
      <c r="BC626" t="str">
        <f>IF(BA626="","",IFERROR(INDEX(wClass,557)&amp;"",""))</f>
        <v/>
      </c>
      <c r="BD626" t="str">
        <f>IF(BA626="","",IFERROR(INDEX(wKsBand,557)+0,""))</f>
        <v/>
      </c>
      <c r="BE626" t="str">
        <f>IF(BA626="","",IFERROR(INDEX(wTests,557)+0,0))</f>
        <v/>
      </c>
      <c r="BF626" t="str">
        <f>IF(BA626="","",IFERROR(INDEX(wMean,557)+0,""))</f>
        <v/>
      </c>
      <c r="BG626" t="str">
        <f>IF(BA626="","",IFERROR(INDEX(wVs,557)+0,""))</f>
        <v/>
      </c>
      <c r="BH626" t="str">
        <f>IF(OR(BA626="",wLatest=""),"",IFERROR(INDEX(wData,557,MATCH(wLatest&amp;CHAR(10)&amp;"Stanine",wHdr,0))+0,""))</f>
        <v/>
      </c>
      <c r="BI626" t="str">
        <f>IF(BA626="","",IF(AND(ISNUMBER(BG626),N(BE626)&gt;=WlMinTests,BG626&lt;=-WlGap),"Below expected for KS2",IF(AND(NOT(ISNUMBER(BD626)),ISNUMBER(BF626),N(BE626)&gt;=WlMinTests,BF626&lt;=WlLowMean),"Low results, no KS2 data","")))</f>
        <v/>
      </c>
      <c r="BJ626" t="str">
        <f>IF(BI626="","",IF(BI626="Below expected for KS2",BG626,100+BF626)+ROW()/1000000)</f>
        <v/>
      </c>
    </row>
    <row r="627">
      <c r="BA627" t="str">
        <f>IFERROR(INDEX(wLast,558)&amp;"","")</f>
        <v/>
      </c>
      <c r="BB627" t="str">
        <f>IF(BA627="","",IFERROR(INDEX(wFirst,558)&amp;"",""))</f>
        <v/>
      </c>
      <c r="BC627" t="str">
        <f>IF(BA627="","",IFERROR(INDEX(wClass,558)&amp;"",""))</f>
        <v/>
      </c>
      <c r="BD627" t="str">
        <f>IF(BA627="","",IFERROR(INDEX(wKsBand,558)+0,""))</f>
        <v/>
      </c>
      <c r="BE627" t="str">
        <f>IF(BA627="","",IFERROR(INDEX(wTests,558)+0,0))</f>
        <v/>
      </c>
      <c r="BF627" t="str">
        <f>IF(BA627="","",IFERROR(INDEX(wMean,558)+0,""))</f>
        <v/>
      </c>
      <c r="BG627" t="str">
        <f>IF(BA627="","",IFERROR(INDEX(wVs,558)+0,""))</f>
        <v/>
      </c>
      <c r="BH627" t="str">
        <f>IF(OR(BA627="",wLatest=""),"",IFERROR(INDEX(wData,558,MATCH(wLatest&amp;CHAR(10)&amp;"Stanine",wHdr,0))+0,""))</f>
        <v/>
      </c>
      <c r="BI627" t="str">
        <f>IF(BA627="","",IF(AND(ISNUMBER(BG627),N(BE627)&gt;=WlMinTests,BG627&lt;=-WlGap),"Below expected for KS2",IF(AND(NOT(ISNUMBER(BD627)),ISNUMBER(BF627),N(BE627)&gt;=WlMinTests,BF627&lt;=WlLowMean),"Low results, no KS2 data","")))</f>
        <v/>
      </c>
      <c r="BJ627" t="str">
        <f>IF(BI627="","",IF(BI627="Below expected for KS2",BG627,100+BF627)+ROW()/1000000)</f>
        <v/>
      </c>
    </row>
    <row r="628">
      <c r="BA628" t="str">
        <f>IFERROR(INDEX(wLast,559)&amp;"","")</f>
        <v/>
      </c>
      <c r="BB628" t="str">
        <f>IF(BA628="","",IFERROR(INDEX(wFirst,559)&amp;"",""))</f>
        <v/>
      </c>
      <c r="BC628" t="str">
        <f>IF(BA628="","",IFERROR(INDEX(wClass,559)&amp;"",""))</f>
        <v/>
      </c>
      <c r="BD628" t="str">
        <f>IF(BA628="","",IFERROR(INDEX(wKsBand,559)+0,""))</f>
        <v/>
      </c>
      <c r="BE628" t="str">
        <f>IF(BA628="","",IFERROR(INDEX(wTests,559)+0,0))</f>
        <v/>
      </c>
      <c r="BF628" t="str">
        <f>IF(BA628="","",IFERROR(INDEX(wMean,559)+0,""))</f>
        <v/>
      </c>
      <c r="BG628" t="str">
        <f>IF(BA628="","",IFERROR(INDEX(wVs,559)+0,""))</f>
        <v/>
      </c>
      <c r="BH628" t="str">
        <f>IF(OR(BA628="",wLatest=""),"",IFERROR(INDEX(wData,559,MATCH(wLatest&amp;CHAR(10)&amp;"Stanine",wHdr,0))+0,""))</f>
        <v/>
      </c>
      <c r="BI628" t="str">
        <f>IF(BA628="","",IF(AND(ISNUMBER(BG628),N(BE628)&gt;=WlMinTests,BG628&lt;=-WlGap),"Below expected for KS2",IF(AND(NOT(ISNUMBER(BD628)),ISNUMBER(BF628),N(BE628)&gt;=WlMinTests,BF628&lt;=WlLowMean),"Low results, no KS2 data","")))</f>
        <v/>
      </c>
      <c r="BJ628" t="str">
        <f>IF(BI628="","",IF(BI628="Below expected for KS2",BG628,100+BF628)+ROW()/1000000)</f>
        <v/>
      </c>
    </row>
    <row r="629">
      <c r="BA629" t="str">
        <f>IFERROR(INDEX(wLast,560)&amp;"","")</f>
        <v/>
      </c>
      <c r="BB629" t="str">
        <f>IF(BA629="","",IFERROR(INDEX(wFirst,560)&amp;"",""))</f>
        <v/>
      </c>
      <c r="BC629" t="str">
        <f>IF(BA629="","",IFERROR(INDEX(wClass,560)&amp;"",""))</f>
        <v/>
      </c>
      <c r="BD629" t="str">
        <f>IF(BA629="","",IFERROR(INDEX(wKsBand,560)+0,""))</f>
        <v/>
      </c>
      <c r="BE629" t="str">
        <f>IF(BA629="","",IFERROR(INDEX(wTests,560)+0,0))</f>
        <v/>
      </c>
      <c r="BF629" t="str">
        <f>IF(BA629="","",IFERROR(INDEX(wMean,560)+0,""))</f>
        <v/>
      </c>
      <c r="BG629" t="str">
        <f>IF(BA629="","",IFERROR(INDEX(wVs,560)+0,""))</f>
        <v/>
      </c>
      <c r="BH629" t="str">
        <f>IF(OR(BA629="",wLatest=""),"",IFERROR(INDEX(wData,560,MATCH(wLatest&amp;CHAR(10)&amp;"Stanine",wHdr,0))+0,""))</f>
        <v/>
      </c>
      <c r="BI629" t="str">
        <f>IF(BA629="","",IF(AND(ISNUMBER(BG629),N(BE629)&gt;=WlMinTests,BG629&lt;=-WlGap),"Below expected for KS2",IF(AND(NOT(ISNUMBER(BD629)),ISNUMBER(BF629),N(BE629)&gt;=WlMinTests,BF629&lt;=WlLowMean),"Low results, no KS2 data","")))</f>
        <v/>
      </c>
      <c r="BJ629" t="str">
        <f>IF(BI629="","",IF(BI629="Below expected for KS2",BG629,100+BF629)+ROW()/1000000)</f>
        <v/>
      </c>
    </row>
    <row r="630">
      <c r="BA630" t="str">
        <f>IFERROR(INDEX(wLast,561)&amp;"","")</f>
        <v/>
      </c>
      <c r="BB630" t="str">
        <f>IF(BA630="","",IFERROR(INDEX(wFirst,561)&amp;"",""))</f>
        <v/>
      </c>
      <c r="BC630" t="str">
        <f>IF(BA630="","",IFERROR(INDEX(wClass,561)&amp;"",""))</f>
        <v/>
      </c>
      <c r="BD630" t="str">
        <f>IF(BA630="","",IFERROR(INDEX(wKsBand,561)+0,""))</f>
        <v/>
      </c>
      <c r="BE630" t="str">
        <f>IF(BA630="","",IFERROR(INDEX(wTests,561)+0,0))</f>
        <v/>
      </c>
      <c r="BF630" t="str">
        <f>IF(BA630="","",IFERROR(INDEX(wMean,561)+0,""))</f>
        <v/>
      </c>
      <c r="BG630" t="str">
        <f>IF(BA630="","",IFERROR(INDEX(wVs,561)+0,""))</f>
        <v/>
      </c>
      <c r="BH630" t="str">
        <f>IF(OR(BA630="",wLatest=""),"",IFERROR(INDEX(wData,561,MATCH(wLatest&amp;CHAR(10)&amp;"Stanine",wHdr,0))+0,""))</f>
        <v/>
      </c>
      <c r="BI630" t="str">
        <f>IF(BA630="","",IF(AND(ISNUMBER(BG630),N(BE630)&gt;=WlMinTests,BG630&lt;=-WlGap),"Below expected for KS2",IF(AND(NOT(ISNUMBER(BD630)),ISNUMBER(BF630),N(BE630)&gt;=WlMinTests,BF630&lt;=WlLowMean),"Low results, no KS2 data","")))</f>
        <v/>
      </c>
      <c r="BJ630" t="str">
        <f>IF(BI630="","",IF(BI630="Below expected for KS2",BG630,100+BF630)+ROW()/1000000)</f>
        <v/>
      </c>
    </row>
    <row r="631">
      <c r="BA631" t="str">
        <f>IFERROR(INDEX(wLast,562)&amp;"","")</f>
        <v/>
      </c>
      <c r="BB631" t="str">
        <f>IF(BA631="","",IFERROR(INDEX(wFirst,562)&amp;"",""))</f>
        <v/>
      </c>
      <c r="BC631" t="str">
        <f>IF(BA631="","",IFERROR(INDEX(wClass,562)&amp;"",""))</f>
        <v/>
      </c>
      <c r="BD631" t="str">
        <f>IF(BA631="","",IFERROR(INDEX(wKsBand,562)+0,""))</f>
        <v/>
      </c>
      <c r="BE631" t="str">
        <f>IF(BA631="","",IFERROR(INDEX(wTests,562)+0,0))</f>
        <v/>
      </c>
      <c r="BF631" t="str">
        <f>IF(BA631="","",IFERROR(INDEX(wMean,562)+0,""))</f>
        <v/>
      </c>
      <c r="BG631" t="str">
        <f>IF(BA631="","",IFERROR(INDEX(wVs,562)+0,""))</f>
        <v/>
      </c>
      <c r="BH631" t="str">
        <f>IF(OR(BA631="",wLatest=""),"",IFERROR(INDEX(wData,562,MATCH(wLatest&amp;CHAR(10)&amp;"Stanine",wHdr,0))+0,""))</f>
        <v/>
      </c>
      <c r="BI631" t="str">
        <f>IF(BA631="","",IF(AND(ISNUMBER(BG631),N(BE631)&gt;=WlMinTests,BG631&lt;=-WlGap),"Below expected for KS2",IF(AND(NOT(ISNUMBER(BD631)),ISNUMBER(BF631),N(BE631)&gt;=WlMinTests,BF631&lt;=WlLowMean),"Low results, no KS2 data","")))</f>
        <v/>
      </c>
      <c r="BJ631" t="str">
        <f>IF(BI631="","",IF(BI631="Below expected for KS2",BG631,100+BF631)+ROW()/1000000)</f>
        <v/>
      </c>
    </row>
    <row r="632">
      <c r="BA632" t="str">
        <f>IFERROR(INDEX(wLast,563)&amp;"","")</f>
        <v/>
      </c>
      <c r="BB632" t="str">
        <f>IF(BA632="","",IFERROR(INDEX(wFirst,563)&amp;"",""))</f>
        <v/>
      </c>
      <c r="BC632" t="str">
        <f>IF(BA632="","",IFERROR(INDEX(wClass,563)&amp;"",""))</f>
        <v/>
      </c>
      <c r="BD632" t="str">
        <f>IF(BA632="","",IFERROR(INDEX(wKsBand,563)+0,""))</f>
        <v/>
      </c>
      <c r="BE632" t="str">
        <f>IF(BA632="","",IFERROR(INDEX(wTests,563)+0,0))</f>
        <v/>
      </c>
      <c r="BF632" t="str">
        <f>IF(BA632="","",IFERROR(INDEX(wMean,563)+0,""))</f>
        <v/>
      </c>
      <c r="BG632" t="str">
        <f>IF(BA632="","",IFERROR(INDEX(wVs,563)+0,""))</f>
        <v/>
      </c>
      <c r="BH632" t="str">
        <f>IF(OR(BA632="",wLatest=""),"",IFERROR(INDEX(wData,563,MATCH(wLatest&amp;CHAR(10)&amp;"Stanine",wHdr,0))+0,""))</f>
        <v/>
      </c>
      <c r="BI632" t="str">
        <f>IF(BA632="","",IF(AND(ISNUMBER(BG632),N(BE632)&gt;=WlMinTests,BG632&lt;=-WlGap),"Below expected for KS2",IF(AND(NOT(ISNUMBER(BD632)),ISNUMBER(BF632),N(BE632)&gt;=WlMinTests,BF632&lt;=WlLowMean),"Low results, no KS2 data","")))</f>
        <v/>
      </c>
      <c r="BJ632" t="str">
        <f>IF(BI632="","",IF(BI632="Below expected for KS2",BG632,100+BF632)+ROW()/1000000)</f>
        <v/>
      </c>
    </row>
    <row r="633">
      <c r="BA633" t="str">
        <f>IFERROR(INDEX(wLast,564)&amp;"","")</f>
        <v/>
      </c>
      <c r="BB633" t="str">
        <f>IF(BA633="","",IFERROR(INDEX(wFirst,564)&amp;"",""))</f>
        <v/>
      </c>
      <c r="BC633" t="str">
        <f>IF(BA633="","",IFERROR(INDEX(wClass,564)&amp;"",""))</f>
        <v/>
      </c>
      <c r="BD633" t="str">
        <f>IF(BA633="","",IFERROR(INDEX(wKsBand,564)+0,""))</f>
        <v/>
      </c>
      <c r="BE633" t="str">
        <f>IF(BA633="","",IFERROR(INDEX(wTests,564)+0,0))</f>
        <v/>
      </c>
      <c r="BF633" t="str">
        <f>IF(BA633="","",IFERROR(INDEX(wMean,564)+0,""))</f>
        <v/>
      </c>
      <c r="BG633" t="str">
        <f>IF(BA633="","",IFERROR(INDEX(wVs,564)+0,""))</f>
        <v/>
      </c>
      <c r="BH633" t="str">
        <f>IF(OR(BA633="",wLatest=""),"",IFERROR(INDEX(wData,564,MATCH(wLatest&amp;CHAR(10)&amp;"Stanine",wHdr,0))+0,""))</f>
        <v/>
      </c>
      <c r="BI633" t="str">
        <f>IF(BA633="","",IF(AND(ISNUMBER(BG633),N(BE633)&gt;=WlMinTests,BG633&lt;=-WlGap),"Below expected for KS2",IF(AND(NOT(ISNUMBER(BD633)),ISNUMBER(BF633),N(BE633)&gt;=WlMinTests,BF633&lt;=WlLowMean),"Low results, no KS2 data","")))</f>
        <v/>
      </c>
      <c r="BJ633" t="str">
        <f>IF(BI633="","",IF(BI633="Below expected for KS2",BG633,100+BF633)+ROW()/1000000)</f>
        <v/>
      </c>
    </row>
    <row r="634">
      <c r="BA634" t="str">
        <f>IFERROR(INDEX(wLast,565)&amp;"","")</f>
        <v/>
      </c>
      <c r="BB634" t="str">
        <f>IF(BA634="","",IFERROR(INDEX(wFirst,565)&amp;"",""))</f>
        <v/>
      </c>
      <c r="BC634" t="str">
        <f>IF(BA634="","",IFERROR(INDEX(wClass,565)&amp;"",""))</f>
        <v/>
      </c>
      <c r="BD634" t="str">
        <f>IF(BA634="","",IFERROR(INDEX(wKsBand,565)+0,""))</f>
        <v/>
      </c>
      <c r="BE634" t="str">
        <f>IF(BA634="","",IFERROR(INDEX(wTests,565)+0,0))</f>
        <v/>
      </c>
      <c r="BF634" t="str">
        <f>IF(BA634="","",IFERROR(INDEX(wMean,565)+0,""))</f>
        <v/>
      </c>
      <c r="BG634" t="str">
        <f>IF(BA634="","",IFERROR(INDEX(wVs,565)+0,""))</f>
        <v/>
      </c>
      <c r="BH634" t="str">
        <f>IF(OR(BA634="",wLatest=""),"",IFERROR(INDEX(wData,565,MATCH(wLatest&amp;CHAR(10)&amp;"Stanine",wHdr,0))+0,""))</f>
        <v/>
      </c>
      <c r="BI634" t="str">
        <f>IF(BA634="","",IF(AND(ISNUMBER(BG634),N(BE634)&gt;=WlMinTests,BG634&lt;=-WlGap),"Below expected for KS2",IF(AND(NOT(ISNUMBER(BD634)),ISNUMBER(BF634),N(BE634)&gt;=WlMinTests,BF634&lt;=WlLowMean),"Low results, no KS2 data","")))</f>
        <v/>
      </c>
      <c r="BJ634" t="str">
        <f>IF(BI634="","",IF(BI634="Below expected for KS2",BG634,100+BF634)+ROW()/1000000)</f>
        <v/>
      </c>
    </row>
    <row r="635">
      <c r="BA635" t="str">
        <f>IFERROR(INDEX(wLast,566)&amp;"","")</f>
        <v/>
      </c>
      <c r="BB635" t="str">
        <f>IF(BA635="","",IFERROR(INDEX(wFirst,566)&amp;"",""))</f>
        <v/>
      </c>
      <c r="BC635" t="str">
        <f>IF(BA635="","",IFERROR(INDEX(wClass,566)&amp;"",""))</f>
        <v/>
      </c>
      <c r="BD635" t="str">
        <f>IF(BA635="","",IFERROR(INDEX(wKsBand,566)+0,""))</f>
        <v/>
      </c>
      <c r="BE635" t="str">
        <f>IF(BA635="","",IFERROR(INDEX(wTests,566)+0,0))</f>
        <v/>
      </c>
      <c r="BF635" t="str">
        <f>IF(BA635="","",IFERROR(INDEX(wMean,566)+0,""))</f>
        <v/>
      </c>
      <c r="BG635" t="str">
        <f>IF(BA635="","",IFERROR(INDEX(wVs,566)+0,""))</f>
        <v/>
      </c>
      <c r="BH635" t="str">
        <f>IF(OR(BA635="",wLatest=""),"",IFERROR(INDEX(wData,566,MATCH(wLatest&amp;CHAR(10)&amp;"Stanine",wHdr,0))+0,""))</f>
        <v/>
      </c>
      <c r="BI635" t="str">
        <f>IF(BA635="","",IF(AND(ISNUMBER(BG635),N(BE635)&gt;=WlMinTests,BG635&lt;=-WlGap),"Below expected for KS2",IF(AND(NOT(ISNUMBER(BD635)),ISNUMBER(BF635),N(BE635)&gt;=WlMinTests,BF635&lt;=WlLowMean),"Low results, no KS2 data","")))</f>
        <v/>
      </c>
      <c r="BJ635" t="str">
        <f>IF(BI635="","",IF(BI635="Below expected for KS2",BG635,100+BF635)+ROW()/1000000)</f>
        <v/>
      </c>
    </row>
    <row r="636">
      <c r="BA636" t="str">
        <f>IFERROR(INDEX(wLast,567)&amp;"","")</f>
        <v/>
      </c>
      <c r="BB636" t="str">
        <f>IF(BA636="","",IFERROR(INDEX(wFirst,567)&amp;"",""))</f>
        <v/>
      </c>
      <c r="BC636" t="str">
        <f>IF(BA636="","",IFERROR(INDEX(wClass,567)&amp;"",""))</f>
        <v/>
      </c>
      <c r="BD636" t="str">
        <f>IF(BA636="","",IFERROR(INDEX(wKsBand,567)+0,""))</f>
        <v/>
      </c>
      <c r="BE636" t="str">
        <f>IF(BA636="","",IFERROR(INDEX(wTests,567)+0,0))</f>
        <v/>
      </c>
      <c r="BF636" t="str">
        <f>IF(BA636="","",IFERROR(INDEX(wMean,567)+0,""))</f>
        <v/>
      </c>
      <c r="BG636" t="str">
        <f>IF(BA636="","",IFERROR(INDEX(wVs,567)+0,""))</f>
        <v/>
      </c>
      <c r="BH636" t="str">
        <f>IF(OR(BA636="",wLatest=""),"",IFERROR(INDEX(wData,567,MATCH(wLatest&amp;CHAR(10)&amp;"Stanine",wHdr,0))+0,""))</f>
        <v/>
      </c>
      <c r="BI636" t="str">
        <f>IF(BA636="","",IF(AND(ISNUMBER(BG636),N(BE636)&gt;=WlMinTests,BG636&lt;=-WlGap),"Below expected for KS2",IF(AND(NOT(ISNUMBER(BD636)),ISNUMBER(BF636),N(BE636)&gt;=WlMinTests,BF636&lt;=WlLowMean),"Low results, no KS2 data","")))</f>
        <v/>
      </c>
      <c r="BJ636" t="str">
        <f>IF(BI636="","",IF(BI636="Below expected for KS2",BG636,100+BF636)+ROW()/1000000)</f>
        <v/>
      </c>
    </row>
    <row r="637">
      <c r="BA637" t="str">
        <f>IFERROR(INDEX(wLast,568)&amp;"","")</f>
        <v/>
      </c>
      <c r="BB637" t="str">
        <f>IF(BA637="","",IFERROR(INDEX(wFirst,568)&amp;"",""))</f>
        <v/>
      </c>
      <c r="BC637" t="str">
        <f>IF(BA637="","",IFERROR(INDEX(wClass,568)&amp;"",""))</f>
        <v/>
      </c>
      <c r="BD637" t="str">
        <f>IF(BA637="","",IFERROR(INDEX(wKsBand,568)+0,""))</f>
        <v/>
      </c>
      <c r="BE637" t="str">
        <f>IF(BA637="","",IFERROR(INDEX(wTests,568)+0,0))</f>
        <v/>
      </c>
      <c r="BF637" t="str">
        <f>IF(BA637="","",IFERROR(INDEX(wMean,568)+0,""))</f>
        <v/>
      </c>
      <c r="BG637" t="str">
        <f>IF(BA637="","",IFERROR(INDEX(wVs,568)+0,""))</f>
        <v/>
      </c>
      <c r="BH637" t="str">
        <f>IF(OR(BA637="",wLatest=""),"",IFERROR(INDEX(wData,568,MATCH(wLatest&amp;CHAR(10)&amp;"Stanine",wHdr,0))+0,""))</f>
        <v/>
      </c>
      <c r="BI637" t="str">
        <f>IF(BA637="","",IF(AND(ISNUMBER(BG637),N(BE637)&gt;=WlMinTests,BG637&lt;=-WlGap),"Below expected for KS2",IF(AND(NOT(ISNUMBER(BD637)),ISNUMBER(BF637),N(BE637)&gt;=WlMinTests,BF637&lt;=WlLowMean),"Low results, no KS2 data","")))</f>
        <v/>
      </c>
      <c r="BJ637" t="str">
        <f>IF(BI637="","",IF(BI637="Below expected for KS2",BG637,100+BF637)+ROW()/1000000)</f>
        <v/>
      </c>
    </row>
    <row r="638">
      <c r="BA638" t="str">
        <f>IFERROR(INDEX(wLast,569)&amp;"","")</f>
        <v/>
      </c>
      <c r="BB638" t="str">
        <f>IF(BA638="","",IFERROR(INDEX(wFirst,569)&amp;"",""))</f>
        <v/>
      </c>
      <c r="BC638" t="str">
        <f>IF(BA638="","",IFERROR(INDEX(wClass,569)&amp;"",""))</f>
        <v/>
      </c>
      <c r="BD638" t="str">
        <f>IF(BA638="","",IFERROR(INDEX(wKsBand,569)+0,""))</f>
        <v/>
      </c>
      <c r="BE638" t="str">
        <f>IF(BA638="","",IFERROR(INDEX(wTests,569)+0,0))</f>
        <v/>
      </c>
      <c r="BF638" t="str">
        <f>IF(BA638="","",IFERROR(INDEX(wMean,569)+0,""))</f>
        <v/>
      </c>
      <c r="BG638" t="str">
        <f>IF(BA638="","",IFERROR(INDEX(wVs,569)+0,""))</f>
        <v/>
      </c>
      <c r="BH638" t="str">
        <f>IF(OR(BA638="",wLatest=""),"",IFERROR(INDEX(wData,569,MATCH(wLatest&amp;CHAR(10)&amp;"Stanine",wHdr,0))+0,""))</f>
        <v/>
      </c>
      <c r="BI638" t="str">
        <f>IF(BA638="","",IF(AND(ISNUMBER(BG638),N(BE638)&gt;=WlMinTests,BG638&lt;=-WlGap),"Below expected for KS2",IF(AND(NOT(ISNUMBER(BD638)),ISNUMBER(BF638),N(BE638)&gt;=WlMinTests,BF638&lt;=WlLowMean),"Low results, no KS2 data","")))</f>
        <v/>
      </c>
      <c r="BJ638" t="str">
        <f>IF(BI638="","",IF(BI638="Below expected for KS2",BG638,100+BF638)+ROW()/1000000)</f>
        <v/>
      </c>
    </row>
    <row r="639">
      <c r="BA639" t="str">
        <f>IFERROR(INDEX(wLast,570)&amp;"","")</f>
        <v/>
      </c>
      <c r="BB639" t="str">
        <f>IF(BA639="","",IFERROR(INDEX(wFirst,570)&amp;"",""))</f>
        <v/>
      </c>
      <c r="BC639" t="str">
        <f>IF(BA639="","",IFERROR(INDEX(wClass,570)&amp;"",""))</f>
        <v/>
      </c>
      <c r="BD639" t="str">
        <f>IF(BA639="","",IFERROR(INDEX(wKsBand,570)+0,""))</f>
        <v/>
      </c>
      <c r="BE639" t="str">
        <f>IF(BA639="","",IFERROR(INDEX(wTests,570)+0,0))</f>
        <v/>
      </c>
      <c r="BF639" t="str">
        <f>IF(BA639="","",IFERROR(INDEX(wMean,570)+0,""))</f>
        <v/>
      </c>
      <c r="BG639" t="str">
        <f>IF(BA639="","",IFERROR(INDEX(wVs,570)+0,""))</f>
        <v/>
      </c>
      <c r="BH639" t="str">
        <f>IF(OR(BA639="",wLatest=""),"",IFERROR(INDEX(wData,570,MATCH(wLatest&amp;CHAR(10)&amp;"Stanine",wHdr,0))+0,""))</f>
        <v/>
      </c>
      <c r="BI639" t="str">
        <f>IF(BA639="","",IF(AND(ISNUMBER(BG639),N(BE639)&gt;=WlMinTests,BG639&lt;=-WlGap),"Below expected for KS2",IF(AND(NOT(ISNUMBER(BD639)),ISNUMBER(BF639),N(BE639)&gt;=WlMinTests,BF639&lt;=WlLowMean),"Low results, no KS2 data","")))</f>
        <v/>
      </c>
      <c r="BJ639" t="str">
        <f>IF(BI639="","",IF(BI639="Below expected for KS2",BG639,100+BF639)+ROW()/1000000)</f>
        <v/>
      </c>
    </row>
    <row r="640">
      <c r="BA640" t="str">
        <f>IFERROR(INDEX(wLast,571)&amp;"","")</f>
        <v/>
      </c>
      <c r="BB640" t="str">
        <f>IF(BA640="","",IFERROR(INDEX(wFirst,571)&amp;"",""))</f>
        <v/>
      </c>
      <c r="BC640" t="str">
        <f>IF(BA640="","",IFERROR(INDEX(wClass,571)&amp;"",""))</f>
        <v/>
      </c>
      <c r="BD640" t="str">
        <f>IF(BA640="","",IFERROR(INDEX(wKsBand,571)+0,""))</f>
        <v/>
      </c>
      <c r="BE640" t="str">
        <f>IF(BA640="","",IFERROR(INDEX(wTests,571)+0,0))</f>
        <v/>
      </c>
      <c r="BF640" t="str">
        <f>IF(BA640="","",IFERROR(INDEX(wMean,571)+0,""))</f>
        <v/>
      </c>
      <c r="BG640" t="str">
        <f>IF(BA640="","",IFERROR(INDEX(wVs,571)+0,""))</f>
        <v/>
      </c>
      <c r="BH640" t="str">
        <f>IF(OR(BA640="",wLatest=""),"",IFERROR(INDEX(wData,571,MATCH(wLatest&amp;CHAR(10)&amp;"Stanine",wHdr,0))+0,""))</f>
        <v/>
      </c>
      <c r="BI640" t="str">
        <f>IF(BA640="","",IF(AND(ISNUMBER(BG640),N(BE640)&gt;=WlMinTests,BG640&lt;=-WlGap),"Below expected for KS2",IF(AND(NOT(ISNUMBER(BD640)),ISNUMBER(BF640),N(BE640)&gt;=WlMinTests,BF640&lt;=WlLowMean),"Low results, no KS2 data","")))</f>
        <v/>
      </c>
      <c r="BJ640" t="str">
        <f>IF(BI640="","",IF(BI640="Below expected for KS2",BG640,100+BF640)+ROW()/1000000)</f>
        <v/>
      </c>
    </row>
    <row r="641">
      <c r="BA641" t="str">
        <f>IFERROR(INDEX(wLast,572)&amp;"","")</f>
        <v/>
      </c>
      <c r="BB641" t="str">
        <f>IF(BA641="","",IFERROR(INDEX(wFirst,572)&amp;"",""))</f>
        <v/>
      </c>
      <c r="BC641" t="str">
        <f>IF(BA641="","",IFERROR(INDEX(wClass,572)&amp;"",""))</f>
        <v/>
      </c>
      <c r="BD641" t="str">
        <f>IF(BA641="","",IFERROR(INDEX(wKsBand,572)+0,""))</f>
        <v/>
      </c>
      <c r="BE641" t="str">
        <f>IF(BA641="","",IFERROR(INDEX(wTests,572)+0,0))</f>
        <v/>
      </c>
      <c r="BF641" t="str">
        <f>IF(BA641="","",IFERROR(INDEX(wMean,572)+0,""))</f>
        <v/>
      </c>
      <c r="BG641" t="str">
        <f>IF(BA641="","",IFERROR(INDEX(wVs,572)+0,""))</f>
        <v/>
      </c>
      <c r="BH641" t="str">
        <f>IF(OR(BA641="",wLatest=""),"",IFERROR(INDEX(wData,572,MATCH(wLatest&amp;CHAR(10)&amp;"Stanine",wHdr,0))+0,""))</f>
        <v/>
      </c>
      <c r="BI641" t="str">
        <f>IF(BA641="","",IF(AND(ISNUMBER(BG641),N(BE641)&gt;=WlMinTests,BG641&lt;=-WlGap),"Below expected for KS2",IF(AND(NOT(ISNUMBER(BD641)),ISNUMBER(BF641),N(BE641)&gt;=WlMinTests,BF641&lt;=WlLowMean),"Low results, no KS2 data","")))</f>
        <v/>
      </c>
      <c r="BJ641" t="str">
        <f>IF(BI641="","",IF(BI641="Below expected for KS2",BG641,100+BF641)+ROW()/1000000)</f>
        <v/>
      </c>
    </row>
    <row r="642">
      <c r="BA642" t="str">
        <f>IFERROR(INDEX(wLast,573)&amp;"","")</f>
        <v/>
      </c>
      <c r="BB642" t="str">
        <f>IF(BA642="","",IFERROR(INDEX(wFirst,573)&amp;"",""))</f>
        <v/>
      </c>
      <c r="BC642" t="str">
        <f>IF(BA642="","",IFERROR(INDEX(wClass,573)&amp;"",""))</f>
        <v/>
      </c>
      <c r="BD642" t="str">
        <f>IF(BA642="","",IFERROR(INDEX(wKsBand,573)+0,""))</f>
        <v/>
      </c>
      <c r="BE642" t="str">
        <f>IF(BA642="","",IFERROR(INDEX(wTests,573)+0,0))</f>
        <v/>
      </c>
      <c r="BF642" t="str">
        <f>IF(BA642="","",IFERROR(INDEX(wMean,573)+0,""))</f>
        <v/>
      </c>
      <c r="BG642" t="str">
        <f>IF(BA642="","",IFERROR(INDEX(wVs,573)+0,""))</f>
        <v/>
      </c>
      <c r="BH642" t="str">
        <f>IF(OR(BA642="",wLatest=""),"",IFERROR(INDEX(wData,573,MATCH(wLatest&amp;CHAR(10)&amp;"Stanine",wHdr,0))+0,""))</f>
        <v/>
      </c>
      <c r="BI642" t="str">
        <f>IF(BA642="","",IF(AND(ISNUMBER(BG642),N(BE642)&gt;=WlMinTests,BG642&lt;=-WlGap),"Below expected for KS2",IF(AND(NOT(ISNUMBER(BD642)),ISNUMBER(BF642),N(BE642)&gt;=WlMinTests,BF642&lt;=WlLowMean),"Low results, no KS2 data","")))</f>
        <v/>
      </c>
      <c r="BJ642" t="str">
        <f>IF(BI642="","",IF(BI642="Below expected for KS2",BG642,100+BF642)+ROW()/1000000)</f>
        <v/>
      </c>
    </row>
    <row r="643">
      <c r="BA643" t="str">
        <f>IFERROR(INDEX(wLast,574)&amp;"","")</f>
        <v/>
      </c>
      <c r="BB643" t="str">
        <f>IF(BA643="","",IFERROR(INDEX(wFirst,574)&amp;"",""))</f>
        <v/>
      </c>
      <c r="BC643" t="str">
        <f>IF(BA643="","",IFERROR(INDEX(wClass,574)&amp;"",""))</f>
        <v/>
      </c>
      <c r="BD643" t="str">
        <f>IF(BA643="","",IFERROR(INDEX(wKsBand,574)+0,""))</f>
        <v/>
      </c>
      <c r="BE643" t="str">
        <f>IF(BA643="","",IFERROR(INDEX(wTests,574)+0,0))</f>
        <v/>
      </c>
      <c r="BF643" t="str">
        <f>IF(BA643="","",IFERROR(INDEX(wMean,574)+0,""))</f>
        <v/>
      </c>
      <c r="BG643" t="str">
        <f>IF(BA643="","",IFERROR(INDEX(wVs,574)+0,""))</f>
        <v/>
      </c>
      <c r="BH643" t="str">
        <f>IF(OR(BA643="",wLatest=""),"",IFERROR(INDEX(wData,574,MATCH(wLatest&amp;CHAR(10)&amp;"Stanine",wHdr,0))+0,""))</f>
        <v/>
      </c>
      <c r="BI643" t="str">
        <f>IF(BA643="","",IF(AND(ISNUMBER(BG643),N(BE643)&gt;=WlMinTests,BG643&lt;=-WlGap),"Below expected for KS2",IF(AND(NOT(ISNUMBER(BD643)),ISNUMBER(BF643),N(BE643)&gt;=WlMinTests,BF643&lt;=WlLowMean),"Low results, no KS2 data","")))</f>
        <v/>
      </c>
      <c r="BJ643" t="str">
        <f>IF(BI643="","",IF(BI643="Below expected for KS2",BG643,100+BF643)+ROW()/1000000)</f>
        <v/>
      </c>
    </row>
    <row r="644">
      <c r="BA644" t="str">
        <f>IFERROR(INDEX(wLast,575)&amp;"","")</f>
        <v/>
      </c>
      <c r="BB644" t="str">
        <f>IF(BA644="","",IFERROR(INDEX(wFirst,575)&amp;"",""))</f>
        <v/>
      </c>
      <c r="BC644" t="str">
        <f>IF(BA644="","",IFERROR(INDEX(wClass,575)&amp;"",""))</f>
        <v/>
      </c>
      <c r="BD644" t="str">
        <f>IF(BA644="","",IFERROR(INDEX(wKsBand,575)+0,""))</f>
        <v/>
      </c>
      <c r="BE644" t="str">
        <f>IF(BA644="","",IFERROR(INDEX(wTests,575)+0,0))</f>
        <v/>
      </c>
      <c r="BF644" t="str">
        <f>IF(BA644="","",IFERROR(INDEX(wMean,575)+0,""))</f>
        <v/>
      </c>
      <c r="BG644" t="str">
        <f>IF(BA644="","",IFERROR(INDEX(wVs,575)+0,""))</f>
        <v/>
      </c>
      <c r="BH644" t="str">
        <f>IF(OR(BA644="",wLatest=""),"",IFERROR(INDEX(wData,575,MATCH(wLatest&amp;CHAR(10)&amp;"Stanine",wHdr,0))+0,""))</f>
        <v/>
      </c>
      <c r="BI644" t="str">
        <f>IF(BA644="","",IF(AND(ISNUMBER(BG644),N(BE644)&gt;=WlMinTests,BG644&lt;=-WlGap),"Below expected for KS2",IF(AND(NOT(ISNUMBER(BD644)),ISNUMBER(BF644),N(BE644)&gt;=WlMinTests,BF644&lt;=WlLowMean),"Low results, no KS2 data","")))</f>
        <v/>
      </c>
      <c r="BJ644" t="str">
        <f>IF(BI644="","",IF(BI644="Below expected for KS2",BG644,100+BF644)+ROW()/1000000)</f>
        <v/>
      </c>
    </row>
    <row r="645">
      <c r="BA645" t="str">
        <f>IFERROR(INDEX(wLast,576)&amp;"","")</f>
        <v/>
      </c>
      <c r="BB645" t="str">
        <f>IF(BA645="","",IFERROR(INDEX(wFirst,576)&amp;"",""))</f>
        <v/>
      </c>
      <c r="BC645" t="str">
        <f>IF(BA645="","",IFERROR(INDEX(wClass,576)&amp;"",""))</f>
        <v/>
      </c>
      <c r="BD645" t="str">
        <f>IF(BA645="","",IFERROR(INDEX(wKsBand,576)+0,""))</f>
        <v/>
      </c>
      <c r="BE645" t="str">
        <f>IF(BA645="","",IFERROR(INDEX(wTests,576)+0,0))</f>
        <v/>
      </c>
      <c r="BF645" t="str">
        <f>IF(BA645="","",IFERROR(INDEX(wMean,576)+0,""))</f>
        <v/>
      </c>
      <c r="BG645" t="str">
        <f>IF(BA645="","",IFERROR(INDEX(wVs,576)+0,""))</f>
        <v/>
      </c>
      <c r="BH645" t="str">
        <f>IF(OR(BA645="",wLatest=""),"",IFERROR(INDEX(wData,576,MATCH(wLatest&amp;CHAR(10)&amp;"Stanine",wHdr,0))+0,""))</f>
        <v/>
      </c>
      <c r="BI645" t="str">
        <f>IF(BA645="","",IF(AND(ISNUMBER(BG645),N(BE645)&gt;=WlMinTests,BG645&lt;=-WlGap),"Below expected for KS2",IF(AND(NOT(ISNUMBER(BD645)),ISNUMBER(BF645),N(BE645)&gt;=WlMinTests,BF645&lt;=WlLowMean),"Low results, no KS2 data","")))</f>
        <v/>
      </c>
      <c r="BJ645" t="str">
        <f>IF(BI645="","",IF(BI645="Below expected for KS2",BG645,100+BF645)+ROW()/1000000)</f>
        <v/>
      </c>
    </row>
    <row r="646">
      <c r="BA646" t="str">
        <f>IFERROR(INDEX(wLast,577)&amp;"","")</f>
        <v/>
      </c>
      <c r="BB646" t="str">
        <f>IF(BA646="","",IFERROR(INDEX(wFirst,577)&amp;"",""))</f>
        <v/>
      </c>
      <c r="BC646" t="str">
        <f>IF(BA646="","",IFERROR(INDEX(wClass,577)&amp;"",""))</f>
        <v/>
      </c>
      <c r="BD646" t="str">
        <f>IF(BA646="","",IFERROR(INDEX(wKsBand,577)+0,""))</f>
        <v/>
      </c>
      <c r="BE646" t="str">
        <f>IF(BA646="","",IFERROR(INDEX(wTests,577)+0,0))</f>
        <v/>
      </c>
      <c r="BF646" t="str">
        <f>IF(BA646="","",IFERROR(INDEX(wMean,577)+0,""))</f>
        <v/>
      </c>
      <c r="BG646" t="str">
        <f>IF(BA646="","",IFERROR(INDEX(wVs,577)+0,""))</f>
        <v/>
      </c>
      <c r="BH646" t="str">
        <f>IF(OR(BA646="",wLatest=""),"",IFERROR(INDEX(wData,577,MATCH(wLatest&amp;CHAR(10)&amp;"Stanine",wHdr,0))+0,""))</f>
        <v/>
      </c>
      <c r="BI646" t="str">
        <f>IF(BA646="","",IF(AND(ISNUMBER(BG646),N(BE646)&gt;=WlMinTests,BG646&lt;=-WlGap),"Below expected for KS2",IF(AND(NOT(ISNUMBER(BD646)),ISNUMBER(BF646),N(BE646)&gt;=WlMinTests,BF646&lt;=WlLowMean),"Low results, no KS2 data","")))</f>
        <v/>
      </c>
      <c r="BJ646" t="str">
        <f>IF(BI646="","",IF(BI646="Below expected for KS2",BG646,100+BF646)+ROW()/1000000)</f>
        <v/>
      </c>
    </row>
    <row r="647">
      <c r="BA647" t="str">
        <f>IFERROR(INDEX(wLast,578)&amp;"","")</f>
        <v/>
      </c>
      <c r="BB647" t="str">
        <f>IF(BA647="","",IFERROR(INDEX(wFirst,578)&amp;"",""))</f>
        <v/>
      </c>
      <c r="BC647" t="str">
        <f>IF(BA647="","",IFERROR(INDEX(wClass,578)&amp;"",""))</f>
        <v/>
      </c>
      <c r="BD647" t="str">
        <f>IF(BA647="","",IFERROR(INDEX(wKsBand,578)+0,""))</f>
        <v/>
      </c>
      <c r="BE647" t="str">
        <f>IF(BA647="","",IFERROR(INDEX(wTests,578)+0,0))</f>
        <v/>
      </c>
      <c r="BF647" t="str">
        <f>IF(BA647="","",IFERROR(INDEX(wMean,578)+0,""))</f>
        <v/>
      </c>
      <c r="BG647" t="str">
        <f>IF(BA647="","",IFERROR(INDEX(wVs,578)+0,""))</f>
        <v/>
      </c>
      <c r="BH647" t="str">
        <f>IF(OR(BA647="",wLatest=""),"",IFERROR(INDEX(wData,578,MATCH(wLatest&amp;CHAR(10)&amp;"Stanine",wHdr,0))+0,""))</f>
        <v/>
      </c>
      <c r="BI647" t="str">
        <f>IF(BA647="","",IF(AND(ISNUMBER(BG647),N(BE647)&gt;=WlMinTests,BG647&lt;=-WlGap),"Below expected for KS2",IF(AND(NOT(ISNUMBER(BD647)),ISNUMBER(BF647),N(BE647)&gt;=WlMinTests,BF647&lt;=WlLowMean),"Low results, no KS2 data","")))</f>
        <v/>
      </c>
      <c r="BJ647" t="str">
        <f>IF(BI647="","",IF(BI647="Below expected for KS2",BG647,100+BF647)+ROW()/1000000)</f>
        <v/>
      </c>
    </row>
    <row r="648">
      <c r="BA648" t="str">
        <f>IFERROR(INDEX(wLast,579)&amp;"","")</f>
        <v/>
      </c>
      <c r="BB648" t="str">
        <f>IF(BA648="","",IFERROR(INDEX(wFirst,579)&amp;"",""))</f>
        <v/>
      </c>
      <c r="BC648" t="str">
        <f>IF(BA648="","",IFERROR(INDEX(wClass,579)&amp;"",""))</f>
        <v/>
      </c>
      <c r="BD648" t="str">
        <f>IF(BA648="","",IFERROR(INDEX(wKsBand,579)+0,""))</f>
        <v/>
      </c>
      <c r="BE648" t="str">
        <f>IF(BA648="","",IFERROR(INDEX(wTests,579)+0,0))</f>
        <v/>
      </c>
      <c r="BF648" t="str">
        <f>IF(BA648="","",IFERROR(INDEX(wMean,579)+0,""))</f>
        <v/>
      </c>
      <c r="BG648" t="str">
        <f>IF(BA648="","",IFERROR(INDEX(wVs,579)+0,""))</f>
        <v/>
      </c>
      <c r="BH648" t="str">
        <f>IF(OR(BA648="",wLatest=""),"",IFERROR(INDEX(wData,579,MATCH(wLatest&amp;CHAR(10)&amp;"Stanine",wHdr,0))+0,""))</f>
        <v/>
      </c>
      <c r="BI648" t="str">
        <f>IF(BA648="","",IF(AND(ISNUMBER(BG648),N(BE648)&gt;=WlMinTests,BG648&lt;=-WlGap),"Below expected for KS2",IF(AND(NOT(ISNUMBER(BD648)),ISNUMBER(BF648),N(BE648)&gt;=WlMinTests,BF648&lt;=WlLowMean),"Low results, no KS2 data","")))</f>
        <v/>
      </c>
      <c r="BJ648" t="str">
        <f>IF(BI648="","",IF(BI648="Below expected for KS2",BG648,100+BF648)+ROW()/1000000)</f>
        <v/>
      </c>
    </row>
    <row r="649">
      <c r="BA649" t="str">
        <f>IFERROR(INDEX(wLast,580)&amp;"","")</f>
        <v/>
      </c>
      <c r="BB649" t="str">
        <f>IF(BA649="","",IFERROR(INDEX(wFirst,580)&amp;"",""))</f>
        <v/>
      </c>
      <c r="BC649" t="str">
        <f>IF(BA649="","",IFERROR(INDEX(wClass,580)&amp;"",""))</f>
        <v/>
      </c>
      <c r="BD649" t="str">
        <f>IF(BA649="","",IFERROR(INDEX(wKsBand,580)+0,""))</f>
        <v/>
      </c>
      <c r="BE649" t="str">
        <f>IF(BA649="","",IFERROR(INDEX(wTests,580)+0,0))</f>
        <v/>
      </c>
      <c r="BF649" t="str">
        <f>IF(BA649="","",IFERROR(INDEX(wMean,580)+0,""))</f>
        <v/>
      </c>
      <c r="BG649" t="str">
        <f>IF(BA649="","",IFERROR(INDEX(wVs,580)+0,""))</f>
        <v/>
      </c>
      <c r="BH649" t="str">
        <f>IF(OR(BA649="",wLatest=""),"",IFERROR(INDEX(wData,580,MATCH(wLatest&amp;CHAR(10)&amp;"Stanine",wHdr,0))+0,""))</f>
        <v/>
      </c>
      <c r="BI649" t="str">
        <f>IF(BA649="","",IF(AND(ISNUMBER(BG649),N(BE649)&gt;=WlMinTests,BG649&lt;=-WlGap),"Below expected for KS2",IF(AND(NOT(ISNUMBER(BD649)),ISNUMBER(BF649),N(BE649)&gt;=WlMinTests,BF649&lt;=WlLowMean),"Low results, no KS2 data","")))</f>
        <v/>
      </c>
      <c r="BJ649" t="str">
        <f>IF(BI649="","",IF(BI649="Below expected for KS2",BG649,100+BF649)+ROW()/1000000)</f>
        <v/>
      </c>
    </row>
    <row r="650">
      <c r="BA650" t="str">
        <f>IFERROR(INDEX(wLast,581)&amp;"","")</f>
        <v/>
      </c>
      <c r="BB650" t="str">
        <f>IF(BA650="","",IFERROR(INDEX(wFirst,581)&amp;"",""))</f>
        <v/>
      </c>
      <c r="BC650" t="str">
        <f>IF(BA650="","",IFERROR(INDEX(wClass,581)&amp;"",""))</f>
        <v/>
      </c>
      <c r="BD650" t="str">
        <f>IF(BA650="","",IFERROR(INDEX(wKsBand,581)+0,""))</f>
        <v/>
      </c>
      <c r="BE650" t="str">
        <f>IF(BA650="","",IFERROR(INDEX(wTests,581)+0,0))</f>
        <v/>
      </c>
      <c r="BF650" t="str">
        <f>IF(BA650="","",IFERROR(INDEX(wMean,581)+0,""))</f>
        <v/>
      </c>
      <c r="BG650" t="str">
        <f>IF(BA650="","",IFERROR(INDEX(wVs,581)+0,""))</f>
        <v/>
      </c>
      <c r="BH650" t="str">
        <f>IF(OR(BA650="",wLatest=""),"",IFERROR(INDEX(wData,581,MATCH(wLatest&amp;CHAR(10)&amp;"Stanine",wHdr,0))+0,""))</f>
        <v/>
      </c>
      <c r="BI650" t="str">
        <f>IF(BA650="","",IF(AND(ISNUMBER(BG650),N(BE650)&gt;=WlMinTests,BG650&lt;=-WlGap),"Below expected for KS2",IF(AND(NOT(ISNUMBER(BD650)),ISNUMBER(BF650),N(BE650)&gt;=WlMinTests,BF650&lt;=WlLowMean),"Low results, no KS2 data","")))</f>
        <v/>
      </c>
      <c r="BJ650" t="str">
        <f>IF(BI650="","",IF(BI650="Below expected for KS2",BG650,100+BF650)+ROW()/1000000)</f>
        <v/>
      </c>
    </row>
    <row r="651">
      <c r="BA651" t="str">
        <f>IFERROR(INDEX(wLast,582)&amp;"","")</f>
        <v/>
      </c>
      <c r="BB651" t="str">
        <f>IF(BA651="","",IFERROR(INDEX(wFirst,582)&amp;"",""))</f>
        <v/>
      </c>
      <c r="BC651" t="str">
        <f>IF(BA651="","",IFERROR(INDEX(wClass,582)&amp;"",""))</f>
        <v/>
      </c>
      <c r="BD651" t="str">
        <f>IF(BA651="","",IFERROR(INDEX(wKsBand,582)+0,""))</f>
        <v/>
      </c>
      <c r="BE651" t="str">
        <f>IF(BA651="","",IFERROR(INDEX(wTests,582)+0,0))</f>
        <v/>
      </c>
      <c r="BF651" t="str">
        <f>IF(BA651="","",IFERROR(INDEX(wMean,582)+0,""))</f>
        <v/>
      </c>
      <c r="BG651" t="str">
        <f>IF(BA651="","",IFERROR(INDEX(wVs,582)+0,""))</f>
        <v/>
      </c>
      <c r="BH651" t="str">
        <f>IF(OR(BA651="",wLatest=""),"",IFERROR(INDEX(wData,582,MATCH(wLatest&amp;CHAR(10)&amp;"Stanine",wHdr,0))+0,""))</f>
        <v/>
      </c>
      <c r="BI651" t="str">
        <f>IF(BA651="","",IF(AND(ISNUMBER(BG651),N(BE651)&gt;=WlMinTests,BG651&lt;=-WlGap),"Below expected for KS2",IF(AND(NOT(ISNUMBER(BD651)),ISNUMBER(BF651),N(BE651)&gt;=WlMinTests,BF651&lt;=WlLowMean),"Low results, no KS2 data","")))</f>
        <v/>
      </c>
      <c r="BJ651" t="str">
        <f>IF(BI651="","",IF(BI651="Below expected for KS2",BG651,100+BF651)+ROW()/1000000)</f>
        <v/>
      </c>
    </row>
    <row r="652">
      <c r="BA652" t="str">
        <f>IFERROR(INDEX(wLast,583)&amp;"","")</f>
        <v/>
      </c>
      <c r="BB652" t="str">
        <f>IF(BA652="","",IFERROR(INDEX(wFirst,583)&amp;"",""))</f>
        <v/>
      </c>
      <c r="BC652" t="str">
        <f>IF(BA652="","",IFERROR(INDEX(wClass,583)&amp;"",""))</f>
        <v/>
      </c>
      <c r="BD652" t="str">
        <f>IF(BA652="","",IFERROR(INDEX(wKsBand,583)+0,""))</f>
        <v/>
      </c>
      <c r="BE652" t="str">
        <f>IF(BA652="","",IFERROR(INDEX(wTests,583)+0,0))</f>
        <v/>
      </c>
      <c r="BF652" t="str">
        <f>IF(BA652="","",IFERROR(INDEX(wMean,583)+0,""))</f>
        <v/>
      </c>
      <c r="BG652" t="str">
        <f>IF(BA652="","",IFERROR(INDEX(wVs,583)+0,""))</f>
        <v/>
      </c>
      <c r="BH652" t="str">
        <f>IF(OR(BA652="",wLatest=""),"",IFERROR(INDEX(wData,583,MATCH(wLatest&amp;CHAR(10)&amp;"Stanine",wHdr,0))+0,""))</f>
        <v/>
      </c>
      <c r="BI652" t="str">
        <f>IF(BA652="","",IF(AND(ISNUMBER(BG652),N(BE652)&gt;=WlMinTests,BG652&lt;=-WlGap),"Below expected for KS2",IF(AND(NOT(ISNUMBER(BD652)),ISNUMBER(BF652),N(BE652)&gt;=WlMinTests,BF652&lt;=WlLowMean),"Low results, no KS2 data","")))</f>
        <v/>
      </c>
      <c r="BJ652" t="str">
        <f>IF(BI652="","",IF(BI652="Below expected for KS2",BG652,100+BF652)+ROW()/1000000)</f>
        <v/>
      </c>
    </row>
    <row r="653">
      <c r="BA653" t="str">
        <f>IFERROR(INDEX(wLast,584)&amp;"","")</f>
        <v/>
      </c>
      <c r="BB653" t="str">
        <f>IF(BA653="","",IFERROR(INDEX(wFirst,584)&amp;"",""))</f>
        <v/>
      </c>
      <c r="BC653" t="str">
        <f>IF(BA653="","",IFERROR(INDEX(wClass,584)&amp;"",""))</f>
        <v/>
      </c>
      <c r="BD653" t="str">
        <f>IF(BA653="","",IFERROR(INDEX(wKsBand,584)+0,""))</f>
        <v/>
      </c>
      <c r="BE653" t="str">
        <f>IF(BA653="","",IFERROR(INDEX(wTests,584)+0,0))</f>
        <v/>
      </c>
      <c r="BF653" t="str">
        <f>IF(BA653="","",IFERROR(INDEX(wMean,584)+0,""))</f>
        <v/>
      </c>
      <c r="BG653" t="str">
        <f>IF(BA653="","",IFERROR(INDEX(wVs,584)+0,""))</f>
        <v/>
      </c>
      <c r="BH653" t="str">
        <f>IF(OR(BA653="",wLatest=""),"",IFERROR(INDEX(wData,584,MATCH(wLatest&amp;CHAR(10)&amp;"Stanine",wHdr,0))+0,""))</f>
        <v/>
      </c>
      <c r="BI653" t="str">
        <f>IF(BA653="","",IF(AND(ISNUMBER(BG653),N(BE653)&gt;=WlMinTests,BG653&lt;=-WlGap),"Below expected for KS2",IF(AND(NOT(ISNUMBER(BD653)),ISNUMBER(BF653),N(BE653)&gt;=WlMinTests,BF653&lt;=WlLowMean),"Low results, no KS2 data","")))</f>
        <v/>
      </c>
      <c r="BJ653" t="str">
        <f>IF(BI653="","",IF(BI653="Below expected for KS2",BG653,100+BF653)+ROW()/1000000)</f>
        <v/>
      </c>
    </row>
    <row r="654">
      <c r="BA654" t="str">
        <f>IFERROR(INDEX(wLast,585)&amp;"","")</f>
        <v/>
      </c>
      <c r="BB654" t="str">
        <f>IF(BA654="","",IFERROR(INDEX(wFirst,585)&amp;"",""))</f>
        <v/>
      </c>
      <c r="BC654" t="str">
        <f>IF(BA654="","",IFERROR(INDEX(wClass,585)&amp;"",""))</f>
        <v/>
      </c>
      <c r="BD654" t="str">
        <f>IF(BA654="","",IFERROR(INDEX(wKsBand,585)+0,""))</f>
        <v/>
      </c>
      <c r="BE654" t="str">
        <f>IF(BA654="","",IFERROR(INDEX(wTests,585)+0,0))</f>
        <v/>
      </c>
      <c r="BF654" t="str">
        <f>IF(BA654="","",IFERROR(INDEX(wMean,585)+0,""))</f>
        <v/>
      </c>
      <c r="BG654" t="str">
        <f>IF(BA654="","",IFERROR(INDEX(wVs,585)+0,""))</f>
        <v/>
      </c>
      <c r="BH654" t="str">
        <f>IF(OR(BA654="",wLatest=""),"",IFERROR(INDEX(wData,585,MATCH(wLatest&amp;CHAR(10)&amp;"Stanine",wHdr,0))+0,""))</f>
        <v/>
      </c>
      <c r="BI654" t="str">
        <f>IF(BA654="","",IF(AND(ISNUMBER(BG654),N(BE654)&gt;=WlMinTests,BG654&lt;=-WlGap),"Below expected for KS2",IF(AND(NOT(ISNUMBER(BD654)),ISNUMBER(BF654),N(BE654)&gt;=WlMinTests,BF654&lt;=WlLowMean),"Low results, no KS2 data","")))</f>
        <v/>
      </c>
      <c r="BJ654" t="str">
        <f>IF(BI654="","",IF(BI654="Below expected for KS2",BG654,100+BF654)+ROW()/1000000)</f>
        <v/>
      </c>
    </row>
    <row r="655">
      <c r="BA655" t="str">
        <f>IFERROR(INDEX(wLast,586)&amp;"","")</f>
        <v/>
      </c>
      <c r="BB655" t="str">
        <f>IF(BA655="","",IFERROR(INDEX(wFirst,586)&amp;"",""))</f>
        <v/>
      </c>
      <c r="BC655" t="str">
        <f>IF(BA655="","",IFERROR(INDEX(wClass,586)&amp;"",""))</f>
        <v/>
      </c>
      <c r="BD655" t="str">
        <f>IF(BA655="","",IFERROR(INDEX(wKsBand,586)+0,""))</f>
        <v/>
      </c>
      <c r="BE655" t="str">
        <f>IF(BA655="","",IFERROR(INDEX(wTests,586)+0,0))</f>
        <v/>
      </c>
      <c r="BF655" t="str">
        <f>IF(BA655="","",IFERROR(INDEX(wMean,586)+0,""))</f>
        <v/>
      </c>
      <c r="BG655" t="str">
        <f>IF(BA655="","",IFERROR(INDEX(wVs,586)+0,""))</f>
        <v/>
      </c>
      <c r="BH655" t="str">
        <f>IF(OR(BA655="",wLatest=""),"",IFERROR(INDEX(wData,586,MATCH(wLatest&amp;CHAR(10)&amp;"Stanine",wHdr,0))+0,""))</f>
        <v/>
      </c>
      <c r="BI655" t="str">
        <f>IF(BA655="","",IF(AND(ISNUMBER(BG655),N(BE655)&gt;=WlMinTests,BG655&lt;=-WlGap),"Below expected for KS2",IF(AND(NOT(ISNUMBER(BD655)),ISNUMBER(BF655),N(BE655)&gt;=WlMinTests,BF655&lt;=WlLowMean),"Low results, no KS2 data","")))</f>
        <v/>
      </c>
      <c r="BJ655" t="str">
        <f>IF(BI655="","",IF(BI655="Below expected for KS2",BG655,100+BF655)+ROW()/1000000)</f>
        <v/>
      </c>
    </row>
    <row r="656">
      <c r="BA656" t="str">
        <f>IFERROR(INDEX(wLast,587)&amp;"","")</f>
        <v/>
      </c>
      <c r="BB656" t="str">
        <f>IF(BA656="","",IFERROR(INDEX(wFirst,587)&amp;"",""))</f>
        <v/>
      </c>
      <c r="BC656" t="str">
        <f>IF(BA656="","",IFERROR(INDEX(wClass,587)&amp;"",""))</f>
        <v/>
      </c>
      <c r="BD656" t="str">
        <f>IF(BA656="","",IFERROR(INDEX(wKsBand,587)+0,""))</f>
        <v/>
      </c>
      <c r="BE656" t="str">
        <f>IF(BA656="","",IFERROR(INDEX(wTests,587)+0,0))</f>
        <v/>
      </c>
      <c r="BF656" t="str">
        <f>IF(BA656="","",IFERROR(INDEX(wMean,587)+0,""))</f>
        <v/>
      </c>
      <c r="BG656" t="str">
        <f>IF(BA656="","",IFERROR(INDEX(wVs,587)+0,""))</f>
        <v/>
      </c>
      <c r="BH656" t="str">
        <f>IF(OR(BA656="",wLatest=""),"",IFERROR(INDEX(wData,587,MATCH(wLatest&amp;CHAR(10)&amp;"Stanine",wHdr,0))+0,""))</f>
        <v/>
      </c>
      <c r="BI656" t="str">
        <f>IF(BA656="","",IF(AND(ISNUMBER(BG656),N(BE656)&gt;=WlMinTests,BG656&lt;=-WlGap),"Below expected for KS2",IF(AND(NOT(ISNUMBER(BD656)),ISNUMBER(BF656),N(BE656)&gt;=WlMinTests,BF656&lt;=WlLowMean),"Low results, no KS2 data","")))</f>
        <v/>
      </c>
      <c r="BJ656" t="str">
        <f>IF(BI656="","",IF(BI656="Below expected for KS2",BG656,100+BF656)+ROW()/1000000)</f>
        <v/>
      </c>
    </row>
    <row r="657">
      <c r="BA657" t="str">
        <f>IFERROR(INDEX(wLast,588)&amp;"","")</f>
        <v/>
      </c>
      <c r="BB657" t="str">
        <f>IF(BA657="","",IFERROR(INDEX(wFirst,588)&amp;"",""))</f>
        <v/>
      </c>
      <c r="BC657" t="str">
        <f>IF(BA657="","",IFERROR(INDEX(wClass,588)&amp;"",""))</f>
        <v/>
      </c>
      <c r="BD657" t="str">
        <f>IF(BA657="","",IFERROR(INDEX(wKsBand,588)+0,""))</f>
        <v/>
      </c>
      <c r="BE657" t="str">
        <f>IF(BA657="","",IFERROR(INDEX(wTests,588)+0,0))</f>
        <v/>
      </c>
      <c r="BF657" t="str">
        <f>IF(BA657="","",IFERROR(INDEX(wMean,588)+0,""))</f>
        <v/>
      </c>
      <c r="BG657" t="str">
        <f>IF(BA657="","",IFERROR(INDEX(wVs,588)+0,""))</f>
        <v/>
      </c>
      <c r="BH657" t="str">
        <f>IF(OR(BA657="",wLatest=""),"",IFERROR(INDEX(wData,588,MATCH(wLatest&amp;CHAR(10)&amp;"Stanine",wHdr,0))+0,""))</f>
        <v/>
      </c>
      <c r="BI657" t="str">
        <f>IF(BA657="","",IF(AND(ISNUMBER(BG657),N(BE657)&gt;=WlMinTests,BG657&lt;=-WlGap),"Below expected for KS2",IF(AND(NOT(ISNUMBER(BD657)),ISNUMBER(BF657),N(BE657)&gt;=WlMinTests,BF657&lt;=WlLowMean),"Low results, no KS2 data","")))</f>
        <v/>
      </c>
      <c r="BJ657" t="str">
        <f>IF(BI657="","",IF(BI657="Below expected for KS2",BG657,100+BF657)+ROW()/1000000)</f>
        <v/>
      </c>
    </row>
    <row r="658">
      <c r="BA658" t="str">
        <f>IFERROR(INDEX(wLast,589)&amp;"","")</f>
        <v/>
      </c>
      <c r="BB658" t="str">
        <f>IF(BA658="","",IFERROR(INDEX(wFirst,589)&amp;"",""))</f>
        <v/>
      </c>
      <c r="BC658" t="str">
        <f>IF(BA658="","",IFERROR(INDEX(wClass,589)&amp;"",""))</f>
        <v/>
      </c>
      <c r="BD658" t="str">
        <f>IF(BA658="","",IFERROR(INDEX(wKsBand,589)+0,""))</f>
        <v/>
      </c>
      <c r="BE658" t="str">
        <f>IF(BA658="","",IFERROR(INDEX(wTests,589)+0,0))</f>
        <v/>
      </c>
      <c r="BF658" t="str">
        <f>IF(BA658="","",IFERROR(INDEX(wMean,589)+0,""))</f>
        <v/>
      </c>
      <c r="BG658" t="str">
        <f>IF(BA658="","",IFERROR(INDEX(wVs,589)+0,""))</f>
        <v/>
      </c>
      <c r="BH658" t="str">
        <f>IF(OR(BA658="",wLatest=""),"",IFERROR(INDEX(wData,589,MATCH(wLatest&amp;CHAR(10)&amp;"Stanine",wHdr,0))+0,""))</f>
        <v/>
      </c>
      <c r="BI658" t="str">
        <f>IF(BA658="","",IF(AND(ISNUMBER(BG658),N(BE658)&gt;=WlMinTests,BG658&lt;=-WlGap),"Below expected for KS2",IF(AND(NOT(ISNUMBER(BD658)),ISNUMBER(BF658),N(BE658)&gt;=WlMinTests,BF658&lt;=WlLowMean),"Low results, no KS2 data","")))</f>
        <v/>
      </c>
      <c r="BJ658" t="str">
        <f>IF(BI658="","",IF(BI658="Below expected for KS2",BG658,100+BF658)+ROW()/1000000)</f>
        <v/>
      </c>
    </row>
    <row r="659">
      <c r="BA659" t="str">
        <f>IFERROR(INDEX(wLast,590)&amp;"","")</f>
        <v/>
      </c>
      <c r="BB659" t="str">
        <f>IF(BA659="","",IFERROR(INDEX(wFirst,590)&amp;"",""))</f>
        <v/>
      </c>
      <c r="BC659" t="str">
        <f>IF(BA659="","",IFERROR(INDEX(wClass,590)&amp;"",""))</f>
        <v/>
      </c>
      <c r="BD659" t="str">
        <f>IF(BA659="","",IFERROR(INDEX(wKsBand,590)+0,""))</f>
        <v/>
      </c>
      <c r="BE659" t="str">
        <f>IF(BA659="","",IFERROR(INDEX(wTests,590)+0,0))</f>
        <v/>
      </c>
      <c r="BF659" t="str">
        <f>IF(BA659="","",IFERROR(INDEX(wMean,590)+0,""))</f>
        <v/>
      </c>
      <c r="BG659" t="str">
        <f>IF(BA659="","",IFERROR(INDEX(wVs,590)+0,""))</f>
        <v/>
      </c>
      <c r="BH659" t="str">
        <f>IF(OR(BA659="",wLatest=""),"",IFERROR(INDEX(wData,590,MATCH(wLatest&amp;CHAR(10)&amp;"Stanine",wHdr,0))+0,""))</f>
        <v/>
      </c>
      <c r="BI659" t="str">
        <f>IF(BA659="","",IF(AND(ISNUMBER(BG659),N(BE659)&gt;=WlMinTests,BG659&lt;=-WlGap),"Below expected for KS2",IF(AND(NOT(ISNUMBER(BD659)),ISNUMBER(BF659),N(BE659)&gt;=WlMinTests,BF659&lt;=WlLowMean),"Low results, no KS2 data","")))</f>
        <v/>
      </c>
      <c r="BJ659" t="str">
        <f>IF(BI659="","",IF(BI659="Below expected for KS2",BG659,100+BF659)+ROW()/1000000)</f>
        <v/>
      </c>
    </row>
    <row r="660">
      <c r="BA660" t="str">
        <f>IFERROR(INDEX(wLast,591)&amp;"","")</f>
        <v/>
      </c>
      <c r="BB660" t="str">
        <f>IF(BA660="","",IFERROR(INDEX(wFirst,591)&amp;"",""))</f>
        <v/>
      </c>
      <c r="BC660" t="str">
        <f>IF(BA660="","",IFERROR(INDEX(wClass,591)&amp;"",""))</f>
        <v/>
      </c>
      <c r="BD660" t="str">
        <f>IF(BA660="","",IFERROR(INDEX(wKsBand,591)+0,""))</f>
        <v/>
      </c>
      <c r="BE660" t="str">
        <f>IF(BA660="","",IFERROR(INDEX(wTests,591)+0,0))</f>
        <v/>
      </c>
      <c r="BF660" t="str">
        <f>IF(BA660="","",IFERROR(INDEX(wMean,591)+0,""))</f>
        <v/>
      </c>
      <c r="BG660" t="str">
        <f>IF(BA660="","",IFERROR(INDEX(wVs,591)+0,""))</f>
        <v/>
      </c>
      <c r="BH660" t="str">
        <f>IF(OR(BA660="",wLatest=""),"",IFERROR(INDEX(wData,591,MATCH(wLatest&amp;CHAR(10)&amp;"Stanine",wHdr,0))+0,""))</f>
        <v/>
      </c>
      <c r="BI660" t="str">
        <f>IF(BA660="","",IF(AND(ISNUMBER(BG660),N(BE660)&gt;=WlMinTests,BG660&lt;=-WlGap),"Below expected for KS2",IF(AND(NOT(ISNUMBER(BD660)),ISNUMBER(BF660),N(BE660)&gt;=WlMinTests,BF660&lt;=WlLowMean),"Low results, no KS2 data","")))</f>
        <v/>
      </c>
      <c r="BJ660" t="str">
        <f>IF(BI660="","",IF(BI660="Below expected for KS2",BG660,100+BF660)+ROW()/1000000)</f>
        <v/>
      </c>
    </row>
    <row r="661">
      <c r="BA661" t="str">
        <f>IFERROR(INDEX(wLast,592)&amp;"","")</f>
        <v/>
      </c>
      <c r="BB661" t="str">
        <f>IF(BA661="","",IFERROR(INDEX(wFirst,592)&amp;"",""))</f>
        <v/>
      </c>
      <c r="BC661" t="str">
        <f>IF(BA661="","",IFERROR(INDEX(wClass,592)&amp;"",""))</f>
        <v/>
      </c>
      <c r="BD661" t="str">
        <f>IF(BA661="","",IFERROR(INDEX(wKsBand,592)+0,""))</f>
        <v/>
      </c>
      <c r="BE661" t="str">
        <f>IF(BA661="","",IFERROR(INDEX(wTests,592)+0,0))</f>
        <v/>
      </c>
      <c r="BF661" t="str">
        <f>IF(BA661="","",IFERROR(INDEX(wMean,592)+0,""))</f>
        <v/>
      </c>
      <c r="BG661" t="str">
        <f>IF(BA661="","",IFERROR(INDEX(wVs,592)+0,""))</f>
        <v/>
      </c>
      <c r="BH661" t="str">
        <f>IF(OR(BA661="",wLatest=""),"",IFERROR(INDEX(wData,592,MATCH(wLatest&amp;CHAR(10)&amp;"Stanine",wHdr,0))+0,""))</f>
        <v/>
      </c>
      <c r="BI661" t="str">
        <f>IF(BA661="","",IF(AND(ISNUMBER(BG661),N(BE661)&gt;=WlMinTests,BG661&lt;=-WlGap),"Below expected for KS2",IF(AND(NOT(ISNUMBER(BD661)),ISNUMBER(BF661),N(BE661)&gt;=WlMinTests,BF661&lt;=WlLowMean),"Low results, no KS2 data","")))</f>
        <v/>
      </c>
      <c r="BJ661" t="str">
        <f>IF(BI661="","",IF(BI661="Below expected for KS2",BG661,100+BF661)+ROW()/1000000)</f>
        <v/>
      </c>
    </row>
    <row r="662">
      <c r="BA662" t="str">
        <f>IFERROR(INDEX(wLast,593)&amp;"","")</f>
        <v/>
      </c>
      <c r="BB662" t="str">
        <f>IF(BA662="","",IFERROR(INDEX(wFirst,593)&amp;"",""))</f>
        <v/>
      </c>
      <c r="BC662" t="str">
        <f>IF(BA662="","",IFERROR(INDEX(wClass,593)&amp;"",""))</f>
        <v/>
      </c>
      <c r="BD662" t="str">
        <f>IF(BA662="","",IFERROR(INDEX(wKsBand,593)+0,""))</f>
        <v/>
      </c>
      <c r="BE662" t="str">
        <f>IF(BA662="","",IFERROR(INDEX(wTests,593)+0,0))</f>
        <v/>
      </c>
      <c r="BF662" t="str">
        <f>IF(BA662="","",IFERROR(INDEX(wMean,593)+0,""))</f>
        <v/>
      </c>
      <c r="BG662" t="str">
        <f>IF(BA662="","",IFERROR(INDEX(wVs,593)+0,""))</f>
        <v/>
      </c>
      <c r="BH662" t="str">
        <f>IF(OR(BA662="",wLatest=""),"",IFERROR(INDEX(wData,593,MATCH(wLatest&amp;CHAR(10)&amp;"Stanine",wHdr,0))+0,""))</f>
        <v/>
      </c>
      <c r="BI662" t="str">
        <f>IF(BA662="","",IF(AND(ISNUMBER(BG662),N(BE662)&gt;=WlMinTests,BG662&lt;=-WlGap),"Below expected for KS2",IF(AND(NOT(ISNUMBER(BD662)),ISNUMBER(BF662),N(BE662)&gt;=WlMinTests,BF662&lt;=WlLowMean),"Low results, no KS2 data","")))</f>
        <v/>
      </c>
      <c r="BJ662" t="str">
        <f>IF(BI662="","",IF(BI662="Below expected for KS2",BG662,100+BF662)+ROW()/1000000)</f>
        <v/>
      </c>
    </row>
    <row r="663">
      <c r="BA663" t="str">
        <f>IFERROR(INDEX(wLast,594)&amp;"","")</f>
        <v/>
      </c>
      <c r="BB663" t="str">
        <f>IF(BA663="","",IFERROR(INDEX(wFirst,594)&amp;"",""))</f>
        <v/>
      </c>
      <c r="BC663" t="str">
        <f>IF(BA663="","",IFERROR(INDEX(wClass,594)&amp;"",""))</f>
        <v/>
      </c>
      <c r="BD663" t="str">
        <f>IF(BA663="","",IFERROR(INDEX(wKsBand,594)+0,""))</f>
        <v/>
      </c>
      <c r="BE663" t="str">
        <f>IF(BA663="","",IFERROR(INDEX(wTests,594)+0,0))</f>
        <v/>
      </c>
      <c r="BF663" t="str">
        <f>IF(BA663="","",IFERROR(INDEX(wMean,594)+0,""))</f>
        <v/>
      </c>
      <c r="BG663" t="str">
        <f>IF(BA663="","",IFERROR(INDEX(wVs,594)+0,""))</f>
        <v/>
      </c>
      <c r="BH663" t="str">
        <f>IF(OR(BA663="",wLatest=""),"",IFERROR(INDEX(wData,594,MATCH(wLatest&amp;CHAR(10)&amp;"Stanine",wHdr,0))+0,""))</f>
        <v/>
      </c>
      <c r="BI663" t="str">
        <f>IF(BA663="","",IF(AND(ISNUMBER(BG663),N(BE663)&gt;=WlMinTests,BG663&lt;=-WlGap),"Below expected for KS2",IF(AND(NOT(ISNUMBER(BD663)),ISNUMBER(BF663),N(BE663)&gt;=WlMinTests,BF663&lt;=WlLowMean),"Low results, no KS2 data","")))</f>
        <v/>
      </c>
      <c r="BJ663" t="str">
        <f>IF(BI663="","",IF(BI663="Below expected for KS2",BG663,100+BF663)+ROW()/1000000)</f>
        <v/>
      </c>
    </row>
    <row r="664">
      <c r="BA664" t="str">
        <f>IFERROR(INDEX(wLast,595)&amp;"","")</f>
        <v/>
      </c>
      <c r="BB664" t="str">
        <f>IF(BA664="","",IFERROR(INDEX(wFirst,595)&amp;"",""))</f>
        <v/>
      </c>
      <c r="BC664" t="str">
        <f>IF(BA664="","",IFERROR(INDEX(wClass,595)&amp;"",""))</f>
        <v/>
      </c>
      <c r="BD664" t="str">
        <f>IF(BA664="","",IFERROR(INDEX(wKsBand,595)+0,""))</f>
        <v/>
      </c>
      <c r="BE664" t="str">
        <f>IF(BA664="","",IFERROR(INDEX(wTests,595)+0,0))</f>
        <v/>
      </c>
      <c r="BF664" t="str">
        <f>IF(BA664="","",IFERROR(INDEX(wMean,595)+0,""))</f>
        <v/>
      </c>
      <c r="BG664" t="str">
        <f>IF(BA664="","",IFERROR(INDEX(wVs,595)+0,""))</f>
        <v/>
      </c>
      <c r="BH664" t="str">
        <f>IF(OR(BA664="",wLatest=""),"",IFERROR(INDEX(wData,595,MATCH(wLatest&amp;CHAR(10)&amp;"Stanine",wHdr,0))+0,""))</f>
        <v/>
      </c>
      <c r="BI664" t="str">
        <f>IF(BA664="","",IF(AND(ISNUMBER(BG664),N(BE664)&gt;=WlMinTests,BG664&lt;=-WlGap),"Below expected for KS2",IF(AND(NOT(ISNUMBER(BD664)),ISNUMBER(BF664),N(BE664)&gt;=WlMinTests,BF664&lt;=WlLowMean),"Low results, no KS2 data","")))</f>
        <v/>
      </c>
      <c r="BJ664" t="str">
        <f>IF(BI664="","",IF(BI664="Below expected for KS2",BG664,100+BF664)+ROW()/1000000)</f>
        <v/>
      </c>
    </row>
    <row r="665">
      <c r="BA665" t="str">
        <f>IFERROR(INDEX(wLast,596)&amp;"","")</f>
        <v/>
      </c>
      <c r="BB665" t="str">
        <f>IF(BA665="","",IFERROR(INDEX(wFirst,596)&amp;"",""))</f>
        <v/>
      </c>
      <c r="BC665" t="str">
        <f>IF(BA665="","",IFERROR(INDEX(wClass,596)&amp;"",""))</f>
        <v/>
      </c>
      <c r="BD665" t="str">
        <f>IF(BA665="","",IFERROR(INDEX(wKsBand,596)+0,""))</f>
        <v/>
      </c>
      <c r="BE665" t="str">
        <f>IF(BA665="","",IFERROR(INDEX(wTests,596)+0,0))</f>
        <v/>
      </c>
      <c r="BF665" t="str">
        <f>IF(BA665="","",IFERROR(INDEX(wMean,596)+0,""))</f>
        <v/>
      </c>
      <c r="BG665" t="str">
        <f>IF(BA665="","",IFERROR(INDEX(wVs,596)+0,""))</f>
        <v/>
      </c>
      <c r="BH665" t="str">
        <f>IF(OR(BA665="",wLatest=""),"",IFERROR(INDEX(wData,596,MATCH(wLatest&amp;CHAR(10)&amp;"Stanine",wHdr,0))+0,""))</f>
        <v/>
      </c>
      <c r="BI665" t="str">
        <f>IF(BA665="","",IF(AND(ISNUMBER(BG665),N(BE665)&gt;=WlMinTests,BG665&lt;=-WlGap),"Below expected for KS2",IF(AND(NOT(ISNUMBER(BD665)),ISNUMBER(BF665),N(BE665)&gt;=WlMinTests,BF665&lt;=WlLowMean),"Low results, no KS2 data","")))</f>
        <v/>
      </c>
      <c r="BJ665" t="str">
        <f>IF(BI665="","",IF(BI665="Below expected for KS2",BG665,100+BF665)+ROW()/1000000)</f>
        <v/>
      </c>
    </row>
    <row r="666">
      <c r="BA666" t="str">
        <f>IFERROR(INDEX(wLast,597)&amp;"","")</f>
        <v/>
      </c>
      <c r="BB666" t="str">
        <f>IF(BA666="","",IFERROR(INDEX(wFirst,597)&amp;"",""))</f>
        <v/>
      </c>
      <c r="BC666" t="str">
        <f>IF(BA666="","",IFERROR(INDEX(wClass,597)&amp;"",""))</f>
        <v/>
      </c>
      <c r="BD666" t="str">
        <f>IF(BA666="","",IFERROR(INDEX(wKsBand,597)+0,""))</f>
        <v/>
      </c>
      <c r="BE666" t="str">
        <f>IF(BA666="","",IFERROR(INDEX(wTests,597)+0,0))</f>
        <v/>
      </c>
      <c r="BF666" t="str">
        <f>IF(BA666="","",IFERROR(INDEX(wMean,597)+0,""))</f>
        <v/>
      </c>
      <c r="BG666" t="str">
        <f>IF(BA666="","",IFERROR(INDEX(wVs,597)+0,""))</f>
        <v/>
      </c>
      <c r="BH666" t="str">
        <f>IF(OR(BA666="",wLatest=""),"",IFERROR(INDEX(wData,597,MATCH(wLatest&amp;CHAR(10)&amp;"Stanine",wHdr,0))+0,""))</f>
        <v/>
      </c>
      <c r="BI666" t="str">
        <f>IF(BA666="","",IF(AND(ISNUMBER(BG666),N(BE666)&gt;=WlMinTests,BG666&lt;=-WlGap),"Below expected for KS2",IF(AND(NOT(ISNUMBER(BD666)),ISNUMBER(BF666),N(BE666)&gt;=WlMinTests,BF666&lt;=WlLowMean),"Low results, no KS2 data","")))</f>
        <v/>
      </c>
      <c r="BJ666" t="str">
        <f>IF(BI666="","",IF(BI666="Below expected for KS2",BG666,100+BF666)+ROW()/1000000)</f>
        <v/>
      </c>
    </row>
    <row r="667">
      <c r="BA667" t="str">
        <f>IFERROR(INDEX(wLast,598)&amp;"","")</f>
        <v/>
      </c>
      <c r="BB667" t="str">
        <f>IF(BA667="","",IFERROR(INDEX(wFirst,598)&amp;"",""))</f>
        <v/>
      </c>
      <c r="BC667" t="str">
        <f>IF(BA667="","",IFERROR(INDEX(wClass,598)&amp;"",""))</f>
        <v/>
      </c>
      <c r="BD667" t="str">
        <f>IF(BA667="","",IFERROR(INDEX(wKsBand,598)+0,""))</f>
        <v/>
      </c>
      <c r="BE667" t="str">
        <f>IF(BA667="","",IFERROR(INDEX(wTests,598)+0,0))</f>
        <v/>
      </c>
      <c r="BF667" t="str">
        <f>IF(BA667="","",IFERROR(INDEX(wMean,598)+0,""))</f>
        <v/>
      </c>
      <c r="BG667" t="str">
        <f>IF(BA667="","",IFERROR(INDEX(wVs,598)+0,""))</f>
        <v/>
      </c>
      <c r="BH667" t="str">
        <f>IF(OR(BA667="",wLatest=""),"",IFERROR(INDEX(wData,598,MATCH(wLatest&amp;CHAR(10)&amp;"Stanine",wHdr,0))+0,""))</f>
        <v/>
      </c>
      <c r="BI667" t="str">
        <f>IF(BA667="","",IF(AND(ISNUMBER(BG667),N(BE667)&gt;=WlMinTests,BG667&lt;=-WlGap),"Below expected for KS2",IF(AND(NOT(ISNUMBER(BD667)),ISNUMBER(BF667),N(BE667)&gt;=WlMinTests,BF667&lt;=WlLowMean),"Low results, no KS2 data","")))</f>
        <v/>
      </c>
      <c r="BJ667" t="str">
        <f>IF(BI667="","",IF(BI667="Below expected for KS2",BG667,100+BF667)+ROW()/1000000)</f>
        <v/>
      </c>
    </row>
    <row r="668">
      <c r="BA668" t="str">
        <f>IFERROR(INDEX(wLast,599)&amp;"","")</f>
        <v/>
      </c>
      <c r="BB668" t="str">
        <f>IF(BA668="","",IFERROR(INDEX(wFirst,599)&amp;"",""))</f>
        <v/>
      </c>
      <c r="BC668" t="str">
        <f>IF(BA668="","",IFERROR(INDEX(wClass,599)&amp;"",""))</f>
        <v/>
      </c>
      <c r="BD668" t="str">
        <f>IF(BA668="","",IFERROR(INDEX(wKsBand,599)+0,""))</f>
        <v/>
      </c>
      <c r="BE668" t="str">
        <f>IF(BA668="","",IFERROR(INDEX(wTests,599)+0,0))</f>
        <v/>
      </c>
      <c r="BF668" t="str">
        <f>IF(BA668="","",IFERROR(INDEX(wMean,599)+0,""))</f>
        <v/>
      </c>
      <c r="BG668" t="str">
        <f>IF(BA668="","",IFERROR(INDEX(wVs,599)+0,""))</f>
        <v/>
      </c>
      <c r="BH668" t="str">
        <f>IF(OR(BA668="",wLatest=""),"",IFERROR(INDEX(wData,599,MATCH(wLatest&amp;CHAR(10)&amp;"Stanine",wHdr,0))+0,""))</f>
        <v/>
      </c>
      <c r="BI668" t="str">
        <f>IF(BA668="","",IF(AND(ISNUMBER(BG668),N(BE668)&gt;=WlMinTests,BG668&lt;=-WlGap),"Below expected for KS2",IF(AND(NOT(ISNUMBER(BD668)),ISNUMBER(BF668),N(BE668)&gt;=WlMinTests,BF668&lt;=WlLowMean),"Low results, no KS2 data","")))</f>
        <v/>
      </c>
      <c r="BJ668" t="str">
        <f>IF(BI668="","",IF(BI668="Below expected for KS2",BG668,100+BF668)+ROW()/1000000)</f>
        <v/>
      </c>
    </row>
    <row r="669">
      <c r="BA669" t="str">
        <f>IFERROR(INDEX(wLast,600)&amp;"","")</f>
        <v/>
      </c>
      <c r="BB669" t="str">
        <f>IF(BA669="","",IFERROR(INDEX(wFirst,600)&amp;"",""))</f>
        <v/>
      </c>
      <c r="BC669" t="str">
        <f>IF(BA669="","",IFERROR(INDEX(wClass,600)&amp;"",""))</f>
        <v/>
      </c>
      <c r="BD669" t="str">
        <f>IF(BA669="","",IFERROR(INDEX(wKsBand,600)+0,""))</f>
        <v/>
      </c>
      <c r="BE669" t="str">
        <f>IF(BA669="","",IFERROR(INDEX(wTests,600)+0,0))</f>
        <v/>
      </c>
      <c r="BF669" t="str">
        <f>IF(BA669="","",IFERROR(INDEX(wMean,600)+0,""))</f>
        <v/>
      </c>
      <c r="BG669" t="str">
        <f>IF(BA669="","",IFERROR(INDEX(wVs,600)+0,""))</f>
        <v/>
      </c>
      <c r="BH669" t="str">
        <f>IF(OR(BA669="",wLatest=""),"",IFERROR(INDEX(wData,600,MATCH(wLatest&amp;CHAR(10)&amp;"Stanine",wHdr,0))+0,""))</f>
        <v/>
      </c>
      <c r="BI669" t="str">
        <f>IF(BA669="","",IF(AND(ISNUMBER(BG669),N(BE669)&gt;=WlMinTests,BG669&lt;=-WlGap),"Below expected for KS2",IF(AND(NOT(ISNUMBER(BD669)),ISNUMBER(BF669),N(BE669)&gt;=WlMinTests,BF669&lt;=WlLowMean),"Low results, no KS2 data","")))</f>
        <v/>
      </c>
      <c r="BJ669" t="str">
        <f>IF(BI669="","",IF(BI669="Below expected for KS2",BG669,100+BF669)+ROW()/1000000)</f>
        <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Mastery Quiz Tracker generator</dc:creator>
  <dc:title xmlns:dc="http://purl.org/dc/elements/1.1/">Science Mastery Quiz Tracker</dc:title>
  <dc:subject xmlns:dc="http://purl.org/dc/elements/1.1/">Mastery quizzes, Years 7 to 11, 2026-27</dc:subject>
  <dcterms:created xmlns:dcterms="http://purl.org/dc/terms/" xmlns:xsi="http://www.w3.org/2001/XMLSchema-instance" xsi:type="dcterms:W3CDTF">2026-09-29T18:41:46Z</dcterms:created>
  <dcterms:modified xmlns:dcterms="http://purl.org/dc/terms/" xmlns:xsi="http://www.w3.org/2001/XMLSchema-instance" xsi:type="dcterms:W3CDTF">2026-09-29T18:41:47Z</dcterms:modified>
  <cp:lastModifiedBy>Mastery Quiz Tracker generator</cp:lastModifiedBy>
  <cp:keywords>stanine; mastery quiz; KS3; KS4; science</cp:keywords>
</cp:coreProperties>
</file>